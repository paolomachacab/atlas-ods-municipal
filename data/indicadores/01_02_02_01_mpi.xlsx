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o_IPM_2012" sheetId="1" r:id="rId4"/>
    <sheet state="visible" name="Calculo_IPM_2024" sheetId="2" r:id="rId5"/>
    <sheet state="visible" name="Privaciones_2012" sheetId="3" r:id="rId6"/>
    <sheet state="visible" name="Privaciones_2024" sheetId="4" r:id="rId7"/>
    <sheet state="visible" name="Indicador_MUN" sheetId="5" r:id="rId8"/>
    <sheet state="visible" name="Indicador_DEP" sheetId="6" r:id="rId9"/>
    <sheet state="visible" name="Absoluto_MUN" sheetId="7" r:id="rId10"/>
    <sheet state="visible" name="Absoluto_DEP" sheetId="8" r:id="rId11"/>
    <sheet state="visible" name="Umbral" sheetId="9" r:id="rId12"/>
    <sheet state="visible" name="Mapa" sheetId="10" r:id="rId13"/>
  </sheets>
  <definedNames/>
  <calcPr/>
  <extLst>
    <ext uri="GoogleSheetsCustomDataVersion2">
      <go:sheetsCustomData xmlns:go="http://customooxmlschemas.google.com/" r:id="rId14" roundtripDataChecksum="PNiVxrt+Ruhc7GwpEdfZUxf0UQiL3jQQvM4woGPnVmQ="/>
    </ext>
  </extLst>
</workbook>
</file>

<file path=xl/sharedStrings.xml><?xml version="1.0" encoding="utf-8"?>
<sst xmlns="http://schemas.openxmlformats.org/spreadsheetml/2006/main" count="2194" uniqueCount="386">
  <si>
    <t>id</t>
  </si>
  <si>
    <t>Municipio</t>
  </si>
  <si>
    <t>Cantidad de pobres</t>
  </si>
  <si>
    <t>Suma de privaciones</t>
  </si>
  <si>
    <t>Cantidad de personas</t>
  </si>
  <si>
    <t>H2012</t>
  </si>
  <si>
    <t>A2012</t>
  </si>
  <si>
    <t>IPM 2012</t>
  </si>
  <si>
    <t>id_departamento</t>
  </si>
  <si>
    <t>Departamento</t>
  </si>
  <si>
    <t>IPM2012</t>
  </si>
  <si>
    <t>Sucre</t>
  </si>
  <si>
    <t>Chuquisaca</t>
  </si>
  <si>
    <t>Yotala</t>
  </si>
  <si>
    <t>La Paz</t>
  </si>
  <si>
    <t>Poroma</t>
  </si>
  <si>
    <t>Cochabamba</t>
  </si>
  <si>
    <t>Azurduy</t>
  </si>
  <si>
    <t>Oruro</t>
  </si>
  <si>
    <t>Tarvita</t>
  </si>
  <si>
    <t>Potosí</t>
  </si>
  <si>
    <t>Zudáñez</t>
  </si>
  <si>
    <t>Tarija</t>
  </si>
  <si>
    <t>Presto</t>
  </si>
  <si>
    <t>Santa Cruz</t>
  </si>
  <si>
    <t>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</si>
  <si>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</si>
  <si>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</si>
  <si>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</si>
  <si>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</si>
  <si>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</si>
  <si>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</si>
  <si>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</si>
  <si>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</si>
  <si>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Alcalá</t>
  </si>
  <si>
    <t>El Villar</t>
  </si>
  <si>
    <t>Monteagudo</t>
  </si>
  <si>
    <t>umbrales</t>
  </si>
  <si>
    <t>Huacareta</t>
  </si>
  <si>
    <t>IPM 2012/2</t>
  </si>
  <si>
    <t>Tarabuco</t>
  </si>
  <si>
    <t>prom -des</t>
  </si>
  <si>
    <t>Yamparáez</t>
  </si>
  <si>
    <t>prom</t>
  </si>
  <si>
    <t>Camargo</t>
  </si>
  <si>
    <t>San Lucas</t>
  </si>
  <si>
    <t>DESV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</si>
  <si>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</si>
  <si>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</si>
  <si>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</si>
  <si>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</si>
  <si>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</si>
  <si>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</si>
  <si>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</si>
  <si>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</si>
  <si>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</si>
  <si>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</si>
  <si>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</si>
  <si>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</si>
  <si>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</si>
  <si>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</si>
  <si>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</si>
  <si>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</si>
  <si>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</si>
  <si>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</si>
  <si>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</si>
  <si>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</si>
  <si>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</si>
  <si>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</si>
  <si>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</si>
  <si>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</si>
  <si>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</si>
  <si>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</si>
  <si>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</si>
  <si>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</si>
  <si>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</si>
  <si>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</si>
  <si>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</si>
  <si>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</si>
  <si>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</si>
  <si>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</si>
  <si>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</si>
  <si>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</si>
  <si>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</si>
  <si>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</si>
  <si>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</si>
  <si>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</si>
  <si>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</si>
  <si>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</si>
  <si>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</si>
  <si>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</si>
  <si>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</si>
  <si>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</si>
  <si>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</si>
  <si>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</si>
  <si>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</si>
  <si>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</si>
  <si>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</si>
  <si>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</si>
  <si>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</si>
  <si>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</si>
  <si>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</si>
  <si>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</si>
  <si>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</si>
  <si>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</si>
  <si>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</si>
  <si>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</si>
  <si>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</si>
  <si>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</si>
  <si>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</si>
  <si>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</si>
  <si>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</si>
  <si>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</si>
  <si>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</si>
  <si>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</si>
  <si>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</si>
  <si>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</si>
  <si>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</si>
  <si>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</si>
  <si>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</si>
  <si>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</si>
  <si>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</si>
  <si>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</si>
  <si>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</si>
  <si>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</si>
  <si>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</si>
  <si>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</si>
  <si>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</si>
  <si>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</si>
  <si>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</si>
  <si>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</si>
  <si>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</si>
  <si>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</si>
  <si>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</si>
  <si>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</si>
  <si>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</si>
  <si>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</si>
  <si>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</si>
  <si>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</si>
  <si>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</si>
  <si>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</si>
  <si>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</si>
  <si>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</si>
  <si>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</si>
  <si>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</si>
  <si>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</si>
  <si>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</si>
  <si>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</si>
  <si>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</si>
  <si>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</si>
  <si>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</si>
  <si>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</si>
  <si>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</si>
  <si>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</si>
  <si>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</si>
  <si>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</si>
  <si>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</si>
  <si>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</si>
  <si>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</si>
  <si>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</si>
  <si>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</si>
  <si>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</si>
  <si>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</si>
  <si>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</si>
  <si>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</si>
  <si>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</si>
  <si>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</si>
  <si>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</si>
  <si>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</si>
  <si>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</si>
  <si>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</si>
  <si>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</si>
  <si>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</si>
  <si>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</si>
  <si>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</si>
  <si>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</si>
  <si>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</si>
  <si>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</si>
  <si>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</si>
  <si>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</si>
  <si>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</si>
  <si>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</si>
  <si>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</si>
  <si>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</si>
  <si>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</si>
  <si>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</si>
  <si>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</si>
  <si>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</si>
  <si>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</si>
  <si>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</si>
  <si>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</si>
  <si>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</si>
  <si>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</si>
  <si>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</si>
  <si>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</si>
  <si>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</si>
  <si>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</si>
  <si>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</si>
  <si>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</si>
  <si>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</si>
  <si>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</si>
  <si>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</si>
  <si>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</si>
  <si>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</si>
  <si>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</si>
  <si>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</si>
  <si>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</si>
  <si>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</si>
  <si>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</si>
  <si>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</si>
  <si>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</si>
  <si>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</si>
  <si>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</si>
  <si>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</si>
  <si>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</si>
  <si>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</si>
  <si>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</si>
  <si>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</si>
  <si>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</si>
  <si>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</si>
  <si>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</si>
  <si>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</si>
  <si>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</si>
  <si>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</si>
  <si>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</si>
  <si>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</si>
  <si>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</si>
  <si>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</si>
  <si>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</si>
  <si>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</si>
  <si>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</si>
  <si>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</si>
  <si>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</si>
  <si>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</si>
  <si>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</si>
  <si>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</si>
  <si>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</si>
  <si>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</si>
  <si>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</si>
  <si>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</si>
  <si>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</si>
  <si>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</si>
  <si>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</si>
  <si>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</si>
  <si>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</si>
  <si>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</si>
  <si>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</si>
  <si>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</si>
  <si>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</si>
  <si>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</si>
  <si>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</si>
  <si>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</si>
  <si>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</si>
  <si>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</si>
  <si>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</si>
  <si>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</si>
  <si>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</si>
  <si>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</si>
  <si>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</si>
  <si>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</si>
  <si>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</si>
  <si>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</si>
  <si>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</si>
  <si>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</si>
  <si>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</si>
  <si>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</si>
  <si>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</si>
  <si>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</si>
  <si>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</si>
  <si>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</si>
  <si>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</si>
  <si>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</si>
  <si>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</si>
  <si>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</si>
  <si>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</si>
  <si>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</si>
  <si>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</si>
  <si>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</si>
  <si>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</si>
  <si>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</si>
  <si>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</si>
  <si>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</si>
  <si>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</si>
  <si>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</si>
  <si>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</si>
  <si>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</si>
  <si>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</si>
  <si>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</si>
  <si>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</si>
  <si>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</si>
  <si>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</si>
  <si>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</si>
  <si>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</si>
  <si>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</si>
  <si>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</si>
  <si>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</si>
  <si>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</si>
  <si>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</si>
  <si>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</si>
  <si>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</si>
  <si>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</si>
  <si>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</si>
  <si>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</si>
  <si>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</si>
  <si>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</si>
  <si>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</si>
  <si>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</si>
  <si>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</si>
  <si>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</si>
  <si>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</si>
  <si>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</si>
  <si>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</si>
  <si>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</si>
  <si>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</si>
  <si>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</si>
  <si>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</si>
  <si>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</si>
  <si>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</si>
  <si>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</si>
  <si>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</si>
  <si>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</si>
  <si>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</si>
  <si>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</si>
  <si>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</si>
  <si>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</si>
  <si>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</si>
  <si>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</si>
  <si>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</si>
  <si>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</si>
  <si>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</si>
  <si>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</si>
  <si>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</si>
  <si>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</si>
  <si>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</si>
  <si>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</si>
  <si>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</si>
  <si>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</si>
  <si>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</si>
  <si>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</si>
  <si>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</si>
  <si>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</si>
  <si>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</si>
  <si>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</si>
  <si>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</si>
  <si>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</si>
  <si>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</si>
  <si>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</si>
  <si>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</si>
  <si>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</si>
  <si>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</si>
  <si>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</si>
  <si>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</si>
  <si>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</si>
  <si>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</si>
  <si>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</si>
  <si>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H2024</t>
  </si>
  <si>
    <t>A2024</t>
  </si>
  <si>
    <t>IPM2024</t>
  </si>
  <si>
    <t>idep</t>
  </si>
  <si>
    <t>ID</t>
  </si>
  <si>
    <t>conanalfabeto2012</t>
  </si>
  <si>
    <t>sincarnet2012</t>
  </si>
  <si>
    <t>sintelefono2012</t>
  </si>
  <si>
    <t>sinaccesoasalud2012</t>
  </si>
  <si>
    <t>conembarazoadolescente2012</t>
  </si>
  <si>
    <t>conjovenquenoestudia2012</t>
  </si>
  <si>
    <t>sinaguapotable2012</t>
  </si>
  <si>
    <t>sinelectricidad2012</t>
  </si>
  <si>
    <t>sinsaneamiento2012</t>
  </si>
  <si>
    <t>Índice de Pobreza Multidimensional, 2012</t>
  </si>
  <si>
    <t>Índice de Pobreza Multidimensional, 2024</t>
  </si>
  <si>
    <t>Número de personas en hogares con 4 privaciones o más, 2012</t>
  </si>
  <si>
    <t>Número de personas en hogares con 4 privaciones o más,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</si>
  <si>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</si>
  <si>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</si>
  <si>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</si>
  <si>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</si>
  <si>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</si>
  <si>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</si>
  <si>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</si>
  <si>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</si>
  <si>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</si>
  <si>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</si>
  <si>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</si>
  <si>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Índice de Pobreza Multidimensional</t>
  </si>
  <si>
    <t>Meta 1.2  Para 2030, reducir al menos a la mitad la proporción de hombres, mujeres y niños y niñas de todas las edades que viven en la pobreza en todas sus dimensiones con arreglo a las definiciones nacionales.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</si>
</sst>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"/>
    <numFmt numFmtId="165" formatCode="0.000"/>
    <numFmt numFmtId="166" formatCode="0.0000"/>
    <numFmt numFmtId="167" formatCode="#,##0.0000"/>
    <numFmt numFmtId="168" formatCode="#,##0.00000"/>
  </numFmts>
  <fonts count="10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b/>
      <sz val="11.0"/>
      <color theme="0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b/>
      <sz val="9.0"/>
      <color theme="1"/>
      <name val="Play"/>
    </font>
    <font>
      <color theme="1"/>
      <name val="Calibri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theme="4"/>
      </top>
    </border>
    <border>
      <left/>
      <right style="thin">
        <color theme="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164" xfId="0" applyAlignment="1" applyBorder="1" applyFont="1" applyNumberFormat="1">
      <alignment horizontal="center" shrinkToFit="0" wrapText="1"/>
    </xf>
    <xf borderId="0" fillId="0" fontId="2" numFmtId="165" xfId="0" applyFont="1" applyNumberFormat="1"/>
    <xf borderId="1" fillId="2" fontId="1" numFmtId="0" xfId="0" applyAlignment="1" applyBorder="1" applyFont="1">
      <alignment horizontal="center"/>
    </xf>
    <xf borderId="0" fillId="0" fontId="3" numFmtId="164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2" fillId="0" fontId="2" numFmtId="0" xfId="0" applyBorder="1" applyFont="1"/>
    <xf borderId="2" fillId="0" fontId="2" numFmtId="1" xfId="0" applyAlignment="1" applyBorder="1" applyFont="1" applyNumberFormat="1">
      <alignment horizontal="right"/>
    </xf>
    <xf borderId="2" fillId="0" fontId="2" numFmtId="3" xfId="0" applyBorder="1" applyFont="1" applyNumberFormat="1"/>
    <xf borderId="2" fillId="0" fontId="2" numFmtId="164" xfId="0" applyBorder="1" applyFont="1" applyNumberFormat="1"/>
    <xf borderId="0" fillId="0" fontId="2" numFmtId="166" xfId="0" applyAlignment="1" applyFont="1" applyNumberFormat="1">
      <alignment horizontal="right"/>
    </xf>
    <xf borderId="2" fillId="0" fontId="2" numFmtId="0" xfId="0" applyBorder="1" applyFont="1"/>
    <xf borderId="2" fillId="3" fontId="2" numFmtId="164" xfId="0" applyBorder="1" applyFill="1" applyFont="1" applyNumberFormat="1"/>
    <xf borderId="0" fillId="0" fontId="2" numFmtId="164" xfId="0" applyFont="1" applyNumberFormat="1"/>
    <xf borderId="2" fillId="0" fontId="2" numFmtId="1" xfId="0" applyBorder="1" applyFont="1" applyNumberFormat="1"/>
    <xf borderId="0" fillId="0" fontId="2" numFmtId="0" xfId="0" applyFont="1"/>
    <xf borderId="1" fillId="3" fontId="2" numFmtId="164" xfId="0" applyBorder="1" applyFont="1" applyNumberFormat="1"/>
    <xf borderId="3" fillId="0" fontId="2" numFmtId="0" xfId="0" applyAlignment="1" applyBorder="1" applyFont="1">
      <alignment horizontal="center"/>
    </xf>
    <xf borderId="4" fillId="0" fontId="4" numFmtId="0" xfId="0" applyBorder="1" applyFont="1"/>
    <xf borderId="2" fillId="0" fontId="2" numFmtId="0" xfId="0" applyAlignment="1" applyBorder="1" applyFont="1">
      <alignment readingOrder="0"/>
    </xf>
    <xf borderId="2" fillId="0" fontId="2" numFmtId="2" xfId="0" applyBorder="1" applyFont="1" applyNumberFormat="1"/>
    <xf borderId="0" fillId="0" fontId="2" numFmtId="2" xfId="0" applyFont="1" applyNumberFormat="1"/>
    <xf borderId="0" fillId="0" fontId="2" numFmtId="3" xfId="0" applyFont="1" applyNumberFormat="1"/>
    <xf borderId="1" fillId="2" fontId="1" numFmtId="165" xfId="0" applyAlignment="1" applyBorder="1" applyFont="1" applyNumberFormat="1">
      <alignment horizontal="center" shrinkToFit="0" wrapText="1"/>
    </xf>
    <xf borderId="0" fillId="0" fontId="2" numFmtId="166" xfId="0" applyFont="1" applyNumberFormat="1"/>
    <xf borderId="2" fillId="0" fontId="2" numFmtId="165" xfId="0" applyAlignment="1" applyBorder="1" applyFont="1" applyNumberFormat="1">
      <alignment horizontal="right"/>
    </xf>
    <xf borderId="2" fillId="0" fontId="2" numFmtId="165" xfId="0" applyBorder="1" applyFont="1" applyNumberFormat="1"/>
    <xf borderId="0" fillId="0" fontId="2" numFmtId="167" xfId="0" applyFont="1" applyNumberFormat="1"/>
    <xf borderId="0" fillId="0" fontId="2" numFmtId="168" xfId="0" applyFont="1" applyNumberFormat="1"/>
    <xf borderId="0" fillId="0" fontId="2" numFmtId="167" xfId="0" applyAlignment="1" applyFont="1" applyNumberFormat="1">
      <alignment shrinkToFit="0" wrapText="1"/>
    </xf>
    <xf borderId="1" fillId="3" fontId="2" numFmtId="165" xfId="0" applyBorder="1" applyFont="1" applyNumberFormat="1"/>
    <xf borderId="1" fillId="4" fontId="5" numFmtId="0" xfId="0" applyAlignment="1" applyBorder="1" applyFill="1" applyFont="1">
      <alignment horizontal="center"/>
    </xf>
    <xf borderId="1" fillId="4" fontId="5" numFmtId="2" xfId="0" applyAlignment="1" applyBorder="1" applyFont="1" applyNumberFormat="1">
      <alignment horizontal="center"/>
    </xf>
    <xf borderId="1" fillId="4" fontId="1" numFmtId="2" xfId="0" applyAlignment="1" applyBorder="1" applyFont="1" applyNumberFormat="1">
      <alignment horizontal="center"/>
    </xf>
    <xf borderId="5" fillId="0" fontId="2" numFmtId="0" xfId="0" applyBorder="1" applyFont="1"/>
    <xf borderId="0" fillId="0" fontId="2" numFmtId="2" xfId="0" applyFont="1" applyNumberFormat="1"/>
    <xf borderId="0" fillId="0" fontId="2" numFmtId="0" xfId="0" applyFont="1"/>
    <xf borderId="0" fillId="0" fontId="2" numFmtId="2" xfId="0" applyAlignment="1" applyFont="1" applyNumberFormat="1">
      <alignment horizontal="right"/>
    </xf>
    <xf borderId="1" fillId="4" fontId="1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right" shrinkToFit="0" wrapText="1"/>
    </xf>
    <xf borderId="1" fillId="3" fontId="2" numFmtId="0" xfId="0" applyAlignment="1" applyBorder="1" applyFont="1">
      <alignment horizontal="right"/>
    </xf>
    <xf borderId="2" fillId="3" fontId="6" numFmtId="1" xfId="0" applyAlignment="1" applyBorder="1" applyFont="1" applyNumberFormat="1">
      <alignment horizontal="center"/>
    </xf>
    <xf borderId="2" fillId="3" fontId="6" numFmtId="49" xfId="0" applyAlignment="1" applyBorder="1" applyFont="1" applyNumberFormat="1">
      <alignment horizontal="center"/>
    </xf>
    <xf borderId="2" fillId="3" fontId="6" numFmtId="4" xfId="0" applyAlignment="1" applyBorder="1" applyFont="1" applyNumberFormat="1">
      <alignment horizontal="center"/>
    </xf>
    <xf borderId="2" fillId="3" fontId="6" numFmtId="1" xfId="0" applyBorder="1" applyFont="1" applyNumberFormat="1"/>
    <xf borderId="2" fillId="3" fontId="6" numFmtId="49" xfId="0" applyBorder="1" applyFont="1" applyNumberFormat="1"/>
    <xf borderId="2" fillId="3" fontId="6" numFmtId="4" xfId="0" applyBorder="1" applyFont="1" applyNumberFormat="1"/>
    <xf borderId="2" fillId="3" fontId="6" numFmtId="4" xfId="0" applyAlignment="1" applyBorder="1" applyFont="1" applyNumberFormat="1">
      <alignment horizontal="right"/>
    </xf>
    <xf borderId="0" fillId="0" fontId="2" numFmtId="1" xfId="0" applyFont="1" applyNumberFormat="1"/>
    <xf borderId="1" fillId="3" fontId="6" numFmtId="1" xfId="0" applyBorder="1" applyFont="1" applyNumberFormat="1"/>
    <xf borderId="1" fillId="3" fontId="6" numFmtId="49" xfId="0" applyBorder="1" applyFont="1" applyNumberFormat="1"/>
    <xf borderId="1" fillId="3" fontId="6" numFmtId="4" xfId="0" applyBorder="1" applyFont="1" applyNumberFormat="1"/>
    <xf borderId="0" fillId="0" fontId="2" numFmtId="1" xfId="0" applyFont="1" applyNumberFormat="1"/>
    <xf borderId="6" fillId="3" fontId="3" numFmtId="1" xfId="0" applyAlignment="1" applyBorder="1" applyFont="1" applyNumberFormat="1">
      <alignment horizontal="center"/>
    </xf>
    <xf borderId="1" fillId="3" fontId="3" numFmtId="49" xfId="0" applyAlignment="1" applyBorder="1" applyFont="1" applyNumberFormat="1">
      <alignment horizontal="center"/>
    </xf>
    <xf borderId="1" fillId="3" fontId="3" numFmtId="4" xfId="0" applyAlignment="1" applyBorder="1" applyFont="1" applyNumberFormat="1">
      <alignment horizontal="center"/>
    </xf>
    <xf borderId="2" fillId="3" fontId="2" numFmtId="1" xfId="0" applyBorder="1" applyFont="1" applyNumberFormat="1"/>
    <xf borderId="2" fillId="3" fontId="2" numFmtId="49" xfId="0" applyBorder="1" applyFont="1" applyNumberFormat="1"/>
    <xf borderId="2" fillId="3" fontId="2" numFmtId="164" xfId="0" applyBorder="1" applyFont="1" applyNumberFormat="1"/>
    <xf borderId="2" fillId="3" fontId="2" numFmtId="4" xfId="0" applyBorder="1" applyFont="1" applyNumberFormat="1"/>
    <xf borderId="1" fillId="3" fontId="2" numFmtId="0" xfId="0" applyBorder="1" applyFont="1"/>
    <xf borderId="1" fillId="3" fontId="2" numFmtId="1" xfId="0" applyBorder="1" applyFont="1" applyNumberFormat="1"/>
    <xf borderId="1" fillId="3" fontId="2" numFmtId="49" xfId="0" applyBorder="1" applyFont="1" applyNumberFormat="1"/>
    <xf borderId="1" fillId="3" fontId="2" numFmtId="4" xfId="0" applyBorder="1" applyFont="1" applyNumberFormat="1"/>
    <xf borderId="2" fillId="3" fontId="7" numFmtId="0" xfId="0" applyAlignment="1" applyBorder="1" applyFont="1">
      <alignment horizontal="center"/>
    </xf>
    <xf borderId="2" fillId="3" fontId="7" numFmtId="49" xfId="0" applyAlignment="1" applyBorder="1" applyFont="1" applyNumberFormat="1">
      <alignment horizontal="center"/>
    </xf>
    <xf borderId="2" fillId="3" fontId="7" numFmtId="3" xfId="0" applyAlignment="1" applyBorder="1" applyFont="1" applyNumberFormat="1">
      <alignment horizontal="center"/>
    </xf>
    <xf borderId="2" fillId="5" fontId="2" numFmtId="1" xfId="0" applyBorder="1" applyFill="1" applyFont="1" applyNumberFormat="1"/>
    <xf borderId="1" fillId="3" fontId="6" numFmtId="3" xfId="0" applyBorder="1" applyFont="1" applyNumberFormat="1"/>
    <xf borderId="2" fillId="3" fontId="7" numFmtId="1" xfId="0" applyAlignment="1" applyBorder="1" applyFont="1" applyNumberFormat="1">
      <alignment horizontal="center"/>
    </xf>
    <xf borderId="2" fillId="3" fontId="6" numFmtId="1" xfId="0" applyAlignment="1" applyBorder="1" applyFont="1" applyNumberFormat="1">
      <alignment horizontal="right"/>
    </xf>
    <xf borderId="2" fillId="3" fontId="6" numFmtId="1" xfId="0" applyBorder="1" applyFont="1" applyNumberFormat="1"/>
    <xf borderId="7" fillId="3" fontId="6" numFmtId="49" xfId="0" applyBorder="1" applyFont="1" applyNumberFormat="1"/>
    <xf borderId="2" fillId="3" fontId="6" numFmtId="1" xfId="0" applyAlignment="1" applyBorder="1" applyFont="1" applyNumberFormat="1">
      <alignment horizontal="right"/>
    </xf>
    <xf borderId="1" fillId="3" fontId="6" numFmtId="1" xfId="0" applyBorder="1" applyFont="1" applyNumberFormat="1"/>
    <xf borderId="1" fillId="3" fontId="6" numFmtId="49" xfId="0" applyBorder="1" applyFont="1" applyNumberFormat="1"/>
    <xf borderId="2" fillId="6" fontId="3" numFmtId="0" xfId="0" applyBorder="1" applyFill="1" applyFont="1"/>
    <xf borderId="2" fillId="7" fontId="8" numFmtId="0" xfId="0" applyAlignment="1" applyBorder="1" applyFill="1" applyFont="1">
      <alignment horizontal="center" shrinkToFit="0" wrapText="1"/>
    </xf>
    <xf borderId="2" fillId="8" fontId="8" numFmtId="0" xfId="0" applyAlignment="1" applyBorder="1" applyFill="1" applyFont="1">
      <alignment horizontal="center" shrinkToFit="0" wrapText="1"/>
    </xf>
    <xf borderId="2" fillId="9" fontId="8" numFmtId="0" xfId="0" applyAlignment="1" applyBorder="1" applyFill="1" applyFont="1">
      <alignment horizontal="center" shrinkToFit="0" wrapText="1"/>
    </xf>
    <xf borderId="2" fillId="10" fontId="8" numFmtId="0" xfId="0" applyAlignment="1" applyBorder="1" applyFill="1" applyFont="1">
      <alignment horizontal="center" shrinkToFit="0" wrapText="1"/>
    </xf>
    <xf borderId="2" fillId="11" fontId="3" numFmtId="0" xfId="0" applyAlignment="1" applyBorder="1" applyFill="1" applyFont="1">
      <alignment horizontal="center" shrinkToFit="0" vertical="bottom" wrapText="1"/>
    </xf>
    <xf borderId="2" fillId="0" fontId="2" numFmtId="0" xfId="0" applyAlignment="1" applyBorder="1" applyFont="1">
      <alignment horizontal="right"/>
    </xf>
    <xf borderId="2" fillId="0" fontId="2" numFmtId="3" xfId="0" applyAlignment="1" applyBorder="1" applyFont="1" applyNumberFormat="1">
      <alignment horizontal="right"/>
    </xf>
    <xf borderId="2" fillId="0" fontId="2" numFmtId="2" xfId="0" applyAlignment="1" applyBorder="1" applyFont="1" applyNumberFormat="1">
      <alignment horizontal="right" readingOrder="0"/>
    </xf>
    <xf borderId="2" fillId="0" fontId="2" numFmtId="2" xfId="0" applyAlignment="1" applyBorder="1" applyFont="1" applyNumberFormat="1">
      <alignment horizontal="right"/>
    </xf>
    <xf borderId="2" fillId="0" fontId="2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shrinkToFit="0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</dxfs>
  <tableStyles count="10">
    <tableStyle count="3" pivot="0" name="Calculo_IPM_2012-style">
      <tableStyleElement dxfId="1" type="headerRow"/>
      <tableStyleElement dxfId="2" type="firstRowStripe"/>
      <tableStyleElement dxfId="2" type="secondRowStripe"/>
    </tableStyle>
    <tableStyle count="3" pivot="0" name="Calculo_IPM_2012-style 2">
      <tableStyleElement dxfId="3" type="headerRow"/>
      <tableStyleElement dxfId="4" type="firstRowStripe"/>
      <tableStyleElement dxfId="5" type="secondRowStripe"/>
    </tableStyle>
    <tableStyle count="3" pivot="0" name="Privaciones_2012-style">
      <tableStyleElement dxfId="3" type="headerRow"/>
      <tableStyleElement dxfId="2" type="firstRowStripe"/>
      <tableStyleElement dxfId="2" type="secondRowStripe"/>
    </tableStyle>
    <tableStyle count="3" pivot="0" name="Privaciones_2024-style">
      <tableStyleElement dxfId="3" type="headerRow"/>
      <tableStyleElement dxfId="2" type="firstRowStripe"/>
      <tableStyleElement dxfId="2" type="secondRowStripe"/>
    </tableStyle>
    <tableStyle count="3" pivot="0" name="Privaciones_2024-style 2">
      <tableStyleElement dxfId="3" type="headerRow"/>
      <tableStyleElement dxfId="2" type="firstRowStripe"/>
      <tableStyleElement dxfId="2" type="secondRowStripe"/>
    </tableStyle>
    <tableStyle count="3" pivot="0" name="Indicador_MUN-style">
      <tableStyleElement dxfId="2" type="headerRow"/>
      <tableStyleElement dxfId="6" type="firstRowStripe"/>
      <tableStyleElement dxfId="2" type="secondRowStripe"/>
    </tableStyle>
    <tableStyle count="3" pivot="0" name="Indicador_DEP-style">
      <tableStyleElement dxfId="3" type="headerRow"/>
      <tableStyleElement dxfId="4" type="firstRowStripe"/>
      <tableStyleElement dxfId="5" type="secondRowStripe"/>
    </tableStyle>
    <tableStyle count="3" pivot="0" name="Absoluto_MUN-style">
      <tableStyleElement dxfId="3" type="headerRow"/>
      <tableStyleElement dxfId="4" type="firstRowStripe"/>
      <tableStyleElement dxfId="5" type="secondRowStripe"/>
    </tableStyle>
    <tableStyle count="3" pivot="0" name="Absoluto_DEP-style">
      <tableStyleElement dxfId="3" type="headerRow"/>
      <tableStyleElement dxfId="4" type="firstRowStripe"/>
      <tableStyleElement dxfId="5" type="secondRowStripe"/>
    </tableStyle>
    <tableStyle count="2" pivot="0" name="Absoluto_DEP-style 2"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486525" cy="471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B346" displayName="Table_1" name="Table_1" id="1">
  <tableColumns count="2">
    <tableColumn name="id" id="1"/>
    <tableColumn name="Municipio" id="2"/>
  </tableColumns>
  <tableStyleInfo name="Calculo_IPM_2012-style" showColumnStripes="0" showFirstColumn="1" showLastColumn="1" showRowStripes="1"/>
</table>
</file>

<file path=xl/tables/table2.xml><?xml version="1.0" encoding="utf-8"?>
<table xmlns="http://schemas.openxmlformats.org/spreadsheetml/2006/main" ref="P1:Q1016" displayName="Table_2" name="Table_2" id="2">
  <tableColumns count="2">
    <tableColumn name="A2012" id="1"/>
    <tableColumn name="IPM2012" id="2"/>
  </tableColumns>
  <tableStyleInfo name="Calculo_IPM_2012-style 2" showColumnStripes="0" showFirstColumn="1" showLastColumn="1" showRowStripes="1"/>
</table>
</file>

<file path=xl/tables/table3.xml><?xml version="1.0" encoding="utf-8"?>
<table xmlns="http://schemas.openxmlformats.org/spreadsheetml/2006/main" ref="A1:K1000" displayName="Table_3" name="Table_3" id="3">
  <tableColumns count="11">
    <tableColumn name="ID" id="1"/>
    <tableColumn name="Municipio" id="2"/>
    <tableColumn name="conanalfabeto2012" id="3"/>
    <tableColumn name="sincarnet2012" id="4"/>
    <tableColumn name="sintelefono2012" id="5"/>
    <tableColumn name="sinaccesoasalud2012" id="6"/>
    <tableColumn name="conembarazoadolescente2012" id="7"/>
    <tableColumn name="conjovenquenoestudia2012" id="8"/>
    <tableColumn name="sinaguapotable2012" id="9"/>
    <tableColumn name="sinelectricidad2012" id="10"/>
    <tableColumn name="sinsaneamiento2012" id="11"/>
  </tableColumns>
  <tableStyleInfo name="Privaciones_2012-style" showColumnStripes="0" showFirstColumn="1" showLastColumn="1" showRowStripes="1"/>
</table>
</file>

<file path=xl/tables/table4.xml><?xml version="1.0" encoding="utf-8"?>
<table xmlns="http://schemas.openxmlformats.org/spreadsheetml/2006/main" ref="A1:J1001" displayName="Table_4" name="Table_4" id="4">
  <tableColumns count="10">
    <tableColumn name="id" id="1"/>
    <tableColumn name="Municipio" id="2"/>
    <tableColumn name="conanalfabeto2012" id="3"/>
    <tableColumn name="sincarnet2012" id="4"/>
    <tableColumn name="sintelefono2012" id="5"/>
    <tableColumn name="sinaccesoasalud2012" id="6"/>
    <tableColumn name="conembarazoadolescente2012" id="7"/>
    <tableColumn name="conjovenquenoestudia2012" id="8"/>
    <tableColumn name="sinaguapotable2012" id="9"/>
    <tableColumn name="sinelectricidad2012" id="10"/>
  </tableColumns>
  <tableStyleInfo name="Privaciones_2024-style" showColumnStripes="0" showFirstColumn="1" showLastColumn="1" showRowStripes="1"/>
</table>
</file>

<file path=xl/tables/table5.xml><?xml version="1.0" encoding="utf-8"?>
<table xmlns="http://schemas.openxmlformats.org/spreadsheetml/2006/main" headerRowCount="0" ref="K1:X1001" displayName="Table_5" name="Table_5" id="5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Privaciones_2024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ref="A1:D1012" displayName="Table_6" name="Table_6" id="6">
  <tableColumns count="4">
    <tableColumn name="id" id="1"/>
    <tableColumn name="Municipio" id="2"/>
    <tableColumn name="Índice de Pobreza Multidimensional, 2012" id="3"/>
    <tableColumn name="Índice de Pobreza Multidimensional, 2024" id="4"/>
  </tableColumns>
  <tableStyleInfo name="Indicador_MUN-style" showColumnStripes="0" showFirstColumn="1" showLastColumn="1" showRowStripes="1"/>
</table>
</file>

<file path=xl/tables/table7.xml><?xml version="1.0" encoding="utf-8"?>
<table xmlns="http://schemas.openxmlformats.org/spreadsheetml/2006/main" ref="A1:D1016" displayName="Table_7" name="Table_7" id="7">
  <tableColumns count="4">
    <tableColumn name="id_departamento" id="1"/>
    <tableColumn name="Departamento" id="2"/>
    <tableColumn name="Índice de Pobreza Multidimensional, 2012" id="3"/>
    <tableColumn name="Índice de Pobreza Multidimensional, 2024" id="4"/>
  </tableColumns>
  <tableStyleInfo name="Indicador_DEP-style" showColumnStripes="0" showFirstColumn="1" showLastColumn="1" showRowStripes="1"/>
</table>
</file>

<file path=xl/tables/table8.xml><?xml version="1.0" encoding="utf-8"?>
<table xmlns="http://schemas.openxmlformats.org/spreadsheetml/2006/main" ref="A1:D1016" displayName="Table_8" name="Table_8" id="8">
  <tableColumns count="4">
    <tableColumn name="id" id="1"/>
    <tableColumn name="Municipio" id="2"/>
    <tableColumn name="Número de personas en hogares con 4 privaciones o más, 2012" id="3"/>
    <tableColumn name="Número de personas en hogares con 4 privaciones o más, 2024" id="4"/>
  </tableColumns>
  <tableStyleInfo name="Absoluto_MUN-style" showColumnStripes="0" showFirstColumn="1" showLastColumn="1" showRowStripes="1"/>
</table>
</file>

<file path=xl/tables/table9.xml><?xml version="1.0" encoding="utf-8"?>
<table xmlns="http://schemas.openxmlformats.org/spreadsheetml/2006/main" ref="A1:D10" displayName="Table_9" name="Table_9" id="9">
  <tableColumns count="4">
    <tableColumn name="id_departamento" id="1"/>
    <tableColumn name="Departamento" id="2"/>
    <tableColumn name="Número de personas en hogares con 4 privaciones o más, 2012" id="3"/>
    <tableColumn name="Número de personas en hogares con 4 privaciones o más, 2024" id="4"/>
  </tableColumns>
  <tableStyleInfo name="Absoluto_DEP-style" showColumnStripes="0" showFirstColumn="1" showLastColumn="1" showRowStripes="1"/>
</table>
</file>

<file path=xl/tables/table10.xml><?xml version="1.0" encoding="utf-8"?>
<table xmlns="http://schemas.openxmlformats.org/spreadsheetml/2006/main" headerRowCount="0" ref="C11:D11" displayName="Table_10" name="Table_10" id="10">
  <tableColumns count="2">
    <tableColumn name="Column1" id="1"/>
    <tableColumn name="Column2" id="2"/>
  </tableColumns>
  <tableStyleInfo name="Absoluto_DEP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1.29"/>
    <col customWidth="1" min="3" max="3" width="11.0"/>
    <col customWidth="1" min="4" max="4" width="11.57"/>
    <col customWidth="1" min="5" max="5" width="9.57"/>
    <col customWidth="1" min="6" max="7" width="7.0"/>
    <col customWidth="1" min="8" max="8" width="10.0"/>
    <col customWidth="1" min="10" max="10" width="16.29"/>
    <col customWidth="1" min="15" max="25" width="8.86"/>
  </cols>
  <sheetData>
    <row r="1" ht="14.2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/>
      <c r="J1" s="5" t="s">
        <v>8</v>
      </c>
      <c r="K1" s="5" t="s">
        <v>9</v>
      </c>
      <c r="L1" s="2" t="s">
        <v>2</v>
      </c>
      <c r="M1" s="2" t="s">
        <v>3</v>
      </c>
      <c r="N1" s="2" t="s">
        <v>4</v>
      </c>
      <c r="O1" s="3" t="s">
        <v>5</v>
      </c>
      <c r="P1" s="3" t="s">
        <v>6</v>
      </c>
      <c r="Q1" s="3" t="s">
        <v>10</v>
      </c>
      <c r="S1" s="6"/>
      <c r="T1" s="7"/>
      <c r="U1" s="7"/>
      <c r="V1" s="7"/>
      <c r="W1" s="7"/>
      <c r="X1" s="7"/>
      <c r="Y1" s="7"/>
    </row>
    <row r="2" ht="14.25" customHeight="1">
      <c r="A2" s="8">
        <v>10101.0</v>
      </c>
      <c r="B2" s="8" t="s">
        <v>11</v>
      </c>
      <c r="C2" s="9">
        <v>40590.0</v>
      </c>
      <c r="D2" s="9">
        <v>17959.778249502182</v>
      </c>
      <c r="E2" s="10">
        <v>254279.0</v>
      </c>
      <c r="F2" s="11">
        <f t="shared" ref="F2:F346" si="1">C2/E2</f>
        <v>0.1596278104</v>
      </c>
      <c r="G2" s="11">
        <f t="shared" ref="G2:G346" si="2">D2/C2</f>
        <v>0.4424680525</v>
      </c>
      <c r="H2" s="11">
        <f t="shared" ref="H2:H346" si="3">F2*G2</f>
        <v>0.07063020639</v>
      </c>
      <c r="I2" s="12"/>
      <c r="J2" s="13">
        <v>1.0</v>
      </c>
      <c r="K2" s="13" t="s">
        <v>12</v>
      </c>
      <c r="L2" s="9">
        <v>243098.0</v>
      </c>
      <c r="M2" s="9">
        <v>125254.89227467775</v>
      </c>
      <c r="N2" s="9">
        <v>565214.0</v>
      </c>
      <c r="O2" s="11">
        <f t="shared" ref="O2:O12" si="4">L2/N2</f>
        <v>0.4300990421</v>
      </c>
      <c r="P2" s="14">
        <f t="shared" ref="P2:P12" si="5">M2/L2</f>
        <v>0.5152444375</v>
      </c>
      <c r="Q2" s="14">
        <f t="shared" ref="Q2:Q12" si="6">O2*P2</f>
        <v>0.221606139</v>
      </c>
      <c r="S2" s="15"/>
    </row>
    <row r="3" ht="14.25" customHeight="1">
      <c r="A3" s="8">
        <v>10102.0</v>
      </c>
      <c r="B3" s="8" t="s">
        <v>13</v>
      </c>
      <c r="C3" s="9">
        <v>2979.0</v>
      </c>
      <c r="D3" s="9">
        <v>1302.000033468008</v>
      </c>
      <c r="E3" s="10">
        <v>9084.0</v>
      </c>
      <c r="F3" s="11">
        <f t="shared" si="1"/>
        <v>0.3279392338</v>
      </c>
      <c r="G3" s="11">
        <f t="shared" si="2"/>
        <v>0.4370594271</v>
      </c>
      <c r="H3" s="11">
        <f t="shared" si="3"/>
        <v>0.1433289337</v>
      </c>
      <c r="I3" s="12"/>
      <c r="J3" s="13">
        <v>2.0</v>
      </c>
      <c r="K3" s="13" t="s">
        <v>14</v>
      </c>
      <c r="L3" s="9">
        <v>680954.0</v>
      </c>
      <c r="M3" s="9">
        <v>293504.3406929374</v>
      </c>
      <c r="N3" s="9">
        <v>2672102.0</v>
      </c>
      <c r="O3" s="11">
        <f t="shared" si="4"/>
        <v>0.2548383258</v>
      </c>
      <c r="P3" s="14">
        <f t="shared" si="5"/>
        <v>0.4310193357</v>
      </c>
      <c r="Q3" s="14">
        <f t="shared" si="6"/>
        <v>0.1098402459</v>
      </c>
      <c r="S3" s="15"/>
    </row>
    <row r="4" ht="14.25" customHeight="1">
      <c r="A4" s="8">
        <v>10103.0</v>
      </c>
      <c r="B4" s="8" t="s">
        <v>15</v>
      </c>
      <c r="C4" s="9">
        <v>15252.0</v>
      </c>
      <c r="D4" s="9">
        <v>8819.889135032892</v>
      </c>
      <c r="E4" s="10">
        <v>16315.0</v>
      </c>
      <c r="F4" s="11">
        <f t="shared" si="1"/>
        <v>0.9348452344</v>
      </c>
      <c r="G4" s="11">
        <f t="shared" si="2"/>
        <v>0.5782775462</v>
      </c>
      <c r="H4" s="11">
        <f t="shared" si="3"/>
        <v>0.5406000083</v>
      </c>
      <c r="I4" s="12"/>
      <c r="J4" s="13">
        <v>3.0</v>
      </c>
      <c r="K4" s="13" t="s">
        <v>16</v>
      </c>
      <c r="L4" s="9">
        <v>556233.0</v>
      </c>
      <c r="M4" s="9">
        <v>245574.67298841476</v>
      </c>
      <c r="N4" s="9">
        <v>1731480.0</v>
      </c>
      <c r="O4" s="11">
        <f t="shared" si="4"/>
        <v>0.3212471412</v>
      </c>
      <c r="P4" s="14">
        <f t="shared" si="5"/>
        <v>0.4414960511</v>
      </c>
      <c r="Q4" s="14">
        <f t="shared" si="6"/>
        <v>0.1418293443</v>
      </c>
      <c r="S4" s="15"/>
    </row>
    <row r="5" ht="14.25" customHeight="1">
      <c r="A5" s="8">
        <v>10201.0</v>
      </c>
      <c r="B5" s="8" t="s">
        <v>17</v>
      </c>
      <c r="C5" s="9">
        <v>8894.0</v>
      </c>
      <c r="D5" s="9">
        <v>5306.555699378252</v>
      </c>
      <c r="E5" s="10">
        <v>10369.0</v>
      </c>
      <c r="F5" s="11">
        <f t="shared" si="1"/>
        <v>0.8577490597</v>
      </c>
      <c r="G5" s="11">
        <f t="shared" si="2"/>
        <v>0.5966444456</v>
      </c>
      <c r="H5" s="11">
        <f t="shared" si="3"/>
        <v>0.5117712122</v>
      </c>
      <c r="I5" s="12"/>
      <c r="J5" s="13">
        <v>4.0</v>
      </c>
      <c r="K5" s="13" t="s">
        <v>18</v>
      </c>
      <c r="L5" s="9">
        <v>144695.0</v>
      </c>
      <c r="M5" s="9">
        <v>63081.66822105646</v>
      </c>
      <c r="N5" s="9">
        <v>485798.0</v>
      </c>
      <c r="O5" s="11">
        <f t="shared" si="4"/>
        <v>0.2978501352</v>
      </c>
      <c r="P5" s="14">
        <f t="shared" si="5"/>
        <v>0.4359630134</v>
      </c>
      <c r="Q5" s="14">
        <f t="shared" si="6"/>
        <v>0.1298516425</v>
      </c>
      <c r="S5" s="15"/>
    </row>
    <row r="6" ht="14.25" customHeight="1">
      <c r="A6" s="8">
        <v>10202.0</v>
      </c>
      <c r="B6" s="8" t="s">
        <v>19</v>
      </c>
      <c r="C6" s="9">
        <v>11385.0</v>
      </c>
      <c r="D6" s="9">
        <v>6374.00017619133</v>
      </c>
      <c r="E6" s="10">
        <v>14097.0</v>
      </c>
      <c r="F6" s="11">
        <f t="shared" si="1"/>
        <v>0.8076186423</v>
      </c>
      <c r="G6" s="11">
        <f t="shared" si="2"/>
        <v>0.5598594797</v>
      </c>
      <c r="H6" s="11">
        <f t="shared" si="3"/>
        <v>0.4521529528</v>
      </c>
      <c r="I6" s="12"/>
      <c r="J6" s="13">
        <v>5.0</v>
      </c>
      <c r="K6" s="13" t="s">
        <v>20</v>
      </c>
      <c r="L6" s="9">
        <v>384227.0</v>
      </c>
      <c r="M6" s="9">
        <v>183162.67152050138</v>
      </c>
      <c r="N6" s="9">
        <v>813480.0</v>
      </c>
      <c r="O6" s="11">
        <f t="shared" si="4"/>
        <v>0.4723250725</v>
      </c>
      <c r="P6" s="14">
        <f t="shared" si="5"/>
        <v>0.476704322</v>
      </c>
      <c r="Q6" s="14">
        <f t="shared" si="6"/>
        <v>0.2251594035</v>
      </c>
      <c r="S6" s="15"/>
    </row>
    <row r="7" ht="14.25" customHeight="1">
      <c r="A7" s="8">
        <v>10301.0</v>
      </c>
      <c r="B7" s="8" t="s">
        <v>21</v>
      </c>
      <c r="C7" s="9">
        <v>6652.0</v>
      </c>
      <c r="D7" s="9">
        <v>3381.6667564809322</v>
      </c>
      <c r="E7" s="10">
        <v>10968.0</v>
      </c>
      <c r="F7" s="11">
        <f t="shared" si="1"/>
        <v>0.606491612</v>
      </c>
      <c r="G7" s="11">
        <f t="shared" si="2"/>
        <v>0.508368424</v>
      </c>
      <c r="H7" s="11">
        <f t="shared" si="3"/>
        <v>0.3083211849</v>
      </c>
      <c r="I7" s="12"/>
      <c r="J7" s="13">
        <v>6.0</v>
      </c>
      <c r="K7" s="13" t="s">
        <v>22</v>
      </c>
      <c r="L7" s="9">
        <v>86543.0</v>
      </c>
      <c r="M7" s="9">
        <v>36702.55649596453</v>
      </c>
      <c r="N7" s="9">
        <v>463310.0</v>
      </c>
      <c r="O7" s="11">
        <f t="shared" si="4"/>
        <v>0.1867928601</v>
      </c>
      <c r="P7" s="14">
        <f t="shared" si="5"/>
        <v>0.4240961891</v>
      </c>
      <c r="Q7" s="14">
        <f t="shared" si="6"/>
        <v>0.07921814011</v>
      </c>
      <c r="S7" s="15"/>
    </row>
    <row r="8" ht="14.25" customHeight="1">
      <c r="A8" s="8">
        <v>10302.0</v>
      </c>
      <c r="B8" s="8" t="s">
        <v>23</v>
      </c>
      <c r="C8" s="9">
        <v>9286.0</v>
      </c>
      <c r="D8" s="9">
        <v>5381.666808545589</v>
      </c>
      <c r="E8" s="10">
        <v>11837.0</v>
      </c>
      <c r="F8" s="11">
        <f t="shared" si="1"/>
        <v>0.7844893132</v>
      </c>
      <c r="G8" s="11">
        <f t="shared" si="2"/>
        <v>0.5795462856</v>
      </c>
      <c r="H8" s="11">
        <f t="shared" si="3"/>
        <v>0.4546478676</v>
      </c>
      <c r="I8" s="12"/>
      <c r="J8" s="13">
        <v>7.0</v>
      </c>
      <c r="K8" s="13" t="s">
        <v>24</v>
      </c>
      <c r="L8" s="9">
        <v>602994.0</v>
      </c>
      <c r="M8" s="9">
        <v>244699.7840012014</v>
      </c>
      <c r="N8" s="9">
        <v>2583169.0</v>
      </c>
      <c r="O8" s="11">
        <f t="shared" si="4"/>
        <v>0.2334318815</v>
      </c>
      <c r="P8" s="14">
        <f t="shared" si="5"/>
        <v>0.4058079915</v>
      </c>
      <c r="Q8" s="14">
        <f t="shared" si="6"/>
        <v>0.09472852299</v>
      </c>
      <c r="S8" s="15"/>
    </row>
    <row r="9" ht="14.25" customHeight="1">
      <c r="A9" s="8">
        <v>10303.0</v>
      </c>
      <c r="B9" s="8" t="s">
        <v>25</v>
      </c>
      <c r="C9" s="9">
        <v>5285.0</v>
      </c>
      <c r="D9" s="9">
        <v>2706.1111893951893</v>
      </c>
      <c r="E9" s="10">
        <v>7938.0</v>
      </c>
      <c r="F9" s="11">
        <f t="shared" si="1"/>
        <v>0.6657848325</v>
      </c>
      <c r="G9" s="11">
        <f t="shared" si="2"/>
        <v>0.5120361759</v>
      </c>
      <c r="H9" s="11">
        <f t="shared" si="3"/>
        <v>0.3409059196</v>
      </c>
      <c r="I9" s="12"/>
      <c r="J9" s="13">
        <v>8.0</v>
      </c>
      <c r="K9" s="13" t="s">
        <v>26</v>
      </c>
      <c r="L9" s="9">
        <v>209316.0</v>
      </c>
      <c r="M9" s="9">
        <v>93426.00237625837</v>
      </c>
      <c r="N9" s="9">
        <v>408402.0</v>
      </c>
      <c r="O9" s="11">
        <f t="shared" si="4"/>
        <v>0.5125244245</v>
      </c>
      <c r="P9" s="14">
        <f t="shared" si="5"/>
        <v>0.4463395172</v>
      </c>
      <c r="Q9" s="14">
        <f t="shared" si="6"/>
        <v>0.2287599042</v>
      </c>
      <c r="S9" s="15"/>
    </row>
    <row r="10" ht="14.25" customHeight="1">
      <c r="A10" s="8">
        <v>10304.0</v>
      </c>
      <c r="B10" s="8" t="s">
        <v>27</v>
      </c>
      <c r="C10" s="9">
        <v>4566.0</v>
      </c>
      <c r="D10" s="9">
        <v>2321.777841567993</v>
      </c>
      <c r="E10" s="10">
        <v>7603.0</v>
      </c>
      <c r="F10" s="11">
        <f t="shared" si="1"/>
        <v>0.6005524135</v>
      </c>
      <c r="G10" s="11">
        <f t="shared" si="2"/>
        <v>0.508492738</v>
      </c>
      <c r="H10" s="11">
        <f t="shared" si="3"/>
        <v>0.305376541</v>
      </c>
      <c r="I10" s="12"/>
      <c r="J10" s="13">
        <v>9.0</v>
      </c>
      <c r="K10" s="13" t="s">
        <v>28</v>
      </c>
      <c r="L10" s="9">
        <v>53313.0</v>
      </c>
      <c r="M10" s="9">
        <v>24705.556202322245</v>
      </c>
      <c r="N10" s="9">
        <v>104134.0</v>
      </c>
      <c r="O10" s="11">
        <f t="shared" si="4"/>
        <v>0.5119653523</v>
      </c>
      <c r="P10" s="14">
        <f t="shared" si="5"/>
        <v>0.4634058523</v>
      </c>
      <c r="Q10" s="14">
        <f t="shared" si="6"/>
        <v>0.2372477404</v>
      </c>
      <c r="S10" s="15"/>
    </row>
    <row r="11" ht="14.25" customHeight="1">
      <c r="A11" s="8">
        <v>10401.0</v>
      </c>
      <c r="B11" s="8" t="s">
        <v>29</v>
      </c>
      <c r="C11" s="9">
        <v>6078.0</v>
      </c>
      <c r="D11" s="9">
        <v>3146.8889787197113</v>
      </c>
      <c r="E11" s="10">
        <v>10099.0</v>
      </c>
      <c r="F11" s="11">
        <f t="shared" si="1"/>
        <v>0.6018417665</v>
      </c>
      <c r="G11" s="11">
        <f t="shared" si="2"/>
        <v>0.5177507369</v>
      </c>
      <c r="H11" s="11">
        <f t="shared" si="3"/>
        <v>0.3116040181</v>
      </c>
      <c r="I11" s="12"/>
      <c r="J11" s="13">
        <v>10.0</v>
      </c>
      <c r="K11" s="13" t="s">
        <v>30</v>
      </c>
      <c r="L11" s="16">
        <v>26787.0</v>
      </c>
      <c r="M11" s="16">
        <v>11187.778066724539</v>
      </c>
      <c r="N11" s="16">
        <v>138970.0</v>
      </c>
      <c r="O11" s="11">
        <f t="shared" si="4"/>
        <v>0.1927538318</v>
      </c>
      <c r="P11" s="14">
        <f t="shared" si="5"/>
        <v>0.4176570003</v>
      </c>
      <c r="Q11" s="14">
        <f t="shared" si="6"/>
        <v>0.08050498717</v>
      </c>
      <c r="S11" s="15"/>
    </row>
    <row r="12" ht="14.25" customHeight="1">
      <c r="A12" s="8">
        <v>10402.0</v>
      </c>
      <c r="B12" s="8" t="s">
        <v>31</v>
      </c>
      <c r="C12" s="9">
        <v>5435.0</v>
      </c>
      <c r="D12" s="9">
        <v>2638.4445174634457</v>
      </c>
      <c r="E12" s="10">
        <v>8326.0</v>
      </c>
      <c r="F12" s="11">
        <f t="shared" si="1"/>
        <v>0.6527744415</v>
      </c>
      <c r="G12" s="11">
        <f t="shared" si="2"/>
        <v>0.485454373</v>
      </c>
      <c r="H12" s="11">
        <f t="shared" si="3"/>
        <v>0.3168922072</v>
      </c>
      <c r="I12" s="12"/>
      <c r="J12" s="13">
        <v>11.0</v>
      </c>
      <c r="K12" s="13" t="s">
        <v>32</v>
      </c>
      <c r="L12" s="16">
        <v>2961373.0</v>
      </c>
      <c r="M12" s="16">
        <v>1310112.1447733343</v>
      </c>
      <c r="N12" s="16">
        <v>9827089.0</v>
      </c>
      <c r="O12" s="11">
        <f t="shared" si="4"/>
        <v>0.3013479373</v>
      </c>
      <c r="P12" s="14">
        <f t="shared" si="5"/>
        <v>0.4424002464</v>
      </c>
      <c r="Q12" s="14">
        <f t="shared" si="6"/>
        <v>0.1333164017</v>
      </c>
      <c r="S12" s="15"/>
    </row>
    <row r="13" ht="14.25" customHeight="1">
      <c r="A13" s="8">
        <v>10403.0</v>
      </c>
      <c r="B13" s="8" t="s">
        <v>33</v>
      </c>
      <c r="C13" s="9">
        <v>4974.0</v>
      </c>
      <c r="D13" s="9">
        <v>2681.222300618887</v>
      </c>
      <c r="E13" s="10">
        <v>7170.0</v>
      </c>
      <c r="F13" s="11">
        <f t="shared" si="1"/>
        <v>0.6937238494</v>
      </c>
      <c r="G13" s="11">
        <f t="shared" si="2"/>
        <v>0.5390475072</v>
      </c>
      <c r="H13" s="11">
        <f t="shared" si="3"/>
        <v>0.3739501117</v>
      </c>
      <c r="I13" s="12"/>
      <c r="J13" s="17"/>
      <c r="K13" s="17"/>
      <c r="L13" s="17"/>
      <c r="M13" s="17"/>
      <c r="N13" s="17"/>
      <c r="O13" s="15"/>
      <c r="P13" s="18"/>
      <c r="Q13" s="18"/>
      <c r="S13" s="15"/>
    </row>
    <row r="14" ht="14.25" customHeight="1">
      <c r="A14" s="8">
        <v>10404.0</v>
      </c>
      <c r="B14" s="8" t="s">
        <v>34</v>
      </c>
      <c r="C14" s="9">
        <v>2793.0</v>
      </c>
      <c r="D14" s="9">
        <v>1341.6667020618916</v>
      </c>
      <c r="E14" s="10">
        <v>4834.0</v>
      </c>
      <c r="F14" s="11">
        <f t="shared" si="1"/>
        <v>0.5777823748</v>
      </c>
      <c r="G14" s="11">
        <f t="shared" si="2"/>
        <v>0.4803675983</v>
      </c>
      <c r="H14" s="11">
        <f t="shared" si="3"/>
        <v>0.2775479317</v>
      </c>
      <c r="I14" s="12"/>
      <c r="J14" s="17"/>
      <c r="K14" s="17"/>
      <c r="L14" s="17"/>
      <c r="M14" s="17"/>
      <c r="N14" s="17"/>
      <c r="O14" s="15"/>
      <c r="P14" s="18"/>
      <c r="Q14" s="18"/>
      <c r="S14" s="15"/>
    </row>
    <row r="15" ht="14.25" customHeight="1">
      <c r="A15" s="8">
        <v>10405.0</v>
      </c>
      <c r="B15" s="8" t="s">
        <v>35</v>
      </c>
      <c r="C15" s="9">
        <v>2937.0</v>
      </c>
      <c r="D15" s="9">
        <v>1459.8889292776585</v>
      </c>
      <c r="E15" s="10">
        <v>4308.0</v>
      </c>
      <c r="F15" s="11">
        <f t="shared" si="1"/>
        <v>0.6817548747</v>
      </c>
      <c r="G15" s="11">
        <f t="shared" si="2"/>
        <v>0.4970680726</v>
      </c>
      <c r="H15" s="11">
        <f t="shared" si="3"/>
        <v>0.3388785815</v>
      </c>
      <c r="I15" s="12"/>
      <c r="J15" s="17"/>
      <c r="K15" s="17"/>
      <c r="L15" s="17"/>
      <c r="M15" s="17"/>
      <c r="N15" s="17"/>
      <c r="O15" s="15"/>
      <c r="P15" s="18"/>
      <c r="Q15" s="18"/>
      <c r="S15" s="15"/>
    </row>
    <row r="16" ht="14.25" customHeight="1">
      <c r="A16" s="8">
        <v>10501.0</v>
      </c>
      <c r="B16" s="8" t="s">
        <v>36</v>
      </c>
      <c r="C16" s="9">
        <v>10129.0</v>
      </c>
      <c r="D16" s="9">
        <v>4941.333469390869</v>
      </c>
      <c r="E16" s="10">
        <v>23316.0</v>
      </c>
      <c r="F16" s="11">
        <f t="shared" si="1"/>
        <v>0.434422714</v>
      </c>
      <c r="G16" s="11">
        <f t="shared" si="2"/>
        <v>0.4878402083</v>
      </c>
      <c r="H16" s="11">
        <f t="shared" si="3"/>
        <v>0.2119288673</v>
      </c>
      <c r="I16" s="12"/>
      <c r="J16" s="19" t="s">
        <v>37</v>
      </c>
      <c r="K16" s="20"/>
      <c r="L16" s="17"/>
      <c r="M16" s="17"/>
      <c r="N16" s="17"/>
      <c r="O16" s="15"/>
      <c r="P16" s="18"/>
      <c r="Q16" s="18"/>
      <c r="S16" s="15"/>
    </row>
    <row r="17" ht="14.25" customHeight="1">
      <c r="A17" s="8">
        <v>10502.0</v>
      </c>
      <c r="B17" s="8" t="s">
        <v>38</v>
      </c>
      <c r="C17" s="9">
        <v>5503.0</v>
      </c>
      <c r="D17" s="9">
        <v>2779.2222979664803</v>
      </c>
      <c r="E17" s="10">
        <v>8032.0</v>
      </c>
      <c r="F17" s="11">
        <f t="shared" si="1"/>
        <v>0.6851344622</v>
      </c>
      <c r="G17" s="11">
        <f t="shared" si="2"/>
        <v>0.50503767</v>
      </c>
      <c r="H17" s="11">
        <f t="shared" si="3"/>
        <v>0.3460187124</v>
      </c>
      <c r="I17" s="12"/>
      <c r="J17" s="21" t="s">
        <v>39</v>
      </c>
      <c r="K17" s="21">
        <v>0.07</v>
      </c>
      <c r="L17" s="17"/>
      <c r="M17" s="17"/>
      <c r="N17" s="17"/>
      <c r="O17" s="15"/>
      <c r="P17" s="18"/>
      <c r="Q17" s="18"/>
      <c r="S17" s="15"/>
    </row>
    <row r="18" ht="14.25" customHeight="1">
      <c r="A18" s="8">
        <v>10601.0</v>
      </c>
      <c r="B18" s="8" t="s">
        <v>40</v>
      </c>
      <c r="C18" s="9">
        <v>11482.0</v>
      </c>
      <c r="D18" s="9">
        <v>5840.000160604715</v>
      </c>
      <c r="E18" s="10">
        <v>16713.0</v>
      </c>
      <c r="F18" s="11">
        <f t="shared" si="1"/>
        <v>0.6870101119</v>
      </c>
      <c r="G18" s="11">
        <f t="shared" si="2"/>
        <v>0.5086222052</v>
      </c>
      <c r="H18" s="11">
        <f t="shared" si="3"/>
        <v>0.3494285981</v>
      </c>
      <c r="I18" s="12"/>
      <c r="J18" s="13" t="s">
        <v>41</v>
      </c>
      <c r="K18" s="22">
        <f>K19-K21</f>
        <v>0.1287182689</v>
      </c>
      <c r="L18" s="17"/>
      <c r="M18" s="17"/>
      <c r="N18" s="17"/>
      <c r="O18" s="15"/>
      <c r="P18" s="18"/>
      <c r="Q18" s="18"/>
      <c r="S18" s="15"/>
    </row>
    <row r="19" ht="14.25" customHeight="1">
      <c r="A19" s="8">
        <v>10602.0</v>
      </c>
      <c r="B19" s="8" t="s">
        <v>42</v>
      </c>
      <c r="C19" s="9">
        <v>6261.0</v>
      </c>
      <c r="D19" s="9">
        <v>3141.6667561233044</v>
      </c>
      <c r="E19" s="10">
        <v>9883.0</v>
      </c>
      <c r="F19" s="11">
        <f t="shared" si="1"/>
        <v>0.6335120915</v>
      </c>
      <c r="G19" s="11">
        <f t="shared" si="2"/>
        <v>0.5017835419</v>
      </c>
      <c r="H19" s="11">
        <f t="shared" si="3"/>
        <v>0.3178859411</v>
      </c>
      <c r="I19" s="12"/>
      <c r="J19" s="13" t="s">
        <v>43</v>
      </c>
      <c r="K19" s="22">
        <f>AVERAGE(H2:H344)</f>
        <v>0.2342391271</v>
      </c>
      <c r="L19" s="17"/>
      <c r="M19" s="17"/>
      <c r="N19" s="17"/>
      <c r="O19" s="15"/>
      <c r="P19" s="18"/>
      <c r="Q19" s="18"/>
      <c r="S19" s="15"/>
    </row>
    <row r="20" ht="14.25" customHeight="1">
      <c r="A20" s="8">
        <v>10701.0</v>
      </c>
      <c r="B20" s="8" t="s">
        <v>44</v>
      </c>
      <c r="C20" s="9">
        <v>6222.0</v>
      </c>
      <c r="D20" s="9">
        <v>2970.4445235729218</v>
      </c>
      <c r="E20" s="10">
        <v>15012.0</v>
      </c>
      <c r="F20" s="11">
        <f t="shared" si="1"/>
        <v>0.4144684253</v>
      </c>
      <c r="G20" s="11">
        <f t="shared" si="2"/>
        <v>0.4774099202</v>
      </c>
      <c r="H20" s="11">
        <f t="shared" si="3"/>
        <v>0.1978713378</v>
      </c>
      <c r="I20" s="12"/>
      <c r="J20" s="23"/>
      <c r="K20" s="23"/>
      <c r="L20" s="17"/>
      <c r="M20" s="17"/>
      <c r="N20" s="17"/>
      <c r="O20" s="15"/>
      <c r="P20" s="18"/>
      <c r="Q20" s="18"/>
      <c r="S20" s="15"/>
    </row>
    <row r="21" ht="14.25" customHeight="1">
      <c r="A21" s="8">
        <v>10702.0</v>
      </c>
      <c r="B21" s="8" t="s">
        <v>45</v>
      </c>
      <c r="C21" s="9">
        <v>23306.0</v>
      </c>
      <c r="D21" s="9">
        <v>12746.000344783068</v>
      </c>
      <c r="E21" s="10">
        <v>32213.0</v>
      </c>
      <c r="F21" s="11">
        <f t="shared" si="1"/>
        <v>0.7234967249</v>
      </c>
      <c r="G21" s="11">
        <f t="shared" si="2"/>
        <v>0.5468978094</v>
      </c>
      <c r="H21" s="11">
        <f t="shared" si="3"/>
        <v>0.3956787739</v>
      </c>
      <c r="I21" s="12"/>
      <c r="J21" s="23" t="s">
        <v>46</v>
      </c>
      <c r="K21" s="23">
        <f>STDEV(H2:H344)</f>
        <v>0.1055208582</v>
      </c>
      <c r="L21" s="17"/>
      <c r="M21" s="17"/>
      <c r="N21" s="17"/>
      <c r="O21" s="15"/>
      <c r="P21" s="18"/>
      <c r="Q21" s="18"/>
      <c r="S21" s="15"/>
    </row>
    <row r="22" ht="14.25" customHeight="1">
      <c r="A22" s="8">
        <v>10703.0</v>
      </c>
      <c r="B22" s="8" t="s">
        <v>47</v>
      </c>
      <c r="C22" s="9">
        <v>10136.0</v>
      </c>
      <c r="D22" s="9">
        <v>5942.111258238554</v>
      </c>
      <c r="E22" s="10">
        <v>12855.0</v>
      </c>
      <c r="F22" s="11">
        <f t="shared" si="1"/>
        <v>0.7884869701</v>
      </c>
      <c r="G22" s="11">
        <f t="shared" si="2"/>
        <v>0.5862382851</v>
      </c>
      <c r="H22" s="11">
        <f t="shared" si="3"/>
        <v>0.4622412492</v>
      </c>
      <c r="I22" s="12"/>
      <c r="K22" s="17"/>
      <c r="L22" s="17"/>
      <c r="M22" s="17"/>
      <c r="N22" s="17"/>
      <c r="O22" s="15"/>
      <c r="P22" s="18"/>
      <c r="Q22" s="18"/>
      <c r="S22" s="15"/>
    </row>
    <row r="23" ht="14.25" customHeight="1">
      <c r="A23" s="8">
        <v>10704.0</v>
      </c>
      <c r="B23" s="8" t="s">
        <v>48</v>
      </c>
      <c r="C23" s="9">
        <v>11579.0</v>
      </c>
      <c r="D23" s="9">
        <v>6340.000168442726</v>
      </c>
      <c r="E23" s="10">
        <v>15685.0</v>
      </c>
      <c r="F23" s="11">
        <f t="shared" si="1"/>
        <v>0.7382212305</v>
      </c>
      <c r="G23" s="11">
        <f t="shared" si="2"/>
        <v>0.5475429803</v>
      </c>
      <c r="H23" s="11">
        <f t="shared" si="3"/>
        <v>0.4042078526</v>
      </c>
      <c r="I23" s="12"/>
      <c r="K23" s="17"/>
      <c r="L23" s="17"/>
      <c r="M23" s="17"/>
      <c r="N23" s="17"/>
      <c r="O23" s="15"/>
      <c r="P23" s="18"/>
      <c r="Q23" s="18"/>
      <c r="S23" s="15"/>
    </row>
    <row r="24" ht="14.25" customHeight="1">
      <c r="A24" s="8">
        <v>10801.0</v>
      </c>
      <c r="B24" s="8" t="s">
        <v>49</v>
      </c>
      <c r="C24" s="9">
        <v>5859.0</v>
      </c>
      <c r="D24" s="9">
        <v>2907.888968259096</v>
      </c>
      <c r="E24" s="10">
        <v>10907.0</v>
      </c>
      <c r="F24" s="11">
        <f t="shared" si="1"/>
        <v>0.5371779591</v>
      </c>
      <c r="G24" s="11">
        <f t="shared" si="2"/>
        <v>0.4963114812</v>
      </c>
      <c r="H24" s="11">
        <f t="shared" si="3"/>
        <v>0.2666075885</v>
      </c>
      <c r="I24" s="12"/>
      <c r="J24" s="17"/>
      <c r="K24" s="17"/>
      <c r="L24" s="17"/>
      <c r="M24" s="17"/>
      <c r="N24" s="17"/>
      <c r="O24" s="15"/>
      <c r="P24" s="18"/>
      <c r="Q24" s="18"/>
      <c r="S24" s="15"/>
    </row>
    <row r="25" ht="14.25" customHeight="1">
      <c r="A25" s="8">
        <v>10901.0</v>
      </c>
      <c r="B25" s="8" t="s">
        <v>50</v>
      </c>
      <c r="C25" s="9">
        <v>2049.0</v>
      </c>
      <c r="D25" s="9">
        <v>991.4444713294506</v>
      </c>
      <c r="E25" s="10">
        <v>3373.0</v>
      </c>
      <c r="F25" s="11">
        <f t="shared" si="1"/>
        <v>0.607471094</v>
      </c>
      <c r="G25" s="11">
        <f t="shared" si="2"/>
        <v>0.4838674823</v>
      </c>
      <c r="H25" s="11">
        <f t="shared" si="3"/>
        <v>0.2939355088</v>
      </c>
      <c r="I25" s="12"/>
      <c r="J25" s="17"/>
      <c r="K25" s="17"/>
      <c r="L25" s="17"/>
      <c r="M25" s="17"/>
      <c r="N25" s="17"/>
      <c r="O25" s="15"/>
      <c r="P25" s="18"/>
      <c r="Q25" s="18"/>
      <c r="S25" s="15"/>
    </row>
    <row r="26" ht="14.25" customHeight="1">
      <c r="A26" s="8">
        <v>10902.0</v>
      </c>
      <c r="B26" s="8" t="s">
        <v>51</v>
      </c>
      <c r="C26" s="9">
        <v>11694.0</v>
      </c>
      <c r="D26" s="9">
        <v>6252.222386926413</v>
      </c>
      <c r="E26" s="10">
        <v>17544.0</v>
      </c>
      <c r="F26" s="11">
        <f t="shared" si="1"/>
        <v>0.6665526676</v>
      </c>
      <c r="G26" s="11">
        <f t="shared" si="2"/>
        <v>0.5346521624</v>
      </c>
      <c r="H26" s="11">
        <f t="shared" si="3"/>
        <v>0.3563738251</v>
      </c>
      <c r="I26" s="12"/>
      <c r="J26" s="17"/>
      <c r="K26" s="17"/>
      <c r="L26" s="17"/>
      <c r="M26" s="17"/>
      <c r="N26" s="17"/>
      <c r="O26" s="15"/>
      <c r="P26" s="18"/>
      <c r="Q26" s="18"/>
      <c r="S26" s="15"/>
    </row>
    <row r="27" ht="14.25" customHeight="1">
      <c r="A27" s="8">
        <v>10903.0</v>
      </c>
      <c r="B27" s="8" t="s">
        <v>52</v>
      </c>
      <c r="C27" s="9">
        <v>1908.0</v>
      </c>
      <c r="D27" s="9">
        <v>878.8889124393463</v>
      </c>
      <c r="E27" s="10">
        <v>3937.0</v>
      </c>
      <c r="F27" s="11">
        <f t="shared" si="1"/>
        <v>0.4846329693</v>
      </c>
      <c r="G27" s="11">
        <f t="shared" si="2"/>
        <v>0.4606336019</v>
      </c>
      <c r="H27" s="11">
        <f t="shared" si="3"/>
        <v>0.2232382302</v>
      </c>
      <c r="I27" s="12"/>
      <c r="J27" s="17"/>
      <c r="K27" s="17"/>
      <c r="L27" s="17"/>
      <c r="M27" s="17"/>
      <c r="N27" s="17"/>
      <c r="O27" s="15"/>
      <c r="P27" s="18"/>
      <c r="Q27" s="18"/>
      <c r="S27" s="15"/>
    </row>
    <row r="28" ht="14.25" customHeight="1">
      <c r="A28" s="8">
        <v>11001.0</v>
      </c>
      <c r="B28" s="8" t="s">
        <v>53</v>
      </c>
      <c r="C28" s="9">
        <v>4993.0</v>
      </c>
      <c r="D28" s="9">
        <v>2435.3334011137486</v>
      </c>
      <c r="E28" s="10">
        <v>9345.0</v>
      </c>
      <c r="F28" s="11">
        <f t="shared" si="1"/>
        <v>0.5342964152</v>
      </c>
      <c r="G28" s="11">
        <f t="shared" si="2"/>
        <v>0.4877495296</v>
      </c>
      <c r="H28" s="11">
        <f t="shared" si="3"/>
        <v>0.2606028252</v>
      </c>
      <c r="I28" s="12"/>
      <c r="J28" s="17"/>
      <c r="K28" s="17"/>
      <c r="L28" s="17"/>
      <c r="M28" s="17"/>
      <c r="N28" s="17"/>
      <c r="O28" s="15"/>
      <c r="P28" s="18"/>
      <c r="Q28" s="18"/>
      <c r="S28" s="15"/>
    </row>
    <row r="29" ht="14.25" customHeight="1">
      <c r="A29" s="8">
        <v>11002.0</v>
      </c>
      <c r="B29" s="8" t="s">
        <v>54</v>
      </c>
      <c r="C29" s="9">
        <v>1559.0</v>
      </c>
      <c r="D29" s="9">
        <v>724.5555734932423</v>
      </c>
      <c r="E29" s="10">
        <v>2429.0</v>
      </c>
      <c r="F29" s="11">
        <f t="shared" si="1"/>
        <v>0.6418279127</v>
      </c>
      <c r="G29" s="11">
        <f t="shared" si="2"/>
        <v>0.4647566219</v>
      </c>
      <c r="H29" s="11">
        <f t="shared" si="3"/>
        <v>0.2982937725</v>
      </c>
      <c r="I29" s="12"/>
      <c r="J29" s="17"/>
      <c r="K29" s="17"/>
      <c r="L29" s="17"/>
      <c r="M29" s="17"/>
      <c r="N29" s="17"/>
      <c r="O29" s="15"/>
      <c r="P29" s="18"/>
      <c r="Q29" s="18"/>
      <c r="S29" s="15"/>
    </row>
    <row r="30" ht="14.25" customHeight="1">
      <c r="A30" s="8">
        <v>11003.0</v>
      </c>
      <c r="B30" s="8" t="s">
        <v>55</v>
      </c>
      <c r="C30" s="9">
        <v>3312.0</v>
      </c>
      <c r="D30" s="9">
        <v>1542.222264289856</v>
      </c>
      <c r="E30" s="10">
        <v>6743.0</v>
      </c>
      <c r="F30" s="11">
        <f t="shared" si="1"/>
        <v>0.4911760344</v>
      </c>
      <c r="G30" s="11">
        <f t="shared" si="2"/>
        <v>0.4656468189</v>
      </c>
      <c r="H30" s="11">
        <f t="shared" si="3"/>
        <v>0.228714558</v>
      </c>
      <c r="I30" s="12"/>
      <c r="J30" s="17"/>
      <c r="K30" s="17"/>
      <c r="L30" s="17"/>
      <c r="M30" s="17"/>
      <c r="N30" s="17"/>
      <c r="O30" s="15"/>
      <c r="P30" s="18"/>
      <c r="Q30" s="18"/>
      <c r="S30" s="15"/>
    </row>
    <row r="31" ht="14.25" customHeight="1">
      <c r="A31" s="8">
        <v>20101.0</v>
      </c>
      <c r="B31" s="8" t="s">
        <v>56</v>
      </c>
      <c r="C31" s="9">
        <v>33790.0</v>
      </c>
      <c r="D31" s="9">
        <v>13181.778110057116</v>
      </c>
      <c r="E31" s="10">
        <v>748188.0</v>
      </c>
      <c r="F31" s="11">
        <f t="shared" si="1"/>
        <v>0.0451624458</v>
      </c>
      <c r="G31" s="11">
        <f t="shared" si="2"/>
        <v>0.390108852</v>
      </c>
      <c r="H31" s="11">
        <f t="shared" si="3"/>
        <v>0.01761826989</v>
      </c>
      <c r="I31" s="12"/>
      <c r="J31" s="17"/>
      <c r="K31" s="17"/>
      <c r="L31" s="17"/>
      <c r="M31" s="17"/>
      <c r="N31" s="17"/>
      <c r="O31" s="15"/>
      <c r="P31" s="18"/>
      <c r="Q31" s="18"/>
      <c r="S31" s="15"/>
    </row>
    <row r="32" ht="14.25" customHeight="1">
      <c r="A32" s="8">
        <v>20102.0</v>
      </c>
      <c r="B32" s="8" t="s">
        <v>57</v>
      </c>
      <c r="C32" s="9">
        <v>8491.0</v>
      </c>
      <c r="D32" s="9">
        <v>3668.555647343397</v>
      </c>
      <c r="E32" s="10">
        <v>16486.0</v>
      </c>
      <c r="F32" s="11">
        <f t="shared" si="1"/>
        <v>0.5150430668</v>
      </c>
      <c r="G32" s="11">
        <f t="shared" si="2"/>
        <v>0.4320522491</v>
      </c>
      <c r="H32" s="11">
        <f t="shared" si="3"/>
        <v>0.2225255154</v>
      </c>
      <c r="I32" s="12"/>
      <c r="J32" s="17"/>
      <c r="K32" s="17"/>
      <c r="L32" s="17"/>
      <c r="M32" s="17"/>
      <c r="N32" s="17"/>
      <c r="O32" s="15"/>
      <c r="P32" s="18"/>
      <c r="Q32" s="18"/>
      <c r="S32" s="15"/>
    </row>
    <row r="33" ht="14.25" customHeight="1">
      <c r="A33" s="8">
        <v>20103.0</v>
      </c>
      <c r="B33" s="8" t="s">
        <v>58</v>
      </c>
      <c r="C33" s="9">
        <v>6150.0</v>
      </c>
      <c r="D33" s="9">
        <v>2636.000067293644</v>
      </c>
      <c r="E33" s="10">
        <v>15745.0</v>
      </c>
      <c r="F33" s="11">
        <f t="shared" si="1"/>
        <v>0.3906001905</v>
      </c>
      <c r="G33" s="11">
        <f t="shared" si="2"/>
        <v>0.4286178971</v>
      </c>
      <c r="H33" s="11">
        <f t="shared" si="3"/>
        <v>0.1674182323</v>
      </c>
      <c r="I33" s="12"/>
      <c r="J33" s="17"/>
      <c r="K33" s="17"/>
      <c r="L33" s="17"/>
      <c r="M33" s="17"/>
      <c r="N33" s="17"/>
      <c r="O33" s="15"/>
      <c r="P33" s="18"/>
      <c r="Q33" s="18"/>
      <c r="S33" s="15"/>
    </row>
    <row r="34" ht="14.25" customHeight="1">
      <c r="A34" s="8">
        <v>20104.0</v>
      </c>
      <c r="B34" s="8" t="s">
        <v>59</v>
      </c>
      <c r="C34" s="9">
        <v>10483.0</v>
      </c>
      <c r="D34" s="9">
        <v>4340.888995558023</v>
      </c>
      <c r="E34" s="10">
        <v>22242.0</v>
      </c>
      <c r="F34" s="11">
        <f t="shared" si="1"/>
        <v>0.4713155292</v>
      </c>
      <c r="G34" s="11">
        <f t="shared" si="2"/>
        <v>0.4140884285</v>
      </c>
      <c r="H34" s="11">
        <f t="shared" si="3"/>
        <v>0.1951663068</v>
      </c>
      <c r="I34" s="12"/>
      <c r="J34" s="17"/>
      <c r="K34" s="17"/>
      <c r="L34" s="17"/>
      <c r="M34" s="17"/>
      <c r="N34" s="17"/>
      <c r="O34" s="15"/>
      <c r="P34" s="18"/>
      <c r="Q34" s="18"/>
      <c r="S34" s="15"/>
    </row>
    <row r="35" ht="14.25" customHeight="1">
      <c r="A35" s="8">
        <v>20105.0</v>
      </c>
      <c r="B35" s="8" t="s">
        <v>60</v>
      </c>
      <c r="C35" s="9">
        <v>113988.0</v>
      </c>
      <c r="D35" s="9">
        <v>44739.6677852571</v>
      </c>
      <c r="E35" s="10">
        <v>839685.0</v>
      </c>
      <c r="F35" s="11">
        <f t="shared" si="1"/>
        <v>0.1357509066</v>
      </c>
      <c r="G35" s="11">
        <f t="shared" si="2"/>
        <v>0.3924945414</v>
      </c>
      <c r="H35" s="11">
        <f t="shared" si="3"/>
        <v>0.05328148983</v>
      </c>
      <c r="I35" s="12"/>
      <c r="J35" s="17"/>
      <c r="K35" s="17"/>
      <c r="L35" s="17"/>
      <c r="M35" s="17"/>
      <c r="N35" s="17"/>
      <c r="O35" s="15"/>
      <c r="P35" s="18"/>
      <c r="Q35" s="18"/>
      <c r="S35" s="15"/>
    </row>
    <row r="36" ht="14.25" customHeight="1">
      <c r="A36" s="8">
        <v>20201.0</v>
      </c>
      <c r="B36" s="8" t="s">
        <v>61</v>
      </c>
      <c r="C36" s="9">
        <v>17506.0</v>
      </c>
      <c r="D36" s="9">
        <v>7391.889074593782</v>
      </c>
      <c r="E36" s="10">
        <v>45667.0</v>
      </c>
      <c r="F36" s="11">
        <f t="shared" si="1"/>
        <v>0.3833402676</v>
      </c>
      <c r="G36" s="11">
        <f t="shared" si="2"/>
        <v>0.4222488904</v>
      </c>
      <c r="H36" s="11">
        <f t="shared" si="3"/>
        <v>0.1618650026</v>
      </c>
      <c r="I36" s="12"/>
      <c r="J36" s="17"/>
      <c r="K36" s="17"/>
      <c r="L36" s="17"/>
      <c r="M36" s="17"/>
      <c r="N36" s="17"/>
      <c r="O36" s="15"/>
      <c r="P36" s="18"/>
      <c r="Q36" s="18"/>
      <c r="S36" s="15"/>
    </row>
    <row r="37" ht="14.25" customHeight="1">
      <c r="A37" s="8">
        <v>20202.0</v>
      </c>
      <c r="B37" s="8" t="s">
        <v>62</v>
      </c>
      <c r="C37" s="9">
        <v>7201.0</v>
      </c>
      <c r="D37" s="9">
        <v>3049.1111864447594</v>
      </c>
      <c r="E37" s="10">
        <v>13083.0</v>
      </c>
      <c r="F37" s="11">
        <f t="shared" si="1"/>
        <v>0.5504089276</v>
      </c>
      <c r="G37" s="11">
        <f t="shared" si="2"/>
        <v>0.4234288552</v>
      </c>
      <c r="H37" s="11">
        <f t="shared" si="3"/>
        <v>0.2330590221</v>
      </c>
      <c r="I37" s="12"/>
      <c r="J37" s="17"/>
      <c r="K37" s="17"/>
      <c r="L37" s="17"/>
      <c r="M37" s="17"/>
      <c r="N37" s="17"/>
      <c r="O37" s="15"/>
      <c r="P37" s="18"/>
      <c r="Q37" s="18"/>
      <c r="S37" s="15"/>
    </row>
    <row r="38" ht="14.25" customHeight="1">
      <c r="A38" s="8">
        <v>20203.0</v>
      </c>
      <c r="B38" s="8" t="s">
        <v>63</v>
      </c>
      <c r="C38" s="9">
        <v>3376.0</v>
      </c>
      <c r="D38" s="9">
        <v>1427.0000345110893</v>
      </c>
      <c r="E38" s="10">
        <v>7899.0</v>
      </c>
      <c r="F38" s="11">
        <f t="shared" si="1"/>
        <v>0.4273958729</v>
      </c>
      <c r="G38" s="11">
        <f t="shared" si="2"/>
        <v>0.4226895837</v>
      </c>
      <c r="H38" s="11">
        <f t="shared" si="3"/>
        <v>0.1806557836</v>
      </c>
      <c r="I38" s="12"/>
      <c r="J38" s="17"/>
      <c r="K38" s="17"/>
      <c r="L38" s="17"/>
      <c r="M38" s="17"/>
      <c r="N38" s="17"/>
      <c r="O38" s="15"/>
      <c r="P38" s="18"/>
      <c r="Q38" s="18"/>
      <c r="S38" s="15"/>
    </row>
    <row r="39" ht="14.25" customHeight="1">
      <c r="A39" s="8">
        <v>20204.0</v>
      </c>
      <c r="B39" s="8" t="s">
        <v>64</v>
      </c>
      <c r="C39" s="9">
        <v>3237.0</v>
      </c>
      <c r="D39" s="9">
        <v>1326.3333650529385</v>
      </c>
      <c r="E39" s="10">
        <v>8522.0</v>
      </c>
      <c r="F39" s="11">
        <f t="shared" si="1"/>
        <v>0.379840413</v>
      </c>
      <c r="G39" s="11">
        <f t="shared" si="2"/>
        <v>0.40974154</v>
      </c>
      <c r="H39" s="11">
        <f t="shared" si="3"/>
        <v>0.1556363958</v>
      </c>
      <c r="I39" s="12"/>
      <c r="J39" s="17"/>
      <c r="K39" s="17"/>
      <c r="L39" s="17"/>
      <c r="M39" s="17"/>
      <c r="N39" s="17"/>
      <c r="O39" s="15"/>
      <c r="P39" s="18"/>
      <c r="Q39" s="18"/>
      <c r="S39" s="15"/>
    </row>
    <row r="40" ht="14.25" customHeight="1">
      <c r="A40" s="8">
        <v>20205.0</v>
      </c>
      <c r="B40" s="8" t="s">
        <v>65</v>
      </c>
      <c r="C40" s="9">
        <v>808.0</v>
      </c>
      <c r="D40" s="9">
        <v>315.4444517493248</v>
      </c>
      <c r="E40" s="10">
        <v>3881.0</v>
      </c>
      <c r="F40" s="11">
        <f t="shared" si="1"/>
        <v>0.2081937645</v>
      </c>
      <c r="G40" s="11">
        <f t="shared" si="2"/>
        <v>0.3904015492</v>
      </c>
      <c r="H40" s="11">
        <f t="shared" si="3"/>
        <v>0.08127916819</v>
      </c>
      <c r="I40" s="12"/>
      <c r="J40" s="17"/>
      <c r="K40" s="17"/>
      <c r="L40" s="17"/>
      <c r="M40" s="17"/>
      <c r="N40" s="17"/>
      <c r="O40" s="15"/>
      <c r="P40" s="18"/>
      <c r="Q40" s="18"/>
      <c r="S40" s="15"/>
    </row>
    <row r="41" ht="14.25" customHeight="1">
      <c r="A41" s="8">
        <v>20206.0</v>
      </c>
      <c r="B41" s="8" t="s">
        <v>66</v>
      </c>
      <c r="C41" s="9">
        <v>1808.0</v>
      </c>
      <c r="D41" s="9">
        <v>723.8889068961143</v>
      </c>
      <c r="E41" s="10">
        <v>4860.0</v>
      </c>
      <c r="F41" s="11">
        <f t="shared" si="1"/>
        <v>0.3720164609</v>
      </c>
      <c r="G41" s="11">
        <f t="shared" si="2"/>
        <v>0.4003810326</v>
      </c>
      <c r="H41" s="11">
        <f t="shared" si="3"/>
        <v>0.1489483348</v>
      </c>
      <c r="I41" s="12"/>
      <c r="J41" s="17"/>
      <c r="K41" s="17"/>
      <c r="L41" s="17"/>
      <c r="M41" s="17"/>
      <c r="N41" s="17"/>
      <c r="O41" s="15"/>
      <c r="P41" s="18"/>
      <c r="Q41" s="18"/>
      <c r="S41" s="15"/>
    </row>
    <row r="42" ht="14.25" customHeight="1">
      <c r="A42" s="8">
        <v>20301.0</v>
      </c>
      <c r="B42" s="8" t="s">
        <v>67</v>
      </c>
      <c r="C42" s="9">
        <v>6585.0</v>
      </c>
      <c r="D42" s="9">
        <v>3047.000076442957</v>
      </c>
      <c r="E42" s="10">
        <v>10349.0</v>
      </c>
      <c r="F42" s="11">
        <f t="shared" si="1"/>
        <v>0.6362933617</v>
      </c>
      <c r="G42" s="11">
        <f t="shared" si="2"/>
        <v>0.4627183108</v>
      </c>
      <c r="H42" s="11">
        <f t="shared" si="3"/>
        <v>0.2944245895</v>
      </c>
      <c r="I42" s="12"/>
      <c r="J42" s="17"/>
      <c r="K42" s="17"/>
      <c r="L42" s="17"/>
      <c r="M42" s="17"/>
      <c r="N42" s="17"/>
      <c r="O42" s="15"/>
      <c r="P42" s="18"/>
      <c r="Q42" s="18"/>
      <c r="S42" s="15"/>
    </row>
    <row r="43" ht="14.25" customHeight="1">
      <c r="A43" s="8">
        <v>20302.0</v>
      </c>
      <c r="B43" s="8" t="s">
        <v>68</v>
      </c>
      <c r="C43" s="9">
        <v>10351.0</v>
      </c>
      <c r="D43" s="9">
        <v>4664.0001156926155</v>
      </c>
      <c r="E43" s="10">
        <v>14629.0</v>
      </c>
      <c r="F43" s="11">
        <f t="shared" si="1"/>
        <v>0.7075671611</v>
      </c>
      <c r="G43" s="11">
        <f t="shared" si="2"/>
        <v>0.4505844958</v>
      </c>
      <c r="H43" s="11">
        <f t="shared" si="3"/>
        <v>0.3188187925</v>
      </c>
      <c r="I43" s="12"/>
      <c r="J43" s="17"/>
      <c r="K43" s="17"/>
      <c r="L43" s="17"/>
      <c r="M43" s="17"/>
      <c r="N43" s="17"/>
      <c r="O43" s="15"/>
      <c r="P43" s="18"/>
      <c r="Q43" s="18"/>
      <c r="S43" s="15"/>
    </row>
    <row r="44" ht="14.25" customHeight="1">
      <c r="A44" s="8">
        <v>20303.0</v>
      </c>
      <c r="B44" s="8" t="s">
        <v>69</v>
      </c>
      <c r="C44" s="9">
        <v>7839.0</v>
      </c>
      <c r="D44" s="9">
        <v>3516.222307175398</v>
      </c>
      <c r="E44" s="10">
        <v>9804.0</v>
      </c>
      <c r="F44" s="11">
        <f t="shared" si="1"/>
        <v>0.7995716034</v>
      </c>
      <c r="G44" s="11">
        <f t="shared" si="2"/>
        <v>0.4485549569</v>
      </c>
      <c r="H44" s="11">
        <f t="shared" si="3"/>
        <v>0.3586518061</v>
      </c>
      <c r="I44" s="12"/>
      <c r="J44" s="17"/>
      <c r="K44" s="17"/>
      <c r="L44" s="17"/>
      <c r="M44" s="17"/>
      <c r="N44" s="17"/>
      <c r="O44" s="15"/>
      <c r="P44" s="18"/>
      <c r="Q44" s="18"/>
      <c r="S44" s="15"/>
    </row>
    <row r="45" ht="14.25" customHeight="1">
      <c r="A45" s="8">
        <v>20304.0</v>
      </c>
      <c r="B45" s="8" t="s">
        <v>70</v>
      </c>
      <c r="C45" s="9">
        <v>2416.0</v>
      </c>
      <c r="D45" s="9">
        <v>1083.5555820465088</v>
      </c>
      <c r="E45" s="10">
        <v>3846.0</v>
      </c>
      <c r="F45" s="11">
        <f t="shared" si="1"/>
        <v>0.6281851274</v>
      </c>
      <c r="G45" s="11">
        <f t="shared" si="2"/>
        <v>0.4484915489</v>
      </c>
      <c r="H45" s="11">
        <f t="shared" si="3"/>
        <v>0.2817357208</v>
      </c>
      <c r="I45" s="12"/>
      <c r="J45" s="17"/>
      <c r="K45" s="17"/>
      <c r="L45" s="17"/>
      <c r="M45" s="17"/>
      <c r="N45" s="17"/>
      <c r="O45" s="15"/>
      <c r="P45" s="18"/>
      <c r="Q45" s="18"/>
      <c r="S45" s="15"/>
    </row>
    <row r="46" ht="14.25" customHeight="1">
      <c r="A46" s="8">
        <v>20305.0</v>
      </c>
      <c r="B46" s="8" t="s">
        <v>71</v>
      </c>
      <c r="C46" s="9">
        <v>2087.0</v>
      </c>
      <c r="D46" s="9">
        <v>948.1111351847649</v>
      </c>
      <c r="E46" s="10">
        <v>3019.0</v>
      </c>
      <c r="F46" s="11">
        <f t="shared" si="1"/>
        <v>0.6912885061</v>
      </c>
      <c r="G46" s="11">
        <f t="shared" si="2"/>
        <v>0.4542937878</v>
      </c>
      <c r="H46" s="11">
        <f t="shared" si="3"/>
        <v>0.3140480739</v>
      </c>
      <c r="I46" s="12"/>
      <c r="J46" s="17"/>
      <c r="K46" s="17"/>
      <c r="L46" s="17"/>
      <c r="M46" s="17"/>
      <c r="N46" s="17"/>
      <c r="O46" s="15"/>
      <c r="P46" s="18"/>
      <c r="Q46" s="18"/>
      <c r="S46" s="15"/>
    </row>
    <row r="47" ht="14.25" customHeight="1">
      <c r="A47" s="8">
        <v>20306.0</v>
      </c>
      <c r="B47" s="8" t="s">
        <v>72</v>
      </c>
      <c r="C47" s="9">
        <v>3327.0</v>
      </c>
      <c r="D47" s="9">
        <v>1448.1111474633217</v>
      </c>
      <c r="E47" s="10">
        <v>5001.0</v>
      </c>
      <c r="F47" s="11">
        <f t="shared" si="1"/>
        <v>0.6652669466</v>
      </c>
      <c r="G47" s="11">
        <f t="shared" si="2"/>
        <v>0.4352603389</v>
      </c>
      <c r="H47" s="11">
        <f t="shared" si="3"/>
        <v>0.2895643166</v>
      </c>
      <c r="I47" s="12"/>
      <c r="J47" s="17"/>
      <c r="K47" s="17"/>
      <c r="L47" s="17"/>
      <c r="M47" s="17"/>
      <c r="N47" s="17"/>
      <c r="O47" s="15"/>
      <c r="P47" s="18"/>
      <c r="Q47" s="18"/>
      <c r="S47" s="15"/>
    </row>
    <row r="48" ht="14.25" customHeight="1">
      <c r="A48" s="8">
        <v>20307.0</v>
      </c>
      <c r="B48" s="8" t="s">
        <v>73</v>
      </c>
      <c r="C48" s="9">
        <v>386.0</v>
      </c>
      <c r="D48" s="9">
        <v>157.11111509799957</v>
      </c>
      <c r="E48" s="10">
        <v>600.0</v>
      </c>
      <c r="F48" s="11">
        <f t="shared" si="1"/>
        <v>0.6433333333</v>
      </c>
      <c r="G48" s="11">
        <f t="shared" si="2"/>
        <v>0.4070236142</v>
      </c>
      <c r="H48" s="11">
        <f t="shared" si="3"/>
        <v>0.2618518585</v>
      </c>
      <c r="I48" s="12"/>
      <c r="J48" s="17"/>
      <c r="K48" s="17"/>
      <c r="L48" s="17"/>
      <c r="M48" s="17"/>
      <c r="N48" s="17"/>
      <c r="O48" s="15"/>
      <c r="P48" s="18"/>
      <c r="Q48" s="18"/>
      <c r="S48" s="15"/>
    </row>
    <row r="49" ht="14.25" customHeight="1">
      <c r="A49" s="8">
        <v>20308.0</v>
      </c>
      <c r="B49" s="8" t="s">
        <v>74</v>
      </c>
      <c r="C49" s="9">
        <v>6521.0</v>
      </c>
      <c r="D49" s="9">
        <v>3140.111189842224</v>
      </c>
      <c r="E49" s="10">
        <v>7242.0</v>
      </c>
      <c r="F49" s="11">
        <f t="shared" si="1"/>
        <v>0.9004418669</v>
      </c>
      <c r="G49" s="11">
        <f t="shared" si="2"/>
        <v>0.4815382901</v>
      </c>
      <c r="H49" s="11">
        <f t="shared" si="3"/>
        <v>0.4335972369</v>
      </c>
      <c r="I49" s="12"/>
      <c r="J49" s="17"/>
      <c r="K49" s="17"/>
      <c r="L49" s="17"/>
      <c r="M49" s="17"/>
      <c r="N49" s="17"/>
      <c r="O49" s="15"/>
      <c r="P49" s="18"/>
      <c r="Q49" s="18"/>
      <c r="S49" s="15"/>
    </row>
    <row r="50" ht="14.25" customHeight="1">
      <c r="A50" s="8">
        <v>20401.0</v>
      </c>
      <c r="B50" s="8" t="s">
        <v>75</v>
      </c>
      <c r="C50" s="9">
        <v>7311.0</v>
      </c>
      <c r="D50" s="9">
        <v>3213.0000801980495</v>
      </c>
      <c r="E50" s="10">
        <v>11235.0</v>
      </c>
      <c r="F50" s="11">
        <f t="shared" si="1"/>
        <v>0.6507343124</v>
      </c>
      <c r="G50" s="11">
        <f t="shared" si="2"/>
        <v>0.439474775</v>
      </c>
      <c r="H50" s="11">
        <f t="shared" si="3"/>
        <v>0.2859813155</v>
      </c>
      <c r="I50" s="12"/>
      <c r="J50" s="17"/>
      <c r="K50" s="17"/>
      <c r="L50" s="17"/>
      <c r="M50" s="17"/>
      <c r="N50" s="17"/>
      <c r="O50" s="15"/>
      <c r="P50" s="18"/>
      <c r="Q50" s="18"/>
      <c r="S50" s="15"/>
    </row>
    <row r="51" ht="14.25" customHeight="1">
      <c r="A51" s="8">
        <v>20402.0</v>
      </c>
      <c r="B51" s="8" t="s">
        <v>76</v>
      </c>
      <c r="C51" s="9">
        <v>9603.0</v>
      </c>
      <c r="D51" s="9">
        <v>4164.888994336128</v>
      </c>
      <c r="E51" s="10">
        <v>15569.0</v>
      </c>
      <c r="F51" s="11">
        <f t="shared" si="1"/>
        <v>0.6168026206</v>
      </c>
      <c r="G51" s="11">
        <f t="shared" si="2"/>
        <v>0.4337070701</v>
      </c>
      <c r="H51" s="11">
        <f t="shared" si="3"/>
        <v>0.2675116574</v>
      </c>
      <c r="I51" s="12"/>
      <c r="J51" s="17"/>
      <c r="K51" s="17"/>
      <c r="L51" s="17"/>
      <c r="M51" s="17"/>
      <c r="N51" s="17"/>
      <c r="O51" s="15"/>
      <c r="P51" s="18"/>
      <c r="Q51" s="18"/>
      <c r="S51" s="15"/>
    </row>
    <row r="52" ht="14.25" customHeight="1">
      <c r="A52" s="8">
        <v>20403.0</v>
      </c>
      <c r="B52" s="8" t="s">
        <v>77</v>
      </c>
      <c r="C52" s="9">
        <v>8782.0</v>
      </c>
      <c r="D52" s="9">
        <v>4016.3334385454655</v>
      </c>
      <c r="E52" s="10">
        <v>14335.0</v>
      </c>
      <c r="F52" s="11">
        <f t="shared" si="1"/>
        <v>0.6126264388</v>
      </c>
      <c r="G52" s="11">
        <f t="shared" si="2"/>
        <v>0.4573369891</v>
      </c>
      <c r="H52" s="11">
        <f t="shared" si="3"/>
        <v>0.280176731</v>
      </c>
      <c r="I52" s="12"/>
      <c r="J52" s="17"/>
      <c r="K52" s="17"/>
      <c r="L52" s="17"/>
      <c r="M52" s="17"/>
      <c r="N52" s="17"/>
      <c r="O52" s="15"/>
      <c r="P52" s="18"/>
      <c r="Q52" s="18"/>
      <c r="S52" s="15"/>
    </row>
    <row r="53" ht="14.25" customHeight="1">
      <c r="A53" s="8">
        <v>20404.0</v>
      </c>
      <c r="B53" s="8" t="s">
        <v>78</v>
      </c>
      <c r="C53" s="9">
        <v>3704.0</v>
      </c>
      <c r="D53" s="9">
        <v>1643.8889303207397</v>
      </c>
      <c r="E53" s="10">
        <v>5336.0</v>
      </c>
      <c r="F53" s="11">
        <f t="shared" si="1"/>
        <v>0.6941529235</v>
      </c>
      <c r="G53" s="11">
        <f t="shared" si="2"/>
        <v>0.443814506</v>
      </c>
      <c r="H53" s="11">
        <f t="shared" si="3"/>
        <v>0.3080751369</v>
      </c>
      <c r="I53" s="12"/>
      <c r="J53" s="17"/>
      <c r="K53" s="17"/>
      <c r="L53" s="17"/>
      <c r="M53" s="17"/>
      <c r="N53" s="17"/>
      <c r="O53" s="15"/>
      <c r="P53" s="18"/>
      <c r="Q53" s="18"/>
      <c r="S53" s="15"/>
    </row>
    <row r="54" ht="14.25" customHeight="1">
      <c r="A54" s="8">
        <v>20405.0</v>
      </c>
      <c r="B54" s="8" t="s">
        <v>79</v>
      </c>
      <c r="C54" s="9">
        <v>3746.0</v>
      </c>
      <c r="D54" s="9">
        <v>1562.4444821476936</v>
      </c>
      <c r="E54" s="10">
        <v>7148.0</v>
      </c>
      <c r="F54" s="11">
        <f t="shared" si="1"/>
        <v>0.5240626749</v>
      </c>
      <c r="G54" s="11">
        <f t="shared" si="2"/>
        <v>0.4170967651</v>
      </c>
      <c r="H54" s="11">
        <f t="shared" si="3"/>
        <v>0.2185848464</v>
      </c>
      <c r="I54" s="12"/>
      <c r="J54" s="17"/>
      <c r="K54" s="17"/>
      <c r="L54" s="17"/>
      <c r="M54" s="17"/>
      <c r="N54" s="17"/>
      <c r="O54" s="15"/>
      <c r="P54" s="18"/>
      <c r="Q54" s="18"/>
      <c r="S54" s="15"/>
    </row>
    <row r="55" ht="14.25" customHeight="1">
      <c r="A55" s="8">
        <v>20501.0</v>
      </c>
      <c r="B55" s="8" t="s">
        <v>80</v>
      </c>
      <c r="C55" s="9">
        <v>6063.0</v>
      </c>
      <c r="D55" s="9">
        <v>2669.444513499737</v>
      </c>
      <c r="E55" s="10">
        <v>11446.0</v>
      </c>
      <c r="F55" s="11">
        <f t="shared" si="1"/>
        <v>0.5297047003</v>
      </c>
      <c r="G55" s="11">
        <f t="shared" si="2"/>
        <v>0.4402844324</v>
      </c>
      <c r="H55" s="11">
        <f t="shared" si="3"/>
        <v>0.2332207333</v>
      </c>
      <c r="I55" s="12"/>
      <c r="J55" s="17"/>
      <c r="K55" s="17"/>
      <c r="L55" s="17"/>
      <c r="M55" s="17"/>
      <c r="N55" s="17"/>
      <c r="O55" s="15"/>
      <c r="P55" s="18"/>
      <c r="Q55" s="18"/>
      <c r="S55" s="15"/>
    </row>
    <row r="56" ht="14.25" customHeight="1">
      <c r="A56" s="8">
        <v>20502.0</v>
      </c>
      <c r="B56" s="8" t="s">
        <v>81</v>
      </c>
      <c r="C56" s="9">
        <v>5488.0</v>
      </c>
      <c r="D56" s="9">
        <v>2501.6667314767838</v>
      </c>
      <c r="E56" s="10">
        <v>8251.0</v>
      </c>
      <c r="F56" s="11">
        <f t="shared" si="1"/>
        <v>0.6651314992</v>
      </c>
      <c r="G56" s="11">
        <f t="shared" si="2"/>
        <v>0.4558430633</v>
      </c>
      <c r="H56" s="11">
        <f t="shared" si="3"/>
        <v>0.3031955801</v>
      </c>
      <c r="I56" s="12"/>
      <c r="J56" s="17"/>
      <c r="K56" s="17"/>
      <c r="L56" s="17"/>
      <c r="M56" s="17"/>
      <c r="N56" s="17"/>
      <c r="O56" s="15"/>
      <c r="P56" s="18"/>
      <c r="Q56" s="18"/>
      <c r="S56" s="15"/>
    </row>
    <row r="57" ht="14.25" customHeight="1">
      <c r="A57" s="8">
        <v>20503.0</v>
      </c>
      <c r="B57" s="8" t="s">
        <v>82</v>
      </c>
      <c r="C57" s="9">
        <v>3599.0</v>
      </c>
      <c r="D57" s="9">
        <v>1628.6667089760303</v>
      </c>
      <c r="E57" s="10">
        <v>5436.0</v>
      </c>
      <c r="F57" s="11">
        <f t="shared" si="1"/>
        <v>0.6620676968</v>
      </c>
      <c r="G57" s="11">
        <f t="shared" si="2"/>
        <v>0.4525331228</v>
      </c>
      <c r="H57" s="11">
        <f t="shared" si="3"/>
        <v>0.2996075624</v>
      </c>
      <c r="I57" s="12"/>
      <c r="J57" s="17"/>
      <c r="K57" s="17"/>
      <c r="L57" s="17"/>
      <c r="M57" s="17"/>
      <c r="N57" s="17"/>
      <c r="O57" s="15"/>
      <c r="P57" s="18"/>
      <c r="Q57" s="18"/>
      <c r="S57" s="15"/>
    </row>
    <row r="58" ht="14.25" customHeight="1">
      <c r="A58" s="8">
        <v>20601.0</v>
      </c>
      <c r="B58" s="8" t="s">
        <v>83</v>
      </c>
      <c r="C58" s="9">
        <v>12250.0</v>
      </c>
      <c r="D58" s="9">
        <v>5424.444582819939</v>
      </c>
      <c r="E58" s="10">
        <v>23345.0</v>
      </c>
      <c r="F58" s="11">
        <f t="shared" si="1"/>
        <v>0.5247376312</v>
      </c>
      <c r="G58" s="11">
        <f t="shared" si="2"/>
        <v>0.4428118027</v>
      </c>
      <c r="H58" s="11">
        <f t="shared" si="3"/>
        <v>0.2323600164</v>
      </c>
      <c r="I58" s="12"/>
      <c r="J58" s="17"/>
      <c r="K58" s="17"/>
      <c r="L58" s="17"/>
      <c r="M58" s="17"/>
      <c r="N58" s="17"/>
      <c r="O58" s="15"/>
      <c r="P58" s="18"/>
      <c r="Q58" s="18"/>
      <c r="S58" s="15"/>
    </row>
    <row r="59" ht="14.25" customHeight="1">
      <c r="A59" s="8">
        <v>20602.0</v>
      </c>
      <c r="B59" s="8" t="s">
        <v>84</v>
      </c>
      <c r="C59" s="9">
        <v>6250.0</v>
      </c>
      <c r="D59" s="9">
        <v>2863.8889623880386</v>
      </c>
      <c r="E59" s="10">
        <v>14422.0</v>
      </c>
      <c r="F59" s="11">
        <f t="shared" si="1"/>
        <v>0.4333656913</v>
      </c>
      <c r="G59" s="11">
        <f t="shared" si="2"/>
        <v>0.458222234</v>
      </c>
      <c r="H59" s="11">
        <f t="shared" si="3"/>
        <v>0.1985777952</v>
      </c>
      <c r="I59" s="12"/>
      <c r="J59" s="17"/>
      <c r="K59" s="17"/>
      <c r="L59" s="17"/>
      <c r="M59" s="17"/>
      <c r="N59" s="17"/>
      <c r="O59" s="15"/>
      <c r="P59" s="18"/>
      <c r="Q59" s="18"/>
      <c r="S59" s="15"/>
    </row>
    <row r="60" ht="14.25" customHeight="1">
      <c r="A60" s="8">
        <v>20603.0</v>
      </c>
      <c r="B60" s="8" t="s">
        <v>85</v>
      </c>
      <c r="C60" s="9">
        <v>4478.0</v>
      </c>
      <c r="D60" s="9">
        <v>2007.1111617088318</v>
      </c>
      <c r="E60" s="10">
        <v>7903.0</v>
      </c>
      <c r="F60" s="11">
        <f t="shared" si="1"/>
        <v>0.5666202708</v>
      </c>
      <c r="G60" s="11">
        <f t="shared" si="2"/>
        <v>0.4482159807</v>
      </c>
      <c r="H60" s="11">
        <f t="shared" si="3"/>
        <v>0.2539682604</v>
      </c>
      <c r="I60" s="12"/>
      <c r="J60" s="17"/>
      <c r="K60" s="17"/>
      <c r="L60" s="17"/>
      <c r="M60" s="17"/>
      <c r="N60" s="17"/>
      <c r="O60" s="15"/>
      <c r="P60" s="18"/>
      <c r="Q60" s="18"/>
      <c r="S60" s="15"/>
    </row>
    <row r="61" ht="14.25" customHeight="1">
      <c r="A61" s="8">
        <v>20604.0</v>
      </c>
      <c r="B61" s="8" t="s">
        <v>86</v>
      </c>
      <c r="C61" s="9">
        <v>1487.0</v>
      </c>
      <c r="D61" s="9">
        <v>649.1111273169518</v>
      </c>
      <c r="E61" s="10">
        <v>2624.0</v>
      </c>
      <c r="F61" s="11">
        <f t="shared" si="1"/>
        <v>0.5666920732</v>
      </c>
      <c r="G61" s="11">
        <f t="shared" si="2"/>
        <v>0.4365239592</v>
      </c>
      <c r="H61" s="11">
        <f t="shared" si="3"/>
        <v>0.2473746674</v>
      </c>
      <c r="I61" s="12"/>
      <c r="J61" s="17"/>
      <c r="K61" s="17"/>
      <c r="L61" s="17"/>
      <c r="M61" s="17"/>
      <c r="N61" s="17"/>
      <c r="O61" s="15"/>
      <c r="P61" s="18"/>
      <c r="Q61" s="18"/>
      <c r="S61" s="15"/>
    </row>
    <row r="62" ht="14.25" customHeight="1">
      <c r="A62" s="8">
        <v>20605.0</v>
      </c>
      <c r="B62" s="8" t="s">
        <v>87</v>
      </c>
      <c r="C62" s="9">
        <v>1788.0</v>
      </c>
      <c r="D62" s="9">
        <v>732.000018209219</v>
      </c>
      <c r="E62" s="10">
        <v>3679.0</v>
      </c>
      <c r="F62" s="11">
        <f t="shared" si="1"/>
        <v>0.4860016309</v>
      </c>
      <c r="G62" s="11">
        <f t="shared" si="2"/>
        <v>0.4093959833</v>
      </c>
      <c r="H62" s="11">
        <f t="shared" si="3"/>
        <v>0.1989671156</v>
      </c>
      <c r="I62" s="12"/>
      <c r="J62" s="17"/>
      <c r="K62" s="17"/>
      <c r="L62" s="17"/>
      <c r="M62" s="17"/>
      <c r="N62" s="17"/>
      <c r="O62" s="15"/>
      <c r="P62" s="18"/>
      <c r="Q62" s="18"/>
      <c r="S62" s="15"/>
    </row>
    <row r="63" ht="14.25" customHeight="1">
      <c r="A63" s="8">
        <v>20606.0</v>
      </c>
      <c r="B63" s="8" t="s">
        <v>88</v>
      </c>
      <c r="C63" s="9">
        <v>2876.0</v>
      </c>
      <c r="D63" s="9">
        <v>1150.000028282404</v>
      </c>
      <c r="E63" s="10">
        <v>9784.0</v>
      </c>
      <c r="F63" s="11">
        <f t="shared" si="1"/>
        <v>0.293949305</v>
      </c>
      <c r="G63" s="11">
        <f t="shared" si="2"/>
        <v>0.3998609278</v>
      </c>
      <c r="H63" s="11">
        <f t="shared" si="3"/>
        <v>0.1175388418</v>
      </c>
      <c r="I63" s="12"/>
      <c r="J63" s="17"/>
      <c r="K63" s="17"/>
      <c r="L63" s="17"/>
      <c r="M63" s="17"/>
      <c r="N63" s="17"/>
      <c r="O63" s="15"/>
      <c r="P63" s="18"/>
      <c r="Q63" s="18"/>
      <c r="S63" s="15"/>
    </row>
    <row r="64" ht="14.25" customHeight="1">
      <c r="A64" s="8">
        <v>20607.0</v>
      </c>
      <c r="B64" s="8" t="s">
        <v>89</v>
      </c>
      <c r="C64" s="9">
        <v>3799.0</v>
      </c>
      <c r="D64" s="9">
        <v>1508.7778138816357</v>
      </c>
      <c r="E64" s="10">
        <v>13144.0</v>
      </c>
      <c r="F64" s="11">
        <f t="shared" si="1"/>
        <v>0.2890292149</v>
      </c>
      <c r="G64" s="11">
        <f t="shared" si="2"/>
        <v>0.3971513066</v>
      </c>
      <c r="H64" s="11">
        <f t="shared" si="3"/>
        <v>0.1147883303</v>
      </c>
      <c r="I64" s="12"/>
      <c r="J64" s="17"/>
      <c r="K64" s="17"/>
      <c r="L64" s="17"/>
      <c r="M64" s="17"/>
      <c r="N64" s="17"/>
      <c r="O64" s="15"/>
      <c r="P64" s="18"/>
      <c r="Q64" s="18"/>
      <c r="S64" s="15"/>
    </row>
    <row r="65" ht="14.25" customHeight="1">
      <c r="A65" s="8">
        <v>20608.0</v>
      </c>
      <c r="B65" s="8" t="s">
        <v>90</v>
      </c>
      <c r="C65" s="9">
        <v>5236.0</v>
      </c>
      <c r="D65" s="9">
        <v>2433.6667272746563</v>
      </c>
      <c r="E65" s="10">
        <v>9050.0</v>
      </c>
      <c r="F65" s="11">
        <f t="shared" si="1"/>
        <v>0.5785635359</v>
      </c>
      <c r="G65" s="11">
        <f t="shared" si="2"/>
        <v>0.4647950205</v>
      </c>
      <c r="H65" s="11">
        <f t="shared" si="3"/>
        <v>0.2689134505</v>
      </c>
      <c r="I65" s="12"/>
      <c r="J65" s="17"/>
      <c r="K65" s="17"/>
      <c r="L65" s="17"/>
      <c r="M65" s="17"/>
      <c r="N65" s="17"/>
      <c r="O65" s="15"/>
      <c r="P65" s="18"/>
      <c r="Q65" s="18"/>
      <c r="S65" s="15"/>
    </row>
    <row r="66" ht="14.25" customHeight="1">
      <c r="A66" s="8">
        <v>20701.0</v>
      </c>
      <c r="B66" s="8" t="s">
        <v>91</v>
      </c>
      <c r="C66" s="9">
        <v>10021.0</v>
      </c>
      <c r="D66" s="9">
        <v>4952.222354054451</v>
      </c>
      <c r="E66" s="10">
        <v>18505.0</v>
      </c>
      <c r="F66" s="11">
        <f t="shared" si="1"/>
        <v>0.5415293164</v>
      </c>
      <c r="G66" s="11">
        <f t="shared" si="2"/>
        <v>0.4941844481</v>
      </c>
      <c r="H66" s="11">
        <f t="shared" si="3"/>
        <v>0.2676153663</v>
      </c>
      <c r="I66" s="12"/>
      <c r="J66" s="17"/>
      <c r="K66" s="17"/>
      <c r="L66" s="17"/>
      <c r="M66" s="17"/>
      <c r="N66" s="17"/>
      <c r="O66" s="15"/>
      <c r="P66" s="18"/>
      <c r="Q66" s="18"/>
      <c r="S66" s="15"/>
    </row>
    <row r="67" ht="14.25" customHeight="1">
      <c r="A67" s="8">
        <v>20702.0</v>
      </c>
      <c r="B67" s="8" t="s">
        <v>92</v>
      </c>
      <c r="C67" s="9">
        <v>4294.0</v>
      </c>
      <c r="D67" s="9">
        <v>1998.8889411389828</v>
      </c>
      <c r="E67" s="10">
        <v>5992.0</v>
      </c>
      <c r="F67" s="11">
        <f t="shared" si="1"/>
        <v>0.7166221629</v>
      </c>
      <c r="G67" s="11">
        <f t="shared" si="2"/>
        <v>0.4655074386</v>
      </c>
      <c r="H67" s="11">
        <f t="shared" si="3"/>
        <v>0.3335929475</v>
      </c>
      <c r="I67" s="12"/>
      <c r="J67" s="17"/>
      <c r="K67" s="17"/>
      <c r="L67" s="17"/>
      <c r="M67" s="17"/>
      <c r="N67" s="17"/>
      <c r="O67" s="15"/>
      <c r="P67" s="18"/>
      <c r="Q67" s="18"/>
      <c r="S67" s="15"/>
    </row>
    <row r="68" ht="14.25" customHeight="1">
      <c r="A68" s="8">
        <v>20801.0</v>
      </c>
      <c r="B68" s="8" t="s">
        <v>93</v>
      </c>
      <c r="C68" s="9">
        <v>24036.0</v>
      </c>
      <c r="D68" s="9">
        <v>10004.111355185509</v>
      </c>
      <c r="E68" s="10">
        <v>78758.0</v>
      </c>
      <c r="F68" s="11">
        <f t="shared" si="1"/>
        <v>0.3051880444</v>
      </c>
      <c r="G68" s="11">
        <f t="shared" si="2"/>
        <v>0.4162136527</v>
      </c>
      <c r="H68" s="11">
        <f t="shared" si="3"/>
        <v>0.1270234307</v>
      </c>
      <c r="I68" s="12"/>
      <c r="J68" s="17"/>
      <c r="K68" s="17"/>
      <c r="L68" s="17"/>
      <c r="M68" s="17"/>
      <c r="N68" s="17"/>
      <c r="O68" s="15"/>
      <c r="P68" s="18"/>
      <c r="Q68" s="18"/>
      <c r="S68" s="15"/>
    </row>
    <row r="69" ht="14.25" customHeight="1">
      <c r="A69" s="8">
        <v>20802.0</v>
      </c>
      <c r="B69" s="8" t="s">
        <v>94</v>
      </c>
      <c r="C69" s="9">
        <v>2607.0</v>
      </c>
      <c r="D69" s="9">
        <v>1052.2222476303577</v>
      </c>
      <c r="E69" s="10">
        <v>7004.0</v>
      </c>
      <c r="F69" s="11">
        <f t="shared" si="1"/>
        <v>0.3722158766</v>
      </c>
      <c r="G69" s="11">
        <f t="shared" si="2"/>
        <v>0.4036142108</v>
      </c>
      <c r="H69" s="11">
        <f t="shared" si="3"/>
        <v>0.1502316173</v>
      </c>
      <c r="I69" s="12"/>
      <c r="J69" s="17"/>
      <c r="K69" s="17"/>
      <c r="L69" s="17"/>
      <c r="M69" s="17"/>
      <c r="N69" s="17"/>
      <c r="O69" s="15"/>
      <c r="P69" s="18"/>
      <c r="Q69" s="18"/>
      <c r="S69" s="15"/>
    </row>
    <row r="70" ht="14.25" customHeight="1">
      <c r="A70" s="8">
        <v>20803.0</v>
      </c>
      <c r="B70" s="8" t="s">
        <v>95</v>
      </c>
      <c r="C70" s="9">
        <v>5715.0</v>
      </c>
      <c r="D70" s="9">
        <v>2481.0000609457493</v>
      </c>
      <c r="E70" s="10">
        <v>12091.0</v>
      </c>
      <c r="F70" s="11">
        <f t="shared" si="1"/>
        <v>0.4726656191</v>
      </c>
      <c r="G70" s="11">
        <f t="shared" si="2"/>
        <v>0.4341207456</v>
      </c>
      <c r="H70" s="11">
        <f t="shared" si="3"/>
        <v>0.205193951</v>
      </c>
      <c r="I70" s="12"/>
      <c r="J70" s="17"/>
      <c r="K70" s="17"/>
      <c r="L70" s="17"/>
      <c r="M70" s="17"/>
      <c r="N70" s="17"/>
      <c r="O70" s="15"/>
      <c r="P70" s="18"/>
      <c r="Q70" s="18"/>
      <c r="S70" s="15"/>
    </row>
    <row r="71" ht="14.25" customHeight="1">
      <c r="A71" s="8">
        <v>20804.0</v>
      </c>
      <c r="B71" s="8" t="s">
        <v>96</v>
      </c>
      <c r="C71" s="9">
        <v>1746.0</v>
      </c>
      <c r="D71" s="9">
        <v>678.3333494365215</v>
      </c>
      <c r="E71" s="10">
        <v>6753.0</v>
      </c>
      <c r="F71" s="11">
        <f t="shared" si="1"/>
        <v>0.2585517548</v>
      </c>
      <c r="G71" s="11">
        <f t="shared" si="2"/>
        <v>0.388507073</v>
      </c>
      <c r="H71" s="11">
        <f t="shared" si="3"/>
        <v>0.1004491855</v>
      </c>
      <c r="I71" s="12"/>
      <c r="J71" s="17"/>
      <c r="K71" s="17"/>
      <c r="L71" s="17"/>
      <c r="M71" s="17"/>
      <c r="N71" s="17"/>
      <c r="O71" s="15"/>
      <c r="P71" s="18"/>
      <c r="Q71" s="18"/>
      <c r="S71" s="15"/>
    </row>
    <row r="72" ht="14.25" customHeight="1">
      <c r="A72" s="8">
        <v>20805.0</v>
      </c>
      <c r="B72" s="8" t="s">
        <v>97</v>
      </c>
      <c r="C72" s="9">
        <v>4104.0</v>
      </c>
      <c r="D72" s="9">
        <v>1761.0000444054604</v>
      </c>
      <c r="E72" s="10">
        <v>6081.0</v>
      </c>
      <c r="F72" s="11">
        <f t="shared" si="1"/>
        <v>0.6748889985</v>
      </c>
      <c r="G72" s="11">
        <f t="shared" si="2"/>
        <v>0.4290935781</v>
      </c>
      <c r="H72" s="11">
        <f t="shared" si="3"/>
        <v>0.2895905352</v>
      </c>
      <c r="I72" s="12"/>
      <c r="J72" s="17"/>
      <c r="K72" s="17"/>
      <c r="L72" s="17"/>
      <c r="M72" s="17"/>
      <c r="N72" s="17"/>
      <c r="O72" s="15"/>
      <c r="P72" s="18"/>
      <c r="Q72" s="18"/>
      <c r="S72" s="15"/>
    </row>
    <row r="73" ht="14.25" customHeight="1">
      <c r="A73" s="8">
        <v>20806.0</v>
      </c>
      <c r="B73" s="8" t="s">
        <v>98</v>
      </c>
      <c r="C73" s="9">
        <v>6887.0</v>
      </c>
      <c r="D73" s="9">
        <v>2905.6667361557484</v>
      </c>
      <c r="E73" s="10">
        <v>14970.0</v>
      </c>
      <c r="F73" s="11">
        <f t="shared" si="1"/>
        <v>0.4600534402</v>
      </c>
      <c r="G73" s="11">
        <f t="shared" si="2"/>
        <v>0.4219060166</v>
      </c>
      <c r="H73" s="11">
        <f t="shared" si="3"/>
        <v>0.1940993144</v>
      </c>
      <c r="I73" s="12"/>
      <c r="J73" s="17"/>
      <c r="K73" s="17"/>
      <c r="L73" s="17"/>
      <c r="M73" s="17"/>
      <c r="N73" s="17"/>
      <c r="O73" s="15"/>
      <c r="P73" s="18"/>
      <c r="Q73" s="18"/>
      <c r="S73" s="15"/>
    </row>
    <row r="74" ht="14.25" customHeight="1">
      <c r="A74" s="8">
        <v>20807.0</v>
      </c>
      <c r="B74" s="8" t="s">
        <v>99</v>
      </c>
      <c r="C74" s="9">
        <v>2699.0</v>
      </c>
      <c r="D74" s="9">
        <v>1110.3333606421947</v>
      </c>
      <c r="E74" s="10">
        <v>6567.0</v>
      </c>
      <c r="F74" s="11">
        <f t="shared" si="1"/>
        <v>0.4109943658</v>
      </c>
      <c r="G74" s="11">
        <f t="shared" si="2"/>
        <v>0.4113869436</v>
      </c>
      <c r="H74" s="11">
        <f t="shared" si="3"/>
        <v>0.1690777159</v>
      </c>
      <c r="I74" s="12"/>
      <c r="J74" s="17"/>
      <c r="K74" s="17"/>
      <c r="L74" s="17"/>
      <c r="M74" s="17"/>
      <c r="N74" s="17"/>
      <c r="O74" s="15"/>
      <c r="P74" s="18"/>
      <c r="Q74" s="18"/>
      <c r="S74" s="15"/>
    </row>
    <row r="75" ht="14.25" customHeight="1">
      <c r="A75" s="8">
        <v>20901.0</v>
      </c>
      <c r="B75" s="8" t="s">
        <v>100</v>
      </c>
      <c r="C75" s="9">
        <v>4579.0</v>
      </c>
      <c r="D75" s="9">
        <v>1949.0000480115414</v>
      </c>
      <c r="E75" s="10">
        <v>11050.0</v>
      </c>
      <c r="F75" s="11">
        <f t="shared" si="1"/>
        <v>0.4143891403</v>
      </c>
      <c r="G75" s="11">
        <f t="shared" si="2"/>
        <v>0.4256387962</v>
      </c>
      <c r="H75" s="11">
        <f t="shared" si="3"/>
        <v>0.1763800948</v>
      </c>
      <c r="I75" s="12"/>
      <c r="J75" s="17"/>
      <c r="K75" s="17"/>
      <c r="L75" s="17"/>
      <c r="M75" s="17"/>
      <c r="N75" s="17"/>
      <c r="O75" s="15"/>
      <c r="P75" s="18"/>
      <c r="Q75" s="18"/>
      <c r="S75" s="15"/>
    </row>
    <row r="76" ht="14.25" customHeight="1">
      <c r="A76" s="8">
        <v>20902.0</v>
      </c>
      <c r="B76" s="8" t="s">
        <v>101</v>
      </c>
      <c r="C76" s="9">
        <v>8321.0</v>
      </c>
      <c r="D76" s="9">
        <v>3682.3334257900715</v>
      </c>
      <c r="E76" s="10">
        <v>12395.0</v>
      </c>
      <c r="F76" s="11">
        <f t="shared" si="1"/>
        <v>0.6713190803</v>
      </c>
      <c r="G76" s="11">
        <f t="shared" si="2"/>
        <v>0.4425349628</v>
      </c>
      <c r="H76" s="11">
        <f t="shared" si="3"/>
        <v>0.2970821642</v>
      </c>
      <c r="I76" s="12"/>
      <c r="J76" s="17"/>
      <c r="K76" s="17"/>
      <c r="L76" s="17"/>
      <c r="M76" s="17"/>
      <c r="N76" s="17"/>
      <c r="O76" s="15"/>
      <c r="P76" s="18"/>
      <c r="Q76" s="18"/>
      <c r="S76" s="15"/>
    </row>
    <row r="77" ht="14.25" customHeight="1">
      <c r="A77" s="8">
        <v>20903.0</v>
      </c>
      <c r="B77" s="8" t="s">
        <v>102</v>
      </c>
      <c r="C77" s="9">
        <v>4241.0</v>
      </c>
      <c r="D77" s="9">
        <v>1802.4444893300533</v>
      </c>
      <c r="E77" s="10">
        <v>7218.0</v>
      </c>
      <c r="F77" s="11">
        <f t="shared" si="1"/>
        <v>0.5875588806</v>
      </c>
      <c r="G77" s="11">
        <f t="shared" si="2"/>
        <v>0.4250045955</v>
      </c>
      <c r="H77" s="11">
        <f t="shared" si="3"/>
        <v>0.2497152243</v>
      </c>
      <c r="I77" s="12"/>
      <c r="J77" s="17"/>
      <c r="K77" s="17"/>
      <c r="L77" s="17"/>
      <c r="M77" s="17"/>
      <c r="N77" s="17"/>
      <c r="O77" s="15"/>
      <c r="P77" s="18"/>
      <c r="Q77" s="18"/>
      <c r="S77" s="15"/>
    </row>
    <row r="78" ht="14.25" customHeight="1">
      <c r="A78" s="8">
        <v>20904.0</v>
      </c>
      <c r="B78" s="8" t="s">
        <v>103</v>
      </c>
      <c r="C78" s="9">
        <v>2670.0</v>
      </c>
      <c r="D78" s="9">
        <v>1129.4444734454155</v>
      </c>
      <c r="E78" s="10">
        <v>5006.0</v>
      </c>
      <c r="F78" s="11">
        <f t="shared" si="1"/>
        <v>0.533359968</v>
      </c>
      <c r="G78" s="11">
        <f t="shared" si="2"/>
        <v>0.4230129114</v>
      </c>
      <c r="H78" s="11">
        <f t="shared" si="3"/>
        <v>0.2256181529</v>
      </c>
      <c r="I78" s="12"/>
      <c r="J78" s="17"/>
      <c r="K78" s="17"/>
      <c r="L78" s="17"/>
      <c r="M78" s="17"/>
      <c r="N78" s="17"/>
      <c r="O78" s="15"/>
      <c r="P78" s="18"/>
      <c r="Q78" s="18"/>
      <c r="S78" s="15"/>
    </row>
    <row r="79" ht="14.25" customHeight="1">
      <c r="A79" s="8">
        <v>20905.0</v>
      </c>
      <c r="B79" s="8" t="s">
        <v>104</v>
      </c>
      <c r="C79" s="9">
        <v>5026.0</v>
      </c>
      <c r="D79" s="9">
        <v>2148.222277253866</v>
      </c>
      <c r="E79" s="10">
        <v>11241.0</v>
      </c>
      <c r="F79" s="11">
        <f t="shared" si="1"/>
        <v>0.4471132462</v>
      </c>
      <c r="G79" s="11">
        <f t="shared" si="2"/>
        <v>0.4274218618</v>
      </c>
      <c r="H79" s="11">
        <f t="shared" si="3"/>
        <v>0.1911059761</v>
      </c>
      <c r="I79" s="12"/>
      <c r="J79" s="17"/>
      <c r="K79" s="17"/>
      <c r="L79" s="17"/>
      <c r="M79" s="17"/>
      <c r="N79" s="17"/>
      <c r="O79" s="15"/>
      <c r="P79" s="18"/>
      <c r="Q79" s="18"/>
      <c r="S79" s="15"/>
    </row>
    <row r="80" ht="14.25" customHeight="1">
      <c r="A80" s="8">
        <v>21001.0</v>
      </c>
      <c r="B80" s="8" t="s">
        <v>105</v>
      </c>
      <c r="C80" s="9">
        <v>11256.0</v>
      </c>
      <c r="D80" s="9">
        <v>5545.44459092617</v>
      </c>
      <c r="E80" s="10">
        <v>14629.0</v>
      </c>
      <c r="F80" s="11">
        <f t="shared" si="1"/>
        <v>0.7694305831</v>
      </c>
      <c r="G80" s="11">
        <f t="shared" si="2"/>
        <v>0.4926656531</v>
      </c>
      <c r="H80" s="11">
        <f t="shared" si="3"/>
        <v>0.3790720207</v>
      </c>
      <c r="I80" s="12"/>
      <c r="J80" s="17"/>
      <c r="K80" s="17"/>
      <c r="L80" s="17"/>
      <c r="M80" s="17"/>
      <c r="N80" s="17"/>
      <c r="O80" s="15"/>
      <c r="P80" s="18"/>
      <c r="Q80" s="18"/>
      <c r="S80" s="15"/>
    </row>
    <row r="81" ht="14.25" customHeight="1">
      <c r="A81" s="8">
        <v>21002.0</v>
      </c>
      <c r="B81" s="8" t="s">
        <v>106</v>
      </c>
      <c r="C81" s="9">
        <v>3395.0</v>
      </c>
      <c r="D81" s="9">
        <v>1477.5555927157402</v>
      </c>
      <c r="E81" s="10">
        <v>8070.0</v>
      </c>
      <c r="F81" s="11">
        <f t="shared" si="1"/>
        <v>0.4206939281</v>
      </c>
      <c r="G81" s="11">
        <f t="shared" si="2"/>
        <v>0.4352151967</v>
      </c>
      <c r="H81" s="11">
        <f t="shared" si="3"/>
        <v>0.1830923907</v>
      </c>
      <c r="I81" s="12"/>
      <c r="J81" s="17"/>
      <c r="K81" s="17"/>
      <c r="L81" s="17"/>
      <c r="M81" s="17"/>
      <c r="N81" s="17"/>
      <c r="O81" s="15"/>
      <c r="P81" s="18"/>
      <c r="Q81" s="18"/>
      <c r="S81" s="15"/>
    </row>
    <row r="82" ht="14.25" customHeight="1">
      <c r="A82" s="8">
        <v>21003.0</v>
      </c>
      <c r="B82" s="8" t="s">
        <v>107</v>
      </c>
      <c r="C82" s="9">
        <v>3244.0</v>
      </c>
      <c r="D82" s="9">
        <v>1386.6667015254498</v>
      </c>
      <c r="E82" s="10">
        <v>10224.0</v>
      </c>
      <c r="F82" s="11">
        <f t="shared" si="1"/>
        <v>0.3172926448</v>
      </c>
      <c r="G82" s="11">
        <f t="shared" si="2"/>
        <v>0.4274558266</v>
      </c>
      <c r="H82" s="11">
        <f t="shared" si="3"/>
        <v>0.1356285897</v>
      </c>
      <c r="I82" s="12"/>
      <c r="J82" s="17"/>
      <c r="K82" s="17"/>
      <c r="L82" s="17"/>
      <c r="M82" s="17"/>
      <c r="N82" s="17"/>
      <c r="O82" s="15"/>
      <c r="P82" s="18"/>
      <c r="Q82" s="18"/>
      <c r="S82" s="15"/>
    </row>
    <row r="83" ht="14.25" customHeight="1">
      <c r="A83" s="8">
        <v>21004.0</v>
      </c>
      <c r="B83" s="8" t="s">
        <v>108</v>
      </c>
      <c r="C83" s="9">
        <v>9346.0</v>
      </c>
      <c r="D83" s="9">
        <v>4083.8889931738377</v>
      </c>
      <c r="E83" s="10">
        <v>19302.0</v>
      </c>
      <c r="F83" s="11">
        <f t="shared" si="1"/>
        <v>0.4841985286</v>
      </c>
      <c r="G83" s="11">
        <f t="shared" si="2"/>
        <v>0.436966509</v>
      </c>
      <c r="H83" s="11">
        <f t="shared" si="3"/>
        <v>0.2115785407</v>
      </c>
      <c r="I83" s="12"/>
      <c r="J83" s="17"/>
      <c r="K83" s="17"/>
      <c r="L83" s="17"/>
      <c r="M83" s="17"/>
      <c r="N83" s="17"/>
      <c r="O83" s="15"/>
      <c r="P83" s="18"/>
      <c r="Q83" s="18"/>
      <c r="S83" s="15"/>
    </row>
    <row r="84" ht="14.25" customHeight="1">
      <c r="A84" s="8">
        <v>21005.0</v>
      </c>
      <c r="B84" s="8" t="s">
        <v>109</v>
      </c>
      <c r="C84" s="9">
        <v>5422.0</v>
      </c>
      <c r="D84" s="9">
        <v>2595.888957709074</v>
      </c>
      <c r="E84" s="10">
        <v>7757.0</v>
      </c>
      <c r="F84" s="11">
        <f t="shared" si="1"/>
        <v>0.698981565</v>
      </c>
      <c r="G84" s="11">
        <f t="shared" si="2"/>
        <v>0.4787696344</v>
      </c>
      <c r="H84" s="11">
        <f t="shared" si="3"/>
        <v>0.3346511483</v>
      </c>
      <c r="I84" s="12"/>
      <c r="J84" s="17"/>
      <c r="K84" s="17"/>
      <c r="L84" s="17"/>
      <c r="M84" s="17"/>
      <c r="N84" s="17"/>
      <c r="O84" s="15"/>
      <c r="P84" s="18"/>
      <c r="Q84" s="18"/>
      <c r="S84" s="15"/>
    </row>
    <row r="85" ht="14.25" customHeight="1">
      <c r="A85" s="8">
        <v>21006.0</v>
      </c>
      <c r="B85" s="8" t="s">
        <v>110</v>
      </c>
      <c r="C85" s="9">
        <v>2526.0</v>
      </c>
      <c r="D85" s="9">
        <v>1175.0000301003456</v>
      </c>
      <c r="E85" s="10">
        <v>5459.0</v>
      </c>
      <c r="F85" s="11">
        <f t="shared" si="1"/>
        <v>0.4627221103</v>
      </c>
      <c r="G85" s="11">
        <f t="shared" si="2"/>
        <v>0.4651623239</v>
      </c>
      <c r="H85" s="11">
        <f t="shared" si="3"/>
        <v>0.2152408921</v>
      </c>
      <c r="I85" s="12"/>
      <c r="J85" s="17"/>
      <c r="K85" s="17"/>
      <c r="L85" s="17"/>
      <c r="M85" s="17"/>
      <c r="N85" s="17"/>
      <c r="O85" s="15"/>
      <c r="P85" s="18"/>
      <c r="Q85" s="18"/>
      <c r="S85" s="15"/>
    </row>
    <row r="86" ht="14.25" customHeight="1">
      <c r="A86" s="8">
        <v>21101.0</v>
      </c>
      <c r="B86" s="8" t="s">
        <v>111</v>
      </c>
      <c r="C86" s="9">
        <v>4864.0</v>
      </c>
      <c r="D86" s="9">
        <v>1996.000048995018</v>
      </c>
      <c r="E86" s="10">
        <v>17456.0</v>
      </c>
      <c r="F86" s="11">
        <f t="shared" si="1"/>
        <v>0.2786434464</v>
      </c>
      <c r="G86" s="11">
        <f t="shared" si="2"/>
        <v>0.4103618522</v>
      </c>
      <c r="H86" s="11">
        <f t="shared" si="3"/>
        <v>0.1143446408</v>
      </c>
      <c r="I86" s="12"/>
      <c r="J86" s="17"/>
      <c r="K86" s="17"/>
      <c r="L86" s="17"/>
      <c r="M86" s="17"/>
      <c r="N86" s="17"/>
      <c r="O86" s="15"/>
      <c r="P86" s="18"/>
      <c r="Q86" s="18"/>
      <c r="S86" s="15"/>
    </row>
    <row r="87" ht="14.25" customHeight="1">
      <c r="A87" s="8">
        <v>21102.0</v>
      </c>
      <c r="B87" s="8" t="s">
        <v>112</v>
      </c>
      <c r="C87" s="9">
        <v>6794.0</v>
      </c>
      <c r="D87" s="9">
        <v>3000.00007301569</v>
      </c>
      <c r="E87" s="10">
        <v>16725.0</v>
      </c>
      <c r="F87" s="11">
        <f t="shared" si="1"/>
        <v>0.4062182362</v>
      </c>
      <c r="G87" s="11">
        <f t="shared" si="2"/>
        <v>0.4415660985</v>
      </c>
      <c r="H87" s="11">
        <f t="shared" si="3"/>
        <v>0.1793722017</v>
      </c>
      <c r="I87" s="12"/>
      <c r="J87" s="17"/>
      <c r="K87" s="17"/>
      <c r="L87" s="17"/>
      <c r="M87" s="17"/>
      <c r="N87" s="17"/>
      <c r="O87" s="15"/>
      <c r="P87" s="18"/>
      <c r="Q87" s="18"/>
      <c r="S87" s="15"/>
    </row>
    <row r="88" ht="14.25" customHeight="1">
      <c r="A88" s="8">
        <v>21103.0</v>
      </c>
      <c r="B88" s="8" t="s">
        <v>113</v>
      </c>
      <c r="C88" s="9">
        <v>1554.0</v>
      </c>
      <c r="D88" s="9">
        <v>673.4444606006145</v>
      </c>
      <c r="E88" s="10">
        <v>6196.0</v>
      </c>
      <c r="F88" s="11">
        <f t="shared" si="1"/>
        <v>0.2508069722</v>
      </c>
      <c r="G88" s="11">
        <f t="shared" si="2"/>
        <v>0.4333619438</v>
      </c>
      <c r="H88" s="11">
        <f t="shared" si="3"/>
        <v>0.108690197</v>
      </c>
      <c r="I88" s="12"/>
      <c r="J88" s="17"/>
      <c r="K88" s="17"/>
      <c r="L88" s="17"/>
      <c r="M88" s="17"/>
      <c r="N88" s="17"/>
      <c r="O88" s="15"/>
      <c r="P88" s="18"/>
      <c r="Q88" s="18"/>
      <c r="S88" s="15"/>
    </row>
    <row r="89" ht="14.25" customHeight="1">
      <c r="A89" s="8">
        <v>21104.0</v>
      </c>
      <c r="B89" s="8" t="s">
        <v>114</v>
      </c>
      <c r="C89" s="9">
        <v>11016.0</v>
      </c>
      <c r="D89" s="9">
        <v>4982.666781693697</v>
      </c>
      <c r="E89" s="10">
        <v>24009.0</v>
      </c>
      <c r="F89" s="11">
        <f t="shared" si="1"/>
        <v>0.4588279395</v>
      </c>
      <c r="G89" s="11">
        <f t="shared" si="2"/>
        <v>0.4523117994</v>
      </c>
      <c r="H89" s="11">
        <f t="shared" si="3"/>
        <v>0.2075332909</v>
      </c>
      <c r="I89" s="12"/>
      <c r="J89" s="17"/>
      <c r="K89" s="17"/>
      <c r="L89" s="17"/>
      <c r="M89" s="17"/>
      <c r="N89" s="17"/>
      <c r="O89" s="15"/>
      <c r="P89" s="18"/>
      <c r="Q89" s="18"/>
      <c r="S89" s="15"/>
    </row>
    <row r="90" ht="14.25" customHeight="1">
      <c r="A90" s="8">
        <v>21105.0</v>
      </c>
      <c r="B90" s="8" t="s">
        <v>115</v>
      </c>
      <c r="C90" s="9">
        <v>30666.0</v>
      </c>
      <c r="D90" s="9">
        <v>14995.778160691261</v>
      </c>
      <c r="E90" s="10">
        <v>39583.0</v>
      </c>
      <c r="F90" s="11">
        <f t="shared" si="1"/>
        <v>0.774726524</v>
      </c>
      <c r="G90" s="11">
        <f t="shared" si="2"/>
        <v>0.4890033966</v>
      </c>
      <c r="H90" s="11">
        <f t="shared" si="3"/>
        <v>0.3788439017</v>
      </c>
      <c r="I90" s="12"/>
      <c r="J90" s="17"/>
      <c r="K90" s="17"/>
      <c r="L90" s="17"/>
      <c r="M90" s="17"/>
      <c r="N90" s="17"/>
      <c r="O90" s="15"/>
      <c r="P90" s="18"/>
      <c r="Q90" s="18"/>
      <c r="S90" s="15"/>
    </row>
    <row r="91" ht="14.25" customHeight="1">
      <c r="A91" s="8">
        <v>21201.0</v>
      </c>
      <c r="B91" s="8" t="s">
        <v>116</v>
      </c>
      <c r="C91" s="9">
        <v>15518.0</v>
      </c>
      <c r="D91" s="9">
        <v>6844.889062225819</v>
      </c>
      <c r="E91" s="10">
        <v>29868.0</v>
      </c>
      <c r="F91" s="11">
        <f t="shared" si="1"/>
        <v>0.5195526985</v>
      </c>
      <c r="G91" s="11">
        <f t="shared" si="2"/>
        <v>0.4410935083</v>
      </c>
      <c r="H91" s="11">
        <f t="shared" si="3"/>
        <v>0.2291713226</v>
      </c>
      <c r="I91" s="12"/>
      <c r="J91" s="17"/>
      <c r="K91" s="17"/>
      <c r="L91" s="17"/>
      <c r="M91" s="17"/>
      <c r="N91" s="17"/>
      <c r="O91" s="15"/>
      <c r="P91" s="18"/>
      <c r="Q91" s="18"/>
      <c r="S91" s="15"/>
    </row>
    <row r="92" ht="14.25" customHeight="1">
      <c r="A92" s="8">
        <v>21202.0</v>
      </c>
      <c r="B92" s="8" t="s">
        <v>117</v>
      </c>
      <c r="C92" s="9">
        <v>12721.0</v>
      </c>
      <c r="D92" s="9">
        <v>5430.222354918718</v>
      </c>
      <c r="E92" s="10">
        <v>24433.0</v>
      </c>
      <c r="F92" s="11">
        <f t="shared" si="1"/>
        <v>0.5206483035</v>
      </c>
      <c r="G92" s="11">
        <f t="shared" si="2"/>
        <v>0.4268707142</v>
      </c>
      <c r="H92" s="11">
        <f t="shared" si="3"/>
        <v>0.2222495132</v>
      </c>
      <c r="I92" s="12"/>
      <c r="J92" s="17"/>
      <c r="K92" s="17"/>
      <c r="L92" s="17"/>
      <c r="M92" s="17"/>
      <c r="N92" s="17"/>
      <c r="O92" s="15"/>
      <c r="P92" s="18"/>
      <c r="Q92" s="18"/>
      <c r="S92" s="15"/>
    </row>
    <row r="93" ht="14.25" customHeight="1">
      <c r="A93" s="8">
        <v>21203.0</v>
      </c>
      <c r="B93" s="8" t="s">
        <v>118</v>
      </c>
      <c r="C93" s="9">
        <v>6884.0</v>
      </c>
      <c r="D93" s="9">
        <v>2995.111187130213</v>
      </c>
      <c r="E93" s="10">
        <v>17366.0</v>
      </c>
      <c r="F93" s="11">
        <f t="shared" si="1"/>
        <v>0.3964067719</v>
      </c>
      <c r="G93" s="11">
        <f t="shared" si="2"/>
        <v>0.4350829731</v>
      </c>
      <c r="H93" s="11">
        <f t="shared" si="3"/>
        <v>0.1724698369</v>
      </c>
      <c r="I93" s="12"/>
      <c r="J93" s="17"/>
      <c r="K93" s="17"/>
      <c r="L93" s="17"/>
      <c r="M93" s="17"/>
      <c r="N93" s="17"/>
      <c r="O93" s="15"/>
      <c r="P93" s="18"/>
      <c r="Q93" s="18"/>
      <c r="S93" s="15"/>
    </row>
    <row r="94" ht="14.25" customHeight="1">
      <c r="A94" s="8">
        <v>21204.0</v>
      </c>
      <c r="B94" s="8" t="s">
        <v>119</v>
      </c>
      <c r="C94" s="9">
        <v>2847.0</v>
      </c>
      <c r="D94" s="9">
        <v>1139.888916671276</v>
      </c>
      <c r="E94" s="10">
        <v>6457.0</v>
      </c>
      <c r="F94" s="11">
        <f t="shared" si="1"/>
        <v>0.4409168344</v>
      </c>
      <c r="G94" s="11">
        <f t="shared" si="2"/>
        <v>0.4003824786</v>
      </c>
      <c r="H94" s="11">
        <f t="shared" si="3"/>
        <v>0.176535375</v>
      </c>
      <c r="I94" s="12"/>
      <c r="J94" s="17"/>
      <c r="K94" s="17"/>
      <c r="L94" s="17"/>
      <c r="M94" s="17"/>
      <c r="N94" s="17"/>
      <c r="O94" s="15"/>
      <c r="P94" s="18"/>
      <c r="Q94" s="18"/>
      <c r="S94" s="15"/>
    </row>
    <row r="95" ht="14.25" customHeight="1">
      <c r="A95" s="8">
        <v>21301.0</v>
      </c>
      <c r="B95" s="8" t="s">
        <v>120</v>
      </c>
      <c r="C95" s="9">
        <v>16749.0</v>
      </c>
      <c r="D95" s="9">
        <v>7286.555739253759</v>
      </c>
      <c r="E95" s="10">
        <v>31159.0</v>
      </c>
      <c r="F95" s="11">
        <f t="shared" si="1"/>
        <v>0.537533297</v>
      </c>
      <c r="G95" s="11">
        <f t="shared" si="2"/>
        <v>0.4350442259</v>
      </c>
      <c r="H95" s="11">
        <f t="shared" si="3"/>
        <v>0.2338507571</v>
      </c>
      <c r="I95" s="12"/>
      <c r="J95" s="17"/>
      <c r="K95" s="17"/>
      <c r="L95" s="17"/>
      <c r="M95" s="17"/>
      <c r="N95" s="17"/>
      <c r="O95" s="15"/>
      <c r="P95" s="18"/>
      <c r="Q95" s="18"/>
      <c r="S95" s="15"/>
    </row>
    <row r="96" ht="14.25" customHeight="1">
      <c r="A96" s="8">
        <v>21302.0</v>
      </c>
      <c r="B96" s="8" t="s">
        <v>121</v>
      </c>
      <c r="C96" s="9">
        <v>4974.0</v>
      </c>
      <c r="D96" s="9">
        <v>2209.222276687622</v>
      </c>
      <c r="E96" s="10">
        <v>8868.0</v>
      </c>
      <c r="F96" s="11">
        <f t="shared" si="1"/>
        <v>0.5608930988</v>
      </c>
      <c r="G96" s="11">
        <f t="shared" si="2"/>
        <v>0.4441540564</v>
      </c>
      <c r="H96" s="11">
        <f t="shared" si="3"/>
        <v>0.249122945</v>
      </c>
      <c r="I96" s="12"/>
      <c r="J96" s="17"/>
      <c r="K96" s="17"/>
      <c r="L96" s="17"/>
      <c r="M96" s="17"/>
      <c r="N96" s="17"/>
      <c r="O96" s="15"/>
      <c r="P96" s="18"/>
      <c r="Q96" s="18"/>
      <c r="S96" s="15"/>
    </row>
    <row r="97" ht="14.25" customHeight="1">
      <c r="A97" s="8">
        <v>21303.0</v>
      </c>
      <c r="B97" s="8" t="s">
        <v>122</v>
      </c>
      <c r="C97" s="9">
        <v>4698.0</v>
      </c>
      <c r="D97" s="9">
        <v>2112.3333847522736</v>
      </c>
      <c r="E97" s="10">
        <v>7768.0</v>
      </c>
      <c r="F97" s="11">
        <f t="shared" si="1"/>
        <v>0.6047888774</v>
      </c>
      <c r="G97" s="11">
        <f t="shared" si="2"/>
        <v>0.4496239644</v>
      </c>
      <c r="H97" s="11">
        <f t="shared" si="3"/>
        <v>0.2719275727</v>
      </c>
      <c r="I97" s="12"/>
      <c r="J97" s="17"/>
      <c r="K97" s="17"/>
      <c r="L97" s="17"/>
      <c r="M97" s="17"/>
      <c r="N97" s="17"/>
      <c r="O97" s="15"/>
      <c r="P97" s="18"/>
      <c r="Q97" s="18"/>
      <c r="S97" s="15"/>
    </row>
    <row r="98" ht="14.25" customHeight="1">
      <c r="A98" s="8">
        <v>21304.0</v>
      </c>
      <c r="B98" s="8" t="s">
        <v>123</v>
      </c>
      <c r="C98" s="9">
        <v>6021.0</v>
      </c>
      <c r="D98" s="9">
        <v>2584.1111747324467</v>
      </c>
      <c r="E98" s="10">
        <v>12344.0</v>
      </c>
      <c r="F98" s="11">
        <f t="shared" si="1"/>
        <v>0.4877673364</v>
      </c>
      <c r="G98" s="11">
        <f t="shared" si="2"/>
        <v>0.4291830551</v>
      </c>
      <c r="H98" s="11">
        <f t="shared" si="3"/>
        <v>0.2093414756</v>
      </c>
      <c r="I98" s="12"/>
      <c r="J98" s="17"/>
      <c r="K98" s="17"/>
      <c r="L98" s="17"/>
      <c r="M98" s="17"/>
      <c r="N98" s="17"/>
      <c r="O98" s="15"/>
      <c r="P98" s="18"/>
      <c r="Q98" s="18"/>
      <c r="S98" s="15"/>
    </row>
    <row r="99" ht="14.25" customHeight="1">
      <c r="A99" s="8">
        <v>21305.0</v>
      </c>
      <c r="B99" s="8" t="s">
        <v>124</v>
      </c>
      <c r="C99" s="9">
        <v>7579.0</v>
      </c>
      <c r="D99" s="9">
        <v>3194.666745722294</v>
      </c>
      <c r="E99" s="10">
        <v>22315.0</v>
      </c>
      <c r="F99" s="11">
        <f t="shared" si="1"/>
        <v>0.3396370155</v>
      </c>
      <c r="G99" s="11">
        <f t="shared" si="2"/>
        <v>0.4215156018</v>
      </c>
      <c r="H99" s="11">
        <f t="shared" si="3"/>
        <v>0.143162301</v>
      </c>
      <c r="I99" s="12"/>
      <c r="J99" s="17"/>
      <c r="K99" s="17"/>
      <c r="L99" s="17"/>
      <c r="M99" s="17"/>
      <c r="N99" s="17"/>
      <c r="O99" s="15"/>
      <c r="P99" s="18"/>
      <c r="Q99" s="18"/>
      <c r="S99" s="15"/>
    </row>
    <row r="100" ht="14.25" customHeight="1">
      <c r="A100" s="8">
        <v>21306.0</v>
      </c>
      <c r="B100" s="8" t="s">
        <v>125</v>
      </c>
      <c r="C100" s="9">
        <v>4967.0</v>
      </c>
      <c r="D100" s="9">
        <v>2159.5556083619595</v>
      </c>
      <c r="E100" s="10">
        <v>9862.0</v>
      </c>
      <c r="F100" s="11">
        <f t="shared" si="1"/>
        <v>0.5036503752</v>
      </c>
      <c r="G100" s="11">
        <f t="shared" si="2"/>
        <v>0.4347806741</v>
      </c>
      <c r="H100" s="11">
        <f t="shared" si="3"/>
        <v>0.2189774496</v>
      </c>
      <c r="I100" s="12"/>
      <c r="J100" s="17"/>
      <c r="K100" s="17"/>
      <c r="L100" s="17"/>
      <c r="M100" s="17"/>
      <c r="N100" s="17"/>
      <c r="O100" s="15"/>
      <c r="P100" s="18"/>
      <c r="Q100" s="18"/>
      <c r="S100" s="15"/>
    </row>
    <row r="101" ht="14.25" customHeight="1">
      <c r="A101" s="8">
        <v>21307.0</v>
      </c>
      <c r="B101" s="8" t="s">
        <v>126</v>
      </c>
      <c r="C101" s="9">
        <v>1965.0</v>
      </c>
      <c r="D101" s="9">
        <v>793.8889074623585</v>
      </c>
      <c r="E101" s="10">
        <v>4979.0</v>
      </c>
      <c r="F101" s="11">
        <f t="shared" si="1"/>
        <v>0.3946575618</v>
      </c>
      <c r="G101" s="11">
        <f t="shared" si="2"/>
        <v>0.4040147112</v>
      </c>
      <c r="H101" s="11">
        <f t="shared" si="3"/>
        <v>0.1594474608</v>
      </c>
      <c r="I101" s="12"/>
      <c r="J101" s="17"/>
      <c r="K101" s="17"/>
      <c r="L101" s="17"/>
      <c r="M101" s="17"/>
      <c r="N101" s="17"/>
      <c r="O101" s="15"/>
      <c r="P101" s="18"/>
      <c r="Q101" s="18"/>
      <c r="S101" s="15"/>
    </row>
    <row r="102" ht="14.25" customHeight="1">
      <c r="A102" s="8">
        <v>21401.0</v>
      </c>
      <c r="B102" s="8" t="s">
        <v>127</v>
      </c>
      <c r="C102" s="9">
        <v>6636.0</v>
      </c>
      <c r="D102" s="9">
        <v>2866.222291469574</v>
      </c>
      <c r="E102" s="10">
        <v>18727.0</v>
      </c>
      <c r="F102" s="11">
        <f t="shared" si="1"/>
        <v>0.3543546751</v>
      </c>
      <c r="G102" s="11">
        <f t="shared" si="2"/>
        <v>0.4319201765</v>
      </c>
      <c r="H102" s="11">
        <f t="shared" si="3"/>
        <v>0.1530529338</v>
      </c>
      <c r="I102" s="12"/>
      <c r="J102" s="17"/>
      <c r="K102" s="17"/>
      <c r="L102" s="17"/>
      <c r="M102" s="17"/>
      <c r="N102" s="17"/>
      <c r="O102" s="15"/>
      <c r="P102" s="18"/>
      <c r="Q102" s="18"/>
      <c r="S102" s="15"/>
    </row>
    <row r="103" ht="14.25" customHeight="1">
      <c r="A103" s="8">
        <v>21402.0</v>
      </c>
      <c r="B103" s="8" t="s">
        <v>128</v>
      </c>
      <c r="C103" s="9">
        <v>3583.0</v>
      </c>
      <c r="D103" s="9">
        <v>1449.0000386536121</v>
      </c>
      <c r="E103" s="10">
        <v>16768.0</v>
      </c>
      <c r="F103" s="11">
        <f t="shared" si="1"/>
        <v>0.2136808206</v>
      </c>
      <c r="G103" s="11">
        <f t="shared" si="2"/>
        <v>0.4044097233</v>
      </c>
      <c r="H103" s="11">
        <f t="shared" si="3"/>
        <v>0.08641460154</v>
      </c>
      <c r="I103" s="12"/>
      <c r="J103" s="17"/>
      <c r="K103" s="17"/>
      <c r="L103" s="17"/>
      <c r="M103" s="17"/>
      <c r="N103" s="17"/>
      <c r="O103" s="15"/>
      <c r="P103" s="18"/>
      <c r="Q103" s="18"/>
      <c r="S103" s="15"/>
    </row>
    <row r="104" ht="14.25" customHeight="1">
      <c r="A104" s="8">
        <v>21501.0</v>
      </c>
      <c r="B104" s="8" t="s">
        <v>129</v>
      </c>
      <c r="C104" s="9">
        <v>5038.0</v>
      </c>
      <c r="D104" s="9">
        <v>2340.7778393030167</v>
      </c>
      <c r="E104" s="10">
        <v>8338.0</v>
      </c>
      <c r="F104" s="11">
        <f t="shared" si="1"/>
        <v>0.6042216359</v>
      </c>
      <c r="G104" s="11">
        <f t="shared" si="2"/>
        <v>0.4646244223</v>
      </c>
      <c r="H104" s="11">
        <f t="shared" si="3"/>
        <v>0.2807361285</v>
      </c>
      <c r="I104" s="12"/>
      <c r="J104" s="17"/>
      <c r="K104" s="17"/>
      <c r="L104" s="17"/>
      <c r="M104" s="17"/>
      <c r="N104" s="17"/>
      <c r="O104" s="15"/>
      <c r="P104" s="18"/>
      <c r="Q104" s="18"/>
      <c r="S104" s="15"/>
    </row>
    <row r="105" ht="14.25" customHeight="1">
      <c r="A105" s="8">
        <v>21502.0</v>
      </c>
      <c r="B105" s="8" t="s">
        <v>130</v>
      </c>
      <c r="C105" s="9">
        <v>3092.0</v>
      </c>
      <c r="D105" s="9">
        <v>1405.7778135538101</v>
      </c>
      <c r="E105" s="10">
        <v>8214.0</v>
      </c>
      <c r="F105" s="11">
        <f t="shared" si="1"/>
        <v>0.3764304845</v>
      </c>
      <c r="G105" s="11">
        <f t="shared" si="2"/>
        <v>0.4546500044</v>
      </c>
      <c r="H105" s="11">
        <f t="shared" si="3"/>
        <v>0.1711441214</v>
      </c>
      <c r="I105" s="12"/>
      <c r="J105" s="17"/>
      <c r="K105" s="17"/>
      <c r="L105" s="17"/>
      <c r="M105" s="17"/>
      <c r="N105" s="17"/>
      <c r="O105" s="15"/>
      <c r="P105" s="18"/>
      <c r="Q105" s="18"/>
      <c r="S105" s="15"/>
    </row>
    <row r="106" ht="14.25" customHeight="1">
      <c r="A106" s="8">
        <v>21601.0</v>
      </c>
      <c r="B106" s="8" t="s">
        <v>131</v>
      </c>
      <c r="C106" s="9">
        <v>9339.0</v>
      </c>
      <c r="D106" s="9">
        <v>4279.444557398558</v>
      </c>
      <c r="E106" s="10">
        <v>12927.0</v>
      </c>
      <c r="F106" s="11">
        <f t="shared" si="1"/>
        <v>0.7224414017</v>
      </c>
      <c r="G106" s="11">
        <f t="shared" si="2"/>
        <v>0.4582337035</v>
      </c>
      <c r="H106" s="11">
        <f t="shared" si="3"/>
        <v>0.3310469991</v>
      </c>
      <c r="I106" s="12"/>
      <c r="J106" s="17"/>
      <c r="K106" s="17"/>
      <c r="L106" s="17"/>
      <c r="M106" s="17"/>
      <c r="N106" s="17"/>
      <c r="O106" s="15"/>
      <c r="P106" s="18"/>
      <c r="Q106" s="18"/>
      <c r="S106" s="15"/>
    </row>
    <row r="107" ht="14.25" customHeight="1">
      <c r="A107" s="8">
        <v>21602.0</v>
      </c>
      <c r="B107" s="8" t="s">
        <v>132</v>
      </c>
      <c r="C107" s="9">
        <v>2317.0</v>
      </c>
      <c r="D107" s="9">
        <v>1098.1111409664154</v>
      </c>
      <c r="E107" s="10">
        <v>3264.0</v>
      </c>
      <c r="F107" s="11">
        <f t="shared" si="1"/>
        <v>0.7098651961</v>
      </c>
      <c r="G107" s="11">
        <f t="shared" si="2"/>
        <v>0.4739366167</v>
      </c>
      <c r="H107" s="11">
        <f t="shared" si="3"/>
        <v>0.3364311094</v>
      </c>
      <c r="I107" s="12"/>
      <c r="J107" s="17"/>
      <c r="K107" s="17"/>
      <c r="L107" s="17"/>
      <c r="M107" s="17"/>
      <c r="N107" s="17"/>
      <c r="O107" s="15"/>
      <c r="P107" s="18"/>
      <c r="Q107" s="18"/>
      <c r="S107" s="15"/>
    </row>
    <row r="108" ht="14.25" customHeight="1">
      <c r="A108" s="8">
        <v>21701.0</v>
      </c>
      <c r="B108" s="8" t="s">
        <v>133</v>
      </c>
      <c r="C108" s="9">
        <v>4676.0</v>
      </c>
      <c r="D108" s="9">
        <v>1906.0000471770763</v>
      </c>
      <c r="E108" s="10">
        <v>14487.0</v>
      </c>
      <c r="F108" s="11">
        <f t="shared" si="1"/>
        <v>0.3227721405</v>
      </c>
      <c r="G108" s="11">
        <f t="shared" si="2"/>
        <v>0.4076133548</v>
      </c>
      <c r="H108" s="11">
        <f t="shared" si="3"/>
        <v>0.1315662351</v>
      </c>
      <c r="I108" s="12"/>
      <c r="J108" s="17"/>
      <c r="K108" s="17"/>
      <c r="L108" s="17"/>
      <c r="M108" s="17"/>
      <c r="N108" s="17"/>
      <c r="O108" s="15"/>
      <c r="P108" s="18"/>
      <c r="Q108" s="18"/>
      <c r="S108" s="15"/>
    </row>
    <row r="109" ht="14.25" customHeight="1">
      <c r="A109" s="8">
        <v>21702.0</v>
      </c>
      <c r="B109" s="8" t="s">
        <v>134</v>
      </c>
      <c r="C109" s="9">
        <v>2656.0</v>
      </c>
      <c r="D109" s="9">
        <v>1124.5555831491947</v>
      </c>
      <c r="E109" s="10">
        <v>5943.0</v>
      </c>
      <c r="F109" s="11">
        <f t="shared" si="1"/>
        <v>0.4469123338</v>
      </c>
      <c r="G109" s="11">
        <f t="shared" si="2"/>
        <v>0.4234019515</v>
      </c>
      <c r="H109" s="11">
        <f t="shared" si="3"/>
        <v>0.1892235543</v>
      </c>
      <c r="I109" s="12"/>
      <c r="J109" s="17"/>
      <c r="K109" s="17"/>
      <c r="L109" s="17"/>
      <c r="M109" s="17"/>
      <c r="N109" s="17"/>
      <c r="O109" s="15"/>
      <c r="P109" s="18"/>
      <c r="Q109" s="18"/>
      <c r="S109" s="15"/>
    </row>
    <row r="110" ht="14.25" customHeight="1">
      <c r="A110" s="8">
        <v>21703.0</v>
      </c>
      <c r="B110" s="8" t="s">
        <v>135</v>
      </c>
      <c r="C110" s="9">
        <v>3726.0</v>
      </c>
      <c r="D110" s="9">
        <v>1705.3333775699139</v>
      </c>
      <c r="E110" s="10">
        <v>6245.0</v>
      </c>
      <c r="F110" s="11">
        <f t="shared" si="1"/>
        <v>0.5966373098</v>
      </c>
      <c r="G110" s="11">
        <f t="shared" si="2"/>
        <v>0.4576847498</v>
      </c>
      <c r="H110" s="11">
        <f t="shared" si="3"/>
        <v>0.2730717978</v>
      </c>
      <c r="I110" s="12"/>
      <c r="J110" s="17"/>
      <c r="K110" s="17"/>
      <c r="L110" s="17"/>
      <c r="M110" s="17"/>
      <c r="N110" s="17"/>
      <c r="O110" s="15"/>
      <c r="P110" s="18"/>
      <c r="Q110" s="18"/>
      <c r="S110" s="15"/>
    </row>
    <row r="111" ht="14.25" customHeight="1">
      <c r="A111" s="8">
        <v>21801.0</v>
      </c>
      <c r="B111" s="8" t="s">
        <v>136</v>
      </c>
      <c r="C111" s="9">
        <v>6104.0</v>
      </c>
      <c r="D111" s="9">
        <v>2765.0000655055046</v>
      </c>
      <c r="E111" s="10">
        <v>8809.0</v>
      </c>
      <c r="F111" s="11">
        <f t="shared" si="1"/>
        <v>0.6929276876</v>
      </c>
      <c r="G111" s="11">
        <f t="shared" si="2"/>
        <v>0.4529816621</v>
      </c>
      <c r="H111" s="11">
        <f t="shared" si="3"/>
        <v>0.3138835356</v>
      </c>
      <c r="I111" s="12"/>
      <c r="J111" s="17"/>
      <c r="K111" s="17"/>
      <c r="L111" s="17"/>
      <c r="M111" s="17"/>
      <c r="N111" s="17"/>
      <c r="O111" s="15"/>
      <c r="P111" s="18"/>
      <c r="Q111" s="18"/>
      <c r="S111" s="15"/>
    </row>
    <row r="112" ht="14.25" customHeight="1">
      <c r="A112" s="8">
        <v>21802.0</v>
      </c>
      <c r="B112" s="8" t="s">
        <v>137</v>
      </c>
      <c r="C112" s="9">
        <v>3630.0</v>
      </c>
      <c r="D112" s="9">
        <v>1552.8889265060425</v>
      </c>
      <c r="E112" s="10">
        <v>6986.0</v>
      </c>
      <c r="F112" s="11">
        <f t="shared" si="1"/>
        <v>0.5196106499</v>
      </c>
      <c r="G112" s="11">
        <f t="shared" si="2"/>
        <v>0.4277930927</v>
      </c>
      <c r="H112" s="11">
        <f t="shared" si="3"/>
        <v>0.2222858469</v>
      </c>
      <c r="I112" s="12"/>
      <c r="J112" s="17"/>
      <c r="K112" s="17"/>
      <c r="L112" s="17"/>
      <c r="M112" s="17"/>
      <c r="N112" s="17"/>
      <c r="O112" s="15"/>
      <c r="P112" s="18"/>
      <c r="Q112" s="18"/>
      <c r="S112" s="15"/>
    </row>
    <row r="113" ht="14.25" customHeight="1">
      <c r="A113" s="8">
        <v>21803.0</v>
      </c>
      <c r="B113" s="8" t="s">
        <v>138</v>
      </c>
      <c r="C113" s="9">
        <v>1565.0</v>
      </c>
      <c r="D113" s="9">
        <v>696.00001719594</v>
      </c>
      <c r="E113" s="10">
        <v>2000.0</v>
      </c>
      <c r="F113" s="11">
        <f t="shared" si="1"/>
        <v>0.7825</v>
      </c>
      <c r="G113" s="11">
        <f t="shared" si="2"/>
        <v>0.4447284455</v>
      </c>
      <c r="H113" s="11">
        <f t="shared" si="3"/>
        <v>0.3480000086</v>
      </c>
      <c r="I113" s="12"/>
      <c r="J113" s="17"/>
      <c r="K113" s="17"/>
      <c r="L113" s="17"/>
      <c r="M113" s="17"/>
      <c r="N113" s="17"/>
      <c r="O113" s="15"/>
      <c r="P113" s="18"/>
      <c r="Q113" s="18"/>
      <c r="S113" s="15"/>
    </row>
    <row r="114" ht="14.25" customHeight="1">
      <c r="A114" s="8">
        <v>21901.0</v>
      </c>
      <c r="B114" s="8" t="s">
        <v>139</v>
      </c>
      <c r="C114" s="9">
        <v>2408.0</v>
      </c>
      <c r="D114" s="9">
        <v>1000.0000243186951</v>
      </c>
      <c r="E114" s="10">
        <v>4549.0</v>
      </c>
      <c r="F114" s="11">
        <f t="shared" si="1"/>
        <v>0.5293471093</v>
      </c>
      <c r="G114" s="11">
        <f t="shared" si="2"/>
        <v>0.4152824021</v>
      </c>
      <c r="H114" s="11">
        <f t="shared" si="3"/>
        <v>0.2198285391</v>
      </c>
      <c r="I114" s="12"/>
      <c r="J114" s="17"/>
      <c r="K114" s="17"/>
      <c r="L114" s="17"/>
      <c r="M114" s="17"/>
      <c r="N114" s="17"/>
      <c r="O114" s="15"/>
      <c r="P114" s="18"/>
      <c r="Q114" s="18"/>
      <c r="S114" s="15"/>
    </row>
    <row r="115" ht="14.25" customHeight="1">
      <c r="A115" s="8">
        <v>21902.0</v>
      </c>
      <c r="B115" s="8" t="s">
        <v>140</v>
      </c>
      <c r="C115" s="9">
        <v>1549.0</v>
      </c>
      <c r="D115" s="9">
        <v>654.6666826605797</v>
      </c>
      <c r="E115" s="10">
        <v>2860.0</v>
      </c>
      <c r="F115" s="11">
        <f t="shared" si="1"/>
        <v>0.5416083916</v>
      </c>
      <c r="G115" s="11">
        <f t="shared" si="2"/>
        <v>0.4226382716</v>
      </c>
      <c r="H115" s="11">
        <f t="shared" si="3"/>
        <v>0.2289044345</v>
      </c>
      <c r="I115" s="12"/>
      <c r="J115" s="17"/>
      <c r="K115" s="17"/>
      <c r="L115" s="17"/>
      <c r="M115" s="17"/>
      <c r="N115" s="17"/>
      <c r="O115" s="15"/>
      <c r="P115" s="18"/>
      <c r="Q115" s="18"/>
      <c r="S115" s="15"/>
    </row>
    <row r="116" ht="14.25" customHeight="1">
      <c r="A116" s="8">
        <v>22001.0</v>
      </c>
      <c r="B116" s="8" t="s">
        <v>141</v>
      </c>
      <c r="C116" s="9">
        <v>23026.0</v>
      </c>
      <c r="D116" s="9">
        <v>10144.333586364985</v>
      </c>
      <c r="E116" s="10">
        <v>49189.0</v>
      </c>
      <c r="F116" s="11">
        <f t="shared" si="1"/>
        <v>0.4681127894</v>
      </c>
      <c r="G116" s="11">
        <f t="shared" si="2"/>
        <v>0.4405599577</v>
      </c>
      <c r="H116" s="11">
        <f t="shared" si="3"/>
        <v>0.2062317507</v>
      </c>
      <c r="I116" s="12"/>
      <c r="J116" s="17"/>
      <c r="K116" s="17"/>
      <c r="L116" s="17"/>
      <c r="M116" s="17"/>
      <c r="N116" s="17"/>
      <c r="O116" s="15"/>
      <c r="P116" s="18"/>
      <c r="Q116" s="18"/>
      <c r="S116" s="15"/>
    </row>
    <row r="117" ht="14.25" customHeight="1">
      <c r="A117" s="8">
        <v>22002.0</v>
      </c>
      <c r="B117" s="8" t="s">
        <v>142</v>
      </c>
      <c r="C117" s="9">
        <v>6847.0</v>
      </c>
      <c r="D117" s="9">
        <v>3224.1111935675144</v>
      </c>
      <c r="E117" s="10">
        <v>10881.0</v>
      </c>
      <c r="F117" s="11">
        <f t="shared" si="1"/>
        <v>0.6292620164</v>
      </c>
      <c r="G117" s="11">
        <f t="shared" si="2"/>
        <v>0.4708793915</v>
      </c>
      <c r="H117" s="11">
        <f t="shared" si="3"/>
        <v>0.2963065154</v>
      </c>
      <c r="I117" s="12"/>
      <c r="J117" s="17"/>
      <c r="K117" s="17"/>
      <c r="L117" s="17"/>
      <c r="M117" s="17"/>
      <c r="N117" s="17"/>
      <c r="O117" s="15"/>
      <c r="P117" s="18"/>
      <c r="Q117" s="18"/>
      <c r="S117" s="15"/>
    </row>
    <row r="118" ht="14.25" customHeight="1">
      <c r="A118" s="8">
        <v>30101.0</v>
      </c>
      <c r="B118" s="8" t="s">
        <v>16</v>
      </c>
      <c r="C118" s="9">
        <v>136327.0</v>
      </c>
      <c r="D118" s="9">
        <v>54430.00136736035</v>
      </c>
      <c r="E118" s="10">
        <v>621184.0</v>
      </c>
      <c r="F118" s="11">
        <f t="shared" si="1"/>
        <v>0.2194631542</v>
      </c>
      <c r="G118" s="11">
        <f t="shared" si="2"/>
        <v>0.3992606114</v>
      </c>
      <c r="H118" s="11">
        <f t="shared" si="3"/>
        <v>0.08762299313</v>
      </c>
      <c r="I118" s="12"/>
      <c r="J118" s="17"/>
      <c r="K118" s="17"/>
      <c r="L118" s="17"/>
      <c r="M118" s="17"/>
      <c r="N118" s="17"/>
      <c r="O118" s="15"/>
      <c r="P118" s="18"/>
      <c r="Q118" s="18"/>
      <c r="S118" s="15"/>
    </row>
    <row r="119" ht="14.25" customHeight="1">
      <c r="A119" s="8">
        <v>30201.0</v>
      </c>
      <c r="B119" s="8" t="s">
        <v>143</v>
      </c>
      <c r="C119" s="9">
        <v>11231.0</v>
      </c>
      <c r="D119" s="9">
        <v>5563.666816949844</v>
      </c>
      <c r="E119" s="10">
        <v>23052.0</v>
      </c>
      <c r="F119" s="11">
        <f t="shared" si="1"/>
        <v>0.4872028457</v>
      </c>
      <c r="G119" s="11">
        <f t="shared" si="2"/>
        <v>0.4953848114</v>
      </c>
      <c r="H119" s="11">
        <f t="shared" si="3"/>
        <v>0.2413528899</v>
      </c>
      <c r="I119" s="12"/>
      <c r="J119" s="17"/>
      <c r="K119" s="17"/>
      <c r="L119" s="17"/>
      <c r="M119" s="17"/>
      <c r="N119" s="17"/>
      <c r="O119" s="15"/>
      <c r="P119" s="18"/>
      <c r="Q119" s="18"/>
      <c r="S119" s="15"/>
    </row>
    <row r="120" ht="14.25" customHeight="1">
      <c r="A120" s="8">
        <v>30202.0</v>
      </c>
      <c r="B120" s="8" t="s">
        <v>144</v>
      </c>
      <c r="C120" s="9">
        <v>3537.0</v>
      </c>
      <c r="D120" s="9">
        <v>1654.3333768546581</v>
      </c>
      <c r="E120" s="10">
        <v>6794.0</v>
      </c>
      <c r="F120" s="11">
        <f t="shared" si="1"/>
        <v>0.5206064174</v>
      </c>
      <c r="G120" s="11">
        <f t="shared" si="2"/>
        <v>0.4677221874</v>
      </c>
      <c r="H120" s="11">
        <f t="shared" si="3"/>
        <v>0.2434991723</v>
      </c>
      <c r="I120" s="12"/>
      <c r="J120" s="17"/>
      <c r="K120" s="17"/>
      <c r="L120" s="17"/>
      <c r="M120" s="17"/>
      <c r="N120" s="17"/>
      <c r="O120" s="15"/>
      <c r="P120" s="18"/>
      <c r="Q120" s="18"/>
      <c r="S120" s="15"/>
    </row>
    <row r="121" ht="14.25" customHeight="1">
      <c r="A121" s="8">
        <v>30203.0</v>
      </c>
      <c r="B121" s="8" t="s">
        <v>145</v>
      </c>
      <c r="C121" s="9">
        <v>2196.0</v>
      </c>
      <c r="D121" s="9">
        <v>1058.0000295937061</v>
      </c>
      <c r="E121" s="10">
        <v>5587.0</v>
      </c>
      <c r="F121" s="11">
        <f t="shared" si="1"/>
        <v>0.393055307</v>
      </c>
      <c r="G121" s="11">
        <f t="shared" si="2"/>
        <v>0.4817850772</v>
      </c>
      <c r="H121" s="11">
        <f t="shared" si="3"/>
        <v>0.1893681814</v>
      </c>
      <c r="I121" s="12"/>
      <c r="J121" s="17"/>
      <c r="K121" s="17"/>
      <c r="L121" s="17"/>
      <c r="M121" s="17"/>
      <c r="N121" s="17"/>
      <c r="O121" s="15"/>
      <c r="P121" s="18"/>
      <c r="Q121" s="18"/>
      <c r="S121" s="15"/>
    </row>
    <row r="122" ht="14.25" customHeight="1">
      <c r="A122" s="8">
        <v>30301.0</v>
      </c>
      <c r="B122" s="8" t="s">
        <v>146</v>
      </c>
      <c r="C122" s="9">
        <v>16200.0</v>
      </c>
      <c r="D122" s="9">
        <v>8050.222438544035</v>
      </c>
      <c r="E122" s="10">
        <v>23392.0</v>
      </c>
      <c r="F122" s="11">
        <f t="shared" si="1"/>
        <v>0.6925444596</v>
      </c>
      <c r="G122" s="11">
        <f t="shared" si="2"/>
        <v>0.496927311</v>
      </c>
      <c r="H122" s="11">
        <f t="shared" si="3"/>
        <v>0.3441442561</v>
      </c>
      <c r="I122" s="12"/>
      <c r="J122" s="17"/>
      <c r="K122" s="17"/>
      <c r="L122" s="17"/>
      <c r="M122" s="17"/>
      <c r="N122" s="17"/>
      <c r="O122" s="15"/>
      <c r="P122" s="18"/>
      <c r="Q122" s="18"/>
      <c r="S122" s="15"/>
    </row>
    <row r="123" ht="14.25" customHeight="1">
      <c r="A123" s="8">
        <v>30302.0</v>
      </c>
      <c r="B123" s="8" t="s">
        <v>147</v>
      </c>
      <c r="C123" s="9">
        <v>9506.0</v>
      </c>
      <c r="D123" s="9">
        <v>4905.222352743149</v>
      </c>
      <c r="E123" s="10">
        <v>12721.0</v>
      </c>
      <c r="F123" s="11">
        <f t="shared" si="1"/>
        <v>0.7472682965</v>
      </c>
      <c r="G123" s="11">
        <f t="shared" si="2"/>
        <v>0.5160132919</v>
      </c>
      <c r="H123" s="11">
        <f t="shared" si="3"/>
        <v>0.3856003736</v>
      </c>
      <c r="I123" s="12"/>
      <c r="J123" s="17"/>
      <c r="K123" s="17"/>
      <c r="L123" s="17"/>
      <c r="M123" s="17"/>
      <c r="N123" s="17"/>
      <c r="O123" s="15"/>
      <c r="P123" s="18"/>
      <c r="Q123" s="18"/>
      <c r="S123" s="15"/>
    </row>
    <row r="124" ht="14.25" customHeight="1">
      <c r="A124" s="8">
        <v>30303.0</v>
      </c>
      <c r="B124" s="8" t="s">
        <v>148</v>
      </c>
      <c r="C124" s="9">
        <v>14737.0</v>
      </c>
      <c r="D124" s="9">
        <v>7436.666867256165</v>
      </c>
      <c r="E124" s="10">
        <v>17556.0</v>
      </c>
      <c r="F124" s="11">
        <f t="shared" si="1"/>
        <v>0.8394281157</v>
      </c>
      <c r="G124" s="11">
        <f t="shared" si="2"/>
        <v>0.5046255593</v>
      </c>
      <c r="H124" s="11">
        <f t="shared" si="3"/>
        <v>0.4235968824</v>
      </c>
      <c r="I124" s="12"/>
      <c r="J124" s="17"/>
      <c r="K124" s="17"/>
      <c r="L124" s="17"/>
      <c r="M124" s="17"/>
      <c r="N124" s="17"/>
      <c r="O124" s="15"/>
      <c r="P124" s="18"/>
      <c r="Q124" s="18"/>
      <c r="S124" s="15"/>
    </row>
    <row r="125" ht="14.25" customHeight="1">
      <c r="A125" s="8">
        <v>30401.0</v>
      </c>
      <c r="B125" s="8" t="s">
        <v>149</v>
      </c>
      <c r="C125" s="9">
        <v>2949.0</v>
      </c>
      <c r="D125" s="9">
        <v>1379.222259402275</v>
      </c>
      <c r="E125" s="10">
        <v>7812.0</v>
      </c>
      <c r="F125" s="11">
        <f t="shared" si="1"/>
        <v>0.3774961598</v>
      </c>
      <c r="G125" s="11">
        <f t="shared" si="2"/>
        <v>0.4676915088</v>
      </c>
      <c r="H125" s="11">
        <f t="shared" si="3"/>
        <v>0.1765517485</v>
      </c>
      <c r="I125" s="12"/>
      <c r="J125" s="17"/>
      <c r="K125" s="17"/>
      <c r="L125" s="17"/>
      <c r="M125" s="17"/>
      <c r="N125" s="17"/>
      <c r="O125" s="15"/>
      <c r="P125" s="18"/>
      <c r="Q125" s="18"/>
      <c r="S125" s="15"/>
    </row>
    <row r="126" ht="14.25" customHeight="1">
      <c r="A126" s="8">
        <v>30402.0</v>
      </c>
      <c r="B126" s="8" t="s">
        <v>150</v>
      </c>
      <c r="C126" s="9">
        <v>5041.0</v>
      </c>
      <c r="D126" s="9">
        <v>2469.444512307644</v>
      </c>
      <c r="E126" s="10">
        <v>7161.0</v>
      </c>
      <c r="F126" s="11">
        <f t="shared" si="1"/>
        <v>0.703951962</v>
      </c>
      <c r="G126" s="11">
        <f t="shared" si="2"/>
        <v>0.4898719525</v>
      </c>
      <c r="H126" s="11">
        <f t="shared" si="3"/>
        <v>0.3448463221</v>
      </c>
      <c r="I126" s="12"/>
      <c r="J126" s="17"/>
      <c r="K126" s="17"/>
      <c r="L126" s="17"/>
      <c r="M126" s="17"/>
      <c r="N126" s="17"/>
      <c r="O126" s="15"/>
      <c r="P126" s="18"/>
      <c r="Q126" s="18"/>
      <c r="S126" s="15"/>
    </row>
    <row r="127" ht="14.25" customHeight="1">
      <c r="A127" s="8">
        <v>30403.0</v>
      </c>
      <c r="B127" s="8" t="s">
        <v>151</v>
      </c>
      <c r="C127" s="9">
        <v>6817.0</v>
      </c>
      <c r="D127" s="9">
        <v>3024.4445231854916</v>
      </c>
      <c r="E127" s="10">
        <v>17143.0</v>
      </c>
      <c r="F127" s="11">
        <f t="shared" si="1"/>
        <v>0.3976550195</v>
      </c>
      <c r="G127" s="11">
        <f t="shared" si="2"/>
        <v>0.4436620982</v>
      </c>
      <c r="H127" s="11">
        <f t="shared" si="3"/>
        <v>0.1764244603</v>
      </c>
      <c r="I127" s="12"/>
      <c r="J127" s="17"/>
      <c r="K127" s="17"/>
      <c r="L127" s="17"/>
      <c r="M127" s="17"/>
      <c r="N127" s="17"/>
      <c r="O127" s="15"/>
      <c r="P127" s="18"/>
      <c r="Q127" s="18"/>
      <c r="S127" s="15"/>
    </row>
    <row r="128" ht="14.25" customHeight="1">
      <c r="A128" s="8">
        <v>30404.0</v>
      </c>
      <c r="B128" s="8" t="s">
        <v>152</v>
      </c>
      <c r="C128" s="9">
        <v>2704.0</v>
      </c>
      <c r="D128" s="9">
        <v>1265.8889214396477</v>
      </c>
      <c r="E128" s="10">
        <v>4323.0</v>
      </c>
      <c r="F128" s="11">
        <f t="shared" si="1"/>
        <v>0.6254915568</v>
      </c>
      <c r="G128" s="11">
        <f t="shared" si="2"/>
        <v>0.4681541869</v>
      </c>
      <c r="H128" s="11">
        <f t="shared" si="3"/>
        <v>0.2928264912</v>
      </c>
      <c r="I128" s="12"/>
      <c r="J128" s="17"/>
      <c r="K128" s="17"/>
      <c r="L128" s="17"/>
      <c r="M128" s="17"/>
      <c r="N128" s="17"/>
      <c r="O128" s="15"/>
      <c r="P128" s="18"/>
      <c r="Q128" s="18"/>
      <c r="S128" s="15"/>
    </row>
    <row r="129" ht="14.25" customHeight="1">
      <c r="A129" s="8">
        <v>30501.0</v>
      </c>
      <c r="B129" s="8" t="s">
        <v>153</v>
      </c>
      <c r="C129" s="9">
        <v>2634.0</v>
      </c>
      <c r="D129" s="9">
        <v>1148.44447478652</v>
      </c>
      <c r="E129" s="10">
        <v>9404.0</v>
      </c>
      <c r="F129" s="11">
        <f t="shared" si="1"/>
        <v>0.2800935772</v>
      </c>
      <c r="G129" s="11">
        <f t="shared" si="2"/>
        <v>0.4360077733</v>
      </c>
      <c r="H129" s="11">
        <f t="shared" si="3"/>
        <v>0.1221229769</v>
      </c>
      <c r="I129" s="12"/>
      <c r="J129" s="17"/>
      <c r="K129" s="17"/>
      <c r="L129" s="17"/>
      <c r="M129" s="17"/>
      <c r="N129" s="17"/>
      <c r="O129" s="15"/>
      <c r="P129" s="18"/>
      <c r="Q129" s="18"/>
      <c r="S129" s="15"/>
    </row>
    <row r="130" ht="14.25" customHeight="1">
      <c r="A130" s="8">
        <v>30502.0</v>
      </c>
      <c r="B130" s="8" t="s">
        <v>154</v>
      </c>
      <c r="C130" s="9">
        <v>4741.0</v>
      </c>
      <c r="D130" s="9">
        <v>2108.555610537529</v>
      </c>
      <c r="E130" s="10">
        <v>8907.0</v>
      </c>
      <c r="F130" s="11">
        <f t="shared" si="1"/>
        <v>0.5322779836</v>
      </c>
      <c r="G130" s="11">
        <f t="shared" si="2"/>
        <v>0.4447491269</v>
      </c>
      <c r="H130" s="11">
        <f t="shared" si="3"/>
        <v>0.2367301685</v>
      </c>
      <c r="I130" s="12"/>
      <c r="J130" s="17"/>
      <c r="K130" s="17"/>
      <c r="L130" s="17"/>
      <c r="M130" s="17"/>
      <c r="N130" s="17"/>
      <c r="O130" s="15"/>
      <c r="P130" s="18"/>
      <c r="Q130" s="18"/>
      <c r="S130" s="15"/>
    </row>
    <row r="131" ht="14.25" customHeight="1">
      <c r="A131" s="8">
        <v>30601.0</v>
      </c>
      <c r="B131" s="8" t="s">
        <v>155</v>
      </c>
      <c r="C131" s="9">
        <v>8464.0</v>
      </c>
      <c r="D131" s="9">
        <v>4346.3334520459175</v>
      </c>
      <c r="E131" s="10">
        <v>10486.0</v>
      </c>
      <c r="F131" s="11">
        <f t="shared" si="1"/>
        <v>0.8071714667</v>
      </c>
      <c r="G131" s="11">
        <f t="shared" si="2"/>
        <v>0.5135082056</v>
      </c>
      <c r="H131" s="11">
        <f t="shared" si="3"/>
        <v>0.4144891715</v>
      </c>
      <c r="I131" s="12"/>
      <c r="J131" s="17"/>
      <c r="K131" s="17"/>
      <c r="L131" s="17"/>
      <c r="M131" s="17"/>
      <c r="N131" s="17"/>
      <c r="O131" s="15"/>
      <c r="P131" s="18"/>
      <c r="Q131" s="18"/>
      <c r="S131" s="15"/>
    </row>
    <row r="132" ht="14.25" customHeight="1">
      <c r="A132" s="8">
        <v>30602.0</v>
      </c>
      <c r="B132" s="8" t="s">
        <v>156</v>
      </c>
      <c r="C132" s="9">
        <v>7105.0</v>
      </c>
      <c r="D132" s="9">
        <v>3173.5556367635727</v>
      </c>
      <c r="E132" s="10">
        <v>10111.0</v>
      </c>
      <c r="F132" s="11">
        <f t="shared" si="1"/>
        <v>0.7027000297</v>
      </c>
      <c r="G132" s="11">
        <f t="shared" si="2"/>
        <v>0.4466651143</v>
      </c>
      <c r="H132" s="11">
        <f t="shared" si="3"/>
        <v>0.313871589</v>
      </c>
      <c r="I132" s="12"/>
      <c r="J132" s="17"/>
      <c r="K132" s="17"/>
      <c r="L132" s="17"/>
      <c r="M132" s="17"/>
      <c r="N132" s="17"/>
      <c r="O132" s="15"/>
      <c r="P132" s="18"/>
      <c r="Q132" s="18"/>
      <c r="S132" s="15"/>
    </row>
    <row r="133" ht="14.25" customHeight="1">
      <c r="A133" s="8">
        <v>30701.0</v>
      </c>
      <c r="B133" s="8" t="s">
        <v>157</v>
      </c>
      <c r="C133" s="9">
        <v>6591.0</v>
      </c>
      <c r="D133" s="9">
        <v>2990.222297668457</v>
      </c>
      <c r="E133" s="10">
        <v>19181.0</v>
      </c>
      <c r="F133" s="11">
        <f t="shared" si="1"/>
        <v>0.3436212919</v>
      </c>
      <c r="G133" s="11">
        <f t="shared" si="2"/>
        <v>0.4536826426</v>
      </c>
      <c r="H133" s="11">
        <f t="shared" si="3"/>
        <v>0.1558950158</v>
      </c>
      <c r="I133" s="12"/>
      <c r="J133" s="17"/>
      <c r="K133" s="17"/>
      <c r="L133" s="17"/>
      <c r="M133" s="17"/>
      <c r="N133" s="17"/>
      <c r="O133" s="15"/>
      <c r="P133" s="18"/>
      <c r="Q133" s="18"/>
      <c r="S133" s="15"/>
    </row>
    <row r="134" ht="14.25" customHeight="1">
      <c r="A134" s="8">
        <v>30702.0</v>
      </c>
      <c r="B134" s="8" t="s">
        <v>158</v>
      </c>
      <c r="C134" s="9">
        <v>2110.0</v>
      </c>
      <c r="D134" s="9">
        <v>926.8889124691486</v>
      </c>
      <c r="E134" s="10">
        <v>6368.0</v>
      </c>
      <c r="F134" s="11">
        <f t="shared" si="1"/>
        <v>0.3313442211</v>
      </c>
      <c r="G134" s="11">
        <f t="shared" si="2"/>
        <v>0.4392838448</v>
      </c>
      <c r="H134" s="11">
        <f t="shared" si="3"/>
        <v>0.1455541634</v>
      </c>
      <c r="I134" s="12"/>
      <c r="J134" s="17"/>
      <c r="K134" s="17"/>
      <c r="L134" s="17"/>
      <c r="M134" s="17"/>
      <c r="N134" s="17"/>
      <c r="O134" s="15"/>
      <c r="P134" s="18"/>
      <c r="Q134" s="18"/>
      <c r="S134" s="15"/>
    </row>
    <row r="135" ht="14.25" customHeight="1">
      <c r="A135" s="8">
        <v>30703.0</v>
      </c>
      <c r="B135" s="8" t="s">
        <v>159</v>
      </c>
      <c r="C135" s="9">
        <v>2136.0</v>
      </c>
      <c r="D135" s="9">
        <v>1010.2222499549389</v>
      </c>
      <c r="E135" s="10">
        <v>3717.0</v>
      </c>
      <c r="F135" s="11">
        <f t="shared" si="1"/>
        <v>0.5746569814</v>
      </c>
      <c r="G135" s="11">
        <f t="shared" si="2"/>
        <v>0.4729504916</v>
      </c>
      <c r="H135" s="11">
        <f t="shared" si="3"/>
        <v>0.2717843018</v>
      </c>
      <c r="I135" s="12"/>
      <c r="J135" s="17"/>
      <c r="K135" s="17"/>
      <c r="L135" s="17"/>
      <c r="M135" s="17"/>
      <c r="N135" s="17"/>
      <c r="O135" s="15"/>
      <c r="P135" s="18"/>
      <c r="Q135" s="18"/>
      <c r="S135" s="15"/>
    </row>
    <row r="136" ht="14.25" customHeight="1">
      <c r="A136" s="8">
        <v>30801.0</v>
      </c>
      <c r="B136" s="8" t="s">
        <v>160</v>
      </c>
      <c r="C136" s="9">
        <v>3361.0</v>
      </c>
      <c r="D136" s="9">
        <v>1280.8889215290546</v>
      </c>
      <c r="E136" s="10">
        <v>21768.0</v>
      </c>
      <c r="F136" s="11">
        <f t="shared" si="1"/>
        <v>0.1544009555</v>
      </c>
      <c r="G136" s="11">
        <f t="shared" si="2"/>
        <v>0.3811035173</v>
      </c>
      <c r="H136" s="11">
        <f t="shared" si="3"/>
        <v>0.05884274722</v>
      </c>
      <c r="I136" s="12"/>
      <c r="J136" s="17"/>
      <c r="K136" s="17"/>
      <c r="L136" s="17"/>
      <c r="M136" s="17"/>
      <c r="N136" s="17"/>
      <c r="O136" s="15"/>
      <c r="P136" s="18"/>
      <c r="Q136" s="18"/>
      <c r="S136" s="15"/>
    </row>
    <row r="137" ht="14.25" customHeight="1">
      <c r="A137" s="8">
        <v>30802.0</v>
      </c>
      <c r="B137" s="8" t="s">
        <v>161</v>
      </c>
      <c r="C137" s="9">
        <v>1987.0</v>
      </c>
      <c r="D137" s="9">
        <v>822.777798384428</v>
      </c>
      <c r="E137" s="10">
        <v>7034.0</v>
      </c>
      <c r="F137" s="11">
        <f t="shared" si="1"/>
        <v>0.2824850725</v>
      </c>
      <c r="G137" s="11">
        <f t="shared" si="2"/>
        <v>0.4140804219</v>
      </c>
      <c r="H137" s="11">
        <f t="shared" si="3"/>
        <v>0.116971538</v>
      </c>
      <c r="I137" s="12"/>
      <c r="J137" s="17"/>
      <c r="K137" s="17"/>
      <c r="L137" s="17"/>
      <c r="M137" s="17"/>
      <c r="N137" s="17"/>
      <c r="O137" s="15"/>
      <c r="P137" s="18"/>
      <c r="Q137" s="18"/>
      <c r="S137" s="15"/>
    </row>
    <row r="138" ht="14.25" customHeight="1">
      <c r="A138" s="8">
        <v>30803.0</v>
      </c>
      <c r="B138" s="8" t="s">
        <v>162</v>
      </c>
      <c r="C138" s="9">
        <v>1227.0</v>
      </c>
      <c r="D138" s="9">
        <v>480.6666785776615</v>
      </c>
      <c r="E138" s="10">
        <v>5130.0</v>
      </c>
      <c r="F138" s="11">
        <f t="shared" si="1"/>
        <v>0.2391812865</v>
      </c>
      <c r="G138" s="11">
        <f t="shared" si="2"/>
        <v>0.3917413843</v>
      </c>
      <c r="H138" s="11">
        <f t="shared" si="3"/>
        <v>0.0936972083</v>
      </c>
      <c r="I138" s="12"/>
      <c r="J138" s="17"/>
      <c r="K138" s="17"/>
      <c r="L138" s="17"/>
      <c r="M138" s="17"/>
      <c r="N138" s="17"/>
      <c r="O138" s="15"/>
      <c r="P138" s="18"/>
      <c r="Q138" s="18"/>
      <c r="S138" s="15"/>
    </row>
    <row r="139" ht="14.25" customHeight="1">
      <c r="A139" s="8">
        <v>30901.0</v>
      </c>
      <c r="B139" s="8" t="s">
        <v>163</v>
      </c>
      <c r="C139" s="9">
        <v>21689.0</v>
      </c>
      <c r="D139" s="9">
        <v>8645.111333757639</v>
      </c>
      <c r="E139" s="10">
        <v>134859.0</v>
      </c>
      <c r="F139" s="11">
        <f t="shared" si="1"/>
        <v>0.1608272344</v>
      </c>
      <c r="G139" s="11">
        <f t="shared" si="2"/>
        <v>0.3985942798</v>
      </c>
      <c r="H139" s="11">
        <f t="shared" si="3"/>
        <v>0.06410481565</v>
      </c>
      <c r="I139" s="12"/>
      <c r="J139" s="17"/>
      <c r="K139" s="17"/>
      <c r="L139" s="17"/>
      <c r="M139" s="17"/>
      <c r="N139" s="17"/>
      <c r="O139" s="15"/>
      <c r="P139" s="18"/>
      <c r="Q139" s="18"/>
      <c r="S139" s="15"/>
    </row>
    <row r="140" ht="14.25" customHeight="1">
      <c r="A140" s="8">
        <v>30902.0</v>
      </c>
      <c r="B140" s="8" t="s">
        <v>164</v>
      </c>
      <c r="C140" s="9">
        <v>11065.0</v>
      </c>
      <c r="D140" s="9">
        <v>4961.77790632844</v>
      </c>
      <c r="E140" s="10">
        <v>40929.0</v>
      </c>
      <c r="F140" s="11">
        <f t="shared" si="1"/>
        <v>0.2703462093</v>
      </c>
      <c r="G140" s="11">
        <f t="shared" si="2"/>
        <v>0.4484209585</v>
      </c>
      <c r="H140" s="11">
        <f t="shared" si="3"/>
        <v>0.1212289063</v>
      </c>
      <c r="I140" s="12"/>
      <c r="J140" s="17"/>
      <c r="K140" s="17"/>
      <c r="L140" s="17"/>
      <c r="M140" s="17"/>
      <c r="N140" s="17"/>
      <c r="O140" s="15"/>
      <c r="P140" s="18"/>
      <c r="Q140" s="18"/>
      <c r="S140" s="15"/>
    </row>
    <row r="141" ht="14.25" customHeight="1">
      <c r="A141" s="8">
        <v>30903.0</v>
      </c>
      <c r="B141" s="8" t="s">
        <v>165</v>
      </c>
      <c r="C141" s="9">
        <v>12908.0</v>
      </c>
      <c r="D141" s="9">
        <v>5263.222358137369</v>
      </c>
      <c r="E141" s="10">
        <v>52820.0</v>
      </c>
      <c r="F141" s="11">
        <f t="shared" si="1"/>
        <v>0.2443771299</v>
      </c>
      <c r="G141" s="11">
        <f t="shared" si="2"/>
        <v>0.4077488657</v>
      </c>
      <c r="H141" s="11">
        <f t="shared" si="3"/>
        <v>0.0996444975</v>
      </c>
      <c r="I141" s="12"/>
      <c r="J141" s="17"/>
      <c r="K141" s="17"/>
      <c r="L141" s="17"/>
      <c r="M141" s="17"/>
      <c r="N141" s="17"/>
      <c r="O141" s="15"/>
      <c r="P141" s="18"/>
      <c r="Q141" s="18"/>
      <c r="S141" s="15"/>
    </row>
    <row r="142" ht="14.25" customHeight="1">
      <c r="A142" s="8">
        <v>30904.0</v>
      </c>
      <c r="B142" s="8" t="s">
        <v>166</v>
      </c>
      <c r="C142" s="9">
        <v>13762.0</v>
      </c>
      <c r="D142" s="9">
        <v>5612.666808754206</v>
      </c>
      <c r="E142" s="10">
        <v>51404.0</v>
      </c>
      <c r="F142" s="11">
        <f t="shared" si="1"/>
        <v>0.2677223562</v>
      </c>
      <c r="G142" s="11">
        <f t="shared" si="2"/>
        <v>0.4078380184</v>
      </c>
      <c r="H142" s="11">
        <f t="shared" si="3"/>
        <v>0.1091873552</v>
      </c>
      <c r="I142" s="12"/>
      <c r="J142" s="17"/>
      <c r="K142" s="17"/>
      <c r="L142" s="17"/>
      <c r="M142" s="17"/>
      <c r="N142" s="17"/>
      <c r="O142" s="15"/>
      <c r="P142" s="18"/>
      <c r="Q142" s="18"/>
      <c r="S142" s="15"/>
    </row>
    <row r="143" ht="14.25" customHeight="1">
      <c r="A143" s="8">
        <v>30905.0</v>
      </c>
      <c r="B143" s="8" t="s">
        <v>167</v>
      </c>
      <c r="C143" s="9">
        <v>5378.0</v>
      </c>
      <c r="D143" s="9">
        <v>2002.222271591425</v>
      </c>
      <c r="E143" s="10">
        <v>51319.0</v>
      </c>
      <c r="F143" s="11">
        <f t="shared" si="1"/>
        <v>0.1047954948</v>
      </c>
      <c r="G143" s="11">
        <f t="shared" si="2"/>
        <v>0.3722986745</v>
      </c>
      <c r="H143" s="11">
        <f t="shared" si="3"/>
        <v>0.03901522383</v>
      </c>
      <c r="I143" s="12"/>
      <c r="J143" s="17"/>
      <c r="K143" s="17"/>
      <c r="L143" s="17"/>
      <c r="M143" s="17"/>
      <c r="N143" s="17"/>
      <c r="O143" s="15"/>
      <c r="P143" s="18"/>
      <c r="Q143" s="18"/>
      <c r="S143" s="15"/>
    </row>
    <row r="144" ht="14.25" customHeight="1">
      <c r="A144" s="8">
        <v>31001.0</v>
      </c>
      <c r="B144" s="8" t="s">
        <v>168</v>
      </c>
      <c r="C144" s="9">
        <v>39722.0</v>
      </c>
      <c r="D144" s="9">
        <v>16217.222635567188</v>
      </c>
      <c r="E144" s="10">
        <v>169736.0</v>
      </c>
      <c r="F144" s="11">
        <f t="shared" si="1"/>
        <v>0.2340222463</v>
      </c>
      <c r="G144" s="11">
        <f t="shared" si="2"/>
        <v>0.4082680287</v>
      </c>
      <c r="H144" s="11">
        <f t="shared" si="3"/>
        <v>0.09554380117</v>
      </c>
      <c r="I144" s="12"/>
      <c r="J144" s="17"/>
      <c r="K144" s="17"/>
      <c r="L144" s="17"/>
      <c r="M144" s="17"/>
      <c r="N144" s="17"/>
      <c r="O144" s="15"/>
      <c r="P144" s="18"/>
      <c r="Q144" s="18"/>
      <c r="S144" s="15"/>
    </row>
    <row r="145" ht="14.25" customHeight="1">
      <c r="A145" s="8">
        <v>31002.0</v>
      </c>
      <c r="B145" s="8" t="s">
        <v>169</v>
      </c>
      <c r="C145" s="9">
        <v>7826.0</v>
      </c>
      <c r="D145" s="9">
        <v>3544.3334226608276</v>
      </c>
      <c r="E145" s="10">
        <v>18733.0</v>
      </c>
      <c r="F145" s="11">
        <f t="shared" si="1"/>
        <v>0.4177654407</v>
      </c>
      <c r="G145" s="11">
        <f t="shared" si="2"/>
        <v>0.4528920806</v>
      </c>
      <c r="H145" s="11">
        <f t="shared" si="3"/>
        <v>0.1892026596</v>
      </c>
      <c r="I145" s="12"/>
      <c r="J145" s="17"/>
      <c r="K145" s="17"/>
      <c r="L145" s="17"/>
      <c r="M145" s="17"/>
      <c r="N145" s="17"/>
      <c r="O145" s="15"/>
      <c r="P145" s="18"/>
      <c r="Q145" s="18"/>
      <c r="S145" s="15"/>
    </row>
    <row r="146" ht="14.25" customHeight="1">
      <c r="A146" s="8">
        <v>31003.0</v>
      </c>
      <c r="B146" s="8" t="s">
        <v>170</v>
      </c>
      <c r="C146" s="9">
        <v>40884.0</v>
      </c>
      <c r="D146" s="9">
        <v>18416.11157116294</v>
      </c>
      <c r="E146" s="10">
        <v>69205.0</v>
      </c>
      <c r="F146" s="11">
        <f t="shared" si="1"/>
        <v>0.5907665631</v>
      </c>
      <c r="G146" s="11">
        <f t="shared" si="2"/>
        <v>0.4504478909</v>
      </c>
      <c r="H146" s="11">
        <f t="shared" si="3"/>
        <v>0.2661095524</v>
      </c>
      <c r="I146" s="12"/>
      <c r="J146" s="17"/>
      <c r="K146" s="17"/>
      <c r="L146" s="17"/>
      <c r="M146" s="17"/>
      <c r="N146" s="17"/>
      <c r="O146" s="15"/>
      <c r="P146" s="18"/>
      <c r="Q146" s="18"/>
      <c r="S146" s="15"/>
    </row>
    <row r="147" ht="14.25" customHeight="1">
      <c r="A147" s="8">
        <v>31101.0</v>
      </c>
      <c r="B147" s="8" t="s">
        <v>171</v>
      </c>
      <c r="C147" s="9">
        <v>19681.0</v>
      </c>
      <c r="D147" s="9">
        <v>9963.889157295227</v>
      </c>
      <c r="E147" s="10">
        <v>24401.0</v>
      </c>
      <c r="F147" s="11">
        <f t="shared" si="1"/>
        <v>0.8065653047</v>
      </c>
      <c r="G147" s="11">
        <f t="shared" si="2"/>
        <v>0.5062694557</v>
      </c>
      <c r="H147" s="11">
        <f t="shared" si="3"/>
        <v>0.4083393778</v>
      </c>
      <c r="I147" s="12"/>
      <c r="J147" s="17"/>
      <c r="K147" s="17"/>
      <c r="L147" s="17"/>
      <c r="M147" s="17"/>
      <c r="N147" s="17"/>
      <c r="O147" s="15"/>
      <c r="P147" s="18"/>
      <c r="Q147" s="18"/>
      <c r="S147" s="15"/>
    </row>
    <row r="148" ht="14.25" customHeight="1">
      <c r="A148" s="8">
        <v>31201.0</v>
      </c>
      <c r="B148" s="8" t="s">
        <v>172</v>
      </c>
      <c r="C148" s="9">
        <v>10333.0</v>
      </c>
      <c r="D148" s="9">
        <v>5243.444583415985</v>
      </c>
      <c r="E148" s="10">
        <v>14524.0</v>
      </c>
      <c r="F148" s="11">
        <f t="shared" si="1"/>
        <v>0.7114431286</v>
      </c>
      <c r="G148" s="11">
        <f t="shared" si="2"/>
        <v>0.5074464902</v>
      </c>
      <c r="H148" s="11">
        <f t="shared" si="3"/>
        <v>0.3610193186</v>
      </c>
      <c r="I148" s="12"/>
      <c r="J148" s="17"/>
      <c r="K148" s="17"/>
      <c r="L148" s="17"/>
      <c r="M148" s="17"/>
      <c r="N148" s="17"/>
      <c r="O148" s="15"/>
      <c r="P148" s="18"/>
      <c r="Q148" s="18"/>
      <c r="S148" s="15"/>
    </row>
    <row r="149" ht="14.25" customHeight="1">
      <c r="A149" s="8">
        <v>31202.0</v>
      </c>
      <c r="B149" s="8" t="s">
        <v>173</v>
      </c>
      <c r="C149" s="9">
        <v>7177.0</v>
      </c>
      <c r="D149" s="9">
        <v>3651.333432972431</v>
      </c>
      <c r="E149" s="10">
        <v>10072.0</v>
      </c>
      <c r="F149" s="11">
        <f t="shared" si="1"/>
        <v>0.7125694996</v>
      </c>
      <c r="G149" s="11">
        <f t="shared" si="2"/>
        <v>0.5087548325</v>
      </c>
      <c r="H149" s="11">
        <f t="shared" si="3"/>
        <v>0.3625231764</v>
      </c>
      <c r="I149" s="12"/>
      <c r="J149" s="17"/>
      <c r="K149" s="17"/>
      <c r="L149" s="17"/>
      <c r="M149" s="17"/>
      <c r="N149" s="17"/>
      <c r="O149" s="15"/>
      <c r="P149" s="18"/>
      <c r="Q149" s="18"/>
      <c r="S149" s="15"/>
    </row>
    <row r="150" ht="14.25" customHeight="1">
      <c r="A150" s="8">
        <v>31203.0</v>
      </c>
      <c r="B150" s="8" t="s">
        <v>174</v>
      </c>
      <c r="C150" s="9">
        <v>5443.0</v>
      </c>
      <c r="D150" s="9">
        <v>2426.6667278409004</v>
      </c>
      <c r="E150" s="10">
        <v>10538.0</v>
      </c>
      <c r="F150" s="11">
        <f t="shared" si="1"/>
        <v>0.516511672</v>
      </c>
      <c r="G150" s="11">
        <f t="shared" si="2"/>
        <v>0.4458325791</v>
      </c>
      <c r="H150" s="11">
        <f t="shared" si="3"/>
        <v>0.2302777309</v>
      </c>
      <c r="I150" s="12"/>
      <c r="J150" s="17"/>
      <c r="K150" s="17"/>
      <c r="L150" s="17"/>
      <c r="M150" s="17"/>
      <c r="N150" s="17"/>
      <c r="O150" s="15"/>
      <c r="P150" s="18"/>
      <c r="Q150" s="18"/>
      <c r="S150" s="15"/>
    </row>
    <row r="151" ht="14.25" customHeight="1">
      <c r="A151" s="8">
        <v>31204.0</v>
      </c>
      <c r="B151" s="8" t="s">
        <v>175</v>
      </c>
      <c r="C151" s="9">
        <v>10998.0</v>
      </c>
      <c r="D151" s="9">
        <v>5041.333465129137</v>
      </c>
      <c r="E151" s="10">
        <v>20691.0</v>
      </c>
      <c r="F151" s="11">
        <f t="shared" si="1"/>
        <v>0.5315354502</v>
      </c>
      <c r="G151" s="11">
        <f t="shared" si="2"/>
        <v>0.4583863853</v>
      </c>
      <c r="H151" s="11">
        <f t="shared" si="3"/>
        <v>0.2436486137</v>
      </c>
      <c r="I151" s="12"/>
      <c r="J151" s="17"/>
      <c r="K151" s="17"/>
      <c r="L151" s="17"/>
      <c r="M151" s="17"/>
      <c r="N151" s="17"/>
      <c r="O151" s="15"/>
      <c r="P151" s="18"/>
      <c r="Q151" s="18"/>
      <c r="S151" s="15"/>
    </row>
    <row r="152" ht="14.25" customHeight="1">
      <c r="A152" s="8">
        <v>31205.0</v>
      </c>
      <c r="B152" s="8" t="s">
        <v>176</v>
      </c>
      <c r="C152" s="9">
        <v>22345.0</v>
      </c>
      <c r="D152" s="9">
        <v>10017.889139473438</v>
      </c>
      <c r="E152" s="10">
        <v>45607.0</v>
      </c>
      <c r="F152" s="11">
        <f t="shared" si="1"/>
        <v>0.4899467187</v>
      </c>
      <c r="G152" s="11">
        <f t="shared" si="2"/>
        <v>0.4483279991</v>
      </c>
      <c r="H152" s="11">
        <f t="shared" si="3"/>
        <v>0.2196568321</v>
      </c>
      <c r="I152" s="12"/>
      <c r="J152" s="17"/>
      <c r="K152" s="17"/>
      <c r="L152" s="17"/>
      <c r="M152" s="17"/>
      <c r="N152" s="17"/>
      <c r="O152" s="15"/>
      <c r="P152" s="18"/>
      <c r="Q152" s="18"/>
      <c r="S152" s="15"/>
    </row>
    <row r="153" ht="14.25" customHeight="1">
      <c r="A153" s="8">
        <v>31206.0</v>
      </c>
      <c r="B153" s="8" t="s">
        <v>177</v>
      </c>
      <c r="C153" s="9">
        <v>15079.0</v>
      </c>
      <c r="D153" s="9">
        <v>6643.555715948343</v>
      </c>
      <c r="E153" s="10">
        <v>29584.0</v>
      </c>
      <c r="F153" s="11">
        <f t="shared" si="1"/>
        <v>0.5097011898</v>
      </c>
      <c r="G153" s="11">
        <f t="shared" si="2"/>
        <v>0.440583309</v>
      </c>
      <c r="H153" s="11">
        <f t="shared" si="3"/>
        <v>0.2245658368</v>
      </c>
      <c r="I153" s="12"/>
      <c r="J153" s="17"/>
      <c r="K153" s="17"/>
      <c r="L153" s="17"/>
      <c r="M153" s="17"/>
      <c r="N153" s="17"/>
      <c r="O153" s="15"/>
      <c r="P153" s="18"/>
      <c r="Q153" s="18"/>
      <c r="S153" s="15"/>
    </row>
    <row r="154" ht="14.25" customHeight="1">
      <c r="A154" s="8">
        <v>31301.0</v>
      </c>
      <c r="B154" s="8" t="s">
        <v>178</v>
      </c>
      <c r="C154" s="9">
        <v>10767.0</v>
      </c>
      <c r="D154" s="9">
        <v>5302.0001401007175</v>
      </c>
      <c r="E154" s="10">
        <v>19566.0</v>
      </c>
      <c r="F154" s="11">
        <f t="shared" si="1"/>
        <v>0.5502913217</v>
      </c>
      <c r="G154" s="11">
        <f t="shared" si="2"/>
        <v>0.4924305879</v>
      </c>
      <c r="H154" s="11">
        <f t="shared" si="3"/>
        <v>0.2709802791</v>
      </c>
      <c r="I154" s="12"/>
      <c r="J154" s="17"/>
      <c r="K154" s="17"/>
      <c r="L154" s="17"/>
      <c r="M154" s="17"/>
      <c r="N154" s="17"/>
      <c r="O154" s="15"/>
      <c r="P154" s="18"/>
      <c r="Q154" s="18"/>
      <c r="S154" s="15"/>
    </row>
    <row r="155" ht="14.25" customHeight="1">
      <c r="A155" s="8">
        <v>31302.0</v>
      </c>
      <c r="B155" s="8" t="s">
        <v>179</v>
      </c>
      <c r="C155" s="9">
        <v>4545.0</v>
      </c>
      <c r="D155" s="9">
        <v>2496.111179739237</v>
      </c>
      <c r="E155" s="10">
        <v>5416.0</v>
      </c>
      <c r="F155" s="11">
        <f t="shared" si="1"/>
        <v>0.8391802068</v>
      </c>
      <c r="G155" s="11">
        <f t="shared" si="2"/>
        <v>0.5491993795</v>
      </c>
      <c r="H155" s="11">
        <f t="shared" si="3"/>
        <v>0.4608772488</v>
      </c>
      <c r="I155" s="12"/>
      <c r="J155" s="17"/>
      <c r="K155" s="17"/>
      <c r="L155" s="17"/>
      <c r="M155" s="17"/>
      <c r="N155" s="17"/>
      <c r="O155" s="15"/>
      <c r="P155" s="18"/>
      <c r="Q155" s="18"/>
      <c r="S155" s="15"/>
    </row>
    <row r="156" ht="14.25" customHeight="1">
      <c r="A156" s="8">
        <v>31303.0</v>
      </c>
      <c r="B156" s="8" t="s">
        <v>180</v>
      </c>
      <c r="C156" s="9">
        <v>3068.0</v>
      </c>
      <c r="D156" s="9">
        <v>1635.7778209149837</v>
      </c>
      <c r="E156" s="10">
        <v>3418.0</v>
      </c>
      <c r="F156" s="11">
        <f t="shared" si="1"/>
        <v>0.8976009362</v>
      </c>
      <c r="G156" s="11">
        <f t="shared" si="2"/>
        <v>0.5331739964</v>
      </c>
      <c r="H156" s="11">
        <f t="shared" si="3"/>
        <v>0.4785774783</v>
      </c>
      <c r="I156" s="12"/>
      <c r="J156" s="17"/>
      <c r="K156" s="17"/>
      <c r="L156" s="17"/>
      <c r="M156" s="17"/>
      <c r="N156" s="17"/>
      <c r="O156" s="15"/>
      <c r="P156" s="18"/>
      <c r="Q156" s="18"/>
      <c r="S156" s="15"/>
    </row>
    <row r="157" ht="14.25" customHeight="1">
      <c r="A157" s="8">
        <v>31304.0</v>
      </c>
      <c r="B157" s="8" t="s">
        <v>181</v>
      </c>
      <c r="C157" s="9">
        <v>6625.0</v>
      </c>
      <c r="D157" s="9">
        <v>3953.8889941573143</v>
      </c>
      <c r="E157" s="10">
        <v>7021.0</v>
      </c>
      <c r="F157" s="11">
        <f t="shared" si="1"/>
        <v>0.9435977781</v>
      </c>
      <c r="G157" s="11">
        <f t="shared" si="2"/>
        <v>0.5968134331</v>
      </c>
      <c r="H157" s="11">
        <f t="shared" si="3"/>
        <v>0.5631518294</v>
      </c>
      <c r="I157" s="12"/>
      <c r="J157" s="17"/>
      <c r="K157" s="17"/>
      <c r="L157" s="17"/>
      <c r="M157" s="17"/>
      <c r="N157" s="17"/>
      <c r="O157" s="15"/>
      <c r="P157" s="18"/>
      <c r="Q157" s="18"/>
      <c r="S157" s="15"/>
    </row>
    <row r="158" ht="14.25" customHeight="1">
      <c r="A158" s="8">
        <v>31401.0</v>
      </c>
      <c r="B158" s="8" t="s">
        <v>182</v>
      </c>
      <c r="C158" s="9">
        <v>4381.0</v>
      </c>
      <c r="D158" s="9">
        <v>1696.111153781414</v>
      </c>
      <c r="E158" s="10">
        <v>28684.0</v>
      </c>
      <c r="F158" s="11">
        <f t="shared" si="1"/>
        <v>0.1527332311</v>
      </c>
      <c r="G158" s="11">
        <f t="shared" si="2"/>
        <v>0.3871515987</v>
      </c>
      <c r="H158" s="11">
        <f t="shared" si="3"/>
        <v>0.05913091458</v>
      </c>
      <c r="I158" s="12"/>
      <c r="J158" s="17"/>
      <c r="K158" s="17"/>
      <c r="L158" s="17"/>
      <c r="M158" s="17"/>
      <c r="N158" s="17"/>
      <c r="O158" s="15"/>
      <c r="P158" s="18"/>
      <c r="Q158" s="18"/>
      <c r="S158" s="15"/>
    </row>
    <row r="159" ht="14.25" customHeight="1">
      <c r="A159" s="8">
        <v>31402.0</v>
      </c>
      <c r="B159" s="8" t="s">
        <v>183</v>
      </c>
      <c r="C159" s="9">
        <v>2389.0</v>
      </c>
      <c r="D159" s="9">
        <v>938.5555788874626</v>
      </c>
      <c r="E159" s="10">
        <v>8123.0</v>
      </c>
      <c r="F159" s="11">
        <f t="shared" si="1"/>
        <v>0.2941031639</v>
      </c>
      <c r="G159" s="11">
        <f t="shared" si="2"/>
        <v>0.3928654579</v>
      </c>
      <c r="H159" s="11">
        <f t="shared" si="3"/>
        <v>0.1155429741</v>
      </c>
      <c r="I159" s="12"/>
      <c r="J159" s="17"/>
      <c r="K159" s="17"/>
      <c r="L159" s="17"/>
      <c r="M159" s="17"/>
      <c r="N159" s="17"/>
      <c r="O159" s="15"/>
      <c r="P159" s="18"/>
      <c r="Q159" s="18"/>
      <c r="S159" s="15"/>
    </row>
    <row r="160" ht="14.25" customHeight="1">
      <c r="A160" s="8">
        <v>31403.0</v>
      </c>
      <c r="B160" s="8" t="s">
        <v>184</v>
      </c>
      <c r="C160" s="9">
        <v>3129.0</v>
      </c>
      <c r="D160" s="9">
        <v>1245.555586129427</v>
      </c>
      <c r="E160" s="10">
        <v>13386.0</v>
      </c>
      <c r="F160" s="11">
        <f t="shared" si="1"/>
        <v>0.2337516809</v>
      </c>
      <c r="G160" s="11">
        <f t="shared" si="2"/>
        <v>0.3980682602</v>
      </c>
      <c r="H160" s="11">
        <f t="shared" si="3"/>
        <v>0.09304912492</v>
      </c>
      <c r="I160" s="12"/>
      <c r="J160" s="17"/>
      <c r="K160" s="17"/>
      <c r="L160" s="17"/>
      <c r="M160" s="17"/>
      <c r="N160" s="17"/>
      <c r="O160" s="15"/>
      <c r="P160" s="18"/>
      <c r="Q160" s="18"/>
      <c r="S160" s="15"/>
    </row>
    <row r="161" ht="14.25" customHeight="1">
      <c r="A161" s="8">
        <v>31404.0</v>
      </c>
      <c r="B161" s="8" t="s">
        <v>185</v>
      </c>
      <c r="C161" s="9">
        <v>625.0</v>
      </c>
      <c r="D161" s="9">
        <v>252.4444514811039</v>
      </c>
      <c r="E161" s="10">
        <v>1296.0</v>
      </c>
      <c r="F161" s="11">
        <f t="shared" si="1"/>
        <v>0.4822530864</v>
      </c>
      <c r="G161" s="11">
        <f t="shared" si="2"/>
        <v>0.4039111224</v>
      </c>
      <c r="H161" s="11">
        <f t="shared" si="3"/>
        <v>0.1947873854</v>
      </c>
      <c r="I161" s="12"/>
      <c r="J161" s="17"/>
      <c r="K161" s="17"/>
      <c r="L161" s="17"/>
      <c r="M161" s="17"/>
      <c r="N161" s="17"/>
      <c r="O161" s="15"/>
      <c r="P161" s="18"/>
      <c r="Q161" s="18"/>
      <c r="S161" s="15"/>
    </row>
    <row r="162" ht="14.25" customHeight="1">
      <c r="A162" s="8">
        <v>31405.0</v>
      </c>
      <c r="B162" s="8" t="s">
        <v>186</v>
      </c>
      <c r="C162" s="9">
        <v>1453.0</v>
      </c>
      <c r="D162" s="9">
        <v>641.1111262440681</v>
      </c>
      <c r="E162" s="10">
        <v>2758.0</v>
      </c>
      <c r="F162" s="11">
        <f t="shared" si="1"/>
        <v>0.526831037</v>
      </c>
      <c r="G162" s="11">
        <f t="shared" si="2"/>
        <v>0.441232709</v>
      </c>
      <c r="H162" s="11">
        <f t="shared" si="3"/>
        <v>0.2324550857</v>
      </c>
      <c r="I162" s="12"/>
      <c r="J162" s="17"/>
      <c r="K162" s="17"/>
      <c r="L162" s="17"/>
      <c r="M162" s="17"/>
      <c r="N162" s="17"/>
      <c r="O162" s="15"/>
      <c r="P162" s="18"/>
      <c r="Q162" s="18"/>
      <c r="S162" s="15"/>
    </row>
    <row r="163" ht="14.25" customHeight="1">
      <c r="A163" s="8">
        <v>31501.0</v>
      </c>
      <c r="B163" s="8" t="s">
        <v>187</v>
      </c>
      <c r="C163" s="9">
        <v>5355.0</v>
      </c>
      <c r="D163" s="9">
        <v>2472.333400398493</v>
      </c>
      <c r="E163" s="10">
        <v>7171.0</v>
      </c>
      <c r="F163" s="11">
        <f t="shared" si="1"/>
        <v>0.7467577744</v>
      </c>
      <c r="G163" s="11">
        <f t="shared" si="2"/>
        <v>0.4616869095</v>
      </c>
      <c r="H163" s="11">
        <f t="shared" si="3"/>
        <v>0.344768289</v>
      </c>
      <c r="I163" s="12"/>
      <c r="J163" s="17"/>
      <c r="K163" s="17"/>
      <c r="L163" s="17"/>
      <c r="M163" s="17"/>
      <c r="N163" s="17"/>
      <c r="O163" s="15"/>
      <c r="P163" s="18"/>
      <c r="Q163" s="18"/>
      <c r="S163" s="15"/>
    </row>
    <row r="164" ht="14.25" customHeight="1">
      <c r="A164" s="8">
        <v>31601.0</v>
      </c>
      <c r="B164" s="8" t="s">
        <v>188</v>
      </c>
      <c r="C164" s="9">
        <v>9077.0</v>
      </c>
      <c r="D164" s="9">
        <v>3939.5556552112103</v>
      </c>
      <c r="E164" s="10">
        <v>21085.0</v>
      </c>
      <c r="F164" s="11">
        <f t="shared" si="1"/>
        <v>0.430495613</v>
      </c>
      <c r="G164" s="11">
        <f t="shared" si="2"/>
        <v>0.4340151653</v>
      </c>
      <c r="H164" s="11">
        <f t="shared" si="3"/>
        <v>0.1868416246</v>
      </c>
      <c r="I164" s="12"/>
      <c r="J164" s="17"/>
      <c r="K164" s="17"/>
      <c r="L164" s="17"/>
      <c r="M164" s="17"/>
      <c r="N164" s="17"/>
      <c r="O164" s="15"/>
      <c r="P164" s="18"/>
      <c r="Q164" s="18"/>
      <c r="S164" s="15"/>
    </row>
    <row r="165" ht="14.25" customHeight="1">
      <c r="A165" s="8">
        <v>31602.0</v>
      </c>
      <c r="B165" s="8" t="s">
        <v>189</v>
      </c>
      <c r="C165" s="9">
        <v>8928.0</v>
      </c>
      <c r="D165" s="9">
        <v>3824.777872979641</v>
      </c>
      <c r="E165" s="10">
        <v>20303.0</v>
      </c>
      <c r="F165" s="11">
        <f t="shared" si="1"/>
        <v>0.4397379698</v>
      </c>
      <c r="G165" s="11">
        <f t="shared" si="2"/>
        <v>0.4284025395</v>
      </c>
      <c r="H165" s="11">
        <f t="shared" si="3"/>
        <v>0.188384863</v>
      </c>
      <c r="I165" s="12"/>
      <c r="J165" s="17"/>
      <c r="K165" s="17"/>
      <c r="L165" s="17"/>
      <c r="M165" s="17"/>
      <c r="N165" s="17"/>
      <c r="O165" s="15"/>
      <c r="P165" s="18"/>
      <c r="Q165" s="18"/>
      <c r="S165" s="15"/>
    </row>
    <row r="166" ht="14.25" customHeight="1">
      <c r="A166" s="8">
        <v>40101.0</v>
      </c>
      <c r="B166" s="8" t="s">
        <v>18</v>
      </c>
      <c r="C166" s="9">
        <v>30008.0</v>
      </c>
      <c r="D166" s="9">
        <v>12065.111412078142</v>
      </c>
      <c r="E166" s="10">
        <v>260331.0</v>
      </c>
      <c r="F166" s="11">
        <f t="shared" si="1"/>
        <v>0.1152686388</v>
      </c>
      <c r="G166" s="11">
        <f t="shared" si="2"/>
        <v>0.4020631636</v>
      </c>
      <c r="H166" s="11">
        <f t="shared" si="3"/>
        <v>0.04634527356</v>
      </c>
      <c r="I166" s="12"/>
      <c r="J166" s="17"/>
      <c r="K166" s="17"/>
      <c r="L166" s="17"/>
      <c r="M166" s="17"/>
      <c r="N166" s="17"/>
      <c r="O166" s="15"/>
      <c r="P166" s="18"/>
      <c r="Q166" s="18"/>
      <c r="S166" s="15"/>
    </row>
    <row r="167" ht="14.25" customHeight="1">
      <c r="A167" s="8">
        <v>40102.0</v>
      </c>
      <c r="B167" s="8" t="s">
        <v>190</v>
      </c>
      <c r="C167" s="9">
        <v>11771.0</v>
      </c>
      <c r="D167" s="9">
        <v>5237.666803628206</v>
      </c>
      <c r="E167" s="10">
        <v>22929.0</v>
      </c>
      <c r="F167" s="11">
        <f t="shared" si="1"/>
        <v>0.5133673514</v>
      </c>
      <c r="G167" s="11">
        <f t="shared" si="2"/>
        <v>0.4449636228</v>
      </c>
      <c r="H167" s="11">
        <f t="shared" si="3"/>
        <v>0.2284297965</v>
      </c>
      <c r="I167" s="12"/>
      <c r="J167" s="17"/>
      <c r="K167" s="17"/>
      <c r="L167" s="17"/>
      <c r="M167" s="17"/>
      <c r="N167" s="17"/>
      <c r="O167" s="15"/>
      <c r="P167" s="18"/>
      <c r="Q167" s="18"/>
      <c r="S167" s="15"/>
    </row>
    <row r="168" ht="14.25" customHeight="1">
      <c r="A168" s="8">
        <v>40103.0</v>
      </c>
      <c r="B168" s="8" t="s">
        <v>191</v>
      </c>
      <c r="C168" s="9">
        <v>7889.0</v>
      </c>
      <c r="D168" s="9">
        <v>3855.5556459128857</v>
      </c>
      <c r="E168" s="10">
        <v>8699.0</v>
      </c>
      <c r="F168" s="11">
        <f t="shared" si="1"/>
        <v>0.9068858489</v>
      </c>
      <c r="G168" s="11">
        <f t="shared" si="2"/>
        <v>0.4887255224</v>
      </c>
      <c r="H168" s="11">
        <f t="shared" si="3"/>
        <v>0.4432182602</v>
      </c>
      <c r="I168" s="12"/>
      <c r="J168" s="17"/>
      <c r="K168" s="17"/>
      <c r="L168" s="17"/>
      <c r="M168" s="17"/>
      <c r="N168" s="17"/>
      <c r="O168" s="15"/>
      <c r="P168" s="18"/>
      <c r="Q168" s="18"/>
      <c r="S168" s="15"/>
    </row>
    <row r="169" ht="14.25" customHeight="1">
      <c r="A169" s="8">
        <v>40104.0</v>
      </c>
      <c r="B169" s="8" t="s">
        <v>192</v>
      </c>
      <c r="C169" s="9">
        <v>6412.0</v>
      </c>
      <c r="D169" s="9">
        <v>2797.666738599539</v>
      </c>
      <c r="E169" s="10">
        <v>12775.0</v>
      </c>
      <c r="F169" s="11">
        <f t="shared" si="1"/>
        <v>0.5019178082</v>
      </c>
      <c r="G169" s="11">
        <f t="shared" si="2"/>
        <v>0.4363173329</v>
      </c>
      <c r="H169" s="11">
        <f t="shared" si="3"/>
        <v>0.2189954394</v>
      </c>
      <c r="I169" s="12"/>
      <c r="J169" s="17"/>
      <c r="K169" s="17"/>
      <c r="L169" s="17"/>
      <c r="M169" s="17"/>
      <c r="N169" s="17"/>
      <c r="O169" s="15"/>
      <c r="P169" s="18"/>
      <c r="Q169" s="18"/>
      <c r="S169" s="15"/>
    </row>
    <row r="170" ht="14.25" customHeight="1">
      <c r="A170" s="8">
        <v>40201.0</v>
      </c>
      <c r="B170" s="8" t="s">
        <v>193</v>
      </c>
      <c r="C170" s="9">
        <v>13302.0</v>
      </c>
      <c r="D170" s="9">
        <v>5837.6668128967285</v>
      </c>
      <c r="E170" s="10">
        <v>28084.0</v>
      </c>
      <c r="F170" s="11">
        <f t="shared" si="1"/>
        <v>0.4736504771</v>
      </c>
      <c r="G170" s="11">
        <f t="shared" si="2"/>
        <v>0.4388563233</v>
      </c>
      <c r="H170" s="11">
        <f t="shared" si="3"/>
        <v>0.2078645069</v>
      </c>
      <c r="I170" s="12"/>
      <c r="J170" s="17"/>
      <c r="K170" s="17"/>
      <c r="L170" s="17"/>
      <c r="M170" s="17"/>
      <c r="N170" s="17"/>
      <c r="O170" s="15"/>
      <c r="P170" s="18"/>
      <c r="Q170" s="18"/>
      <c r="S170" s="15"/>
    </row>
    <row r="171" ht="14.25" customHeight="1">
      <c r="A171" s="8">
        <v>40202.0</v>
      </c>
      <c r="B171" s="8" t="s">
        <v>194</v>
      </c>
      <c r="C171" s="9">
        <v>1972.0</v>
      </c>
      <c r="D171" s="9">
        <v>861.7777979969978</v>
      </c>
      <c r="E171" s="10">
        <v>3979.0</v>
      </c>
      <c r="F171" s="11">
        <f t="shared" si="1"/>
        <v>0.49560191</v>
      </c>
      <c r="G171" s="11">
        <f t="shared" si="2"/>
        <v>0.437006997</v>
      </c>
      <c r="H171" s="11">
        <f t="shared" si="3"/>
        <v>0.2165815024</v>
      </c>
      <c r="I171" s="12"/>
      <c r="J171" s="17"/>
      <c r="K171" s="17"/>
      <c r="L171" s="17"/>
      <c r="M171" s="17"/>
      <c r="N171" s="17"/>
      <c r="O171" s="15"/>
      <c r="P171" s="18"/>
      <c r="Q171" s="18"/>
      <c r="S171" s="15"/>
    </row>
    <row r="172" ht="14.25" customHeight="1">
      <c r="A172" s="8">
        <v>40301.0</v>
      </c>
      <c r="B172" s="8" t="s">
        <v>195</v>
      </c>
      <c r="C172" s="9">
        <v>6426.0</v>
      </c>
      <c r="D172" s="9">
        <v>3021.666743338108</v>
      </c>
      <c r="E172" s="10">
        <v>8988.0</v>
      </c>
      <c r="F172" s="11">
        <f t="shared" si="1"/>
        <v>0.714953271</v>
      </c>
      <c r="G172" s="11">
        <f t="shared" si="2"/>
        <v>0.470225139</v>
      </c>
      <c r="H172" s="11">
        <f t="shared" si="3"/>
        <v>0.3361890013</v>
      </c>
      <c r="I172" s="12"/>
      <c r="J172" s="17"/>
      <c r="K172" s="17"/>
      <c r="L172" s="17"/>
      <c r="M172" s="17"/>
      <c r="N172" s="17"/>
      <c r="O172" s="15"/>
      <c r="P172" s="18"/>
      <c r="Q172" s="18"/>
      <c r="S172" s="15"/>
    </row>
    <row r="173" ht="14.25" customHeight="1">
      <c r="A173" s="8">
        <v>40302.0</v>
      </c>
      <c r="B173" s="8" t="s">
        <v>196</v>
      </c>
      <c r="C173" s="9">
        <v>1292.0</v>
      </c>
      <c r="D173" s="9">
        <v>601.8889035284519</v>
      </c>
      <c r="E173" s="10">
        <v>1844.0</v>
      </c>
      <c r="F173" s="11">
        <f t="shared" si="1"/>
        <v>0.7006507592</v>
      </c>
      <c r="G173" s="11">
        <f t="shared" si="2"/>
        <v>0.4658582845</v>
      </c>
      <c r="H173" s="11">
        <f t="shared" si="3"/>
        <v>0.3264039607</v>
      </c>
      <c r="I173" s="12"/>
      <c r="J173" s="17"/>
      <c r="K173" s="17"/>
      <c r="L173" s="17"/>
      <c r="M173" s="17"/>
      <c r="N173" s="17"/>
      <c r="O173" s="15"/>
      <c r="P173" s="18"/>
      <c r="Q173" s="18"/>
      <c r="S173" s="15"/>
    </row>
    <row r="174" ht="14.25" customHeight="1">
      <c r="A174" s="8">
        <v>40401.0</v>
      </c>
      <c r="B174" s="8" t="s">
        <v>197</v>
      </c>
      <c r="C174" s="9">
        <v>1808.0</v>
      </c>
      <c r="D174" s="9">
        <v>775.3333524763584</v>
      </c>
      <c r="E174" s="10">
        <v>3916.0</v>
      </c>
      <c r="F174" s="11">
        <f t="shared" si="1"/>
        <v>0.4616956078</v>
      </c>
      <c r="G174" s="11">
        <f t="shared" si="2"/>
        <v>0.4288348188</v>
      </c>
      <c r="H174" s="11">
        <f t="shared" si="3"/>
        <v>0.1979911523</v>
      </c>
      <c r="I174" s="12"/>
      <c r="J174" s="17"/>
      <c r="K174" s="17"/>
      <c r="L174" s="17"/>
      <c r="M174" s="17"/>
      <c r="N174" s="17"/>
      <c r="O174" s="15"/>
      <c r="P174" s="18"/>
      <c r="Q174" s="18"/>
      <c r="S174" s="15"/>
    </row>
    <row r="175" ht="14.25" customHeight="1">
      <c r="A175" s="8">
        <v>40402.0</v>
      </c>
      <c r="B175" s="8" t="s">
        <v>198</v>
      </c>
      <c r="C175" s="9">
        <v>2830.0</v>
      </c>
      <c r="D175" s="9">
        <v>1247.6666974425316</v>
      </c>
      <c r="E175" s="10">
        <v>5139.0</v>
      </c>
      <c r="F175" s="11">
        <f t="shared" si="1"/>
        <v>0.5506907959</v>
      </c>
      <c r="G175" s="11">
        <f t="shared" si="2"/>
        <v>0.4408716245</v>
      </c>
      <c r="H175" s="11">
        <f t="shared" si="3"/>
        <v>0.2427839458</v>
      </c>
      <c r="I175" s="12"/>
      <c r="J175" s="17"/>
      <c r="K175" s="17"/>
      <c r="L175" s="17"/>
      <c r="M175" s="17"/>
      <c r="N175" s="17"/>
      <c r="O175" s="15"/>
      <c r="P175" s="18"/>
      <c r="Q175" s="18"/>
      <c r="S175" s="15"/>
    </row>
    <row r="176" ht="14.25" customHeight="1">
      <c r="A176" s="8">
        <v>40501.0</v>
      </c>
      <c r="B176" s="8" t="s">
        <v>199</v>
      </c>
      <c r="C176" s="9">
        <v>48.0</v>
      </c>
      <c r="D176" s="9">
        <v>17.333333760499954</v>
      </c>
      <c r="E176" s="10">
        <v>667.0</v>
      </c>
      <c r="F176" s="11">
        <f t="shared" si="1"/>
        <v>0.07196401799</v>
      </c>
      <c r="G176" s="11">
        <f t="shared" si="2"/>
        <v>0.36111112</v>
      </c>
      <c r="H176" s="11">
        <f t="shared" si="3"/>
        <v>0.02598700714</v>
      </c>
      <c r="I176" s="12"/>
      <c r="J176" s="17"/>
      <c r="K176" s="17"/>
      <c r="L176" s="17"/>
      <c r="M176" s="17"/>
      <c r="N176" s="17"/>
      <c r="O176" s="15"/>
      <c r="P176" s="18"/>
      <c r="Q176" s="18"/>
      <c r="S176" s="15"/>
    </row>
    <row r="177" ht="14.25" customHeight="1">
      <c r="A177" s="8">
        <v>40502.0</v>
      </c>
      <c r="B177" s="8" t="s">
        <v>200</v>
      </c>
      <c r="C177" s="9">
        <v>2928.0</v>
      </c>
      <c r="D177" s="9">
        <v>1334.4444772303104</v>
      </c>
      <c r="E177" s="10">
        <v>4199.0</v>
      </c>
      <c r="F177" s="11">
        <f t="shared" si="1"/>
        <v>0.6973088831</v>
      </c>
      <c r="G177" s="11">
        <f t="shared" si="2"/>
        <v>0.4557528952</v>
      </c>
      <c r="H177" s="11">
        <f t="shared" si="3"/>
        <v>0.3178005423</v>
      </c>
      <c r="I177" s="12"/>
      <c r="J177" s="17"/>
      <c r="K177" s="17"/>
      <c r="L177" s="17"/>
      <c r="M177" s="17"/>
      <c r="N177" s="17"/>
      <c r="O177" s="15"/>
      <c r="P177" s="18"/>
      <c r="Q177" s="18"/>
      <c r="S177" s="15"/>
    </row>
    <row r="178" ht="14.25" customHeight="1">
      <c r="A178" s="8">
        <v>40503.0</v>
      </c>
      <c r="B178" s="8" t="s">
        <v>201</v>
      </c>
      <c r="C178" s="9">
        <v>1234.0</v>
      </c>
      <c r="D178" s="9">
        <v>557.4444587528706</v>
      </c>
      <c r="E178" s="10">
        <v>1953.0</v>
      </c>
      <c r="F178" s="11">
        <f t="shared" si="1"/>
        <v>0.6318484383</v>
      </c>
      <c r="G178" s="11">
        <f t="shared" si="2"/>
        <v>0.451737811</v>
      </c>
      <c r="H178" s="11">
        <f t="shared" si="3"/>
        <v>0.2854298304</v>
      </c>
      <c r="I178" s="12"/>
      <c r="J178" s="17"/>
      <c r="K178" s="17"/>
      <c r="L178" s="17"/>
      <c r="M178" s="17"/>
      <c r="N178" s="17"/>
      <c r="O178" s="15"/>
      <c r="P178" s="18"/>
      <c r="Q178" s="18"/>
      <c r="S178" s="15"/>
    </row>
    <row r="179" ht="14.25" customHeight="1">
      <c r="A179" s="8">
        <v>40504.0</v>
      </c>
      <c r="B179" s="8" t="s">
        <v>202</v>
      </c>
      <c r="C179" s="9">
        <v>312.0</v>
      </c>
      <c r="D179" s="9">
        <v>130.55555874109268</v>
      </c>
      <c r="E179" s="10">
        <v>513.0</v>
      </c>
      <c r="F179" s="11">
        <f t="shared" si="1"/>
        <v>0.6081871345</v>
      </c>
      <c r="G179" s="11">
        <f t="shared" si="2"/>
        <v>0.4184473037</v>
      </c>
      <c r="H179" s="11">
        <f t="shared" si="3"/>
        <v>0.2544942666</v>
      </c>
      <c r="I179" s="12"/>
      <c r="J179" s="17"/>
      <c r="K179" s="17"/>
      <c r="L179" s="17"/>
      <c r="M179" s="17"/>
      <c r="N179" s="17"/>
      <c r="O179" s="15"/>
      <c r="P179" s="18"/>
      <c r="Q179" s="18"/>
      <c r="S179" s="15"/>
    </row>
    <row r="180" ht="14.25" customHeight="1">
      <c r="A180" s="8">
        <v>40505.0</v>
      </c>
      <c r="B180" s="8" t="s">
        <v>203</v>
      </c>
      <c r="C180" s="9">
        <v>954.0</v>
      </c>
      <c r="D180" s="9">
        <v>399.8888993859291</v>
      </c>
      <c r="E180" s="10">
        <v>2688.0</v>
      </c>
      <c r="F180" s="11">
        <f t="shared" si="1"/>
        <v>0.3549107143</v>
      </c>
      <c r="G180" s="11">
        <f t="shared" si="2"/>
        <v>0.4191707541</v>
      </c>
      <c r="H180" s="11">
        <f t="shared" si="3"/>
        <v>0.1487681917</v>
      </c>
      <c r="I180" s="12"/>
      <c r="J180" s="17"/>
      <c r="K180" s="17"/>
      <c r="L180" s="17"/>
      <c r="M180" s="17"/>
      <c r="N180" s="17"/>
      <c r="O180" s="15"/>
      <c r="P180" s="18"/>
      <c r="Q180" s="18"/>
      <c r="S180" s="15"/>
    </row>
    <row r="181" ht="14.25" customHeight="1">
      <c r="A181" s="8">
        <v>40601.0</v>
      </c>
      <c r="B181" s="8" t="s">
        <v>204</v>
      </c>
      <c r="C181" s="9">
        <v>2634.0</v>
      </c>
      <c r="D181" s="9">
        <v>1095.222247838974</v>
      </c>
      <c r="E181" s="10">
        <v>7225.0</v>
      </c>
      <c r="F181" s="11">
        <f t="shared" si="1"/>
        <v>0.364567474</v>
      </c>
      <c r="G181" s="11">
        <f t="shared" si="2"/>
        <v>0.4158019164</v>
      </c>
      <c r="H181" s="11">
        <f t="shared" si="3"/>
        <v>0.1515878544</v>
      </c>
      <c r="I181" s="12"/>
      <c r="J181" s="17"/>
      <c r="K181" s="17"/>
      <c r="L181" s="17"/>
      <c r="M181" s="17"/>
      <c r="N181" s="17"/>
      <c r="O181" s="15"/>
      <c r="P181" s="18"/>
      <c r="Q181" s="18"/>
      <c r="S181" s="15"/>
    </row>
    <row r="182" ht="14.25" customHeight="1">
      <c r="A182" s="8">
        <v>40602.0</v>
      </c>
      <c r="B182" s="8" t="s">
        <v>205</v>
      </c>
      <c r="C182" s="9">
        <v>2080.0</v>
      </c>
      <c r="D182" s="9">
        <v>870.0000211894512</v>
      </c>
      <c r="E182" s="10">
        <v>5933.0</v>
      </c>
      <c r="F182" s="11">
        <f t="shared" si="1"/>
        <v>0.3505814933</v>
      </c>
      <c r="G182" s="11">
        <f t="shared" si="2"/>
        <v>0.418269241</v>
      </c>
      <c r="H182" s="11">
        <f t="shared" si="3"/>
        <v>0.1466374551</v>
      </c>
      <c r="I182" s="12"/>
      <c r="J182" s="17"/>
      <c r="K182" s="17"/>
      <c r="L182" s="17"/>
      <c r="M182" s="17"/>
      <c r="N182" s="17"/>
      <c r="O182" s="15"/>
      <c r="P182" s="18"/>
      <c r="Q182" s="18"/>
      <c r="S182" s="15"/>
    </row>
    <row r="183" ht="14.25" customHeight="1">
      <c r="A183" s="8">
        <v>40603.0</v>
      </c>
      <c r="B183" s="8" t="s">
        <v>206</v>
      </c>
      <c r="C183" s="9">
        <v>933.0</v>
      </c>
      <c r="D183" s="9">
        <v>386.6666761636734</v>
      </c>
      <c r="E183" s="10">
        <v>3229.0</v>
      </c>
      <c r="F183" s="11">
        <f t="shared" si="1"/>
        <v>0.2889439455</v>
      </c>
      <c r="G183" s="11">
        <f t="shared" si="2"/>
        <v>0.4144337365</v>
      </c>
      <c r="H183" s="11">
        <f t="shared" si="3"/>
        <v>0.119748119</v>
      </c>
      <c r="I183" s="12"/>
      <c r="J183" s="17"/>
      <c r="K183" s="17"/>
      <c r="L183" s="17"/>
      <c r="M183" s="17"/>
      <c r="N183" s="17"/>
      <c r="O183" s="15"/>
      <c r="P183" s="18"/>
      <c r="Q183" s="18"/>
      <c r="S183" s="15"/>
    </row>
    <row r="184" ht="14.25" customHeight="1">
      <c r="A184" s="8">
        <v>40701.0</v>
      </c>
      <c r="B184" s="8" t="s">
        <v>207</v>
      </c>
      <c r="C184" s="9">
        <v>4491.0</v>
      </c>
      <c r="D184" s="9">
        <v>1798.5556001365185</v>
      </c>
      <c r="E184" s="10">
        <v>24170.0</v>
      </c>
      <c r="F184" s="11">
        <f t="shared" si="1"/>
        <v>0.185808854</v>
      </c>
      <c r="G184" s="11">
        <f t="shared" si="2"/>
        <v>0.4004799822</v>
      </c>
      <c r="H184" s="11">
        <f t="shared" si="3"/>
        <v>0.07441272653</v>
      </c>
      <c r="I184" s="12"/>
      <c r="J184" s="17"/>
      <c r="K184" s="17"/>
      <c r="L184" s="17"/>
      <c r="M184" s="17"/>
      <c r="N184" s="17"/>
      <c r="O184" s="15"/>
      <c r="P184" s="18"/>
      <c r="Q184" s="18"/>
      <c r="S184" s="15"/>
    </row>
    <row r="185" ht="14.25" customHeight="1">
      <c r="A185" s="8">
        <v>40702.0</v>
      </c>
      <c r="B185" s="8" t="s">
        <v>208</v>
      </c>
      <c r="C185" s="9">
        <v>1138.0</v>
      </c>
      <c r="D185" s="9">
        <v>466.4444557130337</v>
      </c>
      <c r="E185" s="10">
        <v>4740.0</v>
      </c>
      <c r="F185" s="11">
        <f t="shared" si="1"/>
        <v>0.2400843882</v>
      </c>
      <c r="G185" s="11">
        <f t="shared" si="2"/>
        <v>0.4098808925</v>
      </c>
      <c r="H185" s="11">
        <f t="shared" si="3"/>
        <v>0.09840600331</v>
      </c>
      <c r="I185" s="12"/>
      <c r="J185" s="17"/>
      <c r="K185" s="17"/>
      <c r="L185" s="17"/>
      <c r="M185" s="17"/>
      <c r="N185" s="17"/>
      <c r="O185" s="15"/>
      <c r="P185" s="18"/>
      <c r="Q185" s="18"/>
      <c r="S185" s="15"/>
    </row>
    <row r="186" ht="14.25" customHeight="1">
      <c r="A186" s="8">
        <v>40801.0</v>
      </c>
      <c r="B186" s="8" t="s">
        <v>209</v>
      </c>
      <c r="C186" s="9">
        <v>6447.0</v>
      </c>
      <c r="D186" s="9">
        <v>2717.333400040865</v>
      </c>
      <c r="E186" s="10">
        <v>11717.0</v>
      </c>
      <c r="F186" s="11">
        <f t="shared" si="1"/>
        <v>0.5502261671</v>
      </c>
      <c r="G186" s="11">
        <f t="shared" si="2"/>
        <v>0.421488041</v>
      </c>
      <c r="H186" s="11">
        <f t="shared" si="3"/>
        <v>0.2319137493</v>
      </c>
      <c r="I186" s="12"/>
      <c r="J186" s="17"/>
      <c r="K186" s="17"/>
      <c r="L186" s="17"/>
      <c r="M186" s="17"/>
      <c r="N186" s="17"/>
      <c r="O186" s="15"/>
      <c r="P186" s="18"/>
      <c r="Q186" s="18"/>
      <c r="S186" s="15"/>
    </row>
    <row r="187" ht="14.25" customHeight="1">
      <c r="A187" s="8">
        <v>40802.0</v>
      </c>
      <c r="B187" s="8" t="s">
        <v>210</v>
      </c>
      <c r="C187" s="9">
        <v>1729.0</v>
      </c>
      <c r="D187" s="9">
        <v>757.0000185966492</v>
      </c>
      <c r="E187" s="10">
        <v>2932.0</v>
      </c>
      <c r="F187" s="11">
        <f t="shared" si="1"/>
        <v>0.5896998636</v>
      </c>
      <c r="G187" s="11">
        <f t="shared" si="2"/>
        <v>0.4378253433</v>
      </c>
      <c r="H187" s="11">
        <f t="shared" si="3"/>
        <v>0.2581855452</v>
      </c>
      <c r="I187" s="12"/>
      <c r="J187" s="17"/>
      <c r="K187" s="17"/>
      <c r="L187" s="17"/>
      <c r="M187" s="17"/>
      <c r="N187" s="17"/>
      <c r="O187" s="15"/>
      <c r="P187" s="18"/>
      <c r="Q187" s="18"/>
      <c r="S187" s="15"/>
    </row>
    <row r="188" ht="14.25" customHeight="1">
      <c r="A188" s="8">
        <v>40901.0</v>
      </c>
      <c r="B188" s="8" t="s">
        <v>211</v>
      </c>
      <c r="C188" s="9">
        <v>3601.0</v>
      </c>
      <c r="D188" s="9">
        <v>1520.6667042970657</v>
      </c>
      <c r="E188" s="10">
        <v>7804.0</v>
      </c>
      <c r="F188" s="11">
        <f t="shared" si="1"/>
        <v>0.4614300359</v>
      </c>
      <c r="G188" s="11">
        <f t="shared" si="2"/>
        <v>0.4222901151</v>
      </c>
      <c r="H188" s="11">
        <f t="shared" si="3"/>
        <v>0.1948573429</v>
      </c>
      <c r="I188" s="12"/>
      <c r="J188" s="17"/>
      <c r="K188" s="17"/>
      <c r="L188" s="17"/>
      <c r="M188" s="17"/>
      <c r="N188" s="17"/>
      <c r="O188" s="15"/>
      <c r="P188" s="18"/>
      <c r="Q188" s="18"/>
      <c r="S188" s="15"/>
    </row>
    <row r="189" ht="14.25" customHeight="1">
      <c r="A189" s="8">
        <v>40902.0</v>
      </c>
      <c r="B189" s="8" t="s">
        <v>212</v>
      </c>
      <c r="C189" s="9">
        <v>467.0</v>
      </c>
      <c r="D189" s="9">
        <v>198.88889434933662</v>
      </c>
      <c r="E189" s="10">
        <v>874.0</v>
      </c>
      <c r="F189" s="11">
        <f t="shared" si="1"/>
        <v>0.5343249428</v>
      </c>
      <c r="G189" s="11">
        <f t="shared" si="2"/>
        <v>0.4258862834</v>
      </c>
      <c r="H189" s="11">
        <f t="shared" si="3"/>
        <v>0.227561664</v>
      </c>
      <c r="I189" s="12"/>
      <c r="J189" s="17"/>
      <c r="K189" s="17"/>
      <c r="L189" s="17"/>
      <c r="M189" s="17"/>
      <c r="N189" s="17"/>
      <c r="O189" s="15"/>
      <c r="P189" s="18"/>
      <c r="Q189" s="18"/>
      <c r="S189" s="15"/>
    </row>
    <row r="190" ht="14.25" customHeight="1">
      <c r="A190" s="8">
        <v>40903.0</v>
      </c>
      <c r="B190" s="8" t="s">
        <v>213</v>
      </c>
      <c r="C190" s="9">
        <v>1036.0</v>
      </c>
      <c r="D190" s="9">
        <v>452.3333449959755</v>
      </c>
      <c r="E190" s="10">
        <v>1980.0</v>
      </c>
      <c r="F190" s="11">
        <f t="shared" si="1"/>
        <v>0.5232323232</v>
      </c>
      <c r="G190" s="11">
        <f t="shared" si="2"/>
        <v>0.4366151979</v>
      </c>
      <c r="H190" s="11">
        <f t="shared" si="3"/>
        <v>0.2284511843</v>
      </c>
      <c r="I190" s="12"/>
      <c r="J190" s="17"/>
      <c r="K190" s="17"/>
      <c r="L190" s="17"/>
      <c r="M190" s="17"/>
      <c r="N190" s="17"/>
      <c r="O190" s="15"/>
      <c r="P190" s="18"/>
      <c r="Q190" s="18"/>
      <c r="S190" s="15"/>
    </row>
    <row r="191" ht="14.25" customHeight="1">
      <c r="A191" s="8">
        <v>41001.0</v>
      </c>
      <c r="B191" s="8" t="s">
        <v>214</v>
      </c>
      <c r="C191" s="9">
        <v>7507.0</v>
      </c>
      <c r="D191" s="9">
        <v>3467.6667456924915</v>
      </c>
      <c r="E191" s="10">
        <v>10027.0</v>
      </c>
      <c r="F191" s="11">
        <f t="shared" si="1"/>
        <v>0.7486785679</v>
      </c>
      <c r="G191" s="11">
        <f t="shared" si="2"/>
        <v>0.4619244366</v>
      </c>
      <c r="H191" s="11">
        <f t="shared" si="3"/>
        <v>0.3458329257</v>
      </c>
      <c r="I191" s="12"/>
      <c r="J191" s="17"/>
      <c r="K191" s="17"/>
      <c r="L191" s="17"/>
      <c r="M191" s="17"/>
      <c r="N191" s="17"/>
      <c r="O191" s="15"/>
      <c r="P191" s="18"/>
      <c r="Q191" s="18"/>
      <c r="S191" s="15"/>
    </row>
    <row r="192" ht="14.25" customHeight="1">
      <c r="A192" s="8">
        <v>41101.0</v>
      </c>
      <c r="B192" s="8" t="s">
        <v>215</v>
      </c>
      <c r="C192" s="9">
        <v>2086.0</v>
      </c>
      <c r="D192" s="9">
        <v>881.8889109194279</v>
      </c>
      <c r="E192" s="10">
        <v>5228.0</v>
      </c>
      <c r="F192" s="11">
        <f t="shared" si="1"/>
        <v>0.3990053558</v>
      </c>
      <c r="G192" s="11">
        <f t="shared" si="2"/>
        <v>0.4227655374</v>
      </c>
      <c r="H192" s="11">
        <f t="shared" si="3"/>
        <v>0.1686857136</v>
      </c>
      <c r="I192" s="12"/>
      <c r="J192" s="17"/>
      <c r="K192" s="17"/>
      <c r="L192" s="17"/>
      <c r="M192" s="17"/>
      <c r="N192" s="17"/>
      <c r="O192" s="15"/>
      <c r="P192" s="18"/>
      <c r="Q192" s="18"/>
      <c r="S192" s="15"/>
    </row>
    <row r="193" ht="14.25" customHeight="1">
      <c r="A193" s="8">
        <v>41201.0</v>
      </c>
      <c r="B193" s="8" t="s">
        <v>216</v>
      </c>
      <c r="C193" s="9">
        <v>3648.0</v>
      </c>
      <c r="D193" s="9">
        <v>1626.5555934906006</v>
      </c>
      <c r="E193" s="10">
        <v>5185.0</v>
      </c>
      <c r="F193" s="11">
        <f t="shared" si="1"/>
        <v>0.7035679846</v>
      </c>
      <c r="G193" s="11">
        <f t="shared" si="2"/>
        <v>0.4458759851</v>
      </c>
      <c r="H193" s="11">
        <f t="shared" si="3"/>
        <v>0.3137040682</v>
      </c>
      <c r="I193" s="12"/>
      <c r="J193" s="17"/>
      <c r="K193" s="17"/>
      <c r="L193" s="17"/>
      <c r="M193" s="17"/>
      <c r="N193" s="17"/>
      <c r="O193" s="15"/>
      <c r="P193" s="18"/>
      <c r="Q193" s="18"/>
      <c r="S193" s="15"/>
    </row>
    <row r="194" ht="14.25" customHeight="1">
      <c r="A194" s="8">
        <v>41202.0</v>
      </c>
      <c r="B194" s="8" t="s">
        <v>217</v>
      </c>
      <c r="C194" s="9">
        <v>1234.0</v>
      </c>
      <c r="D194" s="9">
        <v>513.7777896523476</v>
      </c>
      <c r="E194" s="10">
        <v>1993.0</v>
      </c>
      <c r="F194" s="11">
        <f t="shared" si="1"/>
        <v>0.6191670848</v>
      </c>
      <c r="G194" s="11">
        <f t="shared" si="2"/>
        <v>0.4163515313</v>
      </c>
      <c r="H194" s="11">
        <f t="shared" si="3"/>
        <v>0.2577911639</v>
      </c>
      <c r="I194" s="12"/>
      <c r="J194" s="17"/>
      <c r="K194" s="17"/>
      <c r="L194" s="17"/>
      <c r="M194" s="17"/>
      <c r="N194" s="17"/>
      <c r="O194" s="15"/>
      <c r="P194" s="18"/>
      <c r="Q194" s="18"/>
      <c r="S194" s="15"/>
    </row>
    <row r="195" ht="14.25" customHeight="1">
      <c r="A195" s="8">
        <v>41301.0</v>
      </c>
      <c r="B195" s="8" t="s">
        <v>172</v>
      </c>
      <c r="C195" s="9">
        <v>3938.0</v>
      </c>
      <c r="D195" s="9">
        <v>1792.5555973649025</v>
      </c>
      <c r="E195" s="10">
        <v>5494.0</v>
      </c>
      <c r="F195" s="11">
        <f t="shared" si="1"/>
        <v>0.7167819439</v>
      </c>
      <c r="G195" s="11">
        <f t="shared" si="2"/>
        <v>0.4551944127</v>
      </c>
      <c r="H195" s="11">
        <f t="shared" si="3"/>
        <v>0.326275136</v>
      </c>
      <c r="I195" s="12"/>
      <c r="J195" s="17"/>
      <c r="K195" s="17"/>
      <c r="L195" s="17"/>
      <c r="M195" s="17"/>
      <c r="N195" s="17"/>
      <c r="O195" s="15"/>
      <c r="P195" s="18"/>
      <c r="Q195" s="18"/>
      <c r="S195" s="15"/>
    </row>
    <row r="196" ht="14.25" customHeight="1">
      <c r="A196" s="8">
        <v>41401.0</v>
      </c>
      <c r="B196" s="8" t="s">
        <v>218</v>
      </c>
      <c r="C196" s="9">
        <v>6936.0</v>
      </c>
      <c r="D196" s="9">
        <v>3216.000079870224</v>
      </c>
      <c r="E196" s="10">
        <v>13092.0</v>
      </c>
      <c r="F196" s="11">
        <f t="shared" si="1"/>
        <v>0.5297891842</v>
      </c>
      <c r="G196" s="11">
        <f t="shared" si="2"/>
        <v>0.4636678316</v>
      </c>
      <c r="H196" s="11">
        <f t="shared" si="3"/>
        <v>0.2456462023</v>
      </c>
      <c r="I196" s="12"/>
      <c r="J196" s="17"/>
      <c r="K196" s="17"/>
      <c r="L196" s="17"/>
      <c r="M196" s="17"/>
      <c r="N196" s="17"/>
      <c r="O196" s="15"/>
      <c r="P196" s="18"/>
      <c r="Q196" s="18"/>
      <c r="S196" s="15"/>
    </row>
    <row r="197" ht="14.25" customHeight="1">
      <c r="A197" s="8">
        <v>41501.0</v>
      </c>
      <c r="B197" s="8" t="s">
        <v>219</v>
      </c>
      <c r="C197" s="9">
        <v>348.0</v>
      </c>
      <c r="D197" s="9">
        <v>155.44444838166237</v>
      </c>
      <c r="E197" s="10">
        <v>507.0</v>
      </c>
      <c r="F197" s="11">
        <f t="shared" si="1"/>
        <v>0.6863905325</v>
      </c>
      <c r="G197" s="11">
        <f t="shared" si="2"/>
        <v>0.4466794494</v>
      </c>
      <c r="H197" s="11">
        <f t="shared" si="3"/>
        <v>0.3065965451</v>
      </c>
      <c r="I197" s="12"/>
      <c r="J197" s="17"/>
      <c r="K197" s="17"/>
      <c r="L197" s="17"/>
      <c r="M197" s="17"/>
      <c r="N197" s="17"/>
      <c r="O197" s="15"/>
      <c r="P197" s="18"/>
      <c r="Q197" s="18"/>
      <c r="S197" s="15"/>
    </row>
    <row r="198" ht="14.25" customHeight="1">
      <c r="A198" s="8">
        <v>41502.0</v>
      </c>
      <c r="B198" s="8" t="s">
        <v>220</v>
      </c>
      <c r="C198" s="9">
        <v>470.0</v>
      </c>
      <c r="D198" s="9">
        <v>218.33333855867386</v>
      </c>
      <c r="E198" s="10">
        <v>661.0</v>
      </c>
      <c r="F198" s="11">
        <f t="shared" si="1"/>
        <v>0.7110438729</v>
      </c>
      <c r="G198" s="11">
        <f t="shared" si="2"/>
        <v>0.4645390182</v>
      </c>
      <c r="H198" s="11">
        <f t="shared" si="3"/>
        <v>0.3303076226</v>
      </c>
      <c r="I198" s="12"/>
      <c r="J198" s="17"/>
      <c r="K198" s="17"/>
      <c r="L198" s="17"/>
      <c r="M198" s="17"/>
      <c r="N198" s="17"/>
      <c r="O198" s="15"/>
      <c r="P198" s="18"/>
      <c r="Q198" s="18"/>
      <c r="S198" s="15"/>
    </row>
    <row r="199" ht="14.25" customHeight="1">
      <c r="A199" s="8">
        <v>41503.0</v>
      </c>
      <c r="B199" s="8" t="s">
        <v>221</v>
      </c>
      <c r="C199" s="9">
        <v>639.0</v>
      </c>
      <c r="D199" s="9">
        <v>298.8888966143131</v>
      </c>
      <c r="E199" s="10">
        <v>840.0</v>
      </c>
      <c r="F199" s="11">
        <f t="shared" si="1"/>
        <v>0.7607142857</v>
      </c>
      <c r="G199" s="11">
        <f t="shared" si="2"/>
        <v>0.4677447521</v>
      </c>
      <c r="H199" s="11">
        <f t="shared" si="3"/>
        <v>0.355820115</v>
      </c>
      <c r="I199" s="12"/>
      <c r="J199" s="17"/>
      <c r="K199" s="17"/>
      <c r="L199" s="17"/>
      <c r="M199" s="17"/>
      <c r="N199" s="17"/>
      <c r="O199" s="15"/>
      <c r="P199" s="18"/>
      <c r="Q199" s="18"/>
      <c r="S199" s="15"/>
    </row>
    <row r="200" ht="14.25" customHeight="1">
      <c r="A200" s="8">
        <v>41601.0</v>
      </c>
      <c r="B200" s="8" t="s">
        <v>222</v>
      </c>
      <c r="C200" s="9">
        <v>4147.0</v>
      </c>
      <c r="D200" s="9">
        <v>1905.7778214216232</v>
      </c>
      <c r="E200" s="10">
        <v>5463.0</v>
      </c>
      <c r="F200" s="11">
        <f t="shared" si="1"/>
        <v>0.7591067179</v>
      </c>
      <c r="G200" s="11">
        <f t="shared" si="2"/>
        <v>0.4595557804</v>
      </c>
      <c r="H200" s="11">
        <f t="shared" si="3"/>
        <v>0.3488518802</v>
      </c>
      <c r="I200" s="12"/>
      <c r="J200" s="17"/>
      <c r="K200" s="17"/>
      <c r="L200" s="17"/>
      <c r="M200" s="17"/>
      <c r="N200" s="17"/>
      <c r="O200" s="15"/>
      <c r="P200" s="18"/>
      <c r="Q200" s="18"/>
      <c r="S200" s="15"/>
    </row>
    <row r="201" ht="14.25" customHeight="1">
      <c r="A201" s="8">
        <v>50101.0</v>
      </c>
      <c r="B201" s="8" t="s">
        <v>20</v>
      </c>
      <c r="C201" s="9">
        <v>23400.0</v>
      </c>
      <c r="D201" s="9">
        <v>9638.222469568253</v>
      </c>
      <c r="E201" s="10">
        <v>187903.0</v>
      </c>
      <c r="F201" s="11">
        <f t="shared" si="1"/>
        <v>0.1245323385</v>
      </c>
      <c r="G201" s="11">
        <f t="shared" si="2"/>
        <v>0.4118898491</v>
      </c>
      <c r="H201" s="11">
        <f t="shared" si="3"/>
        <v>0.05129360611</v>
      </c>
      <c r="I201" s="12"/>
      <c r="J201" s="17"/>
      <c r="K201" s="17"/>
      <c r="L201" s="17"/>
      <c r="M201" s="17"/>
      <c r="N201" s="17"/>
      <c r="O201" s="15"/>
      <c r="P201" s="18"/>
      <c r="Q201" s="18"/>
      <c r="S201" s="15"/>
    </row>
    <row r="202" ht="14.25" customHeight="1">
      <c r="A202" s="8">
        <v>50102.0</v>
      </c>
      <c r="B202" s="8" t="s">
        <v>223</v>
      </c>
      <c r="C202" s="9">
        <v>23361.0</v>
      </c>
      <c r="D202" s="9">
        <v>12529.444784760475</v>
      </c>
      <c r="E202" s="10">
        <v>27094.0</v>
      </c>
      <c r="F202" s="11">
        <f t="shared" si="1"/>
        <v>0.8622204178</v>
      </c>
      <c r="G202" s="11">
        <f t="shared" si="2"/>
        <v>0.5363402588</v>
      </c>
      <c r="H202" s="11">
        <f t="shared" si="3"/>
        <v>0.462443522</v>
      </c>
      <c r="I202" s="12"/>
      <c r="J202" s="17"/>
      <c r="K202" s="17"/>
      <c r="L202" s="17"/>
      <c r="M202" s="17"/>
      <c r="N202" s="17"/>
      <c r="O202" s="15"/>
      <c r="P202" s="18"/>
      <c r="Q202" s="18"/>
      <c r="S202" s="15"/>
    </row>
    <row r="203" ht="14.25" customHeight="1">
      <c r="A203" s="8">
        <v>50103.0</v>
      </c>
      <c r="B203" s="8" t="s">
        <v>224</v>
      </c>
      <c r="C203" s="9">
        <v>3192.0</v>
      </c>
      <c r="D203" s="9">
        <v>1324.000032544136</v>
      </c>
      <c r="E203" s="10">
        <v>8801.0</v>
      </c>
      <c r="F203" s="11">
        <f t="shared" si="1"/>
        <v>0.3626860584</v>
      </c>
      <c r="G203" s="11">
        <f t="shared" si="2"/>
        <v>0.4147869776</v>
      </c>
      <c r="H203" s="11">
        <f t="shared" si="3"/>
        <v>0.150437454</v>
      </c>
      <c r="I203" s="12"/>
      <c r="J203" s="17"/>
      <c r="K203" s="17"/>
      <c r="L203" s="17"/>
      <c r="M203" s="17"/>
      <c r="N203" s="17"/>
      <c r="O203" s="15"/>
      <c r="P203" s="18"/>
      <c r="Q203" s="18"/>
      <c r="S203" s="15"/>
    </row>
    <row r="204" ht="14.25" customHeight="1">
      <c r="A204" s="8">
        <v>50104.0</v>
      </c>
      <c r="B204" s="8" t="s">
        <v>225</v>
      </c>
      <c r="C204" s="9">
        <v>1736.0</v>
      </c>
      <c r="D204" s="9">
        <v>777.0000202655792</v>
      </c>
      <c r="E204" s="10">
        <v>2754.0</v>
      </c>
      <c r="F204" s="11">
        <f t="shared" si="1"/>
        <v>0.630355846</v>
      </c>
      <c r="G204" s="11">
        <f t="shared" si="2"/>
        <v>0.4475806568</v>
      </c>
      <c r="H204" s="11">
        <f t="shared" si="3"/>
        <v>0.2821350836</v>
      </c>
      <c r="I204" s="12"/>
      <c r="J204" s="17"/>
      <c r="K204" s="17"/>
      <c r="L204" s="17"/>
      <c r="M204" s="17"/>
      <c r="N204" s="17"/>
      <c r="O204" s="15"/>
      <c r="P204" s="18"/>
      <c r="Q204" s="18"/>
      <c r="S204" s="15"/>
    </row>
    <row r="205" ht="14.25" customHeight="1">
      <c r="A205" s="8">
        <v>50201.0</v>
      </c>
      <c r="B205" s="8" t="s">
        <v>226</v>
      </c>
      <c r="C205" s="9">
        <v>10574.0</v>
      </c>
      <c r="D205" s="9">
        <v>4598.889004588127</v>
      </c>
      <c r="E205" s="10">
        <v>21549.0</v>
      </c>
      <c r="F205" s="11">
        <f t="shared" si="1"/>
        <v>0.4906956239</v>
      </c>
      <c r="G205" s="11">
        <f t="shared" si="2"/>
        <v>0.4349242486</v>
      </c>
      <c r="H205" s="11">
        <f t="shared" si="3"/>
        <v>0.2134154255</v>
      </c>
      <c r="I205" s="12"/>
      <c r="J205" s="17"/>
      <c r="K205" s="17"/>
      <c r="L205" s="17"/>
      <c r="M205" s="17"/>
      <c r="N205" s="17"/>
      <c r="O205" s="15"/>
      <c r="P205" s="18"/>
      <c r="Q205" s="18"/>
      <c r="S205" s="15"/>
    </row>
    <row r="206" ht="14.25" customHeight="1">
      <c r="A206" s="8">
        <v>50202.0</v>
      </c>
      <c r="B206" s="8" t="s">
        <v>227</v>
      </c>
      <c r="C206" s="9">
        <v>9019.0</v>
      </c>
      <c r="D206" s="9">
        <v>3932.5556543171406</v>
      </c>
      <c r="E206" s="10">
        <v>15943.0</v>
      </c>
      <c r="F206" s="11">
        <f t="shared" si="1"/>
        <v>0.5657028163</v>
      </c>
      <c r="G206" s="11">
        <f t="shared" si="2"/>
        <v>0.4360301202</v>
      </c>
      <c r="H206" s="11">
        <f t="shared" si="3"/>
        <v>0.246663467</v>
      </c>
      <c r="I206" s="12"/>
      <c r="J206" s="17"/>
      <c r="K206" s="17"/>
      <c r="L206" s="17"/>
      <c r="M206" s="17"/>
      <c r="N206" s="17"/>
      <c r="O206" s="15"/>
      <c r="P206" s="18"/>
      <c r="Q206" s="18"/>
      <c r="S206" s="15"/>
    </row>
    <row r="207" ht="14.25" customHeight="1">
      <c r="A207" s="8">
        <v>50203.0</v>
      </c>
      <c r="B207" s="8" t="s">
        <v>228</v>
      </c>
      <c r="C207" s="9">
        <v>11265.0</v>
      </c>
      <c r="D207" s="9">
        <v>4675.7778978943825</v>
      </c>
      <c r="E207" s="10">
        <v>40375.0</v>
      </c>
      <c r="F207" s="11">
        <f t="shared" si="1"/>
        <v>0.2790092879</v>
      </c>
      <c r="G207" s="11">
        <f t="shared" si="2"/>
        <v>0.4150712737</v>
      </c>
      <c r="H207" s="11">
        <f t="shared" si="3"/>
        <v>0.1158087405</v>
      </c>
      <c r="I207" s="12"/>
      <c r="J207" s="17"/>
      <c r="K207" s="17"/>
      <c r="L207" s="17"/>
      <c r="M207" s="17"/>
      <c r="N207" s="17"/>
      <c r="O207" s="15"/>
      <c r="P207" s="18"/>
      <c r="Q207" s="18"/>
      <c r="S207" s="15"/>
    </row>
    <row r="208" ht="14.25" customHeight="1">
      <c r="A208" s="8">
        <v>50204.0</v>
      </c>
      <c r="B208" s="8" t="s">
        <v>229</v>
      </c>
      <c r="C208" s="9">
        <v>5737.0</v>
      </c>
      <c r="D208" s="9">
        <v>2749.333405971527</v>
      </c>
      <c r="E208" s="10">
        <v>7911.0</v>
      </c>
      <c r="F208" s="11">
        <f t="shared" si="1"/>
        <v>0.7251927696</v>
      </c>
      <c r="G208" s="11">
        <f t="shared" si="2"/>
        <v>0.4792284131</v>
      </c>
      <c r="H208" s="11">
        <f t="shared" si="3"/>
        <v>0.3475329802</v>
      </c>
      <c r="I208" s="12"/>
      <c r="J208" s="17"/>
      <c r="K208" s="17"/>
      <c r="L208" s="17"/>
      <c r="M208" s="17"/>
      <c r="N208" s="17"/>
      <c r="O208" s="15"/>
      <c r="P208" s="18"/>
      <c r="Q208" s="18"/>
      <c r="S208" s="15"/>
    </row>
    <row r="209" ht="14.25" customHeight="1">
      <c r="A209" s="8">
        <v>50301.0</v>
      </c>
      <c r="B209" s="8" t="s">
        <v>230</v>
      </c>
      <c r="C209" s="9">
        <v>20338.0</v>
      </c>
      <c r="D209" s="9">
        <v>9672.111364364624</v>
      </c>
      <c r="E209" s="10">
        <v>33643.0</v>
      </c>
      <c r="F209" s="11">
        <f t="shared" si="1"/>
        <v>0.6045239723</v>
      </c>
      <c r="G209" s="11">
        <f t="shared" si="2"/>
        <v>0.4755684612</v>
      </c>
      <c r="H209" s="11">
        <f t="shared" si="3"/>
        <v>0.2874925353</v>
      </c>
      <c r="I209" s="12"/>
      <c r="J209" s="17"/>
      <c r="K209" s="17"/>
      <c r="L209" s="17"/>
      <c r="M209" s="17"/>
      <c r="N209" s="17"/>
      <c r="O209" s="15"/>
      <c r="P209" s="18"/>
      <c r="Q209" s="18"/>
      <c r="S209" s="15"/>
    </row>
    <row r="210" ht="14.25" customHeight="1">
      <c r="A210" s="8">
        <v>50302.0</v>
      </c>
      <c r="B210" s="8" t="s">
        <v>231</v>
      </c>
      <c r="C210" s="9">
        <v>5477.0</v>
      </c>
      <c r="D210" s="9">
        <v>2422.666728377342</v>
      </c>
      <c r="E210" s="10">
        <v>9807.0</v>
      </c>
      <c r="F210" s="11">
        <f t="shared" si="1"/>
        <v>0.5584786377</v>
      </c>
      <c r="G210" s="11">
        <f t="shared" si="2"/>
        <v>0.4423346227</v>
      </c>
      <c r="H210" s="11">
        <f t="shared" si="3"/>
        <v>0.2470344375</v>
      </c>
      <c r="I210" s="12"/>
      <c r="J210" s="17"/>
      <c r="K210" s="17"/>
      <c r="L210" s="17"/>
      <c r="M210" s="17"/>
      <c r="N210" s="17"/>
      <c r="O210" s="15"/>
      <c r="P210" s="18"/>
      <c r="Q210" s="18"/>
      <c r="S210" s="15"/>
    </row>
    <row r="211" ht="14.25" customHeight="1">
      <c r="A211" s="8">
        <v>50303.0</v>
      </c>
      <c r="B211" s="8" t="s">
        <v>232</v>
      </c>
      <c r="C211" s="9">
        <v>10763.0</v>
      </c>
      <c r="D211" s="9">
        <v>5644.000155776739</v>
      </c>
      <c r="E211" s="10">
        <v>11695.0</v>
      </c>
      <c r="F211" s="11">
        <f t="shared" si="1"/>
        <v>0.9203078239</v>
      </c>
      <c r="G211" s="11">
        <f t="shared" si="2"/>
        <v>0.5243891253</v>
      </c>
      <c r="H211" s="11">
        <f t="shared" si="3"/>
        <v>0.4825994148</v>
      </c>
      <c r="I211" s="12"/>
      <c r="J211" s="17"/>
      <c r="K211" s="17"/>
      <c r="L211" s="17"/>
      <c r="M211" s="17"/>
      <c r="N211" s="17"/>
      <c r="O211" s="15"/>
      <c r="P211" s="18"/>
      <c r="Q211" s="18"/>
      <c r="S211" s="15"/>
    </row>
    <row r="212" ht="14.25" customHeight="1">
      <c r="A212" s="8">
        <v>50401.0</v>
      </c>
      <c r="B212" s="8" t="s">
        <v>233</v>
      </c>
      <c r="C212" s="9">
        <v>11183.0</v>
      </c>
      <c r="D212" s="9">
        <v>5816.000162631273</v>
      </c>
      <c r="E212" s="10">
        <v>15069.0</v>
      </c>
      <c r="F212" s="11">
        <f t="shared" si="1"/>
        <v>0.7421195833</v>
      </c>
      <c r="G212" s="11">
        <f t="shared" si="2"/>
        <v>0.5200751286</v>
      </c>
      <c r="H212" s="11">
        <f t="shared" si="3"/>
        <v>0.3859579377</v>
      </c>
      <c r="I212" s="12"/>
      <c r="J212" s="17"/>
      <c r="K212" s="17"/>
      <c r="L212" s="17"/>
      <c r="M212" s="17"/>
      <c r="N212" s="17"/>
      <c r="O212" s="15"/>
      <c r="P212" s="18"/>
      <c r="Q212" s="18"/>
      <c r="S212" s="15"/>
    </row>
    <row r="213" ht="14.25" customHeight="1">
      <c r="A213" s="8">
        <v>50402.0</v>
      </c>
      <c r="B213" s="8" t="s">
        <v>234</v>
      </c>
      <c r="C213" s="9">
        <v>17131.0</v>
      </c>
      <c r="D213" s="9">
        <v>9027.22246569395</v>
      </c>
      <c r="E213" s="10">
        <v>21041.0</v>
      </c>
      <c r="F213" s="11">
        <f t="shared" si="1"/>
        <v>0.8141723302</v>
      </c>
      <c r="G213" s="11">
        <f t="shared" si="2"/>
        <v>0.5269524526</v>
      </c>
      <c r="H213" s="11">
        <f t="shared" si="3"/>
        <v>0.4290301063</v>
      </c>
      <c r="I213" s="12"/>
      <c r="J213" s="17"/>
      <c r="K213" s="17"/>
      <c r="L213" s="17"/>
      <c r="M213" s="17"/>
      <c r="N213" s="17"/>
      <c r="O213" s="15"/>
      <c r="P213" s="18"/>
      <c r="Q213" s="18"/>
      <c r="S213" s="15"/>
    </row>
    <row r="214" ht="14.25" customHeight="1">
      <c r="A214" s="8">
        <v>50403.0</v>
      </c>
      <c r="B214" s="8" t="s">
        <v>235</v>
      </c>
      <c r="C214" s="9">
        <v>19776.0</v>
      </c>
      <c r="D214" s="9">
        <v>9328.222470015287</v>
      </c>
      <c r="E214" s="10">
        <v>26173.0</v>
      </c>
      <c r="F214" s="11">
        <f t="shared" si="1"/>
        <v>0.7555878195</v>
      </c>
      <c r="G214" s="11">
        <f t="shared" si="2"/>
        <v>0.4716940974</v>
      </c>
      <c r="H214" s="11">
        <f t="shared" si="3"/>
        <v>0.3564063145</v>
      </c>
      <c r="I214" s="12"/>
      <c r="J214" s="17"/>
      <c r="K214" s="17"/>
      <c r="L214" s="17"/>
      <c r="M214" s="17"/>
      <c r="N214" s="17"/>
      <c r="O214" s="15"/>
      <c r="P214" s="18"/>
      <c r="Q214" s="18"/>
      <c r="S214" s="15"/>
    </row>
    <row r="215" ht="14.25" customHeight="1">
      <c r="A215" s="8">
        <v>50404.0</v>
      </c>
      <c r="B215" s="8" t="s">
        <v>236</v>
      </c>
      <c r="C215" s="9">
        <v>13653.0</v>
      </c>
      <c r="D215" s="9">
        <v>7336.889089226723</v>
      </c>
      <c r="E215" s="10">
        <v>16023.0</v>
      </c>
      <c r="F215" s="11">
        <f t="shared" si="1"/>
        <v>0.852087624</v>
      </c>
      <c r="G215" s="11">
        <f t="shared" si="2"/>
        <v>0.537382926</v>
      </c>
      <c r="H215" s="11">
        <f t="shared" si="3"/>
        <v>0.4578973406</v>
      </c>
      <c r="I215" s="12"/>
      <c r="J215" s="17"/>
      <c r="K215" s="17"/>
      <c r="L215" s="17"/>
      <c r="M215" s="17"/>
      <c r="N215" s="17"/>
      <c r="O215" s="15"/>
      <c r="P215" s="18"/>
      <c r="Q215" s="18"/>
      <c r="S215" s="15"/>
    </row>
    <row r="216" ht="14.25" customHeight="1">
      <c r="A216" s="8">
        <v>50405.0</v>
      </c>
      <c r="B216" s="8" t="s">
        <v>237</v>
      </c>
      <c r="C216" s="9">
        <v>16177.0</v>
      </c>
      <c r="D216" s="9">
        <v>7877.66688233614</v>
      </c>
      <c r="E216" s="10">
        <v>19833.0</v>
      </c>
      <c r="F216" s="11">
        <f t="shared" si="1"/>
        <v>0.8156607674</v>
      </c>
      <c r="G216" s="11">
        <f t="shared" si="2"/>
        <v>0.4869671065</v>
      </c>
      <c r="H216" s="11">
        <f t="shared" si="3"/>
        <v>0.3971999638</v>
      </c>
      <c r="I216" s="12"/>
      <c r="J216" s="17"/>
      <c r="K216" s="17"/>
      <c r="L216" s="17"/>
      <c r="M216" s="17"/>
      <c r="N216" s="17"/>
      <c r="O216" s="15"/>
      <c r="P216" s="18"/>
      <c r="Q216" s="18"/>
      <c r="S216" s="15"/>
    </row>
    <row r="217" ht="14.25" customHeight="1">
      <c r="A217" s="8">
        <v>50501.0</v>
      </c>
      <c r="B217" s="8" t="s">
        <v>238</v>
      </c>
      <c r="C217" s="9">
        <v>26984.0</v>
      </c>
      <c r="D217" s="9">
        <v>14782.778192937374</v>
      </c>
      <c r="E217" s="10">
        <v>29813.0</v>
      </c>
      <c r="F217" s="11">
        <f t="shared" si="1"/>
        <v>0.9051085097</v>
      </c>
      <c r="G217" s="11">
        <f t="shared" si="2"/>
        <v>0.5478349464</v>
      </c>
      <c r="H217" s="11">
        <f t="shared" si="3"/>
        <v>0.4958500719</v>
      </c>
      <c r="I217" s="12"/>
      <c r="J217" s="17"/>
      <c r="K217" s="17"/>
      <c r="L217" s="17"/>
      <c r="M217" s="17"/>
      <c r="N217" s="17"/>
      <c r="O217" s="15"/>
      <c r="P217" s="18"/>
      <c r="Q217" s="18"/>
      <c r="S217" s="15"/>
    </row>
    <row r="218" ht="14.25" customHeight="1">
      <c r="A218" s="8">
        <v>50502.0</v>
      </c>
      <c r="B218" s="8" t="s">
        <v>239</v>
      </c>
      <c r="C218" s="9">
        <v>8319.0</v>
      </c>
      <c r="D218" s="9">
        <v>4314.2223409712315</v>
      </c>
      <c r="E218" s="10">
        <v>10717.0</v>
      </c>
      <c r="F218" s="11">
        <f t="shared" si="1"/>
        <v>0.7762433517</v>
      </c>
      <c r="G218" s="11">
        <f t="shared" si="2"/>
        <v>0.5185986706</v>
      </c>
      <c r="H218" s="11">
        <f t="shared" si="3"/>
        <v>0.4025587703</v>
      </c>
      <c r="I218" s="12"/>
      <c r="J218" s="17"/>
      <c r="K218" s="17"/>
      <c r="L218" s="17"/>
      <c r="M218" s="17"/>
      <c r="N218" s="17"/>
      <c r="O218" s="15"/>
      <c r="P218" s="18"/>
      <c r="Q218" s="18"/>
      <c r="S218" s="15"/>
    </row>
    <row r="219" ht="14.25" customHeight="1">
      <c r="A219" s="8">
        <v>50601.0</v>
      </c>
      <c r="B219" s="8" t="s">
        <v>240</v>
      </c>
      <c r="C219" s="9">
        <v>18556.0</v>
      </c>
      <c r="D219" s="9">
        <v>8169.000209569931</v>
      </c>
      <c r="E219" s="10">
        <v>31446.0</v>
      </c>
      <c r="F219" s="11">
        <f t="shared" si="1"/>
        <v>0.5900909496</v>
      </c>
      <c r="G219" s="11">
        <f t="shared" si="2"/>
        <v>0.4402349757</v>
      </c>
      <c r="H219" s="11">
        <f t="shared" si="3"/>
        <v>0.2597786749</v>
      </c>
      <c r="I219" s="12"/>
      <c r="J219" s="17"/>
      <c r="K219" s="17"/>
      <c r="L219" s="17"/>
      <c r="M219" s="17"/>
      <c r="N219" s="17"/>
      <c r="O219" s="15"/>
      <c r="P219" s="18"/>
      <c r="Q219" s="18"/>
      <c r="S219" s="15"/>
    </row>
    <row r="220" ht="14.25" customHeight="1">
      <c r="A220" s="8">
        <v>50602.0</v>
      </c>
      <c r="B220" s="8" t="s">
        <v>241</v>
      </c>
      <c r="C220" s="9">
        <v>5343.0</v>
      </c>
      <c r="D220" s="9">
        <v>2299.000061571598</v>
      </c>
      <c r="E220" s="10">
        <v>10480.0</v>
      </c>
      <c r="F220" s="11">
        <f t="shared" si="1"/>
        <v>0.5098282443</v>
      </c>
      <c r="G220" s="11">
        <f t="shared" si="2"/>
        <v>0.4302826243</v>
      </c>
      <c r="H220" s="11">
        <f t="shared" si="3"/>
        <v>0.2193702349</v>
      </c>
      <c r="I220" s="12"/>
      <c r="J220" s="17"/>
      <c r="K220" s="17"/>
      <c r="L220" s="17"/>
      <c r="M220" s="17"/>
      <c r="N220" s="17"/>
      <c r="O220" s="15"/>
      <c r="P220" s="18"/>
      <c r="Q220" s="18"/>
      <c r="S220" s="15"/>
    </row>
    <row r="221" ht="14.25" customHeight="1">
      <c r="A221" s="8">
        <v>50701.0</v>
      </c>
      <c r="B221" s="8" t="s">
        <v>242</v>
      </c>
      <c r="C221" s="9">
        <v>14258.0</v>
      </c>
      <c r="D221" s="9">
        <v>6908.55573913455</v>
      </c>
      <c r="E221" s="10">
        <v>19367.0</v>
      </c>
      <c r="F221" s="11">
        <f t="shared" si="1"/>
        <v>0.7362007539</v>
      </c>
      <c r="G221" s="11">
        <f t="shared" si="2"/>
        <v>0.4845389072</v>
      </c>
      <c r="H221" s="11">
        <f t="shared" si="3"/>
        <v>0.3567179088</v>
      </c>
      <c r="I221" s="12"/>
      <c r="J221" s="17"/>
      <c r="K221" s="17"/>
      <c r="L221" s="17"/>
      <c r="M221" s="17"/>
      <c r="N221" s="17"/>
      <c r="O221" s="15"/>
      <c r="P221" s="18"/>
      <c r="Q221" s="18"/>
      <c r="S221" s="15"/>
    </row>
    <row r="222" ht="14.25" customHeight="1">
      <c r="A222" s="8">
        <v>50702.0</v>
      </c>
      <c r="B222" s="8" t="s">
        <v>243</v>
      </c>
      <c r="C222" s="9">
        <v>6284.0</v>
      </c>
      <c r="D222" s="9">
        <v>2769.4445163309574</v>
      </c>
      <c r="E222" s="10">
        <v>8645.0</v>
      </c>
      <c r="F222" s="11">
        <f t="shared" si="1"/>
        <v>0.7268941585</v>
      </c>
      <c r="G222" s="11">
        <f t="shared" si="2"/>
        <v>0.4407136404</v>
      </c>
      <c r="H222" s="11">
        <f t="shared" si="3"/>
        <v>0.3203521708</v>
      </c>
      <c r="I222" s="12"/>
      <c r="J222" s="17"/>
      <c r="K222" s="17"/>
      <c r="L222" s="17"/>
      <c r="M222" s="17"/>
      <c r="N222" s="17"/>
      <c r="O222" s="15"/>
      <c r="P222" s="18"/>
      <c r="Q222" s="18"/>
      <c r="S222" s="15"/>
    </row>
    <row r="223" ht="14.25" customHeight="1">
      <c r="A223" s="8">
        <v>50801.0</v>
      </c>
      <c r="B223" s="8" t="s">
        <v>244</v>
      </c>
      <c r="C223" s="9">
        <v>13251.0</v>
      </c>
      <c r="D223" s="9">
        <v>5801.444595605135</v>
      </c>
      <c r="E223" s="10">
        <v>43719.0</v>
      </c>
      <c r="F223" s="11">
        <f t="shared" si="1"/>
        <v>0.3030947643</v>
      </c>
      <c r="G223" s="11">
        <f t="shared" si="2"/>
        <v>0.4378118327</v>
      </c>
      <c r="H223" s="11">
        <f t="shared" si="3"/>
        <v>0.1326984742</v>
      </c>
      <c r="I223" s="12"/>
      <c r="J223" s="17"/>
      <c r="K223" s="17"/>
      <c r="L223" s="17"/>
      <c r="M223" s="17"/>
      <c r="N223" s="17"/>
      <c r="O223" s="15"/>
      <c r="P223" s="18"/>
      <c r="Q223" s="18"/>
      <c r="S223" s="15"/>
    </row>
    <row r="224" ht="14.25" customHeight="1">
      <c r="A224" s="8">
        <v>50802.0</v>
      </c>
      <c r="B224" s="8" t="s">
        <v>245</v>
      </c>
      <c r="C224" s="9">
        <v>2264.0</v>
      </c>
      <c r="D224" s="9">
        <v>909.8889122009277</v>
      </c>
      <c r="E224" s="10">
        <v>10930.0</v>
      </c>
      <c r="F224" s="11">
        <f t="shared" si="1"/>
        <v>0.207136322</v>
      </c>
      <c r="G224" s="11">
        <f t="shared" si="2"/>
        <v>0.4018943958</v>
      </c>
      <c r="H224" s="11">
        <f t="shared" si="3"/>
        <v>0.08324692701</v>
      </c>
      <c r="I224" s="12"/>
      <c r="J224" s="17"/>
      <c r="K224" s="17"/>
      <c r="L224" s="17"/>
      <c r="M224" s="17"/>
      <c r="N224" s="17"/>
      <c r="O224" s="15"/>
      <c r="P224" s="18"/>
      <c r="Q224" s="18"/>
      <c r="S224" s="15"/>
    </row>
    <row r="225" ht="14.25" customHeight="1">
      <c r="A225" s="8">
        <v>50901.0</v>
      </c>
      <c r="B225" s="8" t="s">
        <v>246</v>
      </c>
      <c r="C225" s="9">
        <v>5378.0</v>
      </c>
      <c r="D225" s="9">
        <v>2401.7778399586678</v>
      </c>
      <c r="E225" s="10">
        <v>11118.0</v>
      </c>
      <c r="F225" s="11">
        <f t="shared" si="1"/>
        <v>0.4837200935</v>
      </c>
      <c r="G225" s="11">
        <f t="shared" si="2"/>
        <v>0.4465931275</v>
      </c>
      <c r="H225" s="11">
        <f t="shared" si="3"/>
        <v>0.2160260694</v>
      </c>
      <c r="I225" s="12"/>
      <c r="J225" s="17"/>
      <c r="K225" s="17"/>
      <c r="L225" s="17"/>
      <c r="M225" s="17"/>
      <c r="N225" s="17"/>
      <c r="O225" s="15"/>
      <c r="P225" s="18"/>
      <c r="Q225" s="18"/>
      <c r="S225" s="15"/>
    </row>
    <row r="226" ht="14.25" customHeight="1">
      <c r="A226" s="8">
        <v>50902.0</v>
      </c>
      <c r="B226" s="8" t="s">
        <v>247</v>
      </c>
      <c r="C226" s="9">
        <v>441.0</v>
      </c>
      <c r="D226" s="9">
        <v>181.88889318704605</v>
      </c>
      <c r="E226" s="10">
        <v>995.0</v>
      </c>
      <c r="F226" s="11">
        <f t="shared" si="1"/>
        <v>0.4432160804</v>
      </c>
      <c r="G226" s="11">
        <f t="shared" si="2"/>
        <v>0.4124464698</v>
      </c>
      <c r="H226" s="11">
        <f t="shared" si="3"/>
        <v>0.1828029077</v>
      </c>
      <c r="I226" s="12"/>
      <c r="J226" s="17"/>
      <c r="K226" s="17"/>
      <c r="L226" s="17"/>
      <c r="M226" s="17"/>
      <c r="N226" s="17"/>
      <c r="O226" s="15"/>
      <c r="P226" s="18"/>
      <c r="Q226" s="18"/>
      <c r="S226" s="15"/>
    </row>
    <row r="227" ht="14.25" customHeight="1">
      <c r="A227" s="8">
        <v>51001.0</v>
      </c>
      <c r="B227" s="8" t="s">
        <v>248</v>
      </c>
      <c r="C227" s="9">
        <v>1840.0</v>
      </c>
      <c r="D227" s="9">
        <v>825.5555754005909</v>
      </c>
      <c r="E227" s="10">
        <v>2958.0</v>
      </c>
      <c r="F227" s="11">
        <f t="shared" si="1"/>
        <v>0.6220419202</v>
      </c>
      <c r="G227" s="11">
        <f t="shared" si="2"/>
        <v>0.4486715084</v>
      </c>
      <c r="H227" s="11">
        <f t="shared" si="3"/>
        <v>0.2790924866</v>
      </c>
      <c r="I227" s="12"/>
      <c r="J227" s="17"/>
      <c r="K227" s="17"/>
      <c r="L227" s="17"/>
      <c r="M227" s="17"/>
      <c r="N227" s="17"/>
      <c r="O227" s="15"/>
      <c r="P227" s="18"/>
      <c r="Q227" s="18"/>
      <c r="S227" s="15"/>
    </row>
    <row r="228" ht="14.25" customHeight="1">
      <c r="A228" s="8">
        <v>51002.0</v>
      </c>
      <c r="B228" s="8" t="s">
        <v>249</v>
      </c>
      <c r="C228" s="9">
        <v>852.0</v>
      </c>
      <c r="D228" s="9">
        <v>416.77778992056847</v>
      </c>
      <c r="E228" s="10">
        <v>1178.0</v>
      </c>
      <c r="F228" s="11">
        <f t="shared" si="1"/>
        <v>0.7232597623</v>
      </c>
      <c r="G228" s="11">
        <f t="shared" si="2"/>
        <v>0.4891758098</v>
      </c>
      <c r="H228" s="11">
        <f t="shared" si="3"/>
        <v>0.3538011799</v>
      </c>
      <c r="I228" s="12"/>
      <c r="J228" s="17"/>
      <c r="K228" s="17"/>
      <c r="L228" s="17"/>
      <c r="M228" s="17"/>
      <c r="N228" s="17"/>
      <c r="O228" s="15"/>
      <c r="P228" s="18"/>
      <c r="Q228" s="18"/>
      <c r="S228" s="15"/>
    </row>
    <row r="229" ht="14.25" customHeight="1">
      <c r="A229" s="8">
        <v>51003.0</v>
      </c>
      <c r="B229" s="8" t="s">
        <v>250</v>
      </c>
      <c r="C229" s="9">
        <v>1276.0</v>
      </c>
      <c r="D229" s="9">
        <v>557.2222365438938</v>
      </c>
      <c r="E229" s="10">
        <v>2239.0</v>
      </c>
      <c r="F229" s="11">
        <f t="shared" si="1"/>
        <v>0.5698972756</v>
      </c>
      <c r="G229" s="11">
        <f t="shared" si="2"/>
        <v>0.4366945427</v>
      </c>
      <c r="H229" s="11">
        <f t="shared" si="3"/>
        <v>0.2488710302</v>
      </c>
      <c r="I229" s="12"/>
      <c r="J229" s="17"/>
      <c r="K229" s="17"/>
      <c r="L229" s="17"/>
      <c r="M229" s="17"/>
      <c r="N229" s="17"/>
      <c r="O229" s="15"/>
      <c r="P229" s="18"/>
      <c r="Q229" s="18"/>
      <c r="S229" s="15"/>
    </row>
    <row r="230" ht="14.25" customHeight="1">
      <c r="A230" s="8">
        <v>51101.0</v>
      </c>
      <c r="B230" s="8" t="s">
        <v>251</v>
      </c>
      <c r="C230" s="9">
        <v>11132.0</v>
      </c>
      <c r="D230" s="9">
        <v>4895.222347319126</v>
      </c>
      <c r="E230" s="10">
        <v>21770.0</v>
      </c>
      <c r="F230" s="11">
        <f t="shared" si="1"/>
        <v>0.5113458888</v>
      </c>
      <c r="G230" s="11">
        <f t="shared" si="2"/>
        <v>0.4397432939</v>
      </c>
      <c r="H230" s="11">
        <f t="shared" si="3"/>
        <v>0.2248609255</v>
      </c>
      <c r="I230" s="12"/>
      <c r="J230" s="17"/>
      <c r="K230" s="17"/>
      <c r="L230" s="17"/>
      <c r="M230" s="17"/>
      <c r="N230" s="17"/>
      <c r="O230" s="15"/>
      <c r="P230" s="18"/>
      <c r="Q230" s="18"/>
      <c r="S230" s="15"/>
    </row>
    <row r="231" ht="14.25" customHeight="1">
      <c r="A231" s="8">
        <v>51102.0</v>
      </c>
      <c r="B231" s="8" t="s">
        <v>252</v>
      </c>
      <c r="C231" s="9">
        <v>5547.0</v>
      </c>
      <c r="D231" s="9">
        <v>2376.3333916068077</v>
      </c>
      <c r="E231" s="10">
        <v>11762.0</v>
      </c>
      <c r="F231" s="11">
        <f t="shared" si="1"/>
        <v>0.4716034688</v>
      </c>
      <c r="G231" s="11">
        <f t="shared" si="2"/>
        <v>0.4283997461</v>
      </c>
      <c r="H231" s="11">
        <f t="shared" si="3"/>
        <v>0.2020348063</v>
      </c>
      <c r="I231" s="12"/>
      <c r="J231" s="17"/>
      <c r="K231" s="17"/>
      <c r="L231" s="17"/>
      <c r="M231" s="17"/>
      <c r="N231" s="17"/>
      <c r="O231" s="15"/>
      <c r="P231" s="18"/>
      <c r="Q231" s="18"/>
      <c r="S231" s="15"/>
    </row>
    <row r="232" ht="14.25" customHeight="1">
      <c r="A232" s="8">
        <v>51103.0</v>
      </c>
      <c r="B232" s="8" t="s">
        <v>253</v>
      </c>
      <c r="C232" s="9">
        <v>13726.0</v>
      </c>
      <c r="D232" s="9">
        <v>7452.111310094595</v>
      </c>
      <c r="E232" s="10">
        <v>15682.0</v>
      </c>
      <c r="F232" s="11">
        <f t="shared" si="1"/>
        <v>0.8752710114</v>
      </c>
      <c r="G232" s="11">
        <f t="shared" si="2"/>
        <v>0.5429193727</v>
      </c>
      <c r="H232" s="11">
        <f t="shared" si="3"/>
        <v>0.4752015885</v>
      </c>
      <c r="I232" s="12"/>
      <c r="J232" s="17"/>
      <c r="K232" s="17"/>
      <c r="L232" s="17"/>
      <c r="M232" s="17"/>
      <c r="N232" s="17"/>
      <c r="O232" s="15"/>
      <c r="P232" s="18"/>
      <c r="Q232" s="18"/>
      <c r="S232" s="15"/>
    </row>
    <row r="233" ht="14.25" customHeight="1">
      <c r="A233" s="8">
        <v>51201.0</v>
      </c>
      <c r="B233" s="8" t="s">
        <v>254</v>
      </c>
      <c r="C233" s="9">
        <v>10850.0</v>
      </c>
      <c r="D233" s="9">
        <v>4826.333459228277</v>
      </c>
      <c r="E233" s="10">
        <v>28653.0</v>
      </c>
      <c r="F233" s="11">
        <f t="shared" si="1"/>
        <v>0.3786689003</v>
      </c>
      <c r="G233" s="11">
        <f t="shared" si="2"/>
        <v>0.4448233603</v>
      </c>
      <c r="H233" s="11">
        <f t="shared" si="3"/>
        <v>0.1684407727</v>
      </c>
      <c r="I233" s="12"/>
      <c r="J233" s="17"/>
      <c r="K233" s="17"/>
      <c r="L233" s="17"/>
      <c r="M233" s="17"/>
      <c r="N233" s="17"/>
      <c r="O233" s="15"/>
      <c r="P233" s="18"/>
      <c r="Q233" s="18"/>
      <c r="S233" s="15"/>
    </row>
    <row r="234" ht="14.25" customHeight="1">
      <c r="A234" s="8">
        <v>51202.0</v>
      </c>
      <c r="B234" s="8" t="s">
        <v>255</v>
      </c>
      <c r="C234" s="9">
        <v>5988.0</v>
      </c>
      <c r="D234" s="9">
        <v>2667.0000660717487</v>
      </c>
      <c r="E234" s="10">
        <v>8728.0</v>
      </c>
      <c r="F234" s="11">
        <f t="shared" si="1"/>
        <v>0.6860678277</v>
      </c>
      <c r="G234" s="11">
        <f t="shared" si="2"/>
        <v>0.4453907926</v>
      </c>
      <c r="H234" s="11">
        <f t="shared" si="3"/>
        <v>0.3055682935</v>
      </c>
      <c r="I234" s="12"/>
      <c r="J234" s="17"/>
      <c r="K234" s="17"/>
      <c r="L234" s="17"/>
      <c r="M234" s="17"/>
      <c r="N234" s="17"/>
      <c r="O234" s="15"/>
      <c r="P234" s="18"/>
      <c r="Q234" s="18"/>
      <c r="S234" s="15"/>
    </row>
    <row r="235" ht="14.25" customHeight="1">
      <c r="A235" s="8">
        <v>51203.0</v>
      </c>
      <c r="B235" s="8" t="s">
        <v>256</v>
      </c>
      <c r="C235" s="9">
        <v>3032.0</v>
      </c>
      <c r="D235" s="9">
        <v>1407.8889243602753</v>
      </c>
      <c r="E235" s="10">
        <v>10687.0</v>
      </c>
      <c r="F235" s="11">
        <f t="shared" si="1"/>
        <v>0.2837091794</v>
      </c>
      <c r="G235" s="11">
        <f t="shared" si="2"/>
        <v>0.4643433128</v>
      </c>
      <c r="H235" s="11">
        <f t="shared" si="3"/>
        <v>0.1317384602</v>
      </c>
      <c r="I235" s="12"/>
      <c r="J235" s="17"/>
      <c r="K235" s="17"/>
      <c r="L235" s="17"/>
      <c r="M235" s="17"/>
      <c r="N235" s="17"/>
      <c r="O235" s="15"/>
      <c r="P235" s="18"/>
      <c r="Q235" s="18"/>
      <c r="S235" s="15"/>
    </row>
    <row r="236" ht="14.25" customHeight="1">
      <c r="A236" s="8">
        <v>51204.0</v>
      </c>
      <c r="B236" s="8" t="s">
        <v>257</v>
      </c>
      <c r="C236" s="9">
        <v>3905.0</v>
      </c>
      <c r="D236" s="9">
        <v>1827.777824640274</v>
      </c>
      <c r="E236" s="10">
        <v>5875.0</v>
      </c>
      <c r="F236" s="11">
        <f t="shared" si="1"/>
        <v>0.6646808511</v>
      </c>
      <c r="G236" s="11">
        <f t="shared" si="2"/>
        <v>0.4680609026</v>
      </c>
      <c r="H236" s="11">
        <f t="shared" si="3"/>
        <v>0.3111111191</v>
      </c>
      <c r="I236" s="12"/>
      <c r="J236" s="17"/>
      <c r="K236" s="17"/>
      <c r="L236" s="17"/>
      <c r="M236" s="17"/>
      <c r="N236" s="17"/>
      <c r="O236" s="15"/>
      <c r="P236" s="18"/>
      <c r="Q236" s="18"/>
      <c r="S236" s="15"/>
    </row>
    <row r="237" ht="14.25" customHeight="1">
      <c r="A237" s="8">
        <v>51301.0</v>
      </c>
      <c r="B237" s="8" t="s">
        <v>258</v>
      </c>
      <c r="C237" s="9">
        <v>3073.0</v>
      </c>
      <c r="D237" s="9">
        <v>1543.4444871246815</v>
      </c>
      <c r="E237" s="10">
        <v>4114.0</v>
      </c>
      <c r="F237" s="11">
        <f t="shared" si="1"/>
        <v>0.7469615946</v>
      </c>
      <c r="G237" s="11">
        <f t="shared" si="2"/>
        <v>0.5022598396</v>
      </c>
      <c r="H237" s="11">
        <f t="shared" si="3"/>
        <v>0.3751688107</v>
      </c>
      <c r="I237" s="12"/>
      <c r="J237" s="17"/>
      <c r="K237" s="17"/>
      <c r="L237" s="17"/>
      <c r="M237" s="17"/>
      <c r="N237" s="17"/>
      <c r="O237" s="15"/>
      <c r="P237" s="18"/>
      <c r="Q237" s="18"/>
      <c r="S237" s="15"/>
    </row>
    <row r="238" ht="14.25" customHeight="1">
      <c r="A238" s="8">
        <v>51302.0</v>
      </c>
      <c r="B238" s="8" t="s">
        <v>259</v>
      </c>
      <c r="C238" s="9">
        <v>4205.0</v>
      </c>
      <c r="D238" s="9">
        <v>1992.6667191684246</v>
      </c>
      <c r="E238" s="10">
        <v>6099.0</v>
      </c>
      <c r="F238" s="11">
        <f t="shared" si="1"/>
        <v>0.6894572881</v>
      </c>
      <c r="G238" s="11">
        <f t="shared" si="2"/>
        <v>0.4738803137</v>
      </c>
      <c r="H238" s="11">
        <f t="shared" si="3"/>
        <v>0.326720236</v>
      </c>
      <c r="I238" s="12"/>
      <c r="J238" s="17"/>
      <c r="K238" s="17"/>
      <c r="L238" s="17"/>
      <c r="M238" s="17"/>
      <c r="N238" s="17"/>
      <c r="O238" s="15"/>
      <c r="P238" s="18"/>
      <c r="Q238" s="18"/>
      <c r="S238" s="15"/>
    </row>
    <row r="239" ht="14.25" customHeight="1">
      <c r="A239" s="8">
        <v>51401.0</v>
      </c>
      <c r="B239" s="8" t="s">
        <v>260</v>
      </c>
      <c r="C239" s="9">
        <v>2241.0</v>
      </c>
      <c r="D239" s="9">
        <v>944.0000234544277</v>
      </c>
      <c r="E239" s="10">
        <v>3985.0</v>
      </c>
      <c r="F239" s="11">
        <f t="shared" si="1"/>
        <v>0.5623588457</v>
      </c>
      <c r="G239" s="11">
        <f t="shared" si="2"/>
        <v>0.4212405281</v>
      </c>
      <c r="H239" s="11">
        <f t="shared" si="3"/>
        <v>0.2368883371</v>
      </c>
      <c r="I239" s="12"/>
      <c r="J239" s="17"/>
      <c r="K239" s="17"/>
      <c r="L239" s="17"/>
      <c r="M239" s="17"/>
      <c r="N239" s="17"/>
      <c r="O239" s="15"/>
      <c r="P239" s="18"/>
      <c r="Q239" s="18"/>
      <c r="S239" s="15"/>
    </row>
    <row r="240" ht="14.25" customHeight="1">
      <c r="A240" s="8">
        <v>51402.0</v>
      </c>
      <c r="B240" s="8" t="s">
        <v>261</v>
      </c>
      <c r="C240" s="9">
        <v>620.0</v>
      </c>
      <c r="D240" s="9">
        <v>255.11111763119698</v>
      </c>
      <c r="E240" s="10">
        <v>1672.0</v>
      </c>
      <c r="F240" s="11">
        <f t="shared" si="1"/>
        <v>0.3708133971</v>
      </c>
      <c r="G240" s="11">
        <f t="shared" si="2"/>
        <v>0.4114695446</v>
      </c>
      <c r="H240" s="11">
        <f t="shared" si="3"/>
        <v>0.1525784196</v>
      </c>
      <c r="I240" s="12"/>
      <c r="J240" s="17"/>
      <c r="K240" s="17"/>
      <c r="L240" s="17"/>
      <c r="M240" s="17"/>
      <c r="N240" s="17"/>
      <c r="O240" s="15"/>
      <c r="P240" s="18"/>
      <c r="Q240" s="18"/>
      <c r="S240" s="15"/>
    </row>
    <row r="241" ht="14.25" customHeight="1">
      <c r="A241" s="8">
        <v>51501.0</v>
      </c>
      <c r="B241" s="8" t="s">
        <v>262</v>
      </c>
      <c r="C241" s="9">
        <v>11219.0</v>
      </c>
      <c r="D241" s="9">
        <v>4893.777903288603</v>
      </c>
      <c r="E241" s="10">
        <v>43586.0</v>
      </c>
      <c r="F241" s="11">
        <f t="shared" si="1"/>
        <v>0.2573991649</v>
      </c>
      <c r="G241" s="11">
        <f t="shared" si="2"/>
        <v>0.4362044659</v>
      </c>
      <c r="H241" s="11">
        <f t="shared" si="3"/>
        <v>0.1122786652</v>
      </c>
      <c r="I241" s="12"/>
      <c r="J241" s="17"/>
      <c r="K241" s="17"/>
      <c r="L241" s="17"/>
      <c r="M241" s="17"/>
      <c r="N241" s="17"/>
      <c r="O241" s="15"/>
      <c r="P241" s="18"/>
      <c r="Q241" s="18"/>
      <c r="S241" s="15"/>
    </row>
    <row r="242" ht="14.25" customHeight="1">
      <c r="A242" s="8">
        <v>51601.0</v>
      </c>
      <c r="B242" s="8" t="s">
        <v>263</v>
      </c>
      <c r="C242" s="9">
        <v>861.0</v>
      </c>
      <c r="D242" s="9">
        <v>393.4444548487663</v>
      </c>
      <c r="E242" s="10">
        <v>1648.0</v>
      </c>
      <c r="F242" s="11">
        <f t="shared" si="1"/>
        <v>0.5224514563</v>
      </c>
      <c r="G242" s="11">
        <f t="shared" si="2"/>
        <v>0.4569622008</v>
      </c>
      <c r="H242" s="11">
        <f t="shared" si="3"/>
        <v>0.2387405673</v>
      </c>
      <c r="I242" s="12"/>
      <c r="J242" s="17"/>
      <c r="K242" s="17"/>
      <c r="L242" s="17"/>
      <c r="M242" s="17"/>
      <c r="N242" s="17"/>
      <c r="O242" s="15"/>
      <c r="P242" s="18"/>
      <c r="Q242" s="18"/>
      <c r="S242" s="15"/>
    </row>
    <row r="243" ht="14.25" customHeight="1">
      <c r="A243" s="8">
        <v>60101.0</v>
      </c>
      <c r="B243" s="8" t="s">
        <v>22</v>
      </c>
      <c r="C243" s="9">
        <v>22131.0</v>
      </c>
      <c r="D243" s="9">
        <v>9004.778001189232</v>
      </c>
      <c r="E243" s="10">
        <v>199048.0</v>
      </c>
      <c r="F243" s="11">
        <f t="shared" si="1"/>
        <v>0.111184237</v>
      </c>
      <c r="G243" s="11">
        <f t="shared" si="2"/>
        <v>0.4068852741</v>
      </c>
      <c r="H243" s="11">
        <f t="shared" si="3"/>
        <v>0.04523922873</v>
      </c>
      <c r="I243" s="12"/>
      <c r="J243" s="17"/>
      <c r="K243" s="17"/>
      <c r="L243" s="17"/>
      <c r="M243" s="17"/>
      <c r="N243" s="17"/>
      <c r="O243" s="15"/>
      <c r="P243" s="18"/>
      <c r="Q243" s="18"/>
      <c r="S243" s="15"/>
    </row>
    <row r="244" ht="14.25" customHeight="1">
      <c r="A244" s="8">
        <v>60201.0</v>
      </c>
      <c r="B244" s="8" t="s">
        <v>264</v>
      </c>
      <c r="C244" s="9">
        <v>6896.0</v>
      </c>
      <c r="D244" s="9">
        <v>2987.222298055887</v>
      </c>
      <c r="E244" s="10">
        <v>18194.0</v>
      </c>
      <c r="F244" s="11">
        <f t="shared" si="1"/>
        <v>0.3790260525</v>
      </c>
      <c r="G244" s="11">
        <f t="shared" si="2"/>
        <v>0.4331818878</v>
      </c>
      <c r="H244" s="11">
        <f t="shared" si="3"/>
        <v>0.164187221</v>
      </c>
      <c r="I244" s="12"/>
      <c r="J244" s="17"/>
      <c r="K244" s="17"/>
      <c r="L244" s="17"/>
      <c r="M244" s="17"/>
      <c r="N244" s="17"/>
      <c r="O244" s="15"/>
      <c r="P244" s="18"/>
      <c r="Q244" s="18"/>
      <c r="S244" s="15"/>
    </row>
    <row r="245" ht="14.25" customHeight="1">
      <c r="A245" s="8">
        <v>60202.0</v>
      </c>
      <c r="B245" s="8" t="s">
        <v>265</v>
      </c>
      <c r="C245" s="9">
        <v>4390.0</v>
      </c>
      <c r="D245" s="9">
        <v>1746.7778218388557</v>
      </c>
      <c r="E245" s="10">
        <v>32959.0</v>
      </c>
      <c r="F245" s="11">
        <f t="shared" si="1"/>
        <v>0.1331957887</v>
      </c>
      <c r="G245" s="11">
        <f t="shared" si="2"/>
        <v>0.397899276</v>
      </c>
      <c r="H245" s="11">
        <f t="shared" si="3"/>
        <v>0.0529985079</v>
      </c>
      <c r="I245" s="12"/>
      <c r="J245" s="17"/>
      <c r="K245" s="17"/>
      <c r="L245" s="17"/>
      <c r="M245" s="17"/>
      <c r="N245" s="17"/>
      <c r="O245" s="15"/>
      <c r="P245" s="18"/>
      <c r="Q245" s="18"/>
      <c r="S245" s="15"/>
    </row>
    <row r="246" ht="14.25" customHeight="1">
      <c r="A246" s="8">
        <v>60301.0</v>
      </c>
      <c r="B246" s="8" t="s">
        <v>266</v>
      </c>
      <c r="C246" s="9">
        <v>15220.0</v>
      </c>
      <c r="D246" s="9">
        <v>6415.333498328924</v>
      </c>
      <c r="E246" s="10">
        <v>87869.0</v>
      </c>
      <c r="F246" s="11">
        <f t="shared" si="1"/>
        <v>0.1732123957</v>
      </c>
      <c r="G246" s="11">
        <f t="shared" si="2"/>
        <v>0.4215068002</v>
      </c>
      <c r="H246" s="11">
        <f t="shared" si="3"/>
        <v>0.07301020267</v>
      </c>
      <c r="I246" s="12"/>
      <c r="J246" s="17"/>
      <c r="K246" s="17"/>
      <c r="L246" s="17"/>
      <c r="M246" s="17"/>
      <c r="N246" s="17"/>
      <c r="O246" s="15"/>
      <c r="P246" s="18"/>
      <c r="Q246" s="18"/>
      <c r="S246" s="15"/>
    </row>
    <row r="247" ht="14.25" customHeight="1">
      <c r="A247" s="8">
        <v>60302.0</v>
      </c>
      <c r="B247" s="8" t="s">
        <v>267</v>
      </c>
      <c r="C247" s="9">
        <v>2394.0</v>
      </c>
      <c r="D247" s="9">
        <v>984.3333595991135</v>
      </c>
      <c r="E247" s="10">
        <v>13311.0</v>
      </c>
      <c r="F247" s="11">
        <f t="shared" si="1"/>
        <v>0.1798512508</v>
      </c>
      <c r="G247" s="11">
        <f t="shared" si="2"/>
        <v>0.4111668169</v>
      </c>
      <c r="H247" s="11">
        <f t="shared" si="3"/>
        <v>0.07394886632</v>
      </c>
      <c r="I247" s="12"/>
      <c r="J247" s="17"/>
      <c r="K247" s="17"/>
      <c r="L247" s="17"/>
      <c r="M247" s="17"/>
      <c r="N247" s="17"/>
      <c r="O247" s="15"/>
      <c r="P247" s="18"/>
      <c r="Q247" s="18"/>
      <c r="S247" s="15"/>
    </row>
    <row r="248" ht="14.25" customHeight="1">
      <c r="A248" s="8">
        <v>60303.0</v>
      </c>
      <c r="B248" s="8" t="s">
        <v>268</v>
      </c>
      <c r="C248" s="9">
        <v>9173.0</v>
      </c>
      <c r="D248" s="9">
        <v>3788.111208796501</v>
      </c>
      <c r="E248" s="10">
        <v>37790.0</v>
      </c>
      <c r="F248" s="11">
        <f t="shared" si="1"/>
        <v>0.2427361736</v>
      </c>
      <c r="G248" s="11">
        <f t="shared" si="2"/>
        <v>0.4129631755</v>
      </c>
      <c r="H248" s="11">
        <f t="shared" si="3"/>
        <v>0.1002411011</v>
      </c>
      <c r="I248" s="12"/>
      <c r="J248" s="17"/>
      <c r="K248" s="17"/>
      <c r="L248" s="17"/>
      <c r="M248" s="17"/>
      <c r="N248" s="17"/>
      <c r="O248" s="15"/>
      <c r="P248" s="18"/>
      <c r="Q248" s="18"/>
      <c r="S248" s="15"/>
    </row>
    <row r="249" ht="14.25" customHeight="1">
      <c r="A249" s="8">
        <v>60401.0</v>
      </c>
      <c r="B249" s="8" t="s">
        <v>269</v>
      </c>
      <c r="C249" s="9">
        <v>4856.0</v>
      </c>
      <c r="D249" s="9">
        <v>2117.777833044529</v>
      </c>
      <c r="E249" s="10">
        <v>14515.0</v>
      </c>
      <c r="F249" s="11">
        <f t="shared" si="1"/>
        <v>0.334550465</v>
      </c>
      <c r="G249" s="11">
        <f t="shared" si="2"/>
        <v>0.4361156987</v>
      </c>
      <c r="H249" s="11">
        <f t="shared" si="3"/>
        <v>0.1459027098</v>
      </c>
      <c r="I249" s="12"/>
      <c r="J249" s="17"/>
      <c r="K249" s="17"/>
      <c r="L249" s="17"/>
      <c r="M249" s="17"/>
      <c r="N249" s="17"/>
      <c r="O249" s="15"/>
      <c r="P249" s="18"/>
      <c r="Q249" s="18"/>
      <c r="S249" s="15"/>
    </row>
    <row r="250" ht="14.25" customHeight="1">
      <c r="A250" s="8">
        <v>60402.0</v>
      </c>
      <c r="B250" s="8" t="s">
        <v>270</v>
      </c>
      <c r="C250" s="9">
        <v>1952.0</v>
      </c>
      <c r="D250" s="9">
        <v>854.7778002619743</v>
      </c>
      <c r="E250" s="10">
        <v>5225.0</v>
      </c>
      <c r="F250" s="11">
        <f t="shared" si="1"/>
        <v>0.3735885167</v>
      </c>
      <c r="G250" s="11">
        <f t="shared" si="2"/>
        <v>0.4378984632</v>
      </c>
      <c r="H250" s="11">
        <f t="shared" si="3"/>
        <v>0.1635938374</v>
      </c>
      <c r="I250" s="12"/>
      <c r="J250" s="17"/>
      <c r="K250" s="17"/>
      <c r="L250" s="17"/>
      <c r="M250" s="17"/>
      <c r="N250" s="17"/>
      <c r="O250" s="15"/>
      <c r="P250" s="18"/>
      <c r="Q250" s="18"/>
      <c r="S250" s="15"/>
    </row>
    <row r="251" ht="14.25" customHeight="1">
      <c r="A251" s="8">
        <v>60501.0</v>
      </c>
      <c r="B251" s="8" t="s">
        <v>271</v>
      </c>
      <c r="C251" s="9">
        <v>7013.0</v>
      </c>
      <c r="D251" s="9">
        <v>3228.000082939863</v>
      </c>
      <c r="E251" s="10">
        <v>23255.0</v>
      </c>
      <c r="F251" s="11">
        <f t="shared" si="1"/>
        <v>0.3015695549</v>
      </c>
      <c r="G251" s="11">
        <f t="shared" si="2"/>
        <v>0.4602880483</v>
      </c>
      <c r="H251" s="11">
        <f t="shared" si="3"/>
        <v>0.1388088619</v>
      </c>
      <c r="I251" s="12"/>
      <c r="J251" s="17"/>
      <c r="K251" s="17"/>
      <c r="L251" s="17"/>
      <c r="M251" s="17"/>
      <c r="N251" s="17"/>
      <c r="O251" s="15"/>
      <c r="P251" s="18"/>
      <c r="Q251" s="18"/>
      <c r="S251" s="15"/>
    </row>
    <row r="252" ht="14.25" customHeight="1">
      <c r="A252" s="8">
        <v>60502.0</v>
      </c>
      <c r="B252" s="8" t="s">
        <v>272</v>
      </c>
      <c r="C252" s="9">
        <v>3567.0</v>
      </c>
      <c r="D252" s="9">
        <v>1525.0000399053097</v>
      </c>
      <c r="E252" s="10">
        <v>10947.0</v>
      </c>
      <c r="F252" s="11">
        <f t="shared" si="1"/>
        <v>0.3258426966</v>
      </c>
      <c r="G252" s="11">
        <f t="shared" si="2"/>
        <v>0.4275301486</v>
      </c>
      <c r="H252" s="11">
        <f t="shared" si="3"/>
        <v>0.1393075765</v>
      </c>
      <c r="I252" s="12"/>
      <c r="J252" s="17"/>
      <c r="K252" s="17"/>
      <c r="L252" s="17"/>
      <c r="M252" s="17"/>
      <c r="N252" s="17"/>
      <c r="O252" s="15"/>
      <c r="P252" s="18"/>
      <c r="Q252" s="18"/>
      <c r="S252" s="15"/>
    </row>
    <row r="253" ht="14.25" customHeight="1">
      <c r="A253" s="8">
        <v>60601.0</v>
      </c>
      <c r="B253" s="8" t="s">
        <v>177</v>
      </c>
      <c r="C253" s="9">
        <v>8951.0</v>
      </c>
      <c r="D253" s="9">
        <v>4050.4445520043373</v>
      </c>
      <c r="E253" s="10">
        <v>20197.0</v>
      </c>
      <c r="F253" s="11">
        <f t="shared" si="1"/>
        <v>0.4431846314</v>
      </c>
      <c r="G253" s="11">
        <f t="shared" si="2"/>
        <v>0.452513077</v>
      </c>
      <c r="H253" s="11">
        <f t="shared" si="3"/>
        <v>0.2005468412</v>
      </c>
      <c r="I253" s="12"/>
      <c r="J253" s="17"/>
      <c r="K253" s="17"/>
      <c r="L253" s="17"/>
      <c r="M253" s="17"/>
      <c r="N253" s="17"/>
      <c r="O253" s="15"/>
      <c r="P253" s="18"/>
      <c r="Q253" s="18"/>
      <c r="S253" s="15"/>
    </row>
    <row r="254" ht="14.25" customHeight="1">
      <c r="A254" s="8">
        <v>70101.0</v>
      </c>
      <c r="B254" s="8" t="s">
        <v>273</v>
      </c>
      <c r="C254" s="9">
        <v>193929.0</v>
      </c>
      <c r="D254" s="9">
        <v>72060.1129244566</v>
      </c>
      <c r="E254" s="10">
        <v>1411231.0</v>
      </c>
      <c r="F254" s="11">
        <f t="shared" si="1"/>
        <v>0.1374183249</v>
      </c>
      <c r="G254" s="11">
        <f t="shared" si="2"/>
        <v>0.3715798716</v>
      </c>
      <c r="H254" s="11">
        <f t="shared" si="3"/>
        <v>0.05106188351</v>
      </c>
      <c r="I254" s="12"/>
      <c r="J254" s="17"/>
      <c r="K254" s="17"/>
      <c r="L254" s="17"/>
      <c r="M254" s="17"/>
      <c r="N254" s="17"/>
      <c r="O254" s="15"/>
      <c r="P254" s="18"/>
      <c r="Q254" s="18"/>
      <c r="S254" s="15"/>
    </row>
    <row r="255" ht="14.25" customHeight="1">
      <c r="A255" s="8">
        <v>70102.0</v>
      </c>
      <c r="B255" s="8" t="s">
        <v>274</v>
      </c>
      <c r="C255" s="9">
        <v>14136.0</v>
      </c>
      <c r="D255" s="9">
        <v>5522.3334720134735</v>
      </c>
      <c r="E255" s="10">
        <v>54647.0</v>
      </c>
      <c r="F255" s="11">
        <f t="shared" si="1"/>
        <v>0.258678427</v>
      </c>
      <c r="G255" s="11">
        <f t="shared" si="2"/>
        <v>0.3906574329</v>
      </c>
      <c r="H255" s="11">
        <f t="shared" si="3"/>
        <v>0.1010546502</v>
      </c>
      <c r="I255" s="12"/>
      <c r="J255" s="17"/>
      <c r="K255" s="17"/>
      <c r="L255" s="17"/>
      <c r="M255" s="17"/>
      <c r="N255" s="17"/>
      <c r="O255" s="15"/>
      <c r="P255" s="18"/>
      <c r="Q255" s="18"/>
      <c r="S255" s="15"/>
    </row>
    <row r="256" ht="14.25" customHeight="1">
      <c r="A256" s="8">
        <v>70103.0</v>
      </c>
      <c r="B256" s="8" t="s">
        <v>275</v>
      </c>
      <c r="C256" s="9">
        <v>4697.0</v>
      </c>
      <c r="D256" s="9">
        <v>2014.3333854675293</v>
      </c>
      <c r="E256" s="10">
        <v>15248.0</v>
      </c>
      <c r="F256" s="11">
        <f t="shared" si="1"/>
        <v>0.3080403987</v>
      </c>
      <c r="G256" s="11">
        <f t="shared" si="2"/>
        <v>0.4288553088</v>
      </c>
      <c r="H256" s="11">
        <f t="shared" si="3"/>
        <v>0.1321047603</v>
      </c>
      <c r="I256" s="12"/>
      <c r="J256" s="17"/>
      <c r="K256" s="17"/>
      <c r="L256" s="17"/>
      <c r="M256" s="17"/>
      <c r="N256" s="17"/>
      <c r="O256" s="15"/>
      <c r="P256" s="18"/>
      <c r="Q256" s="18"/>
      <c r="S256" s="15"/>
    </row>
    <row r="257" ht="14.25" customHeight="1">
      <c r="A257" s="8">
        <v>70104.0</v>
      </c>
      <c r="B257" s="8" t="s">
        <v>276</v>
      </c>
      <c r="C257" s="9">
        <v>21328.0</v>
      </c>
      <c r="D257" s="9">
        <v>8124.5557615458965</v>
      </c>
      <c r="E257" s="10">
        <v>88335.0</v>
      </c>
      <c r="F257" s="11">
        <f t="shared" si="1"/>
        <v>0.241444501</v>
      </c>
      <c r="G257" s="11">
        <f t="shared" si="2"/>
        <v>0.3809337848</v>
      </c>
      <c r="H257" s="11">
        <f t="shared" si="3"/>
        <v>0.0919743676</v>
      </c>
      <c r="I257" s="12"/>
      <c r="J257" s="17"/>
      <c r="K257" s="17"/>
      <c r="L257" s="17"/>
      <c r="M257" s="17"/>
      <c r="N257" s="17"/>
      <c r="O257" s="15"/>
      <c r="P257" s="18"/>
      <c r="Q257" s="18"/>
      <c r="S257" s="15"/>
    </row>
    <row r="258" ht="14.25" customHeight="1">
      <c r="A258" s="8">
        <v>70105.0</v>
      </c>
      <c r="B258" s="8" t="s">
        <v>277</v>
      </c>
      <c r="C258" s="9">
        <v>14749.0</v>
      </c>
      <c r="D258" s="9">
        <v>6315.777943432331</v>
      </c>
      <c r="E258" s="10">
        <v>49071.0</v>
      </c>
      <c r="F258" s="11">
        <f t="shared" si="1"/>
        <v>0.3005644882</v>
      </c>
      <c r="G258" s="11">
        <f t="shared" si="2"/>
        <v>0.4282173668</v>
      </c>
      <c r="H258" s="11">
        <f t="shared" si="3"/>
        <v>0.1287069337</v>
      </c>
      <c r="I258" s="12"/>
      <c r="J258" s="17"/>
      <c r="K258" s="17"/>
      <c r="L258" s="17"/>
      <c r="M258" s="17"/>
      <c r="N258" s="17"/>
      <c r="O258" s="15"/>
      <c r="P258" s="18"/>
      <c r="Q258" s="18"/>
      <c r="S258" s="15"/>
    </row>
    <row r="259" ht="14.25" customHeight="1">
      <c r="A259" s="8">
        <v>70201.0</v>
      </c>
      <c r="B259" s="8" t="s">
        <v>278</v>
      </c>
      <c r="C259" s="9">
        <v>24694.0</v>
      </c>
      <c r="D259" s="9">
        <v>9783.555800020695</v>
      </c>
      <c r="E259" s="10">
        <v>95019.0</v>
      </c>
      <c r="F259" s="11">
        <f t="shared" si="1"/>
        <v>0.2598848651</v>
      </c>
      <c r="G259" s="11">
        <f t="shared" si="2"/>
        <v>0.3961916174</v>
      </c>
      <c r="H259" s="11">
        <f t="shared" si="3"/>
        <v>0.1029642051</v>
      </c>
      <c r="I259" s="12"/>
      <c r="J259" s="17"/>
      <c r="K259" s="17"/>
      <c r="L259" s="17"/>
      <c r="M259" s="17"/>
      <c r="N259" s="17"/>
      <c r="O259" s="15"/>
      <c r="P259" s="18"/>
      <c r="Q259" s="18"/>
      <c r="S259" s="15"/>
    </row>
    <row r="260" ht="14.25" customHeight="1">
      <c r="A260" s="8">
        <v>70202.0</v>
      </c>
      <c r="B260" s="8" t="s">
        <v>279</v>
      </c>
      <c r="C260" s="9">
        <v>3284.0</v>
      </c>
      <c r="D260" s="9">
        <v>1306.22225522995</v>
      </c>
      <c r="E260" s="10">
        <v>12116.0</v>
      </c>
      <c r="F260" s="11">
        <f t="shared" si="1"/>
        <v>0.27104655</v>
      </c>
      <c r="G260" s="11">
        <f t="shared" si="2"/>
        <v>0.3977534273</v>
      </c>
      <c r="H260" s="11">
        <f t="shared" si="3"/>
        <v>0.1078096942</v>
      </c>
      <c r="I260" s="12"/>
      <c r="J260" s="17"/>
      <c r="K260" s="17"/>
      <c r="L260" s="17"/>
      <c r="M260" s="17"/>
      <c r="N260" s="17"/>
      <c r="O260" s="15"/>
      <c r="P260" s="18"/>
      <c r="Q260" s="18"/>
      <c r="S260" s="15"/>
    </row>
    <row r="261" ht="14.25" customHeight="1">
      <c r="A261" s="8">
        <v>70301.0</v>
      </c>
      <c r="B261" s="8" t="s">
        <v>280</v>
      </c>
      <c r="C261" s="9">
        <v>23445.0</v>
      </c>
      <c r="D261" s="9">
        <v>10067.44470474124</v>
      </c>
      <c r="E261" s="10">
        <v>51021.0</v>
      </c>
      <c r="F261" s="11">
        <f t="shared" si="1"/>
        <v>0.4595166696</v>
      </c>
      <c r="G261" s="11">
        <f t="shared" si="2"/>
        <v>0.4294068972</v>
      </c>
      <c r="H261" s="11">
        <f t="shared" si="3"/>
        <v>0.1973196273</v>
      </c>
      <c r="I261" s="12"/>
      <c r="J261" s="17"/>
      <c r="K261" s="17"/>
      <c r="L261" s="17"/>
      <c r="M261" s="17"/>
      <c r="N261" s="17"/>
      <c r="O261" s="15"/>
      <c r="P261" s="18"/>
      <c r="Q261" s="18"/>
      <c r="S261" s="15"/>
    </row>
    <row r="262" ht="14.25" customHeight="1">
      <c r="A262" s="8">
        <v>70302.0</v>
      </c>
      <c r="B262" s="8" t="s">
        <v>281</v>
      </c>
      <c r="C262" s="9">
        <v>6516.0</v>
      </c>
      <c r="D262" s="9">
        <v>2932.7778515815735</v>
      </c>
      <c r="E262" s="10">
        <v>11232.0</v>
      </c>
      <c r="F262" s="11">
        <f t="shared" si="1"/>
        <v>0.5801282051</v>
      </c>
      <c r="G262" s="11">
        <f t="shared" si="2"/>
        <v>0.4500886819</v>
      </c>
      <c r="H262" s="11">
        <f t="shared" si="3"/>
        <v>0.2611091392</v>
      </c>
      <c r="I262" s="12"/>
      <c r="J262" s="17"/>
      <c r="K262" s="17"/>
      <c r="L262" s="17"/>
      <c r="M262" s="17"/>
      <c r="N262" s="17"/>
      <c r="O262" s="15"/>
      <c r="P262" s="18"/>
      <c r="Q262" s="18"/>
      <c r="S262" s="15"/>
    </row>
    <row r="263" ht="14.25" customHeight="1">
      <c r="A263" s="8">
        <v>70303.0</v>
      </c>
      <c r="B263" s="8" t="s">
        <v>282</v>
      </c>
      <c r="C263" s="9">
        <v>3132.0</v>
      </c>
      <c r="D263" s="9">
        <v>1392.6667056381702</v>
      </c>
      <c r="E263" s="10">
        <v>5620.0</v>
      </c>
      <c r="F263" s="11">
        <f t="shared" si="1"/>
        <v>0.5572953737</v>
      </c>
      <c r="G263" s="11">
        <f t="shared" si="2"/>
        <v>0.4446573134</v>
      </c>
      <c r="H263" s="11">
        <f t="shared" si="3"/>
        <v>0.2478054636</v>
      </c>
      <c r="I263" s="12"/>
      <c r="J263" s="17"/>
      <c r="K263" s="17"/>
      <c r="L263" s="17"/>
      <c r="M263" s="17"/>
      <c r="N263" s="17"/>
      <c r="O263" s="15"/>
      <c r="P263" s="18"/>
      <c r="Q263" s="18"/>
      <c r="S263" s="15"/>
    </row>
    <row r="264" ht="14.25" customHeight="1">
      <c r="A264" s="8">
        <v>70401.0</v>
      </c>
      <c r="B264" s="8" t="s">
        <v>283</v>
      </c>
      <c r="C264" s="9">
        <v>3875.0</v>
      </c>
      <c r="D264" s="9">
        <v>1691.6667107641697</v>
      </c>
      <c r="E264" s="10">
        <v>12535.0</v>
      </c>
      <c r="F264" s="11">
        <f t="shared" si="1"/>
        <v>0.3091344236</v>
      </c>
      <c r="G264" s="11">
        <f t="shared" si="2"/>
        <v>0.4365591512</v>
      </c>
      <c r="H264" s="11">
        <f t="shared" si="3"/>
        <v>0.1349554616</v>
      </c>
      <c r="I264" s="12"/>
      <c r="J264" s="17"/>
      <c r="K264" s="17"/>
      <c r="L264" s="17"/>
      <c r="M264" s="17"/>
      <c r="N264" s="17"/>
      <c r="O264" s="15"/>
      <c r="P264" s="18"/>
      <c r="Q264" s="18"/>
      <c r="S264" s="15"/>
    </row>
    <row r="265" ht="14.25" customHeight="1">
      <c r="A265" s="8">
        <v>70402.0</v>
      </c>
      <c r="B265" s="8" t="s">
        <v>284</v>
      </c>
      <c r="C265" s="9">
        <v>8307.0</v>
      </c>
      <c r="D265" s="9">
        <v>3584.000092178583</v>
      </c>
      <c r="E265" s="10">
        <v>19699.0</v>
      </c>
      <c r="F265" s="11">
        <f t="shared" si="1"/>
        <v>0.4216965328</v>
      </c>
      <c r="G265" s="11">
        <f t="shared" si="2"/>
        <v>0.4314433721</v>
      </c>
      <c r="H265" s="11">
        <f t="shared" si="3"/>
        <v>0.1819381741</v>
      </c>
      <c r="I265" s="12"/>
      <c r="J265" s="17"/>
      <c r="K265" s="17"/>
      <c r="L265" s="17"/>
      <c r="M265" s="17"/>
      <c r="N265" s="17"/>
      <c r="O265" s="15"/>
      <c r="P265" s="18"/>
      <c r="Q265" s="18"/>
      <c r="S265" s="15"/>
    </row>
    <row r="266" ht="14.25" customHeight="1">
      <c r="A266" s="8">
        <v>70403.0</v>
      </c>
      <c r="B266" s="8" t="s">
        <v>285</v>
      </c>
      <c r="C266" s="9">
        <v>23589.0</v>
      </c>
      <c r="D266" s="9">
        <v>10532.333591341972</v>
      </c>
      <c r="E266" s="10">
        <v>49351.0</v>
      </c>
      <c r="F266" s="11">
        <f t="shared" si="1"/>
        <v>0.4779842354</v>
      </c>
      <c r="G266" s="11">
        <f t="shared" si="2"/>
        <v>0.446493433</v>
      </c>
      <c r="H266" s="11">
        <f t="shared" si="3"/>
        <v>0.2134168222</v>
      </c>
      <c r="I266" s="12"/>
      <c r="J266" s="17"/>
      <c r="K266" s="17"/>
      <c r="L266" s="17"/>
      <c r="M266" s="17"/>
      <c r="N266" s="17"/>
      <c r="O266" s="15"/>
      <c r="P266" s="18"/>
      <c r="Q266" s="18"/>
      <c r="S266" s="15"/>
    </row>
    <row r="267" ht="14.25" customHeight="1">
      <c r="A267" s="8">
        <v>70404.0</v>
      </c>
      <c r="B267" s="8" t="s">
        <v>286</v>
      </c>
      <c r="C267" s="9">
        <v>3556.0</v>
      </c>
      <c r="D267" s="9">
        <v>1535.7778176367283</v>
      </c>
      <c r="E267" s="10">
        <v>8187.0</v>
      </c>
      <c r="F267" s="11">
        <f t="shared" si="1"/>
        <v>0.4343471357</v>
      </c>
      <c r="G267" s="11">
        <f t="shared" si="2"/>
        <v>0.4318835258</v>
      </c>
      <c r="H267" s="11">
        <f t="shared" si="3"/>
        <v>0.1875873724</v>
      </c>
      <c r="I267" s="12"/>
      <c r="J267" s="17"/>
      <c r="K267" s="17"/>
      <c r="L267" s="17"/>
      <c r="M267" s="17"/>
      <c r="N267" s="17"/>
      <c r="O267" s="15"/>
      <c r="P267" s="18"/>
      <c r="Q267" s="18"/>
      <c r="S267" s="15"/>
    </row>
    <row r="268" ht="14.25" customHeight="1">
      <c r="A268" s="8">
        <v>70501.0</v>
      </c>
      <c r="B268" s="8" t="s">
        <v>287</v>
      </c>
      <c r="C268" s="9">
        <v>7056.0</v>
      </c>
      <c r="D268" s="9">
        <v>2760.5556220710278</v>
      </c>
      <c r="E268" s="10">
        <v>21872.0</v>
      </c>
      <c r="F268" s="11">
        <f t="shared" si="1"/>
        <v>0.3226042429</v>
      </c>
      <c r="G268" s="11">
        <f t="shared" si="2"/>
        <v>0.3912352072</v>
      </c>
      <c r="H268" s="11">
        <f t="shared" si="3"/>
        <v>0.1262141378</v>
      </c>
      <c r="I268" s="12"/>
      <c r="J268" s="17"/>
      <c r="K268" s="17"/>
      <c r="L268" s="17"/>
      <c r="M268" s="17"/>
      <c r="N268" s="17"/>
      <c r="O268" s="15"/>
      <c r="P268" s="18"/>
      <c r="Q268" s="18"/>
      <c r="S268" s="15"/>
    </row>
    <row r="269" ht="14.25" customHeight="1">
      <c r="A269" s="8">
        <v>70502.0</v>
      </c>
      <c r="B269" s="8" t="s">
        <v>288</v>
      </c>
      <c r="C269" s="9">
        <v>12368.0</v>
      </c>
      <c r="D269" s="9">
        <v>4823.666787236929</v>
      </c>
      <c r="E269" s="10">
        <v>36302.0</v>
      </c>
      <c r="F269" s="11">
        <f t="shared" si="1"/>
        <v>0.3406974822</v>
      </c>
      <c r="G269" s="11">
        <f t="shared" si="2"/>
        <v>0.3900118683</v>
      </c>
      <c r="H269" s="11">
        <f t="shared" si="3"/>
        <v>0.1328760616</v>
      </c>
      <c r="I269" s="12"/>
      <c r="J269" s="17"/>
      <c r="K269" s="17"/>
      <c r="L269" s="17"/>
      <c r="M269" s="17"/>
      <c r="N269" s="17"/>
      <c r="O269" s="15"/>
      <c r="P269" s="18"/>
      <c r="Q269" s="18"/>
      <c r="S269" s="15"/>
    </row>
    <row r="270" ht="14.25" customHeight="1">
      <c r="A270" s="8">
        <v>70503.0</v>
      </c>
      <c r="B270" s="8" t="s">
        <v>289</v>
      </c>
      <c r="C270" s="9">
        <v>3285.0</v>
      </c>
      <c r="D270" s="9">
        <v>1381.3333678543568</v>
      </c>
      <c r="E270" s="10">
        <v>14725.0</v>
      </c>
      <c r="F270" s="11">
        <f t="shared" si="1"/>
        <v>0.223089983</v>
      </c>
      <c r="G270" s="11">
        <f t="shared" si="2"/>
        <v>0.42049722</v>
      </c>
      <c r="H270" s="11">
        <f t="shared" si="3"/>
        <v>0.09380871768</v>
      </c>
      <c r="I270" s="12"/>
      <c r="J270" s="17"/>
      <c r="K270" s="17"/>
      <c r="L270" s="17"/>
      <c r="M270" s="17"/>
      <c r="N270" s="17"/>
      <c r="O270" s="15"/>
      <c r="P270" s="18"/>
      <c r="Q270" s="18"/>
      <c r="S270" s="15"/>
    </row>
    <row r="271" ht="14.25" customHeight="1">
      <c r="A271" s="8">
        <v>70601.0</v>
      </c>
      <c r="B271" s="8" t="s">
        <v>290</v>
      </c>
      <c r="C271" s="9">
        <v>3894.0</v>
      </c>
      <c r="D271" s="9">
        <v>1583.2222628593445</v>
      </c>
      <c r="E271" s="10">
        <v>17458.0</v>
      </c>
      <c r="F271" s="11">
        <f t="shared" si="1"/>
        <v>0.2230496048</v>
      </c>
      <c r="G271" s="11">
        <f t="shared" si="2"/>
        <v>0.406579934</v>
      </c>
      <c r="H271" s="11">
        <f t="shared" si="3"/>
        <v>0.09068749358</v>
      </c>
      <c r="I271" s="12"/>
      <c r="J271" s="17"/>
      <c r="K271" s="17"/>
      <c r="L271" s="17"/>
      <c r="M271" s="17"/>
      <c r="N271" s="17"/>
      <c r="O271" s="15"/>
      <c r="P271" s="18"/>
      <c r="Q271" s="18"/>
      <c r="S271" s="15"/>
    </row>
    <row r="272" ht="14.25" customHeight="1">
      <c r="A272" s="8">
        <v>70602.0</v>
      </c>
      <c r="B272" s="8" t="s">
        <v>291</v>
      </c>
      <c r="C272" s="9">
        <v>9769.0</v>
      </c>
      <c r="D272" s="9">
        <v>4385.000113785267</v>
      </c>
      <c r="E272" s="10">
        <v>18987.0</v>
      </c>
      <c r="F272" s="11">
        <f t="shared" si="1"/>
        <v>0.5145099278</v>
      </c>
      <c r="G272" s="11">
        <f t="shared" si="2"/>
        <v>0.4488688826</v>
      </c>
      <c r="H272" s="11">
        <f t="shared" si="3"/>
        <v>0.2309474964</v>
      </c>
      <c r="I272" s="12"/>
      <c r="J272" s="17"/>
      <c r="K272" s="17"/>
      <c r="L272" s="17"/>
      <c r="M272" s="17"/>
      <c r="N272" s="17"/>
      <c r="O272" s="15"/>
      <c r="P272" s="18"/>
      <c r="Q272" s="18"/>
      <c r="S272" s="15"/>
    </row>
    <row r="273" ht="14.25" customHeight="1">
      <c r="A273" s="8">
        <v>70603.0</v>
      </c>
      <c r="B273" s="8" t="s">
        <v>292</v>
      </c>
      <c r="C273" s="9">
        <v>1932.0</v>
      </c>
      <c r="D273" s="9">
        <v>798.0000204145908</v>
      </c>
      <c r="E273" s="10">
        <v>5989.0</v>
      </c>
      <c r="F273" s="11">
        <f t="shared" si="1"/>
        <v>0.3225914176</v>
      </c>
      <c r="G273" s="11">
        <f t="shared" si="2"/>
        <v>0.4130434888</v>
      </c>
      <c r="H273" s="11">
        <f t="shared" si="3"/>
        <v>0.1332442846</v>
      </c>
      <c r="I273" s="12"/>
      <c r="J273" s="17"/>
      <c r="K273" s="17"/>
      <c r="L273" s="17"/>
      <c r="M273" s="17"/>
      <c r="N273" s="17"/>
      <c r="O273" s="15"/>
      <c r="P273" s="18"/>
      <c r="Q273" s="18"/>
      <c r="S273" s="15"/>
    </row>
    <row r="274" ht="14.25" customHeight="1">
      <c r="A274" s="8">
        <v>70701.0</v>
      </c>
      <c r="B274" s="8" t="s">
        <v>293</v>
      </c>
      <c r="C274" s="9">
        <v>2740.0</v>
      </c>
      <c r="D274" s="9">
        <v>1273.7778108119965</v>
      </c>
      <c r="E274" s="10">
        <v>5074.0</v>
      </c>
      <c r="F274" s="11">
        <f t="shared" si="1"/>
        <v>0.5400078833</v>
      </c>
      <c r="G274" s="11">
        <f t="shared" si="2"/>
        <v>0.4648824127</v>
      </c>
      <c r="H274" s="11">
        <f t="shared" si="3"/>
        <v>0.2510401677</v>
      </c>
      <c r="I274" s="12"/>
      <c r="J274" s="17"/>
      <c r="K274" s="17"/>
      <c r="L274" s="17"/>
      <c r="M274" s="17"/>
      <c r="N274" s="17"/>
      <c r="O274" s="15"/>
      <c r="P274" s="18"/>
      <c r="Q274" s="18"/>
      <c r="S274" s="15"/>
    </row>
    <row r="275" ht="14.25" customHeight="1">
      <c r="A275" s="8">
        <v>70702.0</v>
      </c>
      <c r="B275" s="8" t="s">
        <v>294</v>
      </c>
      <c r="C275" s="9">
        <v>17343.0</v>
      </c>
      <c r="D275" s="9">
        <v>7471.11130297184</v>
      </c>
      <c r="E275" s="10">
        <v>31024.0</v>
      </c>
      <c r="F275" s="11">
        <f t="shared" si="1"/>
        <v>0.5590188241</v>
      </c>
      <c r="G275" s="11">
        <f t="shared" si="2"/>
        <v>0.4307854064</v>
      </c>
      <c r="H275" s="11">
        <f t="shared" si="3"/>
        <v>0.2408171513</v>
      </c>
      <c r="I275" s="12"/>
      <c r="J275" s="17"/>
      <c r="K275" s="17"/>
      <c r="L275" s="17"/>
      <c r="M275" s="17"/>
      <c r="N275" s="17"/>
      <c r="O275" s="15"/>
      <c r="P275" s="18"/>
      <c r="Q275" s="18"/>
      <c r="S275" s="15"/>
    </row>
    <row r="276" ht="14.25" customHeight="1">
      <c r="A276" s="8">
        <v>70703.0</v>
      </c>
      <c r="B276" s="8" t="s">
        <v>295</v>
      </c>
      <c r="C276" s="9">
        <v>9573.0</v>
      </c>
      <c r="D276" s="9">
        <v>3984.0000994205475</v>
      </c>
      <c r="E276" s="10">
        <v>25036.0</v>
      </c>
      <c r="F276" s="11">
        <f t="shared" si="1"/>
        <v>0.3823693881</v>
      </c>
      <c r="G276" s="11">
        <f t="shared" si="2"/>
        <v>0.4161704899</v>
      </c>
      <c r="H276" s="11">
        <f t="shared" si="3"/>
        <v>0.1591308555</v>
      </c>
      <c r="I276" s="12"/>
      <c r="J276" s="17"/>
      <c r="K276" s="17"/>
      <c r="L276" s="17"/>
      <c r="M276" s="17"/>
      <c r="N276" s="17"/>
      <c r="O276" s="15"/>
      <c r="P276" s="18"/>
      <c r="Q276" s="18"/>
      <c r="S276" s="15"/>
    </row>
    <row r="277" ht="14.25" customHeight="1">
      <c r="A277" s="8">
        <v>70704.0</v>
      </c>
      <c r="B277" s="8" t="s">
        <v>296</v>
      </c>
      <c r="C277" s="9">
        <v>2355.0</v>
      </c>
      <c r="D277" s="9">
        <v>1144.1111420989037</v>
      </c>
      <c r="E277" s="10">
        <v>4780.0</v>
      </c>
      <c r="F277" s="11">
        <f t="shared" si="1"/>
        <v>0.4926778243</v>
      </c>
      <c r="G277" s="11">
        <f t="shared" si="2"/>
        <v>0.485822141</v>
      </c>
      <c r="H277" s="11">
        <f t="shared" si="3"/>
        <v>0.2393537954</v>
      </c>
      <c r="I277" s="12"/>
      <c r="J277" s="17"/>
      <c r="K277" s="17"/>
      <c r="L277" s="17"/>
      <c r="M277" s="17"/>
      <c r="N277" s="17"/>
      <c r="O277" s="15"/>
      <c r="P277" s="18"/>
      <c r="Q277" s="18"/>
      <c r="S277" s="15"/>
    </row>
    <row r="278" ht="14.25" customHeight="1">
      <c r="A278" s="8">
        <v>70705.0</v>
      </c>
      <c r="B278" s="8" t="s">
        <v>297</v>
      </c>
      <c r="C278" s="9">
        <v>8323.0</v>
      </c>
      <c r="D278" s="9">
        <v>4012.2223267555237</v>
      </c>
      <c r="E278" s="10">
        <v>11886.0</v>
      </c>
      <c r="F278" s="11">
        <f t="shared" si="1"/>
        <v>0.7002355713</v>
      </c>
      <c r="G278" s="11">
        <f t="shared" si="2"/>
        <v>0.4820644391</v>
      </c>
      <c r="H278" s="11">
        <f t="shared" si="3"/>
        <v>0.3375586679</v>
      </c>
      <c r="I278" s="12"/>
      <c r="J278" s="17"/>
      <c r="K278" s="17"/>
      <c r="L278" s="17"/>
      <c r="M278" s="17"/>
      <c r="N278" s="17"/>
      <c r="O278" s="15"/>
      <c r="P278" s="18"/>
      <c r="Q278" s="18"/>
      <c r="S278" s="15"/>
    </row>
    <row r="279" ht="14.25" customHeight="1">
      <c r="A279" s="8">
        <v>70706.0</v>
      </c>
      <c r="B279" s="8" t="s">
        <v>298</v>
      </c>
      <c r="C279" s="9">
        <v>5405.0</v>
      </c>
      <c r="D279" s="9">
        <v>2202.333390623331</v>
      </c>
      <c r="E279" s="10">
        <v>32942.0</v>
      </c>
      <c r="F279" s="11">
        <f t="shared" si="1"/>
        <v>0.1640762552</v>
      </c>
      <c r="G279" s="11">
        <f t="shared" si="2"/>
        <v>0.4074622369</v>
      </c>
      <c r="H279" s="11">
        <f t="shared" si="3"/>
        <v>0.06685487799</v>
      </c>
      <c r="I279" s="12"/>
      <c r="J279" s="17"/>
      <c r="K279" s="17"/>
      <c r="L279" s="17"/>
      <c r="M279" s="17"/>
      <c r="N279" s="17"/>
      <c r="O279" s="15"/>
      <c r="P279" s="18"/>
      <c r="Q279" s="18"/>
      <c r="S279" s="15"/>
    </row>
    <row r="280" ht="14.25" customHeight="1">
      <c r="A280" s="8">
        <v>70707.0</v>
      </c>
      <c r="B280" s="8" t="s">
        <v>299</v>
      </c>
      <c r="C280" s="9">
        <v>2380.0</v>
      </c>
      <c r="D280" s="9">
        <v>1112.444473028183</v>
      </c>
      <c r="E280" s="10">
        <v>4895.0</v>
      </c>
      <c r="F280" s="11">
        <f t="shared" si="1"/>
        <v>0.4862104188</v>
      </c>
      <c r="G280" s="11">
        <f t="shared" si="2"/>
        <v>0.4674136441</v>
      </c>
      <c r="H280" s="11">
        <f t="shared" si="3"/>
        <v>0.2272613837</v>
      </c>
      <c r="I280" s="12"/>
      <c r="J280" s="17"/>
      <c r="K280" s="17"/>
      <c r="L280" s="17"/>
      <c r="M280" s="17"/>
      <c r="N280" s="17"/>
      <c r="O280" s="15"/>
      <c r="P280" s="18"/>
      <c r="Q280" s="18"/>
      <c r="S280" s="15"/>
    </row>
    <row r="281" ht="14.25" customHeight="1">
      <c r="A281" s="8">
        <v>70801.0</v>
      </c>
      <c r="B281" s="8" t="s">
        <v>300</v>
      </c>
      <c r="C281" s="9">
        <v>5329.0</v>
      </c>
      <c r="D281" s="9">
        <v>2368.4445065557957</v>
      </c>
      <c r="E281" s="10">
        <v>16796.0</v>
      </c>
      <c r="F281" s="11">
        <f t="shared" si="1"/>
        <v>0.3172779233</v>
      </c>
      <c r="G281" s="11">
        <f t="shared" si="2"/>
        <v>0.4444444561</v>
      </c>
      <c r="H281" s="11">
        <f t="shared" si="3"/>
        <v>0.1410124141</v>
      </c>
      <c r="I281" s="12"/>
      <c r="J281" s="17"/>
      <c r="K281" s="17"/>
      <c r="L281" s="17"/>
      <c r="M281" s="17"/>
      <c r="N281" s="17"/>
      <c r="O281" s="15"/>
      <c r="P281" s="18"/>
      <c r="Q281" s="18"/>
      <c r="S281" s="15"/>
    </row>
    <row r="282" ht="14.25" customHeight="1">
      <c r="A282" s="8">
        <v>70802.0</v>
      </c>
      <c r="B282" s="8" t="s">
        <v>301</v>
      </c>
      <c r="C282" s="9">
        <v>480.0</v>
      </c>
      <c r="D282" s="9">
        <v>198.33333864808083</v>
      </c>
      <c r="E282" s="10">
        <v>2077.0</v>
      </c>
      <c r="F282" s="11">
        <f t="shared" si="1"/>
        <v>0.2311025518</v>
      </c>
      <c r="G282" s="11">
        <f t="shared" si="2"/>
        <v>0.4131944555</v>
      </c>
      <c r="H282" s="11">
        <f t="shared" si="3"/>
        <v>0.09549029304</v>
      </c>
      <c r="I282" s="12"/>
      <c r="J282" s="17"/>
      <c r="K282" s="17"/>
      <c r="L282" s="17"/>
      <c r="M282" s="17"/>
      <c r="N282" s="17"/>
      <c r="O282" s="15"/>
      <c r="P282" s="18"/>
      <c r="Q282" s="18"/>
      <c r="S282" s="15"/>
    </row>
    <row r="283" ht="14.25" customHeight="1">
      <c r="A283" s="8">
        <v>70803.0</v>
      </c>
      <c r="B283" s="8" t="s">
        <v>302</v>
      </c>
      <c r="C283" s="9">
        <v>1220.0</v>
      </c>
      <c r="D283" s="9">
        <v>557.6666805148125</v>
      </c>
      <c r="E283" s="10">
        <v>2752.0</v>
      </c>
      <c r="F283" s="11">
        <f t="shared" si="1"/>
        <v>0.4433139535</v>
      </c>
      <c r="G283" s="11">
        <f t="shared" si="2"/>
        <v>0.4571038365</v>
      </c>
      <c r="H283" s="11">
        <f t="shared" si="3"/>
        <v>0.2026405089</v>
      </c>
      <c r="I283" s="12"/>
      <c r="J283" s="17"/>
      <c r="K283" s="17"/>
      <c r="L283" s="17"/>
      <c r="M283" s="17"/>
      <c r="N283" s="17"/>
      <c r="O283" s="15"/>
      <c r="P283" s="18"/>
      <c r="Q283" s="18"/>
      <c r="S283" s="15"/>
    </row>
    <row r="284" ht="14.25" customHeight="1">
      <c r="A284" s="8">
        <v>70804.0</v>
      </c>
      <c r="B284" s="8" t="s">
        <v>303</v>
      </c>
      <c r="C284" s="9">
        <v>1165.0</v>
      </c>
      <c r="D284" s="9">
        <v>630.1111286580563</v>
      </c>
      <c r="E284" s="10">
        <v>2297.0</v>
      </c>
      <c r="F284" s="11">
        <f t="shared" si="1"/>
        <v>0.5071832825</v>
      </c>
      <c r="G284" s="11">
        <f t="shared" si="2"/>
        <v>0.5408679216</v>
      </c>
      <c r="H284" s="11">
        <f t="shared" si="3"/>
        <v>0.2743191679</v>
      </c>
      <c r="I284" s="12"/>
      <c r="J284" s="17"/>
      <c r="K284" s="17"/>
      <c r="L284" s="17"/>
      <c r="M284" s="17"/>
      <c r="N284" s="17"/>
      <c r="O284" s="15"/>
      <c r="P284" s="18"/>
      <c r="Q284" s="18"/>
      <c r="S284" s="15"/>
    </row>
    <row r="285" ht="14.25" customHeight="1">
      <c r="A285" s="8">
        <v>70805.0</v>
      </c>
      <c r="B285" s="8" t="s">
        <v>304</v>
      </c>
      <c r="C285" s="9">
        <v>1087.0</v>
      </c>
      <c r="D285" s="9">
        <v>498.5555683672428</v>
      </c>
      <c r="E285" s="10">
        <v>2048.0</v>
      </c>
      <c r="F285" s="11">
        <f t="shared" si="1"/>
        <v>0.5307617188</v>
      </c>
      <c r="G285" s="11">
        <f t="shared" si="2"/>
        <v>0.4586527768</v>
      </c>
      <c r="H285" s="11">
        <f t="shared" si="3"/>
        <v>0.2434353361</v>
      </c>
      <c r="I285" s="12"/>
      <c r="J285" s="17"/>
      <c r="K285" s="17"/>
      <c r="L285" s="17"/>
      <c r="M285" s="17"/>
      <c r="N285" s="17"/>
      <c r="O285" s="15"/>
      <c r="P285" s="18"/>
      <c r="Q285" s="18"/>
      <c r="S285" s="15"/>
    </row>
    <row r="286" ht="14.25" customHeight="1">
      <c r="A286" s="8">
        <v>70901.0</v>
      </c>
      <c r="B286" s="8" t="s">
        <v>305</v>
      </c>
      <c r="C286" s="9">
        <v>3532.0</v>
      </c>
      <c r="D286" s="9">
        <v>1606.5555990040302</v>
      </c>
      <c r="E286" s="10">
        <v>10250.0</v>
      </c>
      <c r="F286" s="11">
        <f t="shared" si="1"/>
        <v>0.3445853659</v>
      </c>
      <c r="G286" s="11">
        <f t="shared" si="2"/>
        <v>0.4548571911</v>
      </c>
      <c r="H286" s="11">
        <f t="shared" si="3"/>
        <v>0.1567371316</v>
      </c>
      <c r="I286" s="12"/>
      <c r="J286" s="17"/>
      <c r="K286" s="17"/>
      <c r="L286" s="17"/>
      <c r="M286" s="17"/>
      <c r="N286" s="17"/>
      <c r="O286" s="15"/>
      <c r="P286" s="18"/>
      <c r="Q286" s="18"/>
      <c r="S286" s="15"/>
    </row>
    <row r="287" ht="14.25" customHeight="1">
      <c r="A287" s="8">
        <v>70902.0</v>
      </c>
      <c r="B287" s="8" t="s">
        <v>306</v>
      </c>
      <c r="C287" s="9">
        <v>3060.0</v>
      </c>
      <c r="D287" s="9">
        <v>1360.8889266848564</v>
      </c>
      <c r="E287" s="10">
        <v>9097.0</v>
      </c>
      <c r="F287" s="11">
        <f t="shared" si="1"/>
        <v>0.336374629</v>
      </c>
      <c r="G287" s="11">
        <f t="shared" si="2"/>
        <v>0.4447349434</v>
      </c>
      <c r="H287" s="11">
        <f t="shared" si="3"/>
        <v>0.1495975516</v>
      </c>
      <c r="I287" s="12"/>
      <c r="J287" s="17"/>
      <c r="K287" s="17"/>
      <c r="L287" s="17"/>
      <c r="M287" s="17"/>
      <c r="N287" s="17"/>
      <c r="O287" s="15"/>
      <c r="P287" s="18"/>
      <c r="Q287" s="18"/>
      <c r="S287" s="15"/>
    </row>
    <row r="288" ht="14.25" customHeight="1">
      <c r="A288" s="8">
        <v>70903.0</v>
      </c>
      <c r="B288" s="8" t="s">
        <v>307</v>
      </c>
      <c r="C288" s="9">
        <v>2664.0</v>
      </c>
      <c r="D288" s="9">
        <v>1109.4444727301598</v>
      </c>
      <c r="E288" s="10">
        <v>10026.0</v>
      </c>
      <c r="F288" s="11">
        <f t="shared" si="1"/>
        <v>0.2657091562</v>
      </c>
      <c r="G288" s="11">
        <f t="shared" si="2"/>
        <v>0.4164581354</v>
      </c>
      <c r="H288" s="11">
        <f t="shared" si="3"/>
        <v>0.1106567397</v>
      </c>
      <c r="I288" s="12"/>
      <c r="J288" s="17"/>
      <c r="K288" s="17"/>
      <c r="L288" s="17"/>
      <c r="M288" s="17"/>
      <c r="N288" s="17"/>
      <c r="O288" s="15"/>
      <c r="P288" s="18"/>
      <c r="Q288" s="18"/>
      <c r="S288" s="15"/>
    </row>
    <row r="289" ht="14.25" customHeight="1">
      <c r="A289" s="8">
        <v>70904.0</v>
      </c>
      <c r="B289" s="8" t="s">
        <v>308</v>
      </c>
      <c r="C289" s="9">
        <v>880.0</v>
      </c>
      <c r="D289" s="9">
        <v>397.3333438038826</v>
      </c>
      <c r="E289" s="10">
        <v>2918.0</v>
      </c>
      <c r="F289" s="11">
        <f t="shared" si="1"/>
        <v>0.3015764222</v>
      </c>
      <c r="G289" s="11">
        <f t="shared" si="2"/>
        <v>0.4515151634</v>
      </c>
      <c r="H289" s="11">
        <f t="shared" si="3"/>
        <v>0.1361663276</v>
      </c>
      <c r="I289" s="12"/>
      <c r="J289" s="17"/>
      <c r="K289" s="17"/>
      <c r="L289" s="17"/>
      <c r="M289" s="17"/>
      <c r="N289" s="17"/>
      <c r="O289" s="15"/>
      <c r="P289" s="18"/>
      <c r="Q289" s="18"/>
      <c r="S289" s="15"/>
    </row>
    <row r="290" ht="14.25" customHeight="1">
      <c r="A290" s="8">
        <v>71001.0</v>
      </c>
      <c r="B290" s="8" t="s">
        <v>309</v>
      </c>
      <c r="C290" s="9">
        <v>22454.0</v>
      </c>
      <c r="D290" s="9">
        <v>8971.44467112422</v>
      </c>
      <c r="E290" s="10">
        <v>106954.0</v>
      </c>
      <c r="F290" s="11">
        <f t="shared" si="1"/>
        <v>0.2099407222</v>
      </c>
      <c r="G290" s="11">
        <f t="shared" si="2"/>
        <v>0.3995477274</v>
      </c>
      <c r="H290" s="11">
        <f t="shared" si="3"/>
        <v>0.08388133844</v>
      </c>
      <c r="I290" s="12"/>
      <c r="J290" s="17"/>
      <c r="K290" s="17"/>
      <c r="L290" s="17"/>
      <c r="M290" s="17"/>
      <c r="N290" s="17"/>
      <c r="O290" s="15"/>
      <c r="P290" s="18"/>
      <c r="Q290" s="18"/>
      <c r="S290" s="15"/>
    </row>
    <row r="291" ht="14.25" customHeight="1">
      <c r="A291" s="8">
        <v>71002.0</v>
      </c>
      <c r="B291" s="8" t="s">
        <v>310</v>
      </c>
      <c r="C291" s="9">
        <v>4676.0</v>
      </c>
      <c r="D291" s="9">
        <v>1931.8889394700527</v>
      </c>
      <c r="E291" s="10">
        <v>13906.0</v>
      </c>
      <c r="F291" s="11">
        <f t="shared" si="1"/>
        <v>0.3362577305</v>
      </c>
      <c r="G291" s="11">
        <f t="shared" si="2"/>
        <v>0.4131499015</v>
      </c>
      <c r="H291" s="11">
        <f t="shared" si="3"/>
        <v>0.1389248482</v>
      </c>
      <c r="I291" s="12"/>
      <c r="J291" s="17"/>
      <c r="K291" s="17"/>
      <c r="L291" s="17"/>
      <c r="M291" s="17"/>
      <c r="N291" s="17"/>
      <c r="O291" s="15"/>
      <c r="P291" s="18"/>
      <c r="Q291" s="18"/>
      <c r="S291" s="15"/>
    </row>
    <row r="292" ht="14.25" customHeight="1">
      <c r="A292" s="8">
        <v>71003.0</v>
      </c>
      <c r="B292" s="8" t="s">
        <v>311</v>
      </c>
      <c r="C292" s="9">
        <v>8477.0</v>
      </c>
      <c r="D292" s="9">
        <v>3417.4445309638977</v>
      </c>
      <c r="E292" s="10">
        <v>22893.0</v>
      </c>
      <c r="F292" s="11">
        <f t="shared" si="1"/>
        <v>0.3702878609</v>
      </c>
      <c r="G292" s="11">
        <f t="shared" si="2"/>
        <v>0.4031431557</v>
      </c>
      <c r="H292" s="11">
        <f t="shared" si="3"/>
        <v>0.1492790168</v>
      </c>
      <c r="I292" s="12"/>
      <c r="J292" s="17"/>
      <c r="K292" s="17"/>
      <c r="L292" s="17"/>
      <c r="M292" s="17"/>
      <c r="N292" s="17"/>
      <c r="O292" s="15"/>
      <c r="P292" s="18"/>
      <c r="Q292" s="18"/>
      <c r="S292" s="15"/>
    </row>
    <row r="293" ht="14.25" customHeight="1">
      <c r="A293" s="8">
        <v>71004.0</v>
      </c>
      <c r="B293" s="8" t="s">
        <v>312</v>
      </c>
      <c r="C293" s="9">
        <v>4593.0</v>
      </c>
      <c r="D293" s="9">
        <v>1830.3333798348904</v>
      </c>
      <c r="E293" s="10">
        <v>13800.0</v>
      </c>
      <c r="F293" s="11">
        <f t="shared" si="1"/>
        <v>0.332826087</v>
      </c>
      <c r="G293" s="11">
        <f t="shared" si="2"/>
        <v>0.3985049815</v>
      </c>
      <c r="H293" s="11">
        <f t="shared" si="3"/>
        <v>0.1326328536</v>
      </c>
      <c r="I293" s="12"/>
      <c r="J293" s="17"/>
      <c r="K293" s="17"/>
      <c r="L293" s="17"/>
      <c r="M293" s="17"/>
      <c r="N293" s="17"/>
      <c r="O293" s="15"/>
      <c r="P293" s="18"/>
      <c r="Q293" s="18"/>
      <c r="S293" s="15"/>
    </row>
    <row r="294" ht="14.25" customHeight="1">
      <c r="A294" s="8">
        <v>71005.0</v>
      </c>
      <c r="B294" s="8" t="s">
        <v>238</v>
      </c>
      <c r="C294" s="9">
        <v>4680.0</v>
      </c>
      <c r="D294" s="9">
        <v>1844.2222692668438</v>
      </c>
      <c r="E294" s="10">
        <v>16015.0</v>
      </c>
      <c r="F294" s="11">
        <f t="shared" si="1"/>
        <v>0.2922260381</v>
      </c>
      <c r="G294" s="11">
        <f t="shared" si="2"/>
        <v>0.3940645875</v>
      </c>
      <c r="H294" s="11">
        <f t="shared" si="3"/>
        <v>0.1151559331</v>
      </c>
      <c r="I294" s="12"/>
      <c r="J294" s="17"/>
      <c r="K294" s="17"/>
      <c r="L294" s="17"/>
      <c r="M294" s="17"/>
      <c r="N294" s="17"/>
      <c r="O294" s="15"/>
      <c r="P294" s="18"/>
      <c r="Q294" s="18"/>
      <c r="S294" s="15"/>
    </row>
    <row r="295" ht="14.25" customHeight="1">
      <c r="A295" s="8">
        <v>71101.0</v>
      </c>
      <c r="B295" s="8" t="s">
        <v>313</v>
      </c>
      <c r="C295" s="9">
        <v>9938.0</v>
      </c>
      <c r="D295" s="9">
        <v>4462.444560319185</v>
      </c>
      <c r="E295" s="10">
        <v>18455.0</v>
      </c>
      <c r="F295" s="11">
        <f t="shared" si="1"/>
        <v>0.5384990517</v>
      </c>
      <c r="G295" s="11">
        <f t="shared" si="2"/>
        <v>0.4490284323</v>
      </c>
      <c r="H295" s="11">
        <f t="shared" si="3"/>
        <v>0.241801385</v>
      </c>
      <c r="I295" s="12"/>
      <c r="J295" s="17"/>
      <c r="K295" s="17"/>
      <c r="L295" s="17"/>
      <c r="M295" s="17"/>
      <c r="N295" s="17"/>
      <c r="O295" s="15"/>
      <c r="P295" s="18"/>
      <c r="Q295" s="18"/>
      <c r="S295" s="15"/>
    </row>
    <row r="296" ht="14.25" customHeight="1">
      <c r="A296" s="8">
        <v>71102.0</v>
      </c>
      <c r="B296" s="8" t="s">
        <v>314</v>
      </c>
      <c r="C296" s="9">
        <v>6715.0</v>
      </c>
      <c r="D296" s="9">
        <v>3087.2223030924797</v>
      </c>
      <c r="E296" s="10">
        <v>13350.0</v>
      </c>
      <c r="F296" s="11">
        <f t="shared" si="1"/>
        <v>0.5029962547</v>
      </c>
      <c r="G296" s="11">
        <f t="shared" si="2"/>
        <v>0.4597501568</v>
      </c>
      <c r="H296" s="11">
        <f t="shared" si="3"/>
        <v>0.231252607</v>
      </c>
      <c r="I296" s="12"/>
      <c r="J296" s="17"/>
      <c r="K296" s="17"/>
      <c r="L296" s="17"/>
      <c r="M296" s="17"/>
      <c r="N296" s="17"/>
      <c r="O296" s="15"/>
      <c r="P296" s="18"/>
      <c r="Q296" s="18"/>
      <c r="S296" s="15"/>
    </row>
    <row r="297" ht="14.25" customHeight="1">
      <c r="A297" s="8">
        <v>71103.0</v>
      </c>
      <c r="B297" s="8" t="s">
        <v>315</v>
      </c>
      <c r="C297" s="9">
        <v>18776.0</v>
      </c>
      <c r="D297" s="9">
        <v>7562.111296892166</v>
      </c>
      <c r="E297" s="10">
        <v>46370.0</v>
      </c>
      <c r="F297" s="11">
        <f t="shared" si="1"/>
        <v>0.4049169722</v>
      </c>
      <c r="G297" s="11">
        <f t="shared" si="2"/>
        <v>0.4027541168</v>
      </c>
      <c r="H297" s="11">
        <f t="shared" si="3"/>
        <v>0.1630819775</v>
      </c>
      <c r="I297" s="12"/>
      <c r="J297" s="17"/>
      <c r="K297" s="17"/>
      <c r="L297" s="17"/>
      <c r="M297" s="17"/>
      <c r="N297" s="17"/>
      <c r="O297" s="15"/>
      <c r="P297" s="18"/>
      <c r="Q297" s="18"/>
      <c r="S297" s="15"/>
    </row>
    <row r="298" ht="14.25" customHeight="1">
      <c r="A298" s="8">
        <v>71104.0</v>
      </c>
      <c r="B298" s="8" t="s">
        <v>316</v>
      </c>
      <c r="C298" s="9">
        <v>2299.0</v>
      </c>
      <c r="D298" s="9">
        <v>981.777803748846</v>
      </c>
      <c r="E298" s="10">
        <v>6464.0</v>
      </c>
      <c r="F298" s="11">
        <f t="shared" si="1"/>
        <v>0.3556621287</v>
      </c>
      <c r="G298" s="11">
        <f t="shared" si="2"/>
        <v>0.4270455867</v>
      </c>
      <c r="H298" s="11">
        <f t="shared" si="3"/>
        <v>0.1518839424</v>
      </c>
      <c r="I298" s="12"/>
      <c r="J298" s="17"/>
      <c r="K298" s="17"/>
      <c r="L298" s="17"/>
      <c r="M298" s="17"/>
      <c r="N298" s="17"/>
      <c r="O298" s="15"/>
      <c r="P298" s="18"/>
      <c r="Q298" s="18"/>
      <c r="S298" s="15"/>
    </row>
    <row r="299" ht="14.25" customHeight="1">
      <c r="A299" s="8">
        <v>71105.0</v>
      </c>
      <c r="B299" s="8" t="s">
        <v>317</v>
      </c>
      <c r="C299" s="9">
        <v>2949.0</v>
      </c>
      <c r="D299" s="9">
        <v>1292.8889203071594</v>
      </c>
      <c r="E299" s="10">
        <v>6949.0</v>
      </c>
      <c r="F299" s="11">
        <f t="shared" si="1"/>
        <v>0.4243776083</v>
      </c>
      <c r="G299" s="11">
        <f t="shared" si="2"/>
        <v>0.4384160462</v>
      </c>
      <c r="H299" s="11">
        <f t="shared" si="3"/>
        <v>0.1860539531</v>
      </c>
      <c r="I299" s="12"/>
      <c r="J299" s="17"/>
      <c r="K299" s="17"/>
      <c r="L299" s="17"/>
      <c r="M299" s="17"/>
      <c r="N299" s="17"/>
      <c r="O299" s="15"/>
      <c r="P299" s="18"/>
      <c r="Q299" s="18"/>
      <c r="S299" s="15"/>
    </row>
    <row r="300" ht="14.25" customHeight="1">
      <c r="A300" s="8">
        <v>71106.0</v>
      </c>
      <c r="B300" s="8" t="s">
        <v>318</v>
      </c>
      <c r="C300" s="9">
        <v>6476.0</v>
      </c>
      <c r="D300" s="9">
        <v>2503.111174404621</v>
      </c>
      <c r="E300" s="10">
        <v>21361.0</v>
      </c>
      <c r="F300" s="11">
        <f t="shared" si="1"/>
        <v>0.3031693273</v>
      </c>
      <c r="G300" s="11">
        <f t="shared" si="2"/>
        <v>0.386521182</v>
      </c>
      <c r="H300" s="11">
        <f t="shared" si="3"/>
        <v>0.1171813667</v>
      </c>
      <c r="I300" s="12"/>
      <c r="J300" s="17"/>
      <c r="K300" s="17"/>
      <c r="L300" s="17"/>
      <c r="M300" s="17"/>
      <c r="N300" s="17"/>
      <c r="O300" s="15"/>
      <c r="P300" s="18"/>
      <c r="Q300" s="18"/>
      <c r="S300" s="15"/>
    </row>
    <row r="301" ht="14.25" customHeight="1">
      <c r="A301" s="8">
        <v>71201.0</v>
      </c>
      <c r="B301" s="8" t="s">
        <v>319</v>
      </c>
      <c r="C301" s="9">
        <v>7509.0</v>
      </c>
      <c r="D301" s="9">
        <v>3345.1112009584904</v>
      </c>
      <c r="E301" s="10">
        <v>14080.0</v>
      </c>
      <c r="F301" s="11">
        <f t="shared" si="1"/>
        <v>0.5333096591</v>
      </c>
      <c r="G301" s="11">
        <f t="shared" si="2"/>
        <v>0.4454802505</v>
      </c>
      <c r="H301" s="11">
        <f t="shared" si="3"/>
        <v>0.2375789205</v>
      </c>
      <c r="I301" s="12"/>
      <c r="J301" s="17"/>
      <c r="K301" s="17"/>
      <c r="L301" s="17"/>
      <c r="M301" s="17"/>
      <c r="N301" s="17"/>
      <c r="O301" s="15"/>
      <c r="P301" s="18"/>
      <c r="Q301" s="18"/>
      <c r="S301" s="15"/>
    </row>
    <row r="302" ht="14.25" customHeight="1">
      <c r="A302" s="8">
        <v>71301.0</v>
      </c>
      <c r="B302" s="8" t="s">
        <v>320</v>
      </c>
      <c r="C302" s="9">
        <v>5449.0</v>
      </c>
      <c r="D302" s="9">
        <v>2487.222286850214</v>
      </c>
      <c r="E302" s="10">
        <v>15748.0</v>
      </c>
      <c r="F302" s="11">
        <f t="shared" si="1"/>
        <v>0.346012192</v>
      </c>
      <c r="G302" s="11">
        <f t="shared" si="2"/>
        <v>0.456454815</v>
      </c>
      <c r="H302" s="11">
        <f t="shared" si="3"/>
        <v>0.1579389311</v>
      </c>
      <c r="I302" s="12"/>
      <c r="J302" s="17"/>
      <c r="K302" s="17"/>
      <c r="L302" s="17"/>
      <c r="M302" s="17"/>
      <c r="N302" s="17"/>
      <c r="O302" s="15"/>
      <c r="P302" s="18"/>
      <c r="Q302" s="18"/>
      <c r="S302" s="15"/>
    </row>
    <row r="303" ht="14.25" customHeight="1">
      <c r="A303" s="8">
        <v>71302.0</v>
      </c>
      <c r="B303" s="8" t="s">
        <v>321</v>
      </c>
      <c r="C303" s="9">
        <v>2683.0</v>
      </c>
      <c r="D303" s="9">
        <v>1123.3333637416363</v>
      </c>
      <c r="E303" s="10">
        <v>7125.0</v>
      </c>
      <c r="F303" s="11">
        <f t="shared" si="1"/>
        <v>0.3765614035</v>
      </c>
      <c r="G303" s="11">
        <f t="shared" si="2"/>
        <v>0.4186855623</v>
      </c>
      <c r="H303" s="11">
        <f t="shared" si="3"/>
        <v>0.157660823</v>
      </c>
      <c r="I303" s="12"/>
      <c r="J303" s="17"/>
      <c r="K303" s="17"/>
      <c r="L303" s="17"/>
      <c r="M303" s="17"/>
      <c r="N303" s="17"/>
      <c r="O303" s="15"/>
      <c r="P303" s="18"/>
      <c r="Q303" s="18"/>
      <c r="S303" s="15"/>
    </row>
    <row r="304" ht="14.25" customHeight="1">
      <c r="A304" s="8">
        <v>71401.0</v>
      </c>
      <c r="B304" s="8" t="s">
        <v>322</v>
      </c>
      <c r="C304" s="9">
        <v>4290.0</v>
      </c>
      <c r="D304" s="9">
        <v>1718.4444870054722</v>
      </c>
      <c r="E304" s="10">
        <v>18513.0</v>
      </c>
      <c r="F304" s="11">
        <f t="shared" si="1"/>
        <v>0.2317290553</v>
      </c>
      <c r="G304" s="11">
        <f t="shared" si="2"/>
        <v>0.4005698105</v>
      </c>
      <c r="H304" s="11">
        <f t="shared" si="3"/>
        <v>0.09282366375</v>
      </c>
      <c r="I304" s="12"/>
      <c r="J304" s="17"/>
      <c r="K304" s="17"/>
      <c r="L304" s="17"/>
      <c r="M304" s="17"/>
      <c r="N304" s="17"/>
      <c r="O304" s="15"/>
      <c r="P304" s="18"/>
      <c r="Q304" s="18"/>
      <c r="S304" s="15"/>
    </row>
    <row r="305" ht="14.25" customHeight="1">
      <c r="A305" s="8">
        <v>71402.0</v>
      </c>
      <c r="B305" s="8" t="s">
        <v>323</v>
      </c>
      <c r="C305" s="9">
        <v>4254.0</v>
      </c>
      <c r="D305" s="9">
        <v>1643.1111500263214</v>
      </c>
      <c r="E305" s="10">
        <v>15696.0</v>
      </c>
      <c r="F305" s="11">
        <f t="shared" si="1"/>
        <v>0.2710244648</v>
      </c>
      <c r="G305" s="11">
        <f t="shared" si="2"/>
        <v>0.386250858</v>
      </c>
      <c r="H305" s="11">
        <f t="shared" si="3"/>
        <v>0.1046834321</v>
      </c>
      <c r="I305" s="12"/>
      <c r="J305" s="17"/>
      <c r="K305" s="17"/>
      <c r="L305" s="17"/>
      <c r="M305" s="17"/>
      <c r="N305" s="17"/>
      <c r="O305" s="15"/>
      <c r="P305" s="18"/>
      <c r="Q305" s="18"/>
      <c r="S305" s="15"/>
    </row>
    <row r="306" ht="14.25" customHeight="1">
      <c r="A306" s="8">
        <v>71403.0</v>
      </c>
      <c r="B306" s="8" t="s">
        <v>324</v>
      </c>
      <c r="C306" s="9">
        <v>2836.0</v>
      </c>
      <c r="D306" s="9">
        <v>1234.3333643376827</v>
      </c>
      <c r="E306" s="10">
        <v>6065.0</v>
      </c>
      <c r="F306" s="11">
        <f t="shared" si="1"/>
        <v>0.4676009893</v>
      </c>
      <c r="G306" s="11">
        <f t="shared" si="2"/>
        <v>0.4352374345</v>
      </c>
      <c r="H306" s="11">
        <f t="shared" si="3"/>
        <v>0.203517455</v>
      </c>
      <c r="I306" s="12"/>
      <c r="J306" s="17"/>
      <c r="K306" s="17"/>
      <c r="L306" s="17"/>
      <c r="M306" s="17"/>
      <c r="N306" s="17"/>
      <c r="O306" s="15"/>
      <c r="P306" s="18"/>
      <c r="Q306" s="18"/>
      <c r="S306" s="15"/>
    </row>
    <row r="307" ht="14.25" customHeight="1">
      <c r="A307" s="8">
        <v>71501.0</v>
      </c>
      <c r="B307" s="8" t="s">
        <v>325</v>
      </c>
      <c r="C307" s="9">
        <v>16077.0</v>
      </c>
      <c r="D307" s="9">
        <v>7092.555740773678</v>
      </c>
      <c r="E307" s="10">
        <v>26179.0</v>
      </c>
      <c r="F307" s="11">
        <f t="shared" si="1"/>
        <v>0.6141181863</v>
      </c>
      <c r="G307" s="11">
        <f t="shared" si="2"/>
        <v>0.4411616434</v>
      </c>
      <c r="H307" s="11">
        <f t="shared" si="3"/>
        <v>0.2709253883</v>
      </c>
      <c r="I307" s="12"/>
      <c r="J307" s="17"/>
      <c r="K307" s="17"/>
      <c r="L307" s="17"/>
      <c r="M307" s="17"/>
      <c r="N307" s="17"/>
      <c r="O307" s="15"/>
      <c r="P307" s="18"/>
      <c r="Q307" s="18"/>
      <c r="S307" s="15"/>
    </row>
    <row r="308" ht="14.25" customHeight="1">
      <c r="A308" s="8">
        <v>71502.0</v>
      </c>
      <c r="B308" s="8" t="s">
        <v>326</v>
      </c>
      <c r="C308" s="9">
        <v>3819.0</v>
      </c>
      <c r="D308" s="9">
        <v>1691.888933867216</v>
      </c>
      <c r="E308" s="10">
        <v>6802.0</v>
      </c>
      <c r="F308" s="11">
        <f t="shared" si="1"/>
        <v>0.561452514</v>
      </c>
      <c r="G308" s="11">
        <f t="shared" si="2"/>
        <v>0.4430188358</v>
      </c>
      <c r="H308" s="11">
        <f t="shared" si="3"/>
        <v>0.2487340391</v>
      </c>
      <c r="I308" s="12"/>
      <c r="J308" s="17"/>
      <c r="K308" s="17"/>
      <c r="L308" s="17"/>
      <c r="M308" s="17"/>
      <c r="N308" s="17"/>
      <c r="O308" s="15"/>
      <c r="P308" s="18"/>
      <c r="Q308" s="18"/>
      <c r="S308" s="15"/>
    </row>
    <row r="309" ht="14.25" customHeight="1">
      <c r="A309" s="8">
        <v>71503.0</v>
      </c>
      <c r="B309" s="8" t="s">
        <v>272</v>
      </c>
      <c r="C309" s="9">
        <v>8967.0</v>
      </c>
      <c r="D309" s="9">
        <v>3956.222323268652</v>
      </c>
      <c r="E309" s="10">
        <v>13901.0</v>
      </c>
      <c r="F309" s="11">
        <f t="shared" si="1"/>
        <v>0.6450615064</v>
      </c>
      <c r="G309" s="11">
        <f t="shared" si="2"/>
        <v>0.4411979841</v>
      </c>
      <c r="H309" s="11">
        <f t="shared" si="3"/>
        <v>0.2845998362</v>
      </c>
      <c r="I309" s="12"/>
      <c r="J309" s="17"/>
      <c r="K309" s="17"/>
      <c r="L309" s="17"/>
      <c r="M309" s="17"/>
      <c r="N309" s="17"/>
      <c r="O309" s="15"/>
      <c r="P309" s="18"/>
      <c r="Q309" s="18"/>
      <c r="S309" s="15"/>
    </row>
    <row r="310" ht="14.25" customHeight="1">
      <c r="A310" s="8">
        <v>80101.0</v>
      </c>
      <c r="B310" s="8" t="s">
        <v>327</v>
      </c>
      <c r="C310" s="9">
        <v>36684.0</v>
      </c>
      <c r="D310" s="9">
        <v>14915.889272540808</v>
      </c>
      <c r="E310" s="10">
        <v>103028.0</v>
      </c>
      <c r="F310" s="11">
        <f t="shared" si="1"/>
        <v>0.3560585472</v>
      </c>
      <c r="G310" s="11">
        <f t="shared" si="2"/>
        <v>0.406604767</v>
      </c>
      <c r="H310" s="11">
        <f t="shared" si="3"/>
        <v>0.1447751026</v>
      </c>
      <c r="I310" s="12"/>
      <c r="J310" s="17"/>
      <c r="K310" s="17"/>
      <c r="L310" s="17"/>
      <c r="M310" s="17"/>
      <c r="N310" s="17"/>
      <c r="O310" s="15"/>
      <c r="P310" s="18"/>
      <c r="Q310" s="18"/>
      <c r="S310" s="15"/>
    </row>
    <row r="311" ht="14.25" customHeight="1">
      <c r="A311" s="8">
        <v>80102.0</v>
      </c>
      <c r="B311" s="8" t="s">
        <v>314</v>
      </c>
      <c r="C311" s="9">
        <v>3034.0</v>
      </c>
      <c r="D311" s="9">
        <v>1300.8889223337173</v>
      </c>
      <c r="E311" s="10">
        <v>5238.0</v>
      </c>
      <c r="F311" s="11">
        <f t="shared" si="1"/>
        <v>0.5792287132</v>
      </c>
      <c r="G311" s="11">
        <f t="shared" si="2"/>
        <v>0.4287702447</v>
      </c>
      <c r="H311" s="11">
        <f t="shared" si="3"/>
        <v>0.2483560371</v>
      </c>
      <c r="I311" s="12"/>
      <c r="J311" s="17"/>
      <c r="K311" s="17"/>
      <c r="L311" s="17"/>
      <c r="M311" s="17"/>
      <c r="N311" s="17"/>
      <c r="O311" s="15"/>
      <c r="P311" s="18"/>
      <c r="Q311" s="18"/>
      <c r="S311" s="15"/>
    </row>
    <row r="312" ht="14.25" customHeight="1">
      <c r="A312" s="8">
        <v>80201.0</v>
      </c>
      <c r="B312" s="8" t="s">
        <v>328</v>
      </c>
      <c r="C312" s="9">
        <v>58348.0</v>
      </c>
      <c r="D312" s="9">
        <v>25516.778432250023</v>
      </c>
      <c r="E312" s="10">
        <v>86903.0</v>
      </c>
      <c r="F312" s="11">
        <f t="shared" si="1"/>
        <v>0.6714152561</v>
      </c>
      <c r="G312" s="11">
        <f t="shared" si="2"/>
        <v>0.4373205325</v>
      </c>
      <c r="H312" s="11">
        <f t="shared" si="3"/>
        <v>0.2936236773</v>
      </c>
      <c r="I312" s="12"/>
      <c r="J312" s="17"/>
      <c r="K312" s="17"/>
      <c r="L312" s="17"/>
      <c r="M312" s="17"/>
      <c r="N312" s="17"/>
      <c r="O312" s="15"/>
      <c r="P312" s="18"/>
      <c r="Q312" s="18"/>
      <c r="S312" s="15"/>
    </row>
    <row r="313" ht="14.25" customHeight="1">
      <c r="A313" s="8">
        <v>80202.0</v>
      </c>
      <c r="B313" s="8" t="s">
        <v>329</v>
      </c>
      <c r="C313" s="9">
        <v>15090.0</v>
      </c>
      <c r="D313" s="9">
        <v>6255.666826218367</v>
      </c>
      <c r="E313" s="10">
        <v>40186.0</v>
      </c>
      <c r="F313" s="11">
        <f t="shared" si="1"/>
        <v>0.3755039068</v>
      </c>
      <c r="G313" s="11">
        <f t="shared" si="2"/>
        <v>0.4145571124</v>
      </c>
      <c r="H313" s="11">
        <f t="shared" si="3"/>
        <v>0.1556678153</v>
      </c>
      <c r="I313" s="12"/>
      <c r="J313" s="17"/>
      <c r="K313" s="17"/>
      <c r="L313" s="17"/>
      <c r="M313" s="17"/>
      <c r="N313" s="17"/>
      <c r="O313" s="15"/>
      <c r="P313" s="18"/>
      <c r="Q313" s="18"/>
      <c r="S313" s="15"/>
    </row>
    <row r="314" ht="14.25" customHeight="1">
      <c r="A314" s="8">
        <v>80301.0</v>
      </c>
      <c r="B314" s="8" t="s">
        <v>330</v>
      </c>
      <c r="C314" s="9">
        <v>8324.0</v>
      </c>
      <c r="D314" s="9">
        <v>3679.4445415735245</v>
      </c>
      <c r="E314" s="10">
        <v>12912.0</v>
      </c>
      <c r="F314" s="11">
        <f t="shared" si="1"/>
        <v>0.6446716233</v>
      </c>
      <c r="G314" s="11">
        <f t="shared" si="2"/>
        <v>0.4420284168</v>
      </c>
      <c r="H314" s="11">
        <f t="shared" si="3"/>
        <v>0.284963177</v>
      </c>
      <c r="I314" s="12"/>
      <c r="J314" s="17"/>
      <c r="K314" s="17"/>
      <c r="L314" s="17"/>
      <c r="M314" s="17"/>
      <c r="N314" s="17"/>
      <c r="O314" s="15"/>
      <c r="P314" s="18"/>
      <c r="Q314" s="18"/>
      <c r="S314" s="15"/>
    </row>
    <row r="315" ht="14.25" customHeight="1">
      <c r="A315" s="8">
        <v>80302.0</v>
      </c>
      <c r="B315" s="8" t="s">
        <v>331</v>
      </c>
      <c r="C315" s="9">
        <v>24411.0</v>
      </c>
      <c r="D315" s="9">
        <v>13058.778097957373</v>
      </c>
      <c r="E315" s="10">
        <v>39928.0</v>
      </c>
      <c r="F315" s="11">
        <f t="shared" si="1"/>
        <v>0.6113754759</v>
      </c>
      <c r="G315" s="11">
        <f t="shared" si="2"/>
        <v>0.5349546556</v>
      </c>
      <c r="H315" s="11">
        <f t="shared" si="3"/>
        <v>0.3270581571</v>
      </c>
      <c r="I315" s="12"/>
      <c r="J315" s="17"/>
      <c r="K315" s="17"/>
      <c r="L315" s="17"/>
      <c r="M315" s="17"/>
      <c r="N315" s="17"/>
      <c r="O315" s="15"/>
      <c r="P315" s="18"/>
      <c r="Q315" s="18"/>
      <c r="S315" s="15"/>
    </row>
    <row r="316" ht="14.25" customHeight="1">
      <c r="A316" s="8">
        <v>80303.0</v>
      </c>
      <c r="B316" s="8" t="s">
        <v>291</v>
      </c>
      <c r="C316" s="9">
        <v>4309.0</v>
      </c>
      <c r="D316" s="9">
        <v>1847.333379983902</v>
      </c>
      <c r="E316" s="10">
        <v>9297.0</v>
      </c>
      <c r="F316" s="11">
        <f t="shared" si="1"/>
        <v>0.4634828439</v>
      </c>
      <c r="G316" s="11">
        <f t="shared" si="2"/>
        <v>0.4287151033</v>
      </c>
      <c r="H316" s="11">
        <f t="shared" si="3"/>
        <v>0.1987020953</v>
      </c>
      <c r="I316" s="12"/>
      <c r="J316" s="17"/>
      <c r="K316" s="17"/>
      <c r="L316" s="17"/>
      <c r="M316" s="17"/>
      <c r="N316" s="17"/>
      <c r="O316" s="15"/>
      <c r="P316" s="18"/>
      <c r="Q316" s="18"/>
      <c r="S316" s="15"/>
    </row>
    <row r="317" ht="14.25" customHeight="1">
      <c r="A317" s="8">
        <v>80304.0</v>
      </c>
      <c r="B317" s="8" t="s">
        <v>332</v>
      </c>
      <c r="C317" s="9">
        <v>6562.0</v>
      </c>
      <c r="D317" s="9">
        <v>3047.444521665573</v>
      </c>
      <c r="E317" s="10">
        <v>18307.0</v>
      </c>
      <c r="F317" s="11">
        <f t="shared" si="1"/>
        <v>0.358442126</v>
      </c>
      <c r="G317" s="11">
        <f t="shared" si="2"/>
        <v>0.464407882</v>
      </c>
      <c r="H317" s="11">
        <f t="shared" si="3"/>
        <v>0.1664633485</v>
      </c>
      <c r="I317" s="12"/>
      <c r="J317" s="17"/>
      <c r="K317" s="17"/>
      <c r="L317" s="17"/>
      <c r="M317" s="17"/>
      <c r="N317" s="17"/>
      <c r="O317" s="15"/>
      <c r="P317" s="18"/>
      <c r="Q317" s="18"/>
      <c r="S317" s="15"/>
    </row>
    <row r="318" ht="14.25" customHeight="1">
      <c r="A318" s="8">
        <v>80401.0</v>
      </c>
      <c r="B318" s="8" t="s">
        <v>333</v>
      </c>
      <c r="C318" s="9">
        <v>6824.0</v>
      </c>
      <c r="D318" s="9">
        <v>3069.333410233259</v>
      </c>
      <c r="E318" s="10">
        <v>16575.0</v>
      </c>
      <c r="F318" s="11">
        <f t="shared" si="1"/>
        <v>0.4117043741</v>
      </c>
      <c r="G318" s="11">
        <f t="shared" si="2"/>
        <v>0.4497850836</v>
      </c>
      <c r="H318" s="11">
        <f t="shared" si="3"/>
        <v>0.1851784863</v>
      </c>
      <c r="I318" s="12"/>
      <c r="J318" s="17"/>
      <c r="K318" s="17"/>
      <c r="L318" s="17"/>
      <c r="M318" s="17"/>
      <c r="N318" s="17"/>
      <c r="O318" s="15"/>
      <c r="P318" s="18"/>
      <c r="Q318" s="18"/>
      <c r="S318" s="15"/>
    </row>
    <row r="319" ht="14.25" customHeight="1">
      <c r="A319" s="8">
        <v>80402.0</v>
      </c>
      <c r="B319" s="8" t="s">
        <v>334</v>
      </c>
      <c r="C319" s="9">
        <v>4360.0</v>
      </c>
      <c r="D319" s="9">
        <v>2097.8889439105988</v>
      </c>
      <c r="E319" s="10">
        <v>5996.0</v>
      </c>
      <c r="F319" s="11">
        <f t="shared" si="1"/>
        <v>0.7271514343</v>
      </c>
      <c r="G319" s="11">
        <f t="shared" si="2"/>
        <v>0.481167189</v>
      </c>
      <c r="H319" s="11">
        <f t="shared" si="3"/>
        <v>0.3498814116</v>
      </c>
      <c r="I319" s="12"/>
      <c r="J319" s="17"/>
      <c r="K319" s="17"/>
      <c r="L319" s="17"/>
      <c r="M319" s="17"/>
      <c r="N319" s="17"/>
      <c r="O319" s="15"/>
      <c r="P319" s="18"/>
      <c r="Q319" s="18"/>
      <c r="S319" s="15"/>
    </row>
    <row r="320" ht="14.25" customHeight="1">
      <c r="A320" s="8">
        <v>80501.0</v>
      </c>
      <c r="B320" s="8" t="s">
        <v>280</v>
      </c>
      <c r="C320" s="9">
        <v>12624.0</v>
      </c>
      <c r="D320" s="9">
        <v>5905.11126306653</v>
      </c>
      <c r="E320" s="10">
        <v>18717.0</v>
      </c>
      <c r="F320" s="11">
        <f t="shared" si="1"/>
        <v>0.674467062</v>
      </c>
      <c r="G320" s="11">
        <f t="shared" si="2"/>
        <v>0.4677686362</v>
      </c>
      <c r="H320" s="11">
        <f t="shared" si="3"/>
        <v>0.3154945377</v>
      </c>
      <c r="I320" s="12"/>
      <c r="J320" s="17"/>
      <c r="K320" s="17"/>
      <c r="L320" s="17"/>
      <c r="M320" s="17"/>
      <c r="N320" s="17"/>
      <c r="O320" s="15"/>
      <c r="P320" s="18"/>
      <c r="Q320" s="18"/>
      <c r="S320" s="15"/>
    </row>
    <row r="321" ht="14.25" customHeight="1">
      <c r="A321" s="8">
        <v>80601.0</v>
      </c>
      <c r="B321" s="8" t="s">
        <v>335</v>
      </c>
      <c r="C321" s="9">
        <v>2484.0</v>
      </c>
      <c r="D321" s="9">
        <v>1208.2222534418106</v>
      </c>
      <c r="E321" s="10">
        <v>3728.0</v>
      </c>
      <c r="F321" s="11">
        <f t="shared" si="1"/>
        <v>0.6663090129</v>
      </c>
      <c r="G321" s="11">
        <f t="shared" si="2"/>
        <v>0.4864018734</v>
      </c>
      <c r="H321" s="11">
        <f t="shared" si="3"/>
        <v>0.3240939521</v>
      </c>
      <c r="I321" s="12"/>
      <c r="J321" s="17"/>
      <c r="K321" s="17"/>
      <c r="L321" s="17"/>
      <c r="M321" s="17"/>
      <c r="N321" s="17"/>
      <c r="O321" s="15"/>
      <c r="P321" s="18"/>
      <c r="Q321" s="18"/>
      <c r="S321" s="15"/>
    </row>
    <row r="322" ht="14.25" customHeight="1">
      <c r="A322" s="8">
        <v>80602.0</v>
      </c>
      <c r="B322" s="8" t="s">
        <v>336</v>
      </c>
      <c r="C322" s="9">
        <v>6123.0</v>
      </c>
      <c r="D322" s="9">
        <v>2664.4445118904114</v>
      </c>
      <c r="E322" s="10">
        <v>11792.0</v>
      </c>
      <c r="F322" s="11">
        <f t="shared" si="1"/>
        <v>0.5192503392</v>
      </c>
      <c r="G322" s="11">
        <f t="shared" si="2"/>
        <v>0.4351534398</v>
      </c>
      <c r="H322" s="11">
        <f t="shared" si="3"/>
        <v>0.2259535712</v>
      </c>
      <c r="I322" s="12"/>
      <c r="J322" s="17"/>
      <c r="K322" s="17"/>
      <c r="L322" s="17"/>
      <c r="M322" s="17"/>
      <c r="N322" s="17"/>
      <c r="O322" s="15"/>
      <c r="P322" s="18"/>
      <c r="Q322" s="18"/>
      <c r="S322" s="15"/>
    </row>
    <row r="323" ht="14.25" customHeight="1">
      <c r="A323" s="8">
        <v>80701.0</v>
      </c>
      <c r="B323" s="8" t="s">
        <v>337</v>
      </c>
      <c r="C323" s="9">
        <v>3501.0</v>
      </c>
      <c r="D323" s="9">
        <v>1482.1111480295658</v>
      </c>
      <c r="E323" s="10">
        <v>6518.0</v>
      </c>
      <c r="F323" s="11">
        <f t="shared" si="1"/>
        <v>0.5371279534</v>
      </c>
      <c r="G323" s="11">
        <f t="shared" si="2"/>
        <v>0.4233393739</v>
      </c>
      <c r="H323" s="11">
        <f t="shared" si="3"/>
        <v>0.2273874115</v>
      </c>
      <c r="I323" s="12"/>
      <c r="J323" s="17"/>
      <c r="K323" s="17"/>
      <c r="L323" s="17"/>
      <c r="M323" s="17"/>
      <c r="N323" s="17"/>
      <c r="O323" s="15"/>
      <c r="P323" s="18"/>
      <c r="Q323" s="18"/>
      <c r="S323" s="15"/>
    </row>
    <row r="324" ht="14.25" customHeight="1">
      <c r="A324" s="8">
        <v>80702.0</v>
      </c>
      <c r="B324" s="8" t="s">
        <v>315</v>
      </c>
      <c r="C324" s="9">
        <v>2177.0</v>
      </c>
      <c r="D324" s="9">
        <v>923.6666900217533</v>
      </c>
      <c r="E324" s="10">
        <v>4764.0</v>
      </c>
      <c r="F324" s="11">
        <f t="shared" si="1"/>
        <v>0.4569689337</v>
      </c>
      <c r="G324" s="11">
        <f t="shared" si="2"/>
        <v>0.4242841939</v>
      </c>
      <c r="H324" s="11">
        <f t="shared" si="3"/>
        <v>0.1938846956</v>
      </c>
      <c r="I324" s="12"/>
      <c r="J324" s="17"/>
      <c r="K324" s="17"/>
      <c r="L324" s="17"/>
      <c r="M324" s="17"/>
      <c r="N324" s="17"/>
      <c r="O324" s="15"/>
      <c r="P324" s="18"/>
      <c r="Q324" s="18"/>
      <c r="S324" s="15"/>
    </row>
    <row r="325" ht="14.25" customHeight="1">
      <c r="A325" s="8">
        <v>80703.0</v>
      </c>
      <c r="B325" s="8" t="s">
        <v>338</v>
      </c>
      <c r="C325" s="9">
        <v>408.0</v>
      </c>
      <c r="D325" s="9">
        <v>177.33333805203438</v>
      </c>
      <c r="E325" s="10">
        <v>835.0</v>
      </c>
      <c r="F325" s="11">
        <f t="shared" si="1"/>
        <v>0.4886227545</v>
      </c>
      <c r="G325" s="11">
        <f t="shared" si="2"/>
        <v>0.4346405344</v>
      </c>
      <c r="H325" s="11">
        <f t="shared" si="3"/>
        <v>0.2123752552</v>
      </c>
      <c r="I325" s="12"/>
      <c r="J325" s="17"/>
      <c r="K325" s="17"/>
      <c r="L325" s="17"/>
      <c r="M325" s="17"/>
      <c r="N325" s="17"/>
      <c r="O325" s="15"/>
      <c r="P325" s="18"/>
      <c r="Q325" s="18"/>
      <c r="S325" s="15"/>
    </row>
    <row r="326" ht="14.25" customHeight="1">
      <c r="A326" s="8">
        <v>80801.0</v>
      </c>
      <c r="B326" s="8" t="s">
        <v>339</v>
      </c>
      <c r="C326" s="9">
        <v>6473.0</v>
      </c>
      <c r="D326" s="9">
        <v>2783.3334022164345</v>
      </c>
      <c r="E326" s="10">
        <v>11053.0</v>
      </c>
      <c r="F326" s="11">
        <f t="shared" si="1"/>
        <v>0.5856328599</v>
      </c>
      <c r="G326" s="11">
        <f t="shared" si="2"/>
        <v>0.4299912563</v>
      </c>
      <c r="H326" s="11">
        <f t="shared" si="3"/>
        <v>0.2518170092</v>
      </c>
      <c r="I326" s="12"/>
      <c r="J326" s="17"/>
      <c r="K326" s="17"/>
      <c r="L326" s="17"/>
      <c r="M326" s="17"/>
      <c r="N326" s="17"/>
      <c r="O326" s="15"/>
      <c r="P326" s="18"/>
      <c r="Q326" s="18"/>
      <c r="S326" s="15"/>
    </row>
    <row r="327" ht="14.25" customHeight="1">
      <c r="A327" s="8">
        <v>80802.0</v>
      </c>
      <c r="B327" s="8" t="s">
        <v>340</v>
      </c>
      <c r="C327" s="9">
        <v>2704.0</v>
      </c>
      <c r="D327" s="9">
        <v>1129.4444712996483</v>
      </c>
      <c r="E327" s="10">
        <v>5464.0</v>
      </c>
      <c r="F327" s="11">
        <f t="shared" si="1"/>
        <v>0.494875549</v>
      </c>
      <c r="G327" s="11">
        <f t="shared" si="2"/>
        <v>0.4176939613</v>
      </c>
      <c r="H327" s="11">
        <f t="shared" si="3"/>
        <v>0.2067065284</v>
      </c>
      <c r="I327" s="12"/>
      <c r="J327" s="17"/>
      <c r="K327" s="17"/>
      <c r="L327" s="17"/>
      <c r="M327" s="17"/>
      <c r="N327" s="17"/>
      <c r="O327" s="15"/>
      <c r="P327" s="18"/>
      <c r="Q327" s="18"/>
      <c r="S327" s="15"/>
    </row>
    <row r="328" ht="14.25" customHeight="1">
      <c r="A328" s="8">
        <v>80803.0</v>
      </c>
      <c r="B328" s="8" t="s">
        <v>341</v>
      </c>
      <c r="C328" s="9">
        <v>2091.0</v>
      </c>
      <c r="D328" s="9">
        <v>911.4444687366486</v>
      </c>
      <c r="E328" s="10">
        <v>4009.0</v>
      </c>
      <c r="F328" s="11">
        <f t="shared" si="1"/>
        <v>0.521576453</v>
      </c>
      <c r="G328" s="11">
        <f t="shared" si="2"/>
        <v>0.4358892725</v>
      </c>
      <c r="H328" s="11">
        <f t="shared" si="3"/>
        <v>0.2273495806</v>
      </c>
      <c r="I328" s="12"/>
      <c r="J328" s="17"/>
      <c r="K328" s="17"/>
      <c r="L328" s="17"/>
      <c r="M328" s="17"/>
      <c r="N328" s="17"/>
      <c r="O328" s="15"/>
      <c r="P328" s="18"/>
      <c r="Q328" s="18"/>
      <c r="S328" s="15"/>
    </row>
    <row r="329" ht="14.25" customHeight="1">
      <c r="A329" s="8">
        <v>80901.0</v>
      </c>
      <c r="B329" s="8" t="s">
        <v>342</v>
      </c>
      <c r="C329" s="9">
        <v>2785.0</v>
      </c>
      <c r="D329" s="9">
        <v>1451.4444808363914</v>
      </c>
      <c r="E329" s="10">
        <v>3152.0</v>
      </c>
      <c r="F329" s="11">
        <f t="shared" si="1"/>
        <v>0.8835659898</v>
      </c>
      <c r="G329" s="11">
        <f t="shared" si="2"/>
        <v>0.5211649841</v>
      </c>
      <c r="H329" s="11">
        <f t="shared" si="3"/>
        <v>0.4604836551</v>
      </c>
      <c r="I329" s="12"/>
      <c r="J329" s="17"/>
      <c r="K329" s="17"/>
      <c r="L329" s="17"/>
      <c r="M329" s="17"/>
      <c r="N329" s="17"/>
      <c r="O329" s="15"/>
      <c r="P329" s="18"/>
      <c r="Q329" s="18"/>
      <c r="S329" s="15"/>
    </row>
    <row r="330" ht="14.25" customHeight="1">
      <c r="A330" s="8">
        <v>90101.0</v>
      </c>
      <c r="B330" s="8" t="s">
        <v>343</v>
      </c>
      <c r="C330" s="9">
        <v>11827.0</v>
      </c>
      <c r="D330" s="9">
        <v>4901.222344130278</v>
      </c>
      <c r="E330" s="10">
        <v>43616.0</v>
      </c>
      <c r="F330" s="11">
        <f t="shared" si="1"/>
        <v>0.2711619589</v>
      </c>
      <c r="G330" s="11">
        <f t="shared" si="2"/>
        <v>0.4144096004</v>
      </c>
      <c r="H330" s="11">
        <f t="shared" si="3"/>
        <v>0.112372119</v>
      </c>
      <c r="I330" s="12"/>
      <c r="J330" s="17"/>
      <c r="K330" s="17"/>
      <c r="L330" s="17"/>
      <c r="M330" s="17"/>
      <c r="N330" s="17"/>
      <c r="O330" s="15"/>
      <c r="P330" s="18"/>
      <c r="Q330" s="18"/>
      <c r="S330" s="15"/>
    </row>
    <row r="331" ht="14.25" customHeight="1">
      <c r="A331" s="8">
        <v>90102.0</v>
      </c>
      <c r="B331" s="8" t="s">
        <v>344</v>
      </c>
      <c r="C331" s="9">
        <v>3001.0</v>
      </c>
      <c r="D331" s="9">
        <v>1279.0000318288803</v>
      </c>
      <c r="E331" s="10">
        <v>7653.0</v>
      </c>
      <c r="F331" s="11">
        <f t="shared" si="1"/>
        <v>0.3921338037</v>
      </c>
      <c r="G331" s="11">
        <f t="shared" si="2"/>
        <v>0.4261912802</v>
      </c>
      <c r="H331" s="11">
        <f t="shared" si="3"/>
        <v>0.1671240078</v>
      </c>
      <c r="I331" s="12"/>
      <c r="J331" s="17"/>
      <c r="K331" s="17"/>
      <c r="L331" s="17"/>
      <c r="M331" s="17"/>
      <c r="N331" s="17"/>
      <c r="O331" s="15"/>
      <c r="P331" s="18"/>
      <c r="Q331" s="18"/>
      <c r="S331" s="15"/>
    </row>
    <row r="332" ht="14.25" customHeight="1">
      <c r="A332" s="8">
        <v>90103.0</v>
      </c>
      <c r="B332" s="8" t="s">
        <v>345</v>
      </c>
      <c r="C332" s="9">
        <v>1573.0</v>
      </c>
      <c r="D332" s="9">
        <v>745.6666860580444</v>
      </c>
      <c r="E332" s="10">
        <v>2058.0</v>
      </c>
      <c r="F332" s="11">
        <f t="shared" si="1"/>
        <v>0.7643343052</v>
      </c>
      <c r="G332" s="11">
        <f t="shared" si="2"/>
        <v>0.4740411227</v>
      </c>
      <c r="H332" s="11">
        <f t="shared" si="3"/>
        <v>0.3623258922</v>
      </c>
      <c r="I332" s="12"/>
      <c r="J332" s="17"/>
      <c r="K332" s="17"/>
      <c r="L332" s="17"/>
      <c r="M332" s="17"/>
      <c r="N332" s="17"/>
      <c r="O332" s="15"/>
      <c r="P332" s="18"/>
      <c r="Q332" s="18"/>
      <c r="S332" s="15"/>
    </row>
    <row r="333" ht="14.25" customHeight="1">
      <c r="A333" s="8">
        <v>90104.0</v>
      </c>
      <c r="B333" s="8" t="s">
        <v>346</v>
      </c>
      <c r="C333" s="9">
        <v>2174.0</v>
      </c>
      <c r="D333" s="9">
        <v>1024.8889172971249</v>
      </c>
      <c r="E333" s="10">
        <v>3550.0</v>
      </c>
      <c r="F333" s="11">
        <f t="shared" si="1"/>
        <v>0.6123943662</v>
      </c>
      <c r="G333" s="11">
        <f t="shared" si="2"/>
        <v>0.4714300448</v>
      </c>
      <c r="H333" s="11">
        <f t="shared" si="3"/>
        <v>0.2887011035</v>
      </c>
      <c r="I333" s="12"/>
      <c r="J333" s="17"/>
      <c r="K333" s="17"/>
      <c r="L333" s="17"/>
      <c r="M333" s="17"/>
      <c r="N333" s="17"/>
      <c r="O333" s="15"/>
      <c r="P333" s="18"/>
      <c r="Q333" s="18"/>
      <c r="S333" s="15"/>
    </row>
    <row r="334" ht="14.25" customHeight="1">
      <c r="A334" s="8">
        <v>90201.0</v>
      </c>
      <c r="B334" s="8" t="s">
        <v>347</v>
      </c>
      <c r="C334" s="9">
        <v>2816.0</v>
      </c>
      <c r="D334" s="9">
        <v>1236.0000307559967</v>
      </c>
      <c r="E334" s="10">
        <v>5639.0</v>
      </c>
      <c r="F334" s="11">
        <f t="shared" si="1"/>
        <v>0.4993793226</v>
      </c>
      <c r="G334" s="11">
        <f t="shared" si="2"/>
        <v>0.4389204655</v>
      </c>
      <c r="H334" s="11">
        <f t="shared" si="3"/>
        <v>0.2191878047</v>
      </c>
      <c r="I334" s="12"/>
      <c r="J334" s="17"/>
      <c r="K334" s="17"/>
      <c r="L334" s="17"/>
      <c r="M334" s="17"/>
      <c r="N334" s="17"/>
      <c r="O334" s="15"/>
      <c r="P334" s="18"/>
      <c r="Q334" s="18"/>
      <c r="S334" s="15"/>
    </row>
    <row r="335" ht="14.25" customHeight="1">
      <c r="A335" s="8">
        <v>90202.0</v>
      </c>
      <c r="B335" s="8" t="s">
        <v>238</v>
      </c>
      <c r="C335" s="9">
        <v>2759.0</v>
      </c>
      <c r="D335" s="9">
        <v>1410.7778178155422</v>
      </c>
      <c r="E335" s="10">
        <v>2987.0</v>
      </c>
      <c r="F335" s="11">
        <f t="shared" si="1"/>
        <v>0.9236692333</v>
      </c>
      <c r="G335" s="11">
        <f t="shared" si="2"/>
        <v>0.5113366502</v>
      </c>
      <c r="H335" s="11">
        <f t="shared" si="3"/>
        <v>0.4723059316</v>
      </c>
      <c r="I335" s="12"/>
      <c r="J335" s="17"/>
      <c r="K335" s="17"/>
      <c r="L335" s="17"/>
      <c r="M335" s="17"/>
      <c r="N335" s="17"/>
      <c r="O335" s="15"/>
      <c r="P335" s="18"/>
      <c r="Q335" s="18"/>
      <c r="S335" s="15"/>
    </row>
    <row r="336" ht="14.25" customHeight="1">
      <c r="A336" s="8">
        <v>90203.0</v>
      </c>
      <c r="B336" s="8" t="s">
        <v>348</v>
      </c>
      <c r="C336" s="9">
        <v>3667.0</v>
      </c>
      <c r="D336" s="9">
        <v>1641.5555973351002</v>
      </c>
      <c r="E336" s="10">
        <v>5534.0</v>
      </c>
      <c r="F336" s="11">
        <f t="shared" si="1"/>
        <v>0.6626310083</v>
      </c>
      <c r="G336" s="11">
        <f t="shared" si="2"/>
        <v>0.4476562851</v>
      </c>
      <c r="H336" s="11">
        <f t="shared" si="3"/>
        <v>0.2966309356</v>
      </c>
      <c r="I336" s="12"/>
      <c r="J336" s="17"/>
      <c r="K336" s="17"/>
      <c r="L336" s="17"/>
      <c r="M336" s="17"/>
      <c r="N336" s="17"/>
      <c r="O336" s="15"/>
      <c r="P336" s="18"/>
      <c r="Q336" s="18"/>
      <c r="S336" s="15"/>
    </row>
    <row r="337" ht="14.25" customHeight="1">
      <c r="A337" s="8">
        <v>90301.0</v>
      </c>
      <c r="B337" s="8" t="s">
        <v>349</v>
      </c>
      <c r="C337" s="9">
        <v>5195.0</v>
      </c>
      <c r="D337" s="9">
        <v>2536.1111775934696</v>
      </c>
      <c r="E337" s="10">
        <v>7544.0</v>
      </c>
      <c r="F337" s="11">
        <f t="shared" si="1"/>
        <v>0.6886267232</v>
      </c>
      <c r="G337" s="11">
        <f t="shared" si="2"/>
        <v>0.4881830948</v>
      </c>
      <c r="H337" s="11">
        <f t="shared" si="3"/>
        <v>0.3361759249</v>
      </c>
      <c r="I337" s="12"/>
      <c r="J337" s="17"/>
      <c r="K337" s="17"/>
      <c r="L337" s="17"/>
      <c r="M337" s="17"/>
      <c r="N337" s="17"/>
      <c r="O337" s="15"/>
      <c r="P337" s="18"/>
      <c r="Q337" s="18"/>
      <c r="S337" s="15"/>
    </row>
    <row r="338" ht="14.25" customHeight="1">
      <c r="A338" s="8">
        <v>90302.0</v>
      </c>
      <c r="B338" s="8" t="s">
        <v>271</v>
      </c>
      <c r="C338" s="9">
        <v>5182.0</v>
      </c>
      <c r="D338" s="9">
        <v>2430.33339625597</v>
      </c>
      <c r="E338" s="10">
        <v>7058.0</v>
      </c>
      <c r="F338" s="11">
        <f t="shared" si="1"/>
        <v>0.7342023236</v>
      </c>
      <c r="G338" s="11">
        <f t="shared" si="2"/>
        <v>0.4689952521</v>
      </c>
      <c r="H338" s="11">
        <f t="shared" si="3"/>
        <v>0.3443374038</v>
      </c>
      <c r="I338" s="12"/>
      <c r="J338" s="17"/>
      <c r="K338" s="17"/>
      <c r="L338" s="17"/>
      <c r="M338" s="17"/>
      <c r="N338" s="17"/>
      <c r="O338" s="15"/>
      <c r="P338" s="18"/>
      <c r="Q338" s="18"/>
      <c r="S338" s="15"/>
    </row>
    <row r="339" ht="14.25" customHeight="1">
      <c r="A339" s="8">
        <v>90303.0</v>
      </c>
      <c r="B339" s="8" t="s">
        <v>350</v>
      </c>
      <c r="C339" s="9">
        <v>7754.0</v>
      </c>
      <c r="D339" s="9">
        <v>4134.222335904837</v>
      </c>
      <c r="E339" s="10">
        <v>8161.0</v>
      </c>
      <c r="F339" s="11">
        <f t="shared" si="1"/>
        <v>0.9501286607</v>
      </c>
      <c r="G339" s="11">
        <f t="shared" si="2"/>
        <v>0.5331728574</v>
      </c>
      <c r="H339" s="11">
        <f t="shared" si="3"/>
        <v>0.5065828129</v>
      </c>
      <c r="I339" s="12"/>
      <c r="J339" s="17"/>
      <c r="K339" s="17"/>
      <c r="L339" s="17"/>
      <c r="M339" s="17"/>
      <c r="N339" s="17"/>
      <c r="O339" s="15"/>
      <c r="P339" s="18"/>
      <c r="Q339" s="18"/>
      <c r="S339" s="15"/>
    </row>
    <row r="340" ht="14.25" customHeight="1">
      <c r="A340" s="8">
        <v>90401.0</v>
      </c>
      <c r="B340" s="8" t="s">
        <v>291</v>
      </c>
      <c r="C340" s="9">
        <v>1125.0</v>
      </c>
      <c r="D340" s="9">
        <v>485.88890141248703</v>
      </c>
      <c r="E340" s="10">
        <v>2183.0</v>
      </c>
      <c r="F340" s="11">
        <f t="shared" si="1"/>
        <v>0.5153458543</v>
      </c>
      <c r="G340" s="11">
        <f t="shared" si="2"/>
        <v>0.4319012457</v>
      </c>
      <c r="H340" s="11">
        <f t="shared" si="3"/>
        <v>0.2225785165</v>
      </c>
      <c r="I340" s="12"/>
      <c r="J340" s="17"/>
      <c r="K340" s="17"/>
      <c r="L340" s="17"/>
      <c r="M340" s="17"/>
      <c r="N340" s="17"/>
      <c r="O340" s="15"/>
      <c r="P340" s="18"/>
      <c r="Q340" s="18"/>
      <c r="S340" s="15"/>
    </row>
    <row r="341" ht="14.25" customHeight="1">
      <c r="A341" s="8">
        <v>90402.0</v>
      </c>
      <c r="B341" s="8" t="s">
        <v>351</v>
      </c>
      <c r="C341" s="9">
        <v>1107.0</v>
      </c>
      <c r="D341" s="9">
        <v>503.6666806936264</v>
      </c>
      <c r="E341" s="10">
        <v>1618.0</v>
      </c>
      <c r="F341" s="11">
        <f t="shared" si="1"/>
        <v>0.6841779975</v>
      </c>
      <c r="G341" s="11">
        <f t="shared" si="2"/>
        <v>0.4549834514</v>
      </c>
      <c r="H341" s="11">
        <f t="shared" si="3"/>
        <v>0.3112896667</v>
      </c>
      <c r="I341" s="12"/>
      <c r="J341" s="17"/>
      <c r="K341" s="17"/>
      <c r="L341" s="17"/>
      <c r="M341" s="17"/>
      <c r="N341" s="17"/>
      <c r="O341" s="15"/>
      <c r="P341" s="18"/>
      <c r="Q341" s="18"/>
      <c r="S341" s="15"/>
    </row>
    <row r="342" ht="14.25" customHeight="1">
      <c r="A342" s="8">
        <v>90501.0</v>
      </c>
      <c r="B342" s="8" t="s">
        <v>352</v>
      </c>
      <c r="C342" s="9">
        <v>1371.0</v>
      </c>
      <c r="D342" s="9">
        <v>609.8889054954052</v>
      </c>
      <c r="E342" s="10">
        <v>1777.0</v>
      </c>
      <c r="F342" s="11">
        <f t="shared" si="1"/>
        <v>0.7715250422</v>
      </c>
      <c r="G342" s="11">
        <f t="shared" si="2"/>
        <v>0.4448496758</v>
      </c>
      <c r="H342" s="11">
        <f t="shared" si="3"/>
        <v>0.3432126649</v>
      </c>
      <c r="I342" s="12"/>
      <c r="J342" s="17"/>
      <c r="K342" s="17"/>
      <c r="L342" s="17"/>
      <c r="M342" s="17"/>
      <c r="N342" s="17"/>
      <c r="O342" s="15"/>
      <c r="P342" s="18"/>
      <c r="Q342" s="18"/>
      <c r="S342" s="15"/>
    </row>
    <row r="343" ht="14.25" customHeight="1">
      <c r="A343" s="8">
        <v>90502.0</v>
      </c>
      <c r="B343" s="8" t="s">
        <v>353</v>
      </c>
      <c r="C343" s="9">
        <v>2195.0</v>
      </c>
      <c r="D343" s="9">
        <v>1031.5555827021599</v>
      </c>
      <c r="E343" s="10">
        <v>2787.0</v>
      </c>
      <c r="F343" s="11">
        <f t="shared" si="1"/>
        <v>0.7875852171</v>
      </c>
      <c r="G343" s="11">
        <f t="shared" si="2"/>
        <v>0.4699569853</v>
      </c>
      <c r="H343" s="11">
        <f t="shared" si="3"/>
        <v>0.3701311743</v>
      </c>
      <c r="I343" s="12"/>
      <c r="J343" s="17"/>
      <c r="K343" s="17"/>
      <c r="L343" s="17"/>
      <c r="M343" s="17"/>
      <c r="N343" s="17"/>
      <c r="O343" s="15"/>
      <c r="P343" s="18"/>
      <c r="Q343" s="18"/>
      <c r="S343" s="15"/>
    </row>
    <row r="344" ht="14.25" customHeight="1">
      <c r="A344" s="8">
        <v>90503.0</v>
      </c>
      <c r="B344" s="8" t="s">
        <v>354</v>
      </c>
      <c r="C344" s="9">
        <v>1567.0</v>
      </c>
      <c r="D344" s="9">
        <v>734.7777970433235</v>
      </c>
      <c r="E344" s="10">
        <v>1969.0</v>
      </c>
      <c r="F344" s="11">
        <f t="shared" si="1"/>
        <v>0.7958354495</v>
      </c>
      <c r="G344" s="11">
        <f t="shared" si="2"/>
        <v>0.468907337</v>
      </c>
      <c r="H344" s="11">
        <f t="shared" si="3"/>
        <v>0.3731730813</v>
      </c>
      <c r="I344" s="12"/>
      <c r="J344" s="17"/>
      <c r="K344" s="17"/>
      <c r="L344" s="17"/>
      <c r="M344" s="17"/>
      <c r="N344" s="17"/>
      <c r="O344" s="15"/>
      <c r="P344" s="18"/>
      <c r="Q344" s="18"/>
      <c r="S344" s="15"/>
    </row>
    <row r="345" ht="14.25" customHeight="1">
      <c r="A345" s="8">
        <v>10.0</v>
      </c>
      <c r="B345" s="8" t="s">
        <v>30</v>
      </c>
      <c r="C345" s="16">
        <v>26787.0</v>
      </c>
      <c r="D345" s="16">
        <v>11187.778066724539</v>
      </c>
      <c r="E345" s="16">
        <v>138970.0</v>
      </c>
      <c r="F345" s="11">
        <f t="shared" si="1"/>
        <v>0.1927538318</v>
      </c>
      <c r="G345" s="11">
        <f t="shared" si="2"/>
        <v>0.4176570003</v>
      </c>
      <c r="H345" s="11">
        <f t="shared" si="3"/>
        <v>0.08050498717</v>
      </c>
      <c r="I345" s="12"/>
      <c r="J345" s="17"/>
      <c r="K345" s="17"/>
      <c r="L345" s="17"/>
      <c r="M345" s="17"/>
      <c r="N345" s="17"/>
      <c r="O345" s="15"/>
      <c r="P345" s="18"/>
      <c r="Q345" s="18"/>
      <c r="S345" s="15"/>
    </row>
    <row r="346" ht="14.25" customHeight="1">
      <c r="A346" s="8">
        <v>11.0</v>
      </c>
      <c r="B346" s="8" t="s">
        <v>32</v>
      </c>
      <c r="C346" s="16">
        <v>2961373.0</v>
      </c>
      <c r="D346" s="16">
        <v>1310112.1447733343</v>
      </c>
      <c r="E346" s="16">
        <v>9827089.0</v>
      </c>
      <c r="F346" s="11">
        <f t="shared" si="1"/>
        <v>0.3013479373</v>
      </c>
      <c r="G346" s="11">
        <f t="shared" si="2"/>
        <v>0.4424002464</v>
      </c>
      <c r="H346" s="11">
        <f t="shared" si="3"/>
        <v>0.1333164017</v>
      </c>
      <c r="I346" s="12"/>
      <c r="J346" s="17"/>
      <c r="K346" s="17"/>
      <c r="L346" s="17"/>
      <c r="M346" s="17"/>
      <c r="N346" s="17"/>
      <c r="O346" s="15"/>
      <c r="P346" s="18"/>
      <c r="Q346" s="18"/>
      <c r="S346" s="15"/>
    </row>
    <row r="347" ht="14.25" customHeight="1">
      <c r="C347" s="17"/>
      <c r="D347" s="17"/>
      <c r="E347" s="24"/>
      <c r="F347" s="15"/>
      <c r="G347" s="15"/>
      <c r="H347" s="15"/>
      <c r="I347" s="4"/>
      <c r="J347" s="17"/>
      <c r="K347" s="17"/>
      <c r="L347" s="17"/>
      <c r="M347" s="17"/>
      <c r="N347" s="17"/>
      <c r="O347" s="15"/>
      <c r="P347" s="18"/>
      <c r="Q347" s="18"/>
      <c r="S347" s="15"/>
    </row>
    <row r="348" ht="14.25" customHeight="1">
      <c r="C348" s="17"/>
      <c r="D348" s="17"/>
      <c r="E348" s="24"/>
      <c r="F348" s="15"/>
      <c r="G348" s="15"/>
      <c r="H348" s="15"/>
      <c r="I348" s="4"/>
      <c r="J348" s="17"/>
      <c r="K348" s="17"/>
      <c r="L348" s="17"/>
      <c r="M348" s="17"/>
      <c r="N348" s="17"/>
      <c r="O348" s="15"/>
      <c r="P348" s="18"/>
      <c r="Q348" s="18"/>
      <c r="S348" s="15"/>
    </row>
    <row r="349" ht="14.25" customHeight="1">
      <c r="C349" s="17"/>
      <c r="D349" s="17"/>
      <c r="E349" s="24"/>
      <c r="F349" s="15"/>
      <c r="G349" s="15"/>
      <c r="H349" s="15"/>
      <c r="I349" s="4"/>
      <c r="J349" s="17"/>
      <c r="K349" s="17"/>
      <c r="L349" s="17"/>
      <c r="M349" s="17"/>
      <c r="N349" s="17"/>
      <c r="O349" s="15"/>
      <c r="P349" s="18"/>
      <c r="Q349" s="18"/>
      <c r="S349" s="15"/>
    </row>
    <row r="350" ht="14.25" customHeight="1">
      <c r="C350" s="17"/>
      <c r="D350" s="17"/>
      <c r="E350" s="24"/>
      <c r="F350" s="15"/>
      <c r="G350" s="15"/>
      <c r="H350" s="15"/>
      <c r="I350" s="4"/>
      <c r="J350" s="17"/>
      <c r="K350" s="17"/>
      <c r="L350" s="17"/>
      <c r="M350" s="17"/>
      <c r="N350" s="17"/>
      <c r="O350" s="15"/>
      <c r="P350" s="18"/>
      <c r="Q350" s="18"/>
      <c r="S350" s="15"/>
    </row>
    <row r="351" ht="14.25" customHeight="1">
      <c r="C351" s="17"/>
      <c r="D351" s="17"/>
      <c r="E351" s="24"/>
      <c r="F351" s="15"/>
      <c r="G351" s="15"/>
      <c r="H351" s="15"/>
      <c r="I351" s="4"/>
      <c r="J351" s="17"/>
      <c r="K351" s="17"/>
      <c r="L351" s="17"/>
      <c r="M351" s="17"/>
      <c r="N351" s="17"/>
      <c r="O351" s="15"/>
      <c r="P351" s="18"/>
      <c r="Q351" s="18"/>
      <c r="S351" s="15"/>
    </row>
    <row r="352" ht="14.25" customHeight="1">
      <c r="C352" s="17"/>
      <c r="D352" s="17"/>
      <c r="E352" s="24"/>
      <c r="F352" s="15"/>
      <c r="G352" s="15"/>
      <c r="H352" s="15"/>
      <c r="I352" s="4"/>
      <c r="J352" s="17"/>
      <c r="K352" s="17"/>
      <c r="L352" s="17"/>
      <c r="M352" s="17"/>
      <c r="N352" s="17"/>
      <c r="O352" s="15"/>
      <c r="P352" s="18"/>
      <c r="Q352" s="18"/>
      <c r="S352" s="15"/>
    </row>
    <row r="353" ht="14.25" customHeight="1">
      <c r="C353" s="17"/>
      <c r="D353" s="17"/>
      <c r="E353" s="24"/>
      <c r="F353" s="15"/>
      <c r="G353" s="15"/>
      <c r="H353" s="15"/>
      <c r="I353" s="4"/>
      <c r="J353" s="17"/>
      <c r="K353" s="17"/>
      <c r="L353" s="17"/>
      <c r="M353" s="17"/>
      <c r="N353" s="17"/>
      <c r="O353" s="15"/>
      <c r="P353" s="18"/>
      <c r="Q353" s="18"/>
      <c r="S353" s="15"/>
    </row>
    <row r="354" ht="14.25" customHeight="1">
      <c r="C354" s="17"/>
      <c r="D354" s="17"/>
      <c r="E354" s="24"/>
      <c r="F354" s="15"/>
      <c r="G354" s="15"/>
      <c r="H354" s="15"/>
      <c r="I354" s="4"/>
      <c r="J354" s="17"/>
      <c r="K354" s="17"/>
      <c r="L354" s="17"/>
      <c r="M354" s="17"/>
      <c r="N354" s="17"/>
      <c r="O354" s="15"/>
      <c r="P354" s="18"/>
      <c r="Q354" s="18"/>
      <c r="S354" s="15"/>
    </row>
    <row r="355" ht="14.25" customHeight="1">
      <c r="C355" s="17"/>
      <c r="D355" s="17"/>
      <c r="E355" s="24"/>
      <c r="F355" s="15"/>
      <c r="G355" s="15"/>
      <c r="H355" s="15"/>
      <c r="I355" s="4"/>
      <c r="J355" s="17"/>
      <c r="K355" s="17"/>
      <c r="L355" s="17"/>
      <c r="M355" s="17"/>
      <c r="N355" s="17"/>
      <c r="O355" s="15"/>
      <c r="P355" s="18"/>
      <c r="Q355" s="18"/>
      <c r="S355" s="15"/>
    </row>
    <row r="356" ht="14.25" customHeight="1">
      <c r="C356" s="17"/>
      <c r="D356" s="17"/>
      <c r="E356" s="24"/>
      <c r="F356" s="15"/>
      <c r="G356" s="15"/>
      <c r="H356" s="15"/>
      <c r="I356" s="4"/>
      <c r="J356" s="17"/>
      <c r="K356" s="17"/>
      <c r="L356" s="17"/>
      <c r="M356" s="17"/>
      <c r="N356" s="17"/>
      <c r="O356" s="15"/>
      <c r="P356" s="18"/>
      <c r="Q356" s="18"/>
      <c r="S356" s="15"/>
    </row>
    <row r="357" ht="14.25" customHeight="1">
      <c r="C357" s="17"/>
      <c r="D357" s="17"/>
      <c r="E357" s="24"/>
      <c r="F357" s="15"/>
      <c r="G357" s="15"/>
      <c r="H357" s="15"/>
      <c r="I357" s="4"/>
      <c r="J357" s="17"/>
      <c r="K357" s="17"/>
      <c r="L357" s="17"/>
      <c r="M357" s="17"/>
      <c r="N357" s="17"/>
      <c r="O357" s="15"/>
      <c r="P357" s="18"/>
      <c r="Q357" s="18"/>
      <c r="S357" s="15"/>
    </row>
    <row r="358" ht="14.25" customHeight="1">
      <c r="C358" s="17"/>
      <c r="D358" s="17"/>
      <c r="E358" s="24"/>
      <c r="F358" s="15"/>
      <c r="G358" s="15"/>
      <c r="H358" s="15"/>
      <c r="I358" s="4"/>
      <c r="J358" s="17"/>
      <c r="K358" s="17"/>
      <c r="L358" s="17"/>
      <c r="M358" s="17"/>
      <c r="N358" s="17"/>
      <c r="O358" s="15"/>
      <c r="P358" s="18"/>
      <c r="Q358" s="18"/>
      <c r="S358" s="15"/>
    </row>
    <row r="359" ht="14.25" customHeight="1">
      <c r="C359" s="17"/>
      <c r="D359" s="17"/>
      <c r="E359" s="24"/>
      <c r="F359" s="15"/>
      <c r="G359" s="15"/>
      <c r="H359" s="15"/>
      <c r="I359" s="4"/>
      <c r="J359" s="17"/>
      <c r="K359" s="17"/>
      <c r="L359" s="17"/>
      <c r="M359" s="17"/>
      <c r="N359" s="17"/>
      <c r="O359" s="15"/>
      <c r="P359" s="18"/>
      <c r="Q359" s="18"/>
      <c r="S359" s="15"/>
    </row>
    <row r="360" ht="14.25" customHeight="1">
      <c r="C360" s="17"/>
      <c r="D360" s="17"/>
      <c r="E360" s="24"/>
      <c r="F360" s="15"/>
      <c r="G360" s="15"/>
      <c r="H360" s="15"/>
      <c r="I360" s="4"/>
      <c r="J360" s="17"/>
      <c r="K360" s="17"/>
      <c r="L360" s="17"/>
      <c r="M360" s="17"/>
      <c r="N360" s="17"/>
      <c r="O360" s="15"/>
      <c r="P360" s="18"/>
      <c r="Q360" s="18"/>
      <c r="S360" s="15"/>
    </row>
    <row r="361" ht="14.25" customHeight="1">
      <c r="C361" s="17"/>
      <c r="D361" s="17"/>
      <c r="E361" s="24"/>
      <c r="F361" s="15"/>
      <c r="G361" s="15"/>
      <c r="H361" s="15"/>
      <c r="I361" s="4"/>
      <c r="J361" s="17"/>
      <c r="K361" s="17"/>
      <c r="L361" s="17"/>
      <c r="M361" s="17"/>
      <c r="N361" s="17"/>
      <c r="O361" s="15"/>
      <c r="P361" s="18"/>
      <c r="Q361" s="18"/>
      <c r="S361" s="15"/>
    </row>
    <row r="362" ht="14.25" customHeight="1">
      <c r="C362" s="17"/>
      <c r="D362" s="17"/>
      <c r="E362" s="24"/>
      <c r="F362" s="15"/>
      <c r="G362" s="15"/>
      <c r="H362" s="15"/>
      <c r="I362" s="4"/>
      <c r="J362" s="17"/>
      <c r="K362" s="17"/>
      <c r="L362" s="17"/>
      <c r="M362" s="17"/>
      <c r="N362" s="17"/>
      <c r="O362" s="15"/>
      <c r="P362" s="18"/>
      <c r="Q362" s="18"/>
      <c r="S362" s="15"/>
    </row>
    <row r="363" ht="14.25" customHeight="1">
      <c r="C363" s="17"/>
      <c r="D363" s="17"/>
      <c r="E363" s="24"/>
      <c r="F363" s="15"/>
      <c r="G363" s="15"/>
      <c r="H363" s="15"/>
      <c r="I363" s="4"/>
      <c r="J363" s="17"/>
      <c r="K363" s="17"/>
      <c r="L363" s="17"/>
      <c r="M363" s="17"/>
      <c r="N363" s="17"/>
      <c r="O363" s="15"/>
      <c r="P363" s="18"/>
      <c r="Q363" s="18"/>
      <c r="S363" s="15"/>
    </row>
    <row r="364" ht="14.25" customHeight="1">
      <c r="C364" s="17"/>
      <c r="D364" s="17"/>
      <c r="E364" s="24"/>
      <c r="F364" s="15"/>
      <c r="G364" s="15"/>
      <c r="H364" s="15"/>
      <c r="I364" s="4"/>
      <c r="J364" s="17"/>
      <c r="K364" s="17"/>
      <c r="L364" s="17"/>
      <c r="M364" s="17"/>
      <c r="N364" s="17"/>
      <c r="O364" s="15"/>
      <c r="P364" s="18"/>
      <c r="Q364" s="18"/>
      <c r="S364" s="15"/>
    </row>
    <row r="365" ht="14.25" customHeight="1">
      <c r="C365" s="17"/>
      <c r="D365" s="17"/>
      <c r="E365" s="24"/>
      <c r="F365" s="15"/>
      <c r="G365" s="15"/>
      <c r="H365" s="15"/>
      <c r="I365" s="4"/>
      <c r="J365" s="17"/>
      <c r="K365" s="17"/>
      <c r="L365" s="17"/>
      <c r="M365" s="17"/>
      <c r="N365" s="17"/>
      <c r="O365" s="15"/>
      <c r="P365" s="18"/>
      <c r="Q365" s="18"/>
      <c r="S365" s="15"/>
    </row>
    <row r="366" ht="14.25" customHeight="1">
      <c r="C366" s="17"/>
      <c r="D366" s="17"/>
      <c r="E366" s="24"/>
      <c r="F366" s="15"/>
      <c r="G366" s="15"/>
      <c r="H366" s="15"/>
      <c r="I366" s="4"/>
      <c r="J366" s="17"/>
      <c r="K366" s="17"/>
      <c r="L366" s="17"/>
      <c r="M366" s="17"/>
      <c r="N366" s="17"/>
      <c r="O366" s="15"/>
      <c r="P366" s="18"/>
      <c r="Q366" s="18"/>
      <c r="S366" s="15"/>
    </row>
    <row r="367" ht="14.25" customHeight="1">
      <c r="C367" s="17"/>
      <c r="D367" s="17"/>
      <c r="E367" s="24"/>
      <c r="F367" s="15"/>
      <c r="G367" s="15"/>
      <c r="H367" s="15"/>
      <c r="I367" s="4"/>
      <c r="J367" s="17"/>
      <c r="K367" s="17"/>
      <c r="L367" s="17"/>
      <c r="M367" s="17"/>
      <c r="N367" s="17"/>
      <c r="O367" s="15"/>
      <c r="P367" s="18"/>
      <c r="Q367" s="18"/>
      <c r="S367" s="15"/>
    </row>
    <row r="368" ht="14.25" customHeight="1">
      <c r="C368" s="17"/>
      <c r="D368" s="17"/>
      <c r="E368" s="24"/>
      <c r="F368" s="15"/>
      <c r="G368" s="15"/>
      <c r="H368" s="15"/>
      <c r="I368" s="4"/>
      <c r="J368" s="17"/>
      <c r="K368" s="17"/>
      <c r="L368" s="17"/>
      <c r="M368" s="17"/>
      <c r="N368" s="17"/>
      <c r="O368" s="15"/>
      <c r="P368" s="18"/>
      <c r="Q368" s="18"/>
      <c r="S368" s="15"/>
    </row>
    <row r="369" ht="14.25" customHeight="1">
      <c r="C369" s="17"/>
      <c r="D369" s="17"/>
      <c r="E369" s="24"/>
      <c r="F369" s="15"/>
      <c r="G369" s="15"/>
      <c r="H369" s="15"/>
      <c r="I369" s="4"/>
      <c r="J369" s="17"/>
      <c r="K369" s="17"/>
      <c r="L369" s="17"/>
      <c r="M369" s="17"/>
      <c r="N369" s="17"/>
      <c r="O369" s="15"/>
      <c r="P369" s="18"/>
      <c r="Q369" s="18"/>
      <c r="S369" s="15"/>
    </row>
    <row r="370" ht="14.25" customHeight="1">
      <c r="C370" s="17"/>
      <c r="D370" s="17"/>
      <c r="E370" s="24"/>
      <c r="F370" s="15"/>
      <c r="G370" s="15"/>
      <c r="H370" s="15"/>
      <c r="I370" s="4"/>
      <c r="J370" s="17"/>
      <c r="K370" s="17"/>
      <c r="L370" s="17"/>
      <c r="M370" s="17"/>
      <c r="N370" s="17"/>
      <c r="O370" s="15"/>
      <c r="P370" s="18"/>
      <c r="Q370" s="18"/>
      <c r="S370" s="15"/>
    </row>
    <row r="371" ht="14.25" customHeight="1">
      <c r="C371" s="17"/>
      <c r="D371" s="17"/>
      <c r="E371" s="24"/>
      <c r="F371" s="15"/>
      <c r="G371" s="15"/>
      <c r="H371" s="15"/>
      <c r="I371" s="4"/>
      <c r="J371" s="17"/>
      <c r="K371" s="17"/>
      <c r="L371" s="17"/>
      <c r="M371" s="17"/>
      <c r="N371" s="17"/>
      <c r="O371" s="15"/>
      <c r="P371" s="18"/>
      <c r="Q371" s="18"/>
      <c r="S371" s="15"/>
    </row>
    <row r="372" ht="14.25" customHeight="1">
      <c r="C372" s="17"/>
      <c r="D372" s="17"/>
      <c r="E372" s="24"/>
      <c r="F372" s="15"/>
      <c r="G372" s="15"/>
      <c r="H372" s="15"/>
      <c r="I372" s="4"/>
      <c r="J372" s="17"/>
      <c r="K372" s="17"/>
      <c r="L372" s="17"/>
      <c r="M372" s="17"/>
      <c r="N372" s="17"/>
      <c r="O372" s="15"/>
      <c r="P372" s="18"/>
      <c r="Q372" s="18"/>
      <c r="S372" s="15"/>
    </row>
    <row r="373" ht="14.25" customHeight="1">
      <c r="C373" s="17"/>
      <c r="D373" s="17"/>
      <c r="E373" s="24"/>
      <c r="F373" s="15"/>
      <c r="G373" s="15"/>
      <c r="H373" s="15"/>
      <c r="I373" s="4"/>
      <c r="J373" s="17"/>
      <c r="K373" s="17"/>
      <c r="L373" s="17"/>
      <c r="M373" s="17"/>
      <c r="N373" s="17"/>
      <c r="O373" s="15"/>
      <c r="P373" s="18"/>
      <c r="Q373" s="18"/>
      <c r="S373" s="15"/>
    </row>
    <row r="374" ht="14.25" customHeight="1">
      <c r="C374" s="17"/>
      <c r="D374" s="17"/>
      <c r="E374" s="24"/>
      <c r="F374" s="15"/>
      <c r="G374" s="15"/>
      <c r="H374" s="15"/>
      <c r="I374" s="4"/>
      <c r="J374" s="17"/>
      <c r="K374" s="17"/>
      <c r="L374" s="17"/>
      <c r="M374" s="17"/>
      <c r="N374" s="17"/>
      <c r="O374" s="15"/>
      <c r="P374" s="18"/>
      <c r="Q374" s="18"/>
      <c r="S374" s="15"/>
    </row>
    <row r="375" ht="14.25" customHeight="1">
      <c r="C375" s="17"/>
      <c r="D375" s="17"/>
      <c r="E375" s="24"/>
      <c r="F375" s="15"/>
      <c r="G375" s="15"/>
      <c r="H375" s="15"/>
      <c r="I375" s="4"/>
      <c r="J375" s="17"/>
      <c r="K375" s="17"/>
      <c r="L375" s="17"/>
      <c r="M375" s="17"/>
      <c r="N375" s="17"/>
      <c r="O375" s="15"/>
      <c r="P375" s="18"/>
      <c r="Q375" s="18"/>
      <c r="S375" s="15"/>
    </row>
    <row r="376" ht="14.25" customHeight="1">
      <c r="C376" s="17"/>
      <c r="D376" s="17"/>
      <c r="E376" s="24"/>
      <c r="F376" s="15"/>
      <c r="G376" s="15"/>
      <c r="H376" s="15"/>
      <c r="I376" s="4"/>
      <c r="J376" s="17"/>
      <c r="K376" s="17"/>
      <c r="L376" s="17"/>
      <c r="M376" s="17"/>
      <c r="N376" s="17"/>
      <c r="O376" s="15"/>
      <c r="P376" s="18"/>
      <c r="Q376" s="18"/>
      <c r="S376" s="15"/>
    </row>
    <row r="377" ht="14.25" customHeight="1">
      <c r="C377" s="17"/>
      <c r="D377" s="17"/>
      <c r="E377" s="24"/>
      <c r="F377" s="15"/>
      <c r="G377" s="15"/>
      <c r="H377" s="15"/>
      <c r="I377" s="4"/>
      <c r="J377" s="17"/>
      <c r="K377" s="17"/>
      <c r="L377" s="17"/>
      <c r="M377" s="17"/>
      <c r="N377" s="17"/>
      <c r="O377" s="15"/>
      <c r="P377" s="18"/>
      <c r="Q377" s="18"/>
      <c r="S377" s="15"/>
    </row>
    <row r="378" ht="14.25" customHeight="1">
      <c r="C378" s="17"/>
      <c r="D378" s="17"/>
      <c r="E378" s="24"/>
      <c r="F378" s="15"/>
      <c r="G378" s="15"/>
      <c r="H378" s="15"/>
      <c r="I378" s="4"/>
      <c r="J378" s="17"/>
      <c r="K378" s="17"/>
      <c r="L378" s="17"/>
      <c r="M378" s="17"/>
      <c r="N378" s="17"/>
      <c r="O378" s="15"/>
      <c r="P378" s="18"/>
      <c r="Q378" s="18"/>
      <c r="S378" s="15"/>
    </row>
    <row r="379" ht="14.25" customHeight="1">
      <c r="C379" s="17"/>
      <c r="D379" s="17"/>
      <c r="E379" s="24"/>
      <c r="F379" s="15"/>
      <c r="G379" s="15"/>
      <c r="H379" s="15"/>
      <c r="I379" s="4"/>
      <c r="J379" s="17"/>
      <c r="K379" s="17"/>
      <c r="L379" s="17"/>
      <c r="M379" s="17"/>
      <c r="N379" s="17"/>
      <c r="O379" s="15"/>
      <c r="P379" s="18"/>
      <c r="Q379" s="18"/>
      <c r="S379" s="15"/>
    </row>
    <row r="380" ht="14.25" customHeight="1">
      <c r="C380" s="17"/>
      <c r="D380" s="17"/>
      <c r="E380" s="24"/>
      <c r="F380" s="15"/>
      <c r="G380" s="15"/>
      <c r="H380" s="15"/>
      <c r="I380" s="4"/>
      <c r="J380" s="17"/>
      <c r="K380" s="17"/>
      <c r="L380" s="17"/>
      <c r="M380" s="17"/>
      <c r="N380" s="17"/>
      <c r="O380" s="15"/>
      <c r="P380" s="18"/>
      <c r="Q380" s="18"/>
      <c r="S380" s="15"/>
    </row>
    <row r="381" ht="14.25" customHeight="1">
      <c r="C381" s="17"/>
      <c r="D381" s="17"/>
      <c r="E381" s="24"/>
      <c r="F381" s="15"/>
      <c r="G381" s="15"/>
      <c r="H381" s="15"/>
      <c r="I381" s="4"/>
      <c r="J381" s="17"/>
      <c r="K381" s="17"/>
      <c r="L381" s="17"/>
      <c r="M381" s="17"/>
      <c r="N381" s="17"/>
      <c r="O381" s="15"/>
      <c r="P381" s="18"/>
      <c r="Q381" s="18"/>
      <c r="S381" s="15"/>
    </row>
    <row r="382" ht="14.25" customHeight="1">
      <c r="C382" s="17"/>
      <c r="D382" s="17"/>
      <c r="E382" s="24"/>
      <c r="F382" s="15"/>
      <c r="G382" s="15"/>
      <c r="H382" s="15"/>
      <c r="I382" s="4"/>
      <c r="J382" s="17"/>
      <c r="K382" s="17"/>
      <c r="L382" s="17"/>
      <c r="M382" s="17"/>
      <c r="N382" s="17"/>
      <c r="O382" s="15"/>
      <c r="P382" s="18"/>
      <c r="Q382" s="18"/>
      <c r="S382" s="15"/>
    </row>
    <row r="383" ht="14.25" customHeight="1">
      <c r="C383" s="17"/>
      <c r="D383" s="17"/>
      <c r="E383" s="24"/>
      <c r="F383" s="15"/>
      <c r="G383" s="15"/>
      <c r="H383" s="15"/>
      <c r="I383" s="4"/>
      <c r="J383" s="17"/>
      <c r="K383" s="17"/>
      <c r="L383" s="17"/>
      <c r="M383" s="17"/>
      <c r="N383" s="17"/>
      <c r="O383" s="15"/>
      <c r="P383" s="18"/>
      <c r="Q383" s="18"/>
      <c r="S383" s="15"/>
    </row>
    <row r="384" ht="14.25" customHeight="1">
      <c r="C384" s="17"/>
      <c r="D384" s="17"/>
      <c r="E384" s="24"/>
      <c r="F384" s="15"/>
      <c r="G384" s="15"/>
      <c r="H384" s="15"/>
      <c r="I384" s="4"/>
      <c r="J384" s="17"/>
      <c r="K384" s="17"/>
      <c r="L384" s="17"/>
      <c r="M384" s="17"/>
      <c r="N384" s="17"/>
      <c r="O384" s="15"/>
      <c r="P384" s="18"/>
      <c r="Q384" s="18"/>
      <c r="S384" s="15"/>
    </row>
    <row r="385" ht="14.25" customHeight="1">
      <c r="C385" s="17"/>
      <c r="D385" s="17"/>
      <c r="E385" s="24"/>
      <c r="F385" s="15"/>
      <c r="G385" s="15"/>
      <c r="H385" s="15"/>
      <c r="I385" s="4"/>
      <c r="J385" s="17"/>
      <c r="K385" s="17"/>
      <c r="L385" s="17"/>
      <c r="M385" s="17"/>
      <c r="N385" s="17"/>
      <c r="O385" s="15"/>
      <c r="P385" s="18"/>
      <c r="Q385" s="18"/>
      <c r="S385" s="15"/>
    </row>
    <row r="386" ht="14.25" customHeight="1">
      <c r="C386" s="17"/>
      <c r="D386" s="17"/>
      <c r="E386" s="24"/>
      <c r="F386" s="15"/>
      <c r="G386" s="15"/>
      <c r="H386" s="15"/>
      <c r="I386" s="4"/>
      <c r="J386" s="17"/>
      <c r="K386" s="17"/>
      <c r="L386" s="17"/>
      <c r="M386" s="17"/>
      <c r="N386" s="17"/>
      <c r="O386" s="15"/>
      <c r="P386" s="18"/>
      <c r="Q386" s="18"/>
      <c r="S386" s="15"/>
    </row>
    <row r="387" ht="14.25" customHeight="1">
      <c r="C387" s="17"/>
      <c r="D387" s="17"/>
      <c r="E387" s="24"/>
      <c r="F387" s="15"/>
      <c r="G387" s="15"/>
      <c r="H387" s="15"/>
      <c r="I387" s="4"/>
      <c r="J387" s="17"/>
      <c r="K387" s="17"/>
      <c r="L387" s="17"/>
      <c r="M387" s="17"/>
      <c r="N387" s="17"/>
      <c r="O387" s="15"/>
      <c r="P387" s="18"/>
      <c r="Q387" s="18"/>
      <c r="S387" s="15"/>
    </row>
    <row r="388" ht="14.25" customHeight="1">
      <c r="C388" s="17"/>
      <c r="D388" s="17"/>
      <c r="E388" s="24"/>
      <c r="F388" s="15"/>
      <c r="G388" s="15"/>
      <c r="H388" s="15"/>
      <c r="I388" s="4"/>
      <c r="J388" s="17"/>
      <c r="K388" s="17"/>
      <c r="L388" s="17"/>
      <c r="M388" s="17"/>
      <c r="N388" s="17"/>
      <c r="O388" s="15"/>
      <c r="P388" s="18"/>
      <c r="Q388" s="18"/>
      <c r="S388" s="15"/>
    </row>
    <row r="389" ht="14.25" customHeight="1">
      <c r="C389" s="17"/>
      <c r="D389" s="17"/>
      <c r="E389" s="24"/>
      <c r="F389" s="15"/>
      <c r="G389" s="15"/>
      <c r="H389" s="15"/>
      <c r="I389" s="4"/>
      <c r="J389" s="17"/>
      <c r="K389" s="17"/>
      <c r="L389" s="17"/>
      <c r="M389" s="17"/>
      <c r="N389" s="17"/>
      <c r="O389" s="15"/>
      <c r="P389" s="18"/>
      <c r="Q389" s="18"/>
      <c r="S389" s="15"/>
    </row>
    <row r="390" ht="14.25" customHeight="1">
      <c r="C390" s="17"/>
      <c r="D390" s="17"/>
      <c r="E390" s="24"/>
      <c r="F390" s="15"/>
      <c r="G390" s="15"/>
      <c r="H390" s="15"/>
      <c r="I390" s="4"/>
      <c r="J390" s="17"/>
      <c r="K390" s="17"/>
      <c r="L390" s="17"/>
      <c r="M390" s="17"/>
      <c r="N390" s="17"/>
      <c r="O390" s="15"/>
      <c r="P390" s="18"/>
      <c r="Q390" s="18"/>
      <c r="S390" s="15"/>
    </row>
    <row r="391" ht="14.25" customHeight="1">
      <c r="C391" s="17"/>
      <c r="D391" s="17"/>
      <c r="E391" s="24"/>
      <c r="F391" s="15"/>
      <c r="G391" s="15"/>
      <c r="H391" s="15"/>
      <c r="I391" s="4"/>
      <c r="J391" s="17"/>
      <c r="K391" s="17"/>
      <c r="L391" s="17"/>
      <c r="M391" s="17"/>
      <c r="N391" s="17"/>
      <c r="O391" s="15"/>
      <c r="P391" s="18"/>
      <c r="Q391" s="18"/>
      <c r="S391" s="15"/>
    </row>
    <row r="392" ht="14.25" customHeight="1">
      <c r="C392" s="17"/>
      <c r="D392" s="17"/>
      <c r="E392" s="24"/>
      <c r="F392" s="15"/>
      <c r="G392" s="15"/>
      <c r="H392" s="15"/>
      <c r="I392" s="4"/>
      <c r="J392" s="17"/>
      <c r="K392" s="17"/>
      <c r="L392" s="17"/>
      <c r="M392" s="17"/>
      <c r="N392" s="17"/>
      <c r="O392" s="15"/>
      <c r="P392" s="18"/>
      <c r="Q392" s="18"/>
      <c r="S392" s="15"/>
    </row>
    <row r="393" ht="14.25" customHeight="1">
      <c r="C393" s="17"/>
      <c r="D393" s="17"/>
      <c r="E393" s="24"/>
      <c r="F393" s="15"/>
      <c r="G393" s="15"/>
      <c r="H393" s="15"/>
      <c r="I393" s="4"/>
      <c r="J393" s="17"/>
      <c r="K393" s="17"/>
      <c r="L393" s="17"/>
      <c r="M393" s="17"/>
      <c r="N393" s="17"/>
      <c r="O393" s="15"/>
      <c r="P393" s="18"/>
      <c r="Q393" s="18"/>
      <c r="S393" s="15"/>
    </row>
    <row r="394" ht="14.25" customHeight="1">
      <c r="C394" s="17"/>
      <c r="D394" s="17"/>
      <c r="E394" s="24"/>
      <c r="F394" s="15"/>
      <c r="G394" s="15"/>
      <c r="H394" s="15"/>
      <c r="I394" s="4"/>
      <c r="J394" s="17"/>
      <c r="K394" s="17"/>
      <c r="L394" s="17"/>
      <c r="M394" s="17"/>
      <c r="N394" s="17"/>
      <c r="O394" s="15"/>
      <c r="P394" s="18"/>
      <c r="Q394" s="18"/>
      <c r="S394" s="15"/>
    </row>
    <row r="395" ht="14.25" customHeight="1">
      <c r="C395" s="17"/>
      <c r="D395" s="17"/>
      <c r="E395" s="24"/>
      <c r="F395" s="15"/>
      <c r="G395" s="15"/>
      <c r="H395" s="15"/>
      <c r="I395" s="4"/>
      <c r="J395" s="17"/>
      <c r="K395" s="17"/>
      <c r="L395" s="17"/>
      <c r="M395" s="17"/>
      <c r="N395" s="17"/>
      <c r="O395" s="15"/>
      <c r="P395" s="18"/>
      <c r="Q395" s="18"/>
      <c r="S395" s="15"/>
    </row>
    <row r="396" ht="14.25" customHeight="1">
      <c r="C396" s="17"/>
      <c r="D396" s="17"/>
      <c r="E396" s="24"/>
      <c r="F396" s="15"/>
      <c r="G396" s="15"/>
      <c r="H396" s="15"/>
      <c r="I396" s="4"/>
      <c r="J396" s="17"/>
      <c r="K396" s="17"/>
      <c r="L396" s="17"/>
      <c r="M396" s="17"/>
      <c r="N396" s="17"/>
      <c r="O396" s="15"/>
      <c r="P396" s="18"/>
      <c r="Q396" s="18"/>
      <c r="S396" s="15"/>
    </row>
    <row r="397" ht="14.25" customHeight="1">
      <c r="C397" s="17"/>
      <c r="D397" s="17"/>
      <c r="E397" s="24"/>
      <c r="F397" s="15"/>
      <c r="G397" s="15"/>
      <c r="H397" s="15"/>
      <c r="I397" s="4"/>
      <c r="J397" s="17"/>
      <c r="K397" s="17"/>
      <c r="L397" s="17"/>
      <c r="M397" s="17"/>
      <c r="N397" s="17"/>
      <c r="O397" s="15"/>
      <c r="P397" s="18"/>
      <c r="Q397" s="18"/>
      <c r="S397" s="15"/>
    </row>
    <row r="398" ht="14.25" customHeight="1">
      <c r="C398" s="17"/>
      <c r="D398" s="17"/>
      <c r="E398" s="24"/>
      <c r="F398" s="15"/>
      <c r="G398" s="15"/>
      <c r="H398" s="15"/>
      <c r="I398" s="4"/>
      <c r="J398" s="17"/>
      <c r="K398" s="17"/>
      <c r="L398" s="17"/>
      <c r="M398" s="17"/>
      <c r="N398" s="17"/>
      <c r="O398" s="15"/>
      <c r="P398" s="18"/>
      <c r="Q398" s="18"/>
      <c r="S398" s="15"/>
    </row>
    <row r="399" ht="14.25" customHeight="1">
      <c r="C399" s="17"/>
      <c r="D399" s="17"/>
      <c r="E399" s="24"/>
      <c r="F399" s="15"/>
      <c r="G399" s="15"/>
      <c r="H399" s="15"/>
      <c r="I399" s="4"/>
      <c r="J399" s="17"/>
      <c r="K399" s="17"/>
      <c r="L399" s="17"/>
      <c r="M399" s="17"/>
      <c r="N399" s="17"/>
      <c r="O399" s="15"/>
      <c r="P399" s="18"/>
      <c r="Q399" s="18"/>
      <c r="S399" s="15"/>
    </row>
    <row r="400" ht="14.25" customHeight="1">
      <c r="C400" s="17"/>
      <c r="D400" s="17"/>
      <c r="E400" s="24"/>
      <c r="F400" s="15"/>
      <c r="G400" s="15"/>
      <c r="H400" s="15"/>
      <c r="I400" s="4"/>
      <c r="J400" s="17"/>
      <c r="K400" s="17"/>
      <c r="L400" s="17"/>
      <c r="M400" s="17"/>
      <c r="N400" s="17"/>
      <c r="O400" s="15"/>
      <c r="P400" s="18"/>
      <c r="Q400" s="18"/>
      <c r="S400" s="15"/>
    </row>
    <row r="401" ht="14.25" customHeight="1">
      <c r="C401" s="17"/>
      <c r="D401" s="17"/>
      <c r="E401" s="24"/>
      <c r="F401" s="15"/>
      <c r="G401" s="15"/>
      <c r="H401" s="15"/>
      <c r="I401" s="4"/>
      <c r="J401" s="17"/>
      <c r="K401" s="17"/>
      <c r="L401" s="17"/>
      <c r="M401" s="17"/>
      <c r="N401" s="17"/>
      <c r="O401" s="15"/>
      <c r="P401" s="18"/>
      <c r="Q401" s="18"/>
      <c r="S401" s="15"/>
    </row>
    <row r="402" ht="14.25" customHeight="1">
      <c r="C402" s="17"/>
      <c r="D402" s="17"/>
      <c r="E402" s="24"/>
      <c r="F402" s="15"/>
      <c r="G402" s="15"/>
      <c r="H402" s="15"/>
      <c r="I402" s="4"/>
      <c r="J402" s="17"/>
      <c r="K402" s="17"/>
      <c r="L402" s="17"/>
      <c r="M402" s="17"/>
      <c r="N402" s="17"/>
      <c r="O402" s="15"/>
      <c r="P402" s="18"/>
      <c r="Q402" s="18"/>
      <c r="S402" s="15"/>
    </row>
    <row r="403" ht="14.25" customHeight="1">
      <c r="C403" s="17"/>
      <c r="D403" s="17"/>
      <c r="E403" s="24"/>
      <c r="F403" s="15"/>
      <c r="G403" s="15"/>
      <c r="H403" s="15"/>
      <c r="I403" s="4"/>
      <c r="J403" s="17"/>
      <c r="K403" s="17"/>
      <c r="L403" s="17"/>
      <c r="M403" s="17"/>
      <c r="N403" s="17"/>
      <c r="O403" s="15"/>
      <c r="P403" s="18"/>
      <c r="Q403" s="18"/>
      <c r="S403" s="15"/>
    </row>
    <row r="404" ht="14.25" customHeight="1">
      <c r="C404" s="17"/>
      <c r="D404" s="17"/>
      <c r="E404" s="24"/>
      <c r="F404" s="15"/>
      <c r="G404" s="15"/>
      <c r="H404" s="15"/>
      <c r="I404" s="4"/>
      <c r="J404" s="17"/>
      <c r="K404" s="17"/>
      <c r="L404" s="17"/>
      <c r="M404" s="17"/>
      <c r="N404" s="17"/>
      <c r="O404" s="15"/>
      <c r="P404" s="18"/>
      <c r="Q404" s="18"/>
      <c r="S404" s="15"/>
    </row>
    <row r="405" ht="14.25" customHeight="1">
      <c r="C405" s="17"/>
      <c r="D405" s="17"/>
      <c r="E405" s="24"/>
      <c r="F405" s="15"/>
      <c r="G405" s="15"/>
      <c r="H405" s="15"/>
      <c r="I405" s="4"/>
      <c r="J405" s="17"/>
      <c r="K405" s="17"/>
      <c r="L405" s="17"/>
      <c r="M405" s="17"/>
      <c r="N405" s="17"/>
      <c r="O405" s="15"/>
      <c r="P405" s="18"/>
      <c r="Q405" s="18"/>
      <c r="S405" s="15"/>
    </row>
    <row r="406" ht="14.25" customHeight="1">
      <c r="C406" s="17"/>
      <c r="D406" s="17"/>
      <c r="E406" s="24"/>
      <c r="F406" s="15"/>
      <c r="G406" s="15"/>
      <c r="H406" s="15"/>
      <c r="I406" s="4"/>
      <c r="J406" s="17"/>
      <c r="K406" s="17"/>
      <c r="L406" s="17"/>
      <c r="M406" s="17"/>
      <c r="N406" s="17"/>
      <c r="O406" s="15"/>
      <c r="P406" s="18"/>
      <c r="Q406" s="18"/>
      <c r="S406" s="15"/>
    </row>
    <row r="407" ht="14.25" customHeight="1">
      <c r="C407" s="17"/>
      <c r="D407" s="17"/>
      <c r="E407" s="24"/>
      <c r="F407" s="15"/>
      <c r="G407" s="15"/>
      <c r="H407" s="15"/>
      <c r="I407" s="4"/>
      <c r="J407" s="17"/>
      <c r="K407" s="17"/>
      <c r="L407" s="17"/>
      <c r="M407" s="17"/>
      <c r="N407" s="17"/>
      <c r="O407" s="15"/>
      <c r="P407" s="18"/>
      <c r="Q407" s="18"/>
      <c r="S407" s="15"/>
    </row>
    <row r="408" ht="14.25" customHeight="1">
      <c r="C408" s="17"/>
      <c r="D408" s="17"/>
      <c r="E408" s="24"/>
      <c r="F408" s="15"/>
      <c r="G408" s="15"/>
      <c r="H408" s="15"/>
      <c r="I408" s="4"/>
      <c r="J408" s="17"/>
      <c r="K408" s="17"/>
      <c r="L408" s="17"/>
      <c r="M408" s="17"/>
      <c r="N408" s="17"/>
      <c r="O408" s="15"/>
      <c r="P408" s="18"/>
      <c r="Q408" s="18"/>
      <c r="S408" s="15"/>
    </row>
    <row r="409" ht="14.25" customHeight="1">
      <c r="C409" s="17"/>
      <c r="D409" s="17"/>
      <c r="E409" s="24"/>
      <c r="F409" s="15"/>
      <c r="G409" s="15"/>
      <c r="H409" s="15"/>
      <c r="I409" s="4"/>
      <c r="J409" s="17"/>
      <c r="K409" s="17"/>
      <c r="L409" s="17"/>
      <c r="M409" s="17"/>
      <c r="N409" s="17"/>
      <c r="O409" s="15"/>
      <c r="P409" s="18"/>
      <c r="Q409" s="18"/>
      <c r="S409" s="15"/>
    </row>
    <row r="410" ht="14.25" customHeight="1">
      <c r="C410" s="17"/>
      <c r="D410" s="17"/>
      <c r="E410" s="24"/>
      <c r="F410" s="15"/>
      <c r="G410" s="15"/>
      <c r="H410" s="15"/>
      <c r="I410" s="4"/>
      <c r="J410" s="17"/>
      <c r="K410" s="17"/>
      <c r="L410" s="17"/>
      <c r="M410" s="17"/>
      <c r="N410" s="17"/>
      <c r="O410" s="15"/>
      <c r="P410" s="18"/>
      <c r="Q410" s="18"/>
      <c r="S410" s="15"/>
    </row>
    <row r="411" ht="14.25" customHeight="1">
      <c r="C411" s="17"/>
      <c r="D411" s="17"/>
      <c r="E411" s="24"/>
      <c r="F411" s="15"/>
      <c r="G411" s="15"/>
      <c r="H411" s="15"/>
      <c r="I411" s="4"/>
      <c r="J411" s="17"/>
      <c r="K411" s="17"/>
      <c r="L411" s="17"/>
      <c r="M411" s="17"/>
      <c r="N411" s="17"/>
      <c r="O411" s="15"/>
      <c r="P411" s="18"/>
      <c r="Q411" s="18"/>
      <c r="S411" s="15"/>
    </row>
    <row r="412" ht="14.25" customHeight="1">
      <c r="C412" s="17"/>
      <c r="D412" s="17"/>
      <c r="E412" s="24"/>
      <c r="F412" s="15"/>
      <c r="G412" s="15"/>
      <c r="H412" s="15"/>
      <c r="I412" s="4"/>
      <c r="J412" s="17"/>
      <c r="K412" s="17"/>
      <c r="L412" s="17"/>
      <c r="M412" s="17"/>
      <c r="N412" s="17"/>
      <c r="O412" s="15"/>
      <c r="P412" s="18"/>
      <c r="Q412" s="18"/>
      <c r="S412" s="15"/>
    </row>
    <row r="413" ht="14.25" customHeight="1">
      <c r="C413" s="17"/>
      <c r="D413" s="17"/>
      <c r="E413" s="24"/>
      <c r="F413" s="15"/>
      <c r="G413" s="15"/>
      <c r="H413" s="15"/>
      <c r="I413" s="4"/>
      <c r="J413" s="17"/>
      <c r="K413" s="17"/>
      <c r="L413" s="17"/>
      <c r="M413" s="17"/>
      <c r="N413" s="17"/>
      <c r="O413" s="15"/>
      <c r="P413" s="18"/>
      <c r="Q413" s="18"/>
      <c r="S413" s="15"/>
    </row>
    <row r="414" ht="14.25" customHeight="1">
      <c r="C414" s="17"/>
      <c r="D414" s="17"/>
      <c r="E414" s="24"/>
      <c r="F414" s="15"/>
      <c r="G414" s="15"/>
      <c r="H414" s="15"/>
      <c r="I414" s="4"/>
      <c r="J414" s="17"/>
      <c r="K414" s="17"/>
      <c r="L414" s="17"/>
      <c r="M414" s="17"/>
      <c r="N414" s="17"/>
      <c r="O414" s="15"/>
      <c r="P414" s="18"/>
      <c r="Q414" s="18"/>
      <c r="S414" s="15"/>
    </row>
    <row r="415" ht="14.25" customHeight="1">
      <c r="C415" s="17"/>
      <c r="D415" s="17"/>
      <c r="E415" s="24"/>
      <c r="F415" s="15"/>
      <c r="G415" s="15"/>
      <c r="H415" s="15"/>
      <c r="I415" s="4"/>
      <c r="J415" s="17"/>
      <c r="K415" s="17"/>
      <c r="L415" s="17"/>
      <c r="M415" s="17"/>
      <c r="N415" s="17"/>
      <c r="O415" s="15"/>
      <c r="P415" s="18"/>
      <c r="Q415" s="18"/>
      <c r="S415" s="15"/>
    </row>
    <row r="416" ht="14.25" customHeight="1">
      <c r="C416" s="17"/>
      <c r="D416" s="17"/>
      <c r="E416" s="24"/>
      <c r="F416" s="15"/>
      <c r="G416" s="15"/>
      <c r="H416" s="15"/>
      <c r="I416" s="4"/>
      <c r="J416" s="17"/>
      <c r="K416" s="17"/>
      <c r="L416" s="17"/>
      <c r="M416" s="17"/>
      <c r="N416" s="17"/>
      <c r="O416" s="15"/>
      <c r="P416" s="18"/>
      <c r="Q416" s="18"/>
      <c r="S416" s="15"/>
    </row>
    <row r="417" ht="14.25" customHeight="1">
      <c r="C417" s="17"/>
      <c r="D417" s="17"/>
      <c r="E417" s="24"/>
      <c r="F417" s="15"/>
      <c r="G417" s="15"/>
      <c r="H417" s="15"/>
      <c r="I417" s="4"/>
      <c r="J417" s="17"/>
      <c r="K417" s="17"/>
      <c r="L417" s="17"/>
      <c r="M417" s="17"/>
      <c r="N417" s="17"/>
      <c r="O417" s="15"/>
      <c r="P417" s="18"/>
      <c r="Q417" s="18"/>
      <c r="S417" s="15"/>
    </row>
    <row r="418" ht="14.25" customHeight="1">
      <c r="C418" s="17"/>
      <c r="D418" s="17"/>
      <c r="E418" s="24"/>
      <c r="F418" s="15"/>
      <c r="G418" s="15"/>
      <c r="H418" s="15"/>
      <c r="I418" s="4"/>
      <c r="J418" s="17"/>
      <c r="K418" s="17"/>
      <c r="L418" s="17"/>
      <c r="M418" s="17"/>
      <c r="N418" s="17"/>
      <c r="O418" s="15"/>
      <c r="P418" s="18"/>
      <c r="Q418" s="18"/>
      <c r="S418" s="15"/>
    </row>
    <row r="419" ht="14.25" customHeight="1">
      <c r="C419" s="17"/>
      <c r="D419" s="17"/>
      <c r="E419" s="24"/>
      <c r="F419" s="15"/>
      <c r="G419" s="15"/>
      <c r="H419" s="15"/>
      <c r="I419" s="4"/>
      <c r="J419" s="17"/>
      <c r="K419" s="17"/>
      <c r="L419" s="17"/>
      <c r="M419" s="17"/>
      <c r="N419" s="17"/>
      <c r="O419" s="15"/>
      <c r="P419" s="18"/>
      <c r="Q419" s="18"/>
      <c r="S419" s="15"/>
    </row>
    <row r="420" ht="14.25" customHeight="1">
      <c r="C420" s="17"/>
      <c r="D420" s="17"/>
      <c r="E420" s="24"/>
      <c r="F420" s="15"/>
      <c r="G420" s="15"/>
      <c r="H420" s="15"/>
      <c r="I420" s="4"/>
      <c r="J420" s="17"/>
      <c r="K420" s="17"/>
      <c r="L420" s="17"/>
      <c r="M420" s="17"/>
      <c r="N420" s="17"/>
      <c r="O420" s="15"/>
      <c r="P420" s="18"/>
      <c r="Q420" s="18"/>
      <c r="S420" s="15"/>
    </row>
    <row r="421" ht="14.25" customHeight="1">
      <c r="C421" s="17"/>
      <c r="D421" s="17"/>
      <c r="E421" s="24"/>
      <c r="F421" s="15"/>
      <c r="G421" s="15"/>
      <c r="H421" s="15"/>
      <c r="I421" s="4"/>
      <c r="J421" s="17"/>
      <c r="K421" s="17"/>
      <c r="L421" s="17"/>
      <c r="M421" s="17"/>
      <c r="N421" s="17"/>
      <c r="O421" s="15"/>
      <c r="P421" s="18"/>
      <c r="Q421" s="18"/>
      <c r="S421" s="15"/>
    </row>
    <row r="422" ht="14.25" customHeight="1">
      <c r="C422" s="17"/>
      <c r="D422" s="17"/>
      <c r="E422" s="24"/>
      <c r="F422" s="15"/>
      <c r="G422" s="15"/>
      <c r="H422" s="15"/>
      <c r="I422" s="4"/>
      <c r="J422" s="17"/>
      <c r="K422" s="17"/>
      <c r="L422" s="17"/>
      <c r="M422" s="17"/>
      <c r="N422" s="17"/>
      <c r="O422" s="15"/>
      <c r="P422" s="18"/>
      <c r="Q422" s="18"/>
      <c r="S422" s="15"/>
    </row>
    <row r="423" ht="14.25" customHeight="1">
      <c r="C423" s="17"/>
      <c r="D423" s="17"/>
      <c r="E423" s="24"/>
      <c r="F423" s="15"/>
      <c r="G423" s="15"/>
      <c r="H423" s="15"/>
      <c r="I423" s="4"/>
      <c r="J423" s="17"/>
      <c r="K423" s="17"/>
      <c r="L423" s="17"/>
      <c r="M423" s="17"/>
      <c r="N423" s="17"/>
      <c r="O423" s="15"/>
      <c r="P423" s="18"/>
      <c r="Q423" s="18"/>
      <c r="S423" s="15"/>
    </row>
    <row r="424" ht="14.25" customHeight="1">
      <c r="C424" s="17"/>
      <c r="D424" s="17"/>
      <c r="E424" s="24"/>
      <c r="F424" s="15"/>
      <c r="G424" s="15"/>
      <c r="H424" s="15"/>
      <c r="I424" s="4"/>
      <c r="J424" s="17"/>
      <c r="K424" s="17"/>
      <c r="L424" s="17"/>
      <c r="M424" s="17"/>
      <c r="N424" s="17"/>
      <c r="O424" s="15"/>
      <c r="P424" s="18"/>
      <c r="Q424" s="18"/>
      <c r="S424" s="15"/>
    </row>
    <row r="425" ht="14.25" customHeight="1">
      <c r="C425" s="17"/>
      <c r="D425" s="17"/>
      <c r="E425" s="24"/>
      <c r="F425" s="15"/>
      <c r="G425" s="15"/>
      <c r="H425" s="15"/>
      <c r="I425" s="4"/>
      <c r="J425" s="17"/>
      <c r="K425" s="17"/>
      <c r="L425" s="17"/>
      <c r="M425" s="17"/>
      <c r="N425" s="17"/>
      <c r="O425" s="15"/>
      <c r="P425" s="18"/>
      <c r="Q425" s="18"/>
      <c r="S425" s="15"/>
    </row>
    <row r="426" ht="14.25" customHeight="1">
      <c r="C426" s="17"/>
      <c r="D426" s="17"/>
      <c r="E426" s="24"/>
      <c r="F426" s="15"/>
      <c r="G426" s="15"/>
      <c r="H426" s="15"/>
      <c r="I426" s="4"/>
      <c r="J426" s="17"/>
      <c r="K426" s="17"/>
      <c r="L426" s="17"/>
      <c r="M426" s="17"/>
      <c r="N426" s="17"/>
      <c r="O426" s="15"/>
      <c r="P426" s="18"/>
      <c r="Q426" s="18"/>
      <c r="S426" s="15"/>
    </row>
    <row r="427" ht="14.25" customHeight="1">
      <c r="C427" s="17"/>
      <c r="D427" s="17"/>
      <c r="E427" s="24"/>
      <c r="F427" s="15"/>
      <c r="G427" s="15"/>
      <c r="H427" s="15"/>
      <c r="I427" s="4"/>
      <c r="J427" s="17"/>
      <c r="K427" s="17"/>
      <c r="L427" s="17"/>
      <c r="M427" s="17"/>
      <c r="N427" s="17"/>
      <c r="O427" s="15"/>
      <c r="P427" s="18"/>
      <c r="Q427" s="18"/>
      <c r="S427" s="15"/>
    </row>
    <row r="428" ht="14.25" customHeight="1">
      <c r="C428" s="17"/>
      <c r="D428" s="17"/>
      <c r="E428" s="24"/>
      <c r="F428" s="15"/>
      <c r="G428" s="15"/>
      <c r="H428" s="15"/>
      <c r="I428" s="4"/>
      <c r="J428" s="17"/>
      <c r="K428" s="17"/>
      <c r="L428" s="17"/>
      <c r="M428" s="17"/>
      <c r="N428" s="17"/>
      <c r="O428" s="15"/>
      <c r="P428" s="18"/>
      <c r="Q428" s="18"/>
      <c r="S428" s="15"/>
    </row>
    <row r="429" ht="14.25" customHeight="1">
      <c r="C429" s="17"/>
      <c r="D429" s="17"/>
      <c r="E429" s="24"/>
      <c r="F429" s="15"/>
      <c r="G429" s="15"/>
      <c r="H429" s="15"/>
      <c r="I429" s="4"/>
      <c r="J429" s="17"/>
      <c r="K429" s="17"/>
      <c r="L429" s="17"/>
      <c r="M429" s="17"/>
      <c r="N429" s="17"/>
      <c r="O429" s="15"/>
      <c r="P429" s="18"/>
      <c r="Q429" s="18"/>
      <c r="S429" s="15"/>
    </row>
    <row r="430" ht="14.25" customHeight="1">
      <c r="C430" s="17"/>
      <c r="D430" s="17"/>
      <c r="E430" s="24"/>
      <c r="F430" s="15"/>
      <c r="G430" s="15"/>
      <c r="H430" s="15"/>
      <c r="I430" s="4"/>
      <c r="J430" s="17"/>
      <c r="K430" s="17"/>
      <c r="L430" s="17"/>
      <c r="M430" s="17"/>
      <c r="N430" s="17"/>
      <c r="O430" s="15"/>
      <c r="P430" s="18"/>
      <c r="Q430" s="18"/>
      <c r="S430" s="15"/>
    </row>
    <row r="431" ht="14.25" customHeight="1">
      <c r="C431" s="17"/>
      <c r="D431" s="17"/>
      <c r="E431" s="24"/>
      <c r="F431" s="15"/>
      <c r="G431" s="15"/>
      <c r="H431" s="15"/>
      <c r="I431" s="4"/>
      <c r="J431" s="17"/>
      <c r="K431" s="17"/>
      <c r="L431" s="17"/>
      <c r="M431" s="17"/>
      <c r="N431" s="17"/>
      <c r="O431" s="15"/>
      <c r="P431" s="18"/>
      <c r="Q431" s="18"/>
      <c r="S431" s="15"/>
    </row>
    <row r="432" ht="14.25" customHeight="1">
      <c r="C432" s="17"/>
      <c r="D432" s="17"/>
      <c r="E432" s="24"/>
      <c r="F432" s="15"/>
      <c r="G432" s="15"/>
      <c r="H432" s="15"/>
      <c r="I432" s="4"/>
      <c r="J432" s="17"/>
      <c r="K432" s="17"/>
      <c r="L432" s="17"/>
      <c r="M432" s="17"/>
      <c r="N432" s="17"/>
      <c r="O432" s="15"/>
      <c r="P432" s="18"/>
      <c r="Q432" s="18"/>
      <c r="S432" s="15"/>
    </row>
    <row r="433" ht="14.25" customHeight="1">
      <c r="C433" s="17"/>
      <c r="D433" s="17"/>
      <c r="E433" s="24"/>
      <c r="F433" s="15"/>
      <c r="G433" s="15"/>
      <c r="H433" s="15"/>
      <c r="I433" s="4"/>
      <c r="J433" s="17"/>
      <c r="K433" s="17"/>
      <c r="L433" s="17"/>
      <c r="M433" s="17"/>
      <c r="N433" s="17"/>
      <c r="O433" s="15"/>
      <c r="P433" s="18"/>
      <c r="Q433" s="18"/>
      <c r="S433" s="15"/>
    </row>
    <row r="434" ht="14.25" customHeight="1">
      <c r="C434" s="17"/>
      <c r="D434" s="17"/>
      <c r="E434" s="24"/>
      <c r="F434" s="15"/>
      <c r="G434" s="15"/>
      <c r="H434" s="15"/>
      <c r="I434" s="4"/>
      <c r="J434" s="17"/>
      <c r="K434" s="17"/>
      <c r="L434" s="17"/>
      <c r="M434" s="17"/>
      <c r="N434" s="17"/>
      <c r="O434" s="15"/>
      <c r="P434" s="18"/>
      <c r="Q434" s="18"/>
      <c r="S434" s="15"/>
    </row>
    <row r="435" ht="14.25" customHeight="1">
      <c r="C435" s="17"/>
      <c r="D435" s="17"/>
      <c r="E435" s="24"/>
      <c r="F435" s="15"/>
      <c r="G435" s="15"/>
      <c r="H435" s="15"/>
      <c r="I435" s="4"/>
      <c r="J435" s="17"/>
      <c r="K435" s="17"/>
      <c r="L435" s="17"/>
      <c r="M435" s="17"/>
      <c r="N435" s="17"/>
      <c r="O435" s="15"/>
      <c r="P435" s="18"/>
      <c r="Q435" s="18"/>
      <c r="S435" s="15"/>
    </row>
    <row r="436" ht="14.25" customHeight="1">
      <c r="C436" s="17"/>
      <c r="D436" s="17"/>
      <c r="E436" s="24"/>
      <c r="F436" s="15"/>
      <c r="G436" s="15"/>
      <c r="H436" s="15"/>
      <c r="I436" s="4"/>
      <c r="J436" s="17"/>
      <c r="K436" s="17"/>
      <c r="L436" s="17"/>
      <c r="M436" s="17"/>
      <c r="N436" s="17"/>
      <c r="O436" s="15"/>
      <c r="P436" s="18"/>
      <c r="Q436" s="18"/>
      <c r="S436" s="15"/>
    </row>
    <row r="437" ht="14.25" customHeight="1">
      <c r="C437" s="17"/>
      <c r="D437" s="17"/>
      <c r="E437" s="24"/>
      <c r="F437" s="15"/>
      <c r="G437" s="15"/>
      <c r="H437" s="15"/>
      <c r="I437" s="4"/>
      <c r="J437" s="17"/>
      <c r="K437" s="17"/>
      <c r="L437" s="17"/>
      <c r="M437" s="17"/>
      <c r="N437" s="17"/>
      <c r="O437" s="15"/>
      <c r="P437" s="18"/>
      <c r="Q437" s="18"/>
      <c r="S437" s="15"/>
    </row>
    <row r="438" ht="14.25" customHeight="1">
      <c r="C438" s="17"/>
      <c r="D438" s="17"/>
      <c r="E438" s="24"/>
      <c r="F438" s="15"/>
      <c r="G438" s="15"/>
      <c r="H438" s="15"/>
      <c r="I438" s="4"/>
      <c r="J438" s="17"/>
      <c r="K438" s="17"/>
      <c r="L438" s="17"/>
      <c r="M438" s="17"/>
      <c r="N438" s="17"/>
      <c r="O438" s="15"/>
      <c r="P438" s="18"/>
      <c r="Q438" s="18"/>
      <c r="S438" s="15"/>
    </row>
    <row r="439" ht="14.25" customHeight="1">
      <c r="C439" s="17"/>
      <c r="D439" s="17"/>
      <c r="E439" s="24"/>
      <c r="F439" s="15"/>
      <c r="G439" s="15"/>
      <c r="H439" s="15"/>
      <c r="I439" s="4"/>
      <c r="J439" s="17"/>
      <c r="K439" s="17"/>
      <c r="L439" s="17"/>
      <c r="M439" s="17"/>
      <c r="N439" s="17"/>
      <c r="O439" s="15"/>
      <c r="P439" s="18"/>
      <c r="Q439" s="18"/>
      <c r="S439" s="15"/>
    </row>
    <row r="440" ht="14.25" customHeight="1">
      <c r="C440" s="17"/>
      <c r="D440" s="17"/>
      <c r="E440" s="24"/>
      <c r="F440" s="15"/>
      <c r="G440" s="15"/>
      <c r="H440" s="15"/>
      <c r="I440" s="4"/>
      <c r="J440" s="17"/>
      <c r="K440" s="17"/>
      <c r="L440" s="17"/>
      <c r="M440" s="17"/>
      <c r="N440" s="17"/>
      <c r="O440" s="15"/>
      <c r="P440" s="18"/>
      <c r="Q440" s="18"/>
      <c r="S440" s="15"/>
    </row>
    <row r="441" ht="14.25" customHeight="1">
      <c r="C441" s="17"/>
      <c r="D441" s="17"/>
      <c r="E441" s="24"/>
      <c r="F441" s="15"/>
      <c r="G441" s="15"/>
      <c r="H441" s="15"/>
      <c r="I441" s="4"/>
      <c r="J441" s="17"/>
      <c r="K441" s="17"/>
      <c r="L441" s="17"/>
      <c r="M441" s="17"/>
      <c r="N441" s="17"/>
      <c r="O441" s="15"/>
      <c r="P441" s="18"/>
      <c r="Q441" s="18"/>
      <c r="S441" s="15"/>
    </row>
    <row r="442" ht="14.25" customHeight="1">
      <c r="C442" s="17"/>
      <c r="D442" s="17"/>
      <c r="E442" s="24"/>
      <c r="F442" s="15"/>
      <c r="G442" s="15"/>
      <c r="H442" s="15"/>
      <c r="I442" s="4"/>
      <c r="J442" s="17"/>
      <c r="K442" s="17"/>
      <c r="L442" s="17"/>
      <c r="M442" s="17"/>
      <c r="N442" s="17"/>
      <c r="O442" s="15"/>
      <c r="P442" s="18"/>
      <c r="Q442" s="18"/>
      <c r="S442" s="15"/>
    </row>
    <row r="443" ht="14.25" customHeight="1">
      <c r="C443" s="17"/>
      <c r="D443" s="17"/>
      <c r="E443" s="24"/>
      <c r="F443" s="15"/>
      <c r="G443" s="15"/>
      <c r="H443" s="15"/>
      <c r="I443" s="4"/>
      <c r="J443" s="17"/>
      <c r="K443" s="17"/>
      <c r="L443" s="17"/>
      <c r="M443" s="17"/>
      <c r="N443" s="17"/>
      <c r="O443" s="15"/>
      <c r="P443" s="18"/>
      <c r="Q443" s="18"/>
      <c r="S443" s="15"/>
    </row>
    <row r="444" ht="14.25" customHeight="1">
      <c r="C444" s="17"/>
      <c r="D444" s="17"/>
      <c r="E444" s="24"/>
      <c r="F444" s="15"/>
      <c r="G444" s="15"/>
      <c r="H444" s="15"/>
      <c r="I444" s="4"/>
      <c r="J444" s="17"/>
      <c r="K444" s="17"/>
      <c r="L444" s="17"/>
      <c r="M444" s="17"/>
      <c r="N444" s="17"/>
      <c r="O444" s="15"/>
      <c r="P444" s="18"/>
      <c r="Q444" s="18"/>
      <c r="S444" s="15"/>
    </row>
    <row r="445" ht="14.25" customHeight="1">
      <c r="C445" s="17"/>
      <c r="D445" s="17"/>
      <c r="E445" s="24"/>
      <c r="F445" s="15"/>
      <c r="G445" s="15"/>
      <c r="H445" s="15"/>
      <c r="I445" s="4"/>
      <c r="J445" s="17"/>
      <c r="K445" s="17"/>
      <c r="L445" s="17"/>
      <c r="M445" s="17"/>
      <c r="N445" s="17"/>
      <c r="O445" s="15"/>
      <c r="P445" s="18"/>
      <c r="Q445" s="18"/>
      <c r="S445" s="15"/>
    </row>
    <row r="446" ht="14.25" customHeight="1">
      <c r="C446" s="17"/>
      <c r="D446" s="17"/>
      <c r="E446" s="24"/>
      <c r="F446" s="15"/>
      <c r="G446" s="15"/>
      <c r="H446" s="15"/>
      <c r="I446" s="4"/>
      <c r="J446" s="17"/>
      <c r="K446" s="17"/>
      <c r="L446" s="17"/>
      <c r="M446" s="17"/>
      <c r="N446" s="17"/>
      <c r="O446" s="15"/>
      <c r="P446" s="18"/>
      <c r="Q446" s="18"/>
      <c r="S446" s="15"/>
    </row>
    <row r="447" ht="14.25" customHeight="1">
      <c r="C447" s="17"/>
      <c r="D447" s="17"/>
      <c r="E447" s="24"/>
      <c r="F447" s="15"/>
      <c r="G447" s="15"/>
      <c r="H447" s="15"/>
      <c r="I447" s="4"/>
      <c r="J447" s="17"/>
      <c r="K447" s="17"/>
      <c r="L447" s="17"/>
      <c r="M447" s="17"/>
      <c r="N447" s="17"/>
      <c r="O447" s="15"/>
      <c r="P447" s="18"/>
      <c r="Q447" s="18"/>
      <c r="S447" s="15"/>
    </row>
    <row r="448" ht="14.25" customHeight="1">
      <c r="C448" s="17"/>
      <c r="D448" s="17"/>
      <c r="E448" s="24"/>
      <c r="F448" s="15"/>
      <c r="G448" s="15"/>
      <c r="H448" s="15"/>
      <c r="I448" s="4"/>
      <c r="J448" s="17"/>
      <c r="K448" s="17"/>
      <c r="L448" s="17"/>
      <c r="M448" s="17"/>
      <c r="N448" s="17"/>
      <c r="O448" s="15"/>
      <c r="P448" s="18"/>
      <c r="Q448" s="18"/>
      <c r="S448" s="15"/>
    </row>
    <row r="449" ht="14.25" customHeight="1">
      <c r="C449" s="17"/>
      <c r="D449" s="17"/>
      <c r="E449" s="24"/>
      <c r="F449" s="15"/>
      <c r="G449" s="15"/>
      <c r="H449" s="15"/>
      <c r="I449" s="4"/>
      <c r="J449" s="17"/>
      <c r="K449" s="17"/>
      <c r="L449" s="17"/>
      <c r="M449" s="17"/>
      <c r="N449" s="17"/>
      <c r="O449" s="15"/>
      <c r="P449" s="18"/>
      <c r="Q449" s="18"/>
      <c r="S449" s="15"/>
    </row>
    <row r="450" ht="14.25" customHeight="1">
      <c r="C450" s="17"/>
      <c r="D450" s="17"/>
      <c r="E450" s="24"/>
      <c r="F450" s="15"/>
      <c r="G450" s="15"/>
      <c r="H450" s="15"/>
      <c r="I450" s="4"/>
      <c r="J450" s="17"/>
      <c r="K450" s="17"/>
      <c r="L450" s="17"/>
      <c r="M450" s="17"/>
      <c r="N450" s="17"/>
      <c r="O450" s="15"/>
      <c r="P450" s="18"/>
      <c r="Q450" s="18"/>
      <c r="S450" s="15"/>
    </row>
    <row r="451" ht="14.25" customHeight="1">
      <c r="C451" s="17"/>
      <c r="D451" s="17"/>
      <c r="E451" s="24"/>
      <c r="F451" s="15"/>
      <c r="G451" s="15"/>
      <c r="H451" s="15"/>
      <c r="I451" s="4"/>
      <c r="J451" s="17"/>
      <c r="K451" s="17"/>
      <c r="L451" s="17"/>
      <c r="M451" s="17"/>
      <c r="N451" s="17"/>
      <c r="O451" s="15"/>
      <c r="P451" s="18"/>
      <c r="Q451" s="18"/>
      <c r="S451" s="15"/>
    </row>
    <row r="452" ht="14.25" customHeight="1">
      <c r="C452" s="17"/>
      <c r="D452" s="17"/>
      <c r="E452" s="24"/>
      <c r="F452" s="15"/>
      <c r="G452" s="15"/>
      <c r="H452" s="15"/>
      <c r="I452" s="4"/>
      <c r="J452" s="17"/>
      <c r="K452" s="17"/>
      <c r="L452" s="17"/>
      <c r="M452" s="17"/>
      <c r="N452" s="17"/>
      <c r="O452" s="15"/>
      <c r="P452" s="18"/>
      <c r="Q452" s="18"/>
      <c r="S452" s="15"/>
    </row>
    <row r="453" ht="14.25" customHeight="1">
      <c r="C453" s="17"/>
      <c r="D453" s="17"/>
      <c r="E453" s="24"/>
      <c r="F453" s="15"/>
      <c r="G453" s="15"/>
      <c r="H453" s="15"/>
      <c r="I453" s="4"/>
      <c r="J453" s="17"/>
      <c r="K453" s="17"/>
      <c r="L453" s="17"/>
      <c r="M453" s="17"/>
      <c r="N453" s="17"/>
      <c r="O453" s="15"/>
      <c r="P453" s="18"/>
      <c r="Q453" s="18"/>
      <c r="S453" s="15"/>
    </row>
    <row r="454" ht="14.25" customHeight="1">
      <c r="C454" s="17"/>
      <c r="D454" s="17"/>
      <c r="E454" s="24"/>
      <c r="F454" s="15"/>
      <c r="G454" s="15"/>
      <c r="H454" s="15"/>
      <c r="I454" s="4"/>
      <c r="J454" s="17"/>
      <c r="K454" s="17"/>
      <c r="L454" s="17"/>
      <c r="M454" s="17"/>
      <c r="N454" s="17"/>
      <c r="O454" s="15"/>
      <c r="P454" s="18"/>
      <c r="Q454" s="18"/>
      <c r="S454" s="15"/>
    </row>
    <row r="455" ht="14.25" customHeight="1">
      <c r="C455" s="17"/>
      <c r="D455" s="17"/>
      <c r="E455" s="24"/>
      <c r="F455" s="15"/>
      <c r="G455" s="15"/>
      <c r="H455" s="15"/>
      <c r="I455" s="4"/>
      <c r="J455" s="17"/>
      <c r="K455" s="17"/>
      <c r="L455" s="17"/>
      <c r="M455" s="17"/>
      <c r="N455" s="17"/>
      <c r="O455" s="15"/>
      <c r="P455" s="18"/>
      <c r="Q455" s="18"/>
      <c r="S455" s="15"/>
    </row>
    <row r="456" ht="14.25" customHeight="1">
      <c r="C456" s="17"/>
      <c r="D456" s="17"/>
      <c r="E456" s="24"/>
      <c r="F456" s="15"/>
      <c r="G456" s="15"/>
      <c r="H456" s="15"/>
      <c r="I456" s="4"/>
      <c r="J456" s="17"/>
      <c r="K456" s="17"/>
      <c r="L456" s="17"/>
      <c r="M456" s="17"/>
      <c r="N456" s="17"/>
      <c r="O456" s="15"/>
      <c r="P456" s="18"/>
      <c r="Q456" s="18"/>
      <c r="S456" s="15"/>
    </row>
    <row r="457" ht="14.25" customHeight="1">
      <c r="C457" s="17"/>
      <c r="D457" s="17"/>
      <c r="E457" s="24"/>
      <c r="F457" s="15"/>
      <c r="G457" s="15"/>
      <c r="H457" s="15"/>
      <c r="I457" s="4"/>
      <c r="J457" s="17"/>
      <c r="K457" s="17"/>
      <c r="L457" s="17"/>
      <c r="M457" s="17"/>
      <c r="N457" s="17"/>
      <c r="O457" s="15"/>
      <c r="P457" s="18"/>
      <c r="Q457" s="18"/>
      <c r="S457" s="15"/>
    </row>
    <row r="458" ht="14.25" customHeight="1">
      <c r="C458" s="17"/>
      <c r="D458" s="17"/>
      <c r="E458" s="24"/>
      <c r="F458" s="15"/>
      <c r="G458" s="15"/>
      <c r="H458" s="15"/>
      <c r="I458" s="4"/>
      <c r="J458" s="17"/>
      <c r="K458" s="17"/>
      <c r="L458" s="17"/>
      <c r="M458" s="17"/>
      <c r="N458" s="17"/>
      <c r="O458" s="15"/>
      <c r="P458" s="18"/>
      <c r="Q458" s="18"/>
      <c r="S458" s="15"/>
    </row>
    <row r="459" ht="14.25" customHeight="1">
      <c r="C459" s="17"/>
      <c r="D459" s="17"/>
      <c r="E459" s="24"/>
      <c r="F459" s="15"/>
      <c r="G459" s="15"/>
      <c r="H459" s="15"/>
      <c r="I459" s="4"/>
      <c r="J459" s="17"/>
      <c r="K459" s="17"/>
      <c r="L459" s="17"/>
      <c r="M459" s="17"/>
      <c r="N459" s="17"/>
      <c r="O459" s="15"/>
      <c r="P459" s="18"/>
      <c r="Q459" s="18"/>
      <c r="S459" s="15"/>
    </row>
    <row r="460" ht="14.25" customHeight="1">
      <c r="C460" s="17"/>
      <c r="D460" s="17"/>
      <c r="E460" s="24"/>
      <c r="F460" s="15"/>
      <c r="G460" s="15"/>
      <c r="H460" s="15"/>
      <c r="I460" s="4"/>
      <c r="J460" s="17"/>
      <c r="K460" s="17"/>
      <c r="L460" s="17"/>
      <c r="M460" s="17"/>
      <c r="N460" s="17"/>
      <c r="O460" s="15"/>
      <c r="P460" s="18"/>
      <c r="Q460" s="18"/>
      <c r="S460" s="15"/>
    </row>
    <row r="461" ht="14.25" customHeight="1">
      <c r="C461" s="17"/>
      <c r="D461" s="17"/>
      <c r="E461" s="24"/>
      <c r="F461" s="15"/>
      <c r="G461" s="15"/>
      <c r="H461" s="15"/>
      <c r="I461" s="4"/>
      <c r="J461" s="17"/>
      <c r="K461" s="17"/>
      <c r="L461" s="17"/>
      <c r="M461" s="17"/>
      <c r="N461" s="17"/>
      <c r="O461" s="15"/>
      <c r="P461" s="18"/>
      <c r="Q461" s="18"/>
      <c r="S461" s="15"/>
    </row>
    <row r="462" ht="14.25" customHeight="1">
      <c r="C462" s="17"/>
      <c r="D462" s="17"/>
      <c r="E462" s="24"/>
      <c r="F462" s="15"/>
      <c r="G462" s="15"/>
      <c r="H462" s="15"/>
      <c r="I462" s="4"/>
      <c r="J462" s="17"/>
      <c r="K462" s="17"/>
      <c r="L462" s="17"/>
      <c r="M462" s="17"/>
      <c r="N462" s="17"/>
      <c r="O462" s="15"/>
      <c r="P462" s="18"/>
      <c r="Q462" s="18"/>
      <c r="S462" s="15"/>
    </row>
    <row r="463" ht="14.25" customHeight="1">
      <c r="C463" s="17"/>
      <c r="D463" s="17"/>
      <c r="E463" s="24"/>
      <c r="F463" s="15"/>
      <c r="G463" s="15"/>
      <c r="H463" s="15"/>
      <c r="I463" s="4"/>
      <c r="J463" s="17"/>
      <c r="K463" s="17"/>
      <c r="L463" s="17"/>
      <c r="M463" s="17"/>
      <c r="N463" s="17"/>
      <c r="O463" s="15"/>
      <c r="P463" s="18"/>
      <c r="Q463" s="18"/>
      <c r="S463" s="15"/>
    </row>
    <row r="464" ht="14.25" customHeight="1">
      <c r="C464" s="17"/>
      <c r="D464" s="17"/>
      <c r="E464" s="24"/>
      <c r="F464" s="15"/>
      <c r="G464" s="15"/>
      <c r="H464" s="15"/>
      <c r="I464" s="4"/>
      <c r="J464" s="17"/>
      <c r="K464" s="17"/>
      <c r="L464" s="17"/>
      <c r="M464" s="17"/>
      <c r="N464" s="17"/>
      <c r="O464" s="15"/>
      <c r="P464" s="18"/>
      <c r="Q464" s="18"/>
      <c r="S464" s="15"/>
    </row>
    <row r="465" ht="14.25" customHeight="1">
      <c r="C465" s="17"/>
      <c r="D465" s="17"/>
      <c r="E465" s="24"/>
      <c r="F465" s="15"/>
      <c r="G465" s="15"/>
      <c r="H465" s="15"/>
      <c r="I465" s="4"/>
      <c r="J465" s="17"/>
      <c r="K465" s="17"/>
      <c r="L465" s="17"/>
      <c r="M465" s="17"/>
      <c r="N465" s="17"/>
      <c r="O465" s="15"/>
      <c r="P465" s="18"/>
      <c r="Q465" s="18"/>
      <c r="S465" s="15"/>
    </row>
    <row r="466" ht="14.25" customHeight="1">
      <c r="C466" s="17"/>
      <c r="D466" s="17"/>
      <c r="E466" s="24"/>
      <c r="F466" s="15"/>
      <c r="G466" s="15"/>
      <c r="H466" s="15"/>
      <c r="I466" s="4"/>
      <c r="J466" s="17"/>
      <c r="K466" s="17"/>
      <c r="L466" s="17"/>
      <c r="M466" s="17"/>
      <c r="N466" s="17"/>
      <c r="O466" s="15"/>
      <c r="P466" s="18"/>
      <c r="Q466" s="18"/>
      <c r="S466" s="15"/>
    </row>
    <row r="467" ht="14.25" customHeight="1">
      <c r="C467" s="17"/>
      <c r="D467" s="17"/>
      <c r="E467" s="24"/>
      <c r="F467" s="15"/>
      <c r="G467" s="15"/>
      <c r="H467" s="15"/>
      <c r="I467" s="4"/>
      <c r="J467" s="17"/>
      <c r="K467" s="17"/>
      <c r="L467" s="17"/>
      <c r="M467" s="17"/>
      <c r="N467" s="17"/>
      <c r="O467" s="15"/>
      <c r="P467" s="18"/>
      <c r="Q467" s="18"/>
      <c r="S467" s="15"/>
    </row>
    <row r="468" ht="14.25" customHeight="1">
      <c r="C468" s="17"/>
      <c r="D468" s="17"/>
      <c r="E468" s="24"/>
      <c r="F468" s="15"/>
      <c r="G468" s="15"/>
      <c r="H468" s="15"/>
      <c r="I468" s="4"/>
      <c r="J468" s="17"/>
      <c r="K468" s="17"/>
      <c r="L468" s="17"/>
      <c r="M468" s="17"/>
      <c r="N468" s="17"/>
      <c r="O468" s="15"/>
      <c r="P468" s="18"/>
      <c r="Q468" s="18"/>
      <c r="S468" s="15"/>
    </row>
    <row r="469" ht="14.25" customHeight="1">
      <c r="C469" s="17"/>
      <c r="D469" s="17"/>
      <c r="E469" s="24"/>
      <c r="F469" s="15"/>
      <c r="G469" s="15"/>
      <c r="H469" s="15"/>
      <c r="I469" s="4"/>
      <c r="J469" s="17"/>
      <c r="K469" s="17"/>
      <c r="L469" s="17"/>
      <c r="M469" s="17"/>
      <c r="N469" s="17"/>
      <c r="O469" s="15"/>
      <c r="P469" s="18"/>
      <c r="Q469" s="18"/>
      <c r="S469" s="15"/>
    </row>
    <row r="470" ht="14.25" customHeight="1">
      <c r="C470" s="17"/>
      <c r="D470" s="17"/>
      <c r="E470" s="24"/>
      <c r="F470" s="15"/>
      <c r="G470" s="15"/>
      <c r="H470" s="15"/>
      <c r="I470" s="4"/>
      <c r="J470" s="17"/>
      <c r="K470" s="17"/>
      <c r="L470" s="17"/>
      <c r="M470" s="17"/>
      <c r="N470" s="17"/>
      <c r="O470" s="15"/>
      <c r="P470" s="18"/>
      <c r="Q470" s="18"/>
      <c r="S470" s="15"/>
    </row>
    <row r="471" ht="14.25" customHeight="1">
      <c r="C471" s="17"/>
      <c r="D471" s="17"/>
      <c r="E471" s="24"/>
      <c r="F471" s="15"/>
      <c r="G471" s="15"/>
      <c r="H471" s="15"/>
      <c r="I471" s="4"/>
      <c r="J471" s="17"/>
      <c r="K471" s="17"/>
      <c r="L471" s="17"/>
      <c r="M471" s="17"/>
      <c r="N471" s="17"/>
      <c r="O471" s="15"/>
      <c r="P471" s="18"/>
      <c r="Q471" s="18"/>
      <c r="S471" s="15"/>
    </row>
    <row r="472" ht="14.25" customHeight="1">
      <c r="C472" s="17"/>
      <c r="D472" s="17"/>
      <c r="E472" s="24"/>
      <c r="F472" s="15"/>
      <c r="G472" s="15"/>
      <c r="H472" s="15"/>
      <c r="I472" s="4"/>
      <c r="J472" s="17"/>
      <c r="K472" s="17"/>
      <c r="L472" s="17"/>
      <c r="M472" s="17"/>
      <c r="N472" s="17"/>
      <c r="O472" s="15"/>
      <c r="P472" s="18"/>
      <c r="Q472" s="18"/>
      <c r="S472" s="15"/>
    </row>
    <row r="473" ht="14.25" customHeight="1">
      <c r="C473" s="17"/>
      <c r="D473" s="17"/>
      <c r="E473" s="24"/>
      <c r="F473" s="15"/>
      <c r="G473" s="15"/>
      <c r="H473" s="15"/>
      <c r="I473" s="4"/>
      <c r="J473" s="17"/>
      <c r="K473" s="17"/>
      <c r="L473" s="17"/>
      <c r="M473" s="17"/>
      <c r="N473" s="17"/>
      <c r="O473" s="15"/>
      <c r="P473" s="18"/>
      <c r="Q473" s="18"/>
      <c r="S473" s="15"/>
    </row>
    <row r="474" ht="14.25" customHeight="1">
      <c r="C474" s="17"/>
      <c r="D474" s="17"/>
      <c r="E474" s="24"/>
      <c r="F474" s="15"/>
      <c r="G474" s="15"/>
      <c r="H474" s="15"/>
      <c r="I474" s="4"/>
      <c r="J474" s="17"/>
      <c r="K474" s="17"/>
      <c r="L474" s="17"/>
      <c r="M474" s="17"/>
      <c r="N474" s="17"/>
      <c r="O474" s="15"/>
      <c r="P474" s="18"/>
      <c r="Q474" s="18"/>
      <c r="S474" s="15"/>
    </row>
    <row r="475" ht="14.25" customHeight="1">
      <c r="C475" s="17"/>
      <c r="D475" s="17"/>
      <c r="E475" s="24"/>
      <c r="F475" s="15"/>
      <c r="G475" s="15"/>
      <c r="H475" s="15"/>
      <c r="I475" s="4"/>
      <c r="J475" s="17"/>
      <c r="K475" s="17"/>
      <c r="L475" s="17"/>
      <c r="M475" s="17"/>
      <c r="N475" s="17"/>
      <c r="O475" s="15"/>
      <c r="P475" s="18"/>
      <c r="Q475" s="18"/>
      <c r="S475" s="15"/>
    </row>
    <row r="476" ht="14.25" customHeight="1">
      <c r="C476" s="17"/>
      <c r="D476" s="17"/>
      <c r="E476" s="24"/>
      <c r="F476" s="15"/>
      <c r="G476" s="15"/>
      <c r="H476" s="15"/>
      <c r="I476" s="4"/>
      <c r="J476" s="17"/>
      <c r="K476" s="17"/>
      <c r="L476" s="17"/>
      <c r="M476" s="17"/>
      <c r="N476" s="17"/>
      <c r="O476" s="15"/>
      <c r="P476" s="18"/>
      <c r="Q476" s="18"/>
      <c r="S476" s="15"/>
    </row>
    <row r="477" ht="14.25" customHeight="1">
      <c r="C477" s="17"/>
      <c r="D477" s="17"/>
      <c r="E477" s="24"/>
      <c r="F477" s="15"/>
      <c r="G477" s="15"/>
      <c r="H477" s="15"/>
      <c r="I477" s="4"/>
      <c r="J477" s="17"/>
      <c r="K477" s="17"/>
      <c r="L477" s="17"/>
      <c r="M477" s="17"/>
      <c r="N477" s="17"/>
      <c r="O477" s="15"/>
      <c r="P477" s="18"/>
      <c r="Q477" s="18"/>
      <c r="S477" s="15"/>
    </row>
    <row r="478" ht="14.25" customHeight="1">
      <c r="C478" s="17"/>
      <c r="D478" s="17"/>
      <c r="E478" s="24"/>
      <c r="F478" s="15"/>
      <c r="G478" s="15"/>
      <c r="H478" s="15"/>
      <c r="I478" s="4"/>
      <c r="J478" s="17"/>
      <c r="K478" s="17"/>
      <c r="L478" s="17"/>
      <c r="M478" s="17"/>
      <c r="N478" s="17"/>
      <c r="O478" s="15"/>
      <c r="P478" s="18"/>
      <c r="Q478" s="18"/>
      <c r="S478" s="15"/>
    </row>
    <row r="479" ht="14.25" customHeight="1">
      <c r="C479" s="17"/>
      <c r="D479" s="17"/>
      <c r="E479" s="24"/>
      <c r="F479" s="15"/>
      <c r="G479" s="15"/>
      <c r="H479" s="15"/>
      <c r="I479" s="4"/>
      <c r="J479" s="17"/>
      <c r="K479" s="17"/>
      <c r="L479" s="17"/>
      <c r="M479" s="17"/>
      <c r="N479" s="17"/>
      <c r="O479" s="15"/>
      <c r="P479" s="18"/>
      <c r="Q479" s="18"/>
      <c r="S479" s="15"/>
    </row>
    <row r="480" ht="14.25" customHeight="1">
      <c r="C480" s="17"/>
      <c r="D480" s="17"/>
      <c r="E480" s="24"/>
      <c r="F480" s="15"/>
      <c r="G480" s="15"/>
      <c r="H480" s="15"/>
      <c r="I480" s="4"/>
      <c r="J480" s="17"/>
      <c r="K480" s="17"/>
      <c r="L480" s="17"/>
      <c r="M480" s="17"/>
      <c r="N480" s="17"/>
      <c r="O480" s="15"/>
      <c r="P480" s="18"/>
      <c r="Q480" s="18"/>
      <c r="S480" s="15"/>
    </row>
    <row r="481" ht="14.25" customHeight="1">
      <c r="C481" s="17"/>
      <c r="D481" s="17"/>
      <c r="E481" s="24"/>
      <c r="F481" s="15"/>
      <c r="G481" s="15"/>
      <c r="H481" s="15"/>
      <c r="I481" s="4"/>
      <c r="J481" s="17"/>
      <c r="K481" s="17"/>
      <c r="L481" s="17"/>
      <c r="M481" s="17"/>
      <c r="N481" s="17"/>
      <c r="O481" s="15"/>
      <c r="P481" s="18"/>
      <c r="Q481" s="18"/>
      <c r="S481" s="15"/>
    </row>
    <row r="482" ht="14.25" customHeight="1">
      <c r="C482" s="17"/>
      <c r="D482" s="17"/>
      <c r="E482" s="24"/>
      <c r="F482" s="15"/>
      <c r="G482" s="15"/>
      <c r="H482" s="15"/>
      <c r="I482" s="4"/>
      <c r="J482" s="17"/>
      <c r="K482" s="17"/>
      <c r="L482" s="17"/>
      <c r="M482" s="17"/>
      <c r="N482" s="17"/>
      <c r="O482" s="15"/>
      <c r="P482" s="18"/>
      <c r="Q482" s="18"/>
      <c r="S482" s="15"/>
    </row>
    <row r="483" ht="14.25" customHeight="1">
      <c r="C483" s="17"/>
      <c r="D483" s="17"/>
      <c r="E483" s="24"/>
      <c r="F483" s="15"/>
      <c r="G483" s="15"/>
      <c r="H483" s="15"/>
      <c r="I483" s="4"/>
      <c r="J483" s="17"/>
      <c r="K483" s="17"/>
      <c r="L483" s="17"/>
      <c r="M483" s="17"/>
      <c r="N483" s="17"/>
      <c r="O483" s="15"/>
      <c r="P483" s="18"/>
      <c r="Q483" s="18"/>
      <c r="S483" s="15"/>
    </row>
    <row r="484" ht="14.25" customHeight="1">
      <c r="C484" s="17"/>
      <c r="D484" s="17"/>
      <c r="E484" s="24"/>
      <c r="F484" s="15"/>
      <c r="G484" s="15"/>
      <c r="H484" s="15"/>
      <c r="I484" s="4"/>
      <c r="J484" s="17"/>
      <c r="K484" s="17"/>
      <c r="L484" s="17"/>
      <c r="M484" s="17"/>
      <c r="N484" s="17"/>
      <c r="O484" s="15"/>
      <c r="P484" s="18"/>
      <c r="Q484" s="18"/>
      <c r="S484" s="15"/>
    </row>
    <row r="485" ht="14.25" customHeight="1">
      <c r="C485" s="17"/>
      <c r="D485" s="17"/>
      <c r="E485" s="24"/>
      <c r="F485" s="15"/>
      <c r="G485" s="15"/>
      <c r="H485" s="15"/>
      <c r="I485" s="4"/>
      <c r="J485" s="17"/>
      <c r="K485" s="17"/>
      <c r="L485" s="17"/>
      <c r="M485" s="17"/>
      <c r="N485" s="17"/>
      <c r="O485" s="15"/>
      <c r="P485" s="18"/>
      <c r="Q485" s="18"/>
      <c r="S485" s="15"/>
    </row>
    <row r="486" ht="14.25" customHeight="1">
      <c r="C486" s="17"/>
      <c r="D486" s="17"/>
      <c r="E486" s="24"/>
      <c r="F486" s="15"/>
      <c r="G486" s="15"/>
      <c r="H486" s="15"/>
      <c r="I486" s="4"/>
      <c r="J486" s="17"/>
      <c r="K486" s="17"/>
      <c r="L486" s="17"/>
      <c r="M486" s="17"/>
      <c r="N486" s="17"/>
      <c r="O486" s="15"/>
      <c r="P486" s="18"/>
      <c r="Q486" s="18"/>
      <c r="S486" s="15"/>
    </row>
    <row r="487" ht="14.25" customHeight="1">
      <c r="C487" s="17"/>
      <c r="D487" s="17"/>
      <c r="E487" s="24"/>
      <c r="F487" s="15"/>
      <c r="G487" s="15"/>
      <c r="H487" s="15"/>
      <c r="I487" s="4"/>
      <c r="J487" s="17"/>
      <c r="K487" s="17"/>
      <c r="L487" s="17"/>
      <c r="M487" s="17"/>
      <c r="N487" s="17"/>
      <c r="O487" s="15"/>
      <c r="P487" s="18"/>
      <c r="Q487" s="18"/>
      <c r="S487" s="15"/>
    </row>
    <row r="488" ht="14.25" customHeight="1">
      <c r="C488" s="17"/>
      <c r="D488" s="17"/>
      <c r="E488" s="24"/>
      <c r="F488" s="15"/>
      <c r="G488" s="15"/>
      <c r="H488" s="15"/>
      <c r="I488" s="4"/>
      <c r="J488" s="17"/>
      <c r="K488" s="17"/>
      <c r="L488" s="17"/>
      <c r="M488" s="17"/>
      <c r="N488" s="17"/>
      <c r="O488" s="15"/>
      <c r="P488" s="18"/>
      <c r="Q488" s="18"/>
      <c r="S488" s="15"/>
    </row>
    <row r="489" ht="14.25" customHeight="1">
      <c r="C489" s="17"/>
      <c r="D489" s="17"/>
      <c r="E489" s="24"/>
      <c r="F489" s="15"/>
      <c r="G489" s="15"/>
      <c r="H489" s="15"/>
      <c r="I489" s="4"/>
      <c r="J489" s="17"/>
      <c r="K489" s="17"/>
      <c r="L489" s="17"/>
      <c r="M489" s="17"/>
      <c r="N489" s="17"/>
      <c r="O489" s="15"/>
      <c r="P489" s="18"/>
      <c r="Q489" s="18"/>
      <c r="S489" s="15"/>
    </row>
    <row r="490" ht="14.25" customHeight="1">
      <c r="C490" s="17"/>
      <c r="D490" s="17"/>
      <c r="E490" s="24"/>
      <c r="F490" s="15"/>
      <c r="G490" s="15"/>
      <c r="H490" s="15"/>
      <c r="I490" s="4"/>
      <c r="J490" s="17"/>
      <c r="K490" s="17"/>
      <c r="L490" s="17"/>
      <c r="M490" s="17"/>
      <c r="N490" s="17"/>
      <c r="O490" s="15"/>
      <c r="P490" s="18"/>
      <c r="Q490" s="18"/>
      <c r="S490" s="15"/>
    </row>
    <row r="491" ht="14.25" customHeight="1">
      <c r="C491" s="17"/>
      <c r="D491" s="17"/>
      <c r="E491" s="24"/>
      <c r="F491" s="15"/>
      <c r="G491" s="15"/>
      <c r="H491" s="15"/>
      <c r="I491" s="4"/>
      <c r="J491" s="17"/>
      <c r="K491" s="17"/>
      <c r="L491" s="17"/>
      <c r="M491" s="17"/>
      <c r="N491" s="17"/>
      <c r="O491" s="15"/>
      <c r="P491" s="18"/>
      <c r="Q491" s="18"/>
      <c r="S491" s="15"/>
    </row>
    <row r="492" ht="14.25" customHeight="1">
      <c r="C492" s="17"/>
      <c r="D492" s="17"/>
      <c r="E492" s="24"/>
      <c r="F492" s="15"/>
      <c r="G492" s="15"/>
      <c r="H492" s="15"/>
      <c r="I492" s="4"/>
      <c r="J492" s="17"/>
      <c r="K492" s="17"/>
      <c r="L492" s="17"/>
      <c r="M492" s="17"/>
      <c r="N492" s="17"/>
      <c r="O492" s="15"/>
      <c r="P492" s="18"/>
      <c r="Q492" s="18"/>
      <c r="S492" s="15"/>
    </row>
    <row r="493" ht="14.25" customHeight="1">
      <c r="C493" s="17"/>
      <c r="D493" s="17"/>
      <c r="E493" s="24"/>
      <c r="F493" s="15"/>
      <c r="G493" s="15"/>
      <c r="H493" s="15"/>
      <c r="I493" s="4"/>
      <c r="J493" s="17"/>
      <c r="K493" s="17"/>
      <c r="L493" s="17"/>
      <c r="M493" s="17"/>
      <c r="N493" s="17"/>
      <c r="O493" s="15"/>
      <c r="P493" s="18"/>
      <c r="Q493" s="18"/>
      <c r="S493" s="15"/>
    </row>
    <row r="494" ht="14.25" customHeight="1">
      <c r="C494" s="17"/>
      <c r="D494" s="17"/>
      <c r="E494" s="24"/>
      <c r="F494" s="15"/>
      <c r="G494" s="15"/>
      <c r="H494" s="15"/>
      <c r="I494" s="4"/>
      <c r="J494" s="17"/>
      <c r="K494" s="17"/>
      <c r="L494" s="17"/>
      <c r="M494" s="17"/>
      <c r="N494" s="17"/>
      <c r="O494" s="15"/>
      <c r="P494" s="18"/>
      <c r="Q494" s="18"/>
      <c r="S494" s="15"/>
    </row>
    <row r="495" ht="14.25" customHeight="1">
      <c r="C495" s="17"/>
      <c r="D495" s="17"/>
      <c r="E495" s="24"/>
      <c r="F495" s="15"/>
      <c r="G495" s="15"/>
      <c r="H495" s="15"/>
      <c r="I495" s="4"/>
      <c r="J495" s="17"/>
      <c r="K495" s="17"/>
      <c r="L495" s="17"/>
      <c r="M495" s="17"/>
      <c r="N495" s="17"/>
      <c r="O495" s="15"/>
      <c r="P495" s="18"/>
      <c r="Q495" s="18"/>
      <c r="S495" s="15"/>
    </row>
    <row r="496" ht="14.25" customHeight="1">
      <c r="C496" s="17"/>
      <c r="D496" s="17"/>
      <c r="E496" s="24"/>
      <c r="F496" s="15"/>
      <c r="G496" s="15"/>
      <c r="H496" s="15"/>
      <c r="I496" s="4"/>
      <c r="J496" s="17"/>
      <c r="K496" s="17"/>
      <c r="L496" s="17"/>
      <c r="M496" s="17"/>
      <c r="N496" s="17"/>
      <c r="O496" s="15"/>
      <c r="P496" s="18"/>
      <c r="Q496" s="18"/>
      <c r="S496" s="15"/>
    </row>
    <row r="497" ht="14.25" customHeight="1">
      <c r="C497" s="17"/>
      <c r="D497" s="17"/>
      <c r="E497" s="24"/>
      <c r="F497" s="15"/>
      <c r="G497" s="15"/>
      <c r="H497" s="15"/>
      <c r="I497" s="4"/>
      <c r="J497" s="17"/>
      <c r="K497" s="17"/>
      <c r="L497" s="17"/>
      <c r="M497" s="17"/>
      <c r="N497" s="17"/>
      <c r="O497" s="15"/>
      <c r="P497" s="18"/>
      <c r="Q497" s="18"/>
      <c r="S497" s="15"/>
    </row>
    <row r="498" ht="14.25" customHeight="1">
      <c r="C498" s="17"/>
      <c r="D498" s="17"/>
      <c r="E498" s="24"/>
      <c r="F498" s="15"/>
      <c r="G498" s="15"/>
      <c r="H498" s="15"/>
      <c r="I498" s="4"/>
      <c r="J498" s="17"/>
      <c r="K498" s="17"/>
      <c r="L498" s="17"/>
      <c r="M498" s="17"/>
      <c r="N498" s="17"/>
      <c r="O498" s="15"/>
      <c r="P498" s="18"/>
      <c r="Q498" s="18"/>
      <c r="S498" s="15"/>
    </row>
    <row r="499" ht="14.25" customHeight="1">
      <c r="C499" s="17"/>
      <c r="D499" s="17"/>
      <c r="E499" s="24"/>
      <c r="F499" s="15"/>
      <c r="G499" s="15"/>
      <c r="H499" s="15"/>
      <c r="I499" s="4"/>
      <c r="J499" s="17"/>
      <c r="K499" s="17"/>
      <c r="L499" s="17"/>
      <c r="M499" s="17"/>
      <c r="N499" s="17"/>
      <c r="O499" s="15"/>
      <c r="P499" s="18"/>
      <c r="Q499" s="18"/>
      <c r="S499" s="15"/>
    </row>
    <row r="500" ht="14.25" customHeight="1">
      <c r="C500" s="17"/>
      <c r="D500" s="17"/>
      <c r="E500" s="24"/>
      <c r="F500" s="15"/>
      <c r="G500" s="15"/>
      <c r="H500" s="15"/>
      <c r="I500" s="4"/>
      <c r="J500" s="17"/>
      <c r="K500" s="17"/>
      <c r="L500" s="17"/>
      <c r="M500" s="17"/>
      <c r="N500" s="17"/>
      <c r="O500" s="15"/>
      <c r="P500" s="18"/>
      <c r="Q500" s="18"/>
      <c r="S500" s="15"/>
    </row>
    <row r="501" ht="14.25" customHeight="1">
      <c r="C501" s="17"/>
      <c r="D501" s="17"/>
      <c r="E501" s="24"/>
      <c r="F501" s="15"/>
      <c r="G501" s="15"/>
      <c r="H501" s="15"/>
      <c r="I501" s="4"/>
      <c r="J501" s="17"/>
      <c r="K501" s="17"/>
      <c r="L501" s="17"/>
      <c r="M501" s="17"/>
      <c r="N501" s="17"/>
      <c r="O501" s="15"/>
      <c r="P501" s="18"/>
      <c r="Q501" s="18"/>
      <c r="S501" s="15"/>
    </row>
    <row r="502" ht="14.25" customHeight="1">
      <c r="C502" s="17"/>
      <c r="D502" s="17"/>
      <c r="E502" s="24"/>
      <c r="F502" s="15"/>
      <c r="G502" s="15"/>
      <c r="H502" s="15"/>
      <c r="I502" s="4"/>
      <c r="J502" s="17"/>
      <c r="K502" s="17"/>
      <c r="L502" s="17"/>
      <c r="M502" s="17"/>
      <c r="N502" s="17"/>
      <c r="O502" s="15"/>
      <c r="P502" s="18"/>
      <c r="Q502" s="18"/>
      <c r="S502" s="15"/>
    </row>
    <row r="503" ht="14.25" customHeight="1">
      <c r="C503" s="17"/>
      <c r="D503" s="17"/>
      <c r="E503" s="24"/>
      <c r="F503" s="15"/>
      <c r="G503" s="15"/>
      <c r="H503" s="15"/>
      <c r="I503" s="4"/>
      <c r="J503" s="17"/>
      <c r="K503" s="17"/>
      <c r="L503" s="17"/>
      <c r="M503" s="17"/>
      <c r="N503" s="17"/>
      <c r="O503" s="15"/>
      <c r="P503" s="18"/>
      <c r="Q503" s="18"/>
      <c r="S503" s="15"/>
    </row>
    <row r="504" ht="14.25" customHeight="1">
      <c r="C504" s="17"/>
      <c r="D504" s="17"/>
      <c r="E504" s="24"/>
      <c r="F504" s="15"/>
      <c r="G504" s="15"/>
      <c r="H504" s="15"/>
      <c r="I504" s="4"/>
      <c r="J504" s="17"/>
      <c r="K504" s="17"/>
      <c r="L504" s="17"/>
      <c r="M504" s="17"/>
      <c r="N504" s="17"/>
      <c r="O504" s="15"/>
      <c r="P504" s="18"/>
      <c r="Q504" s="18"/>
      <c r="S504" s="15"/>
    </row>
    <row r="505" ht="14.25" customHeight="1">
      <c r="C505" s="17"/>
      <c r="D505" s="17"/>
      <c r="E505" s="24"/>
      <c r="F505" s="15"/>
      <c r="G505" s="15"/>
      <c r="H505" s="15"/>
      <c r="I505" s="4"/>
      <c r="J505" s="17"/>
      <c r="K505" s="17"/>
      <c r="L505" s="17"/>
      <c r="M505" s="17"/>
      <c r="N505" s="17"/>
      <c r="O505" s="15"/>
      <c r="P505" s="18"/>
      <c r="Q505" s="18"/>
      <c r="S505" s="15"/>
    </row>
    <row r="506" ht="14.25" customHeight="1">
      <c r="C506" s="17"/>
      <c r="D506" s="17"/>
      <c r="E506" s="24"/>
      <c r="F506" s="15"/>
      <c r="G506" s="15"/>
      <c r="H506" s="15"/>
      <c r="I506" s="4"/>
      <c r="J506" s="17"/>
      <c r="K506" s="17"/>
      <c r="L506" s="17"/>
      <c r="M506" s="17"/>
      <c r="N506" s="17"/>
      <c r="O506" s="15"/>
      <c r="P506" s="18"/>
      <c r="Q506" s="18"/>
      <c r="S506" s="15"/>
    </row>
    <row r="507" ht="14.25" customHeight="1">
      <c r="C507" s="17"/>
      <c r="D507" s="17"/>
      <c r="E507" s="24"/>
      <c r="F507" s="15"/>
      <c r="G507" s="15"/>
      <c r="H507" s="15"/>
      <c r="I507" s="4"/>
      <c r="J507" s="17"/>
      <c r="K507" s="17"/>
      <c r="L507" s="17"/>
      <c r="M507" s="17"/>
      <c r="N507" s="17"/>
      <c r="O507" s="15"/>
      <c r="P507" s="18"/>
      <c r="Q507" s="18"/>
      <c r="S507" s="15"/>
    </row>
    <row r="508" ht="14.25" customHeight="1">
      <c r="C508" s="17"/>
      <c r="D508" s="17"/>
      <c r="E508" s="24"/>
      <c r="F508" s="15"/>
      <c r="G508" s="15"/>
      <c r="H508" s="15"/>
      <c r="I508" s="4"/>
      <c r="J508" s="17"/>
      <c r="K508" s="17"/>
      <c r="L508" s="17"/>
      <c r="M508" s="17"/>
      <c r="N508" s="17"/>
      <c r="O508" s="15"/>
      <c r="P508" s="18"/>
      <c r="Q508" s="18"/>
      <c r="S508" s="15"/>
    </row>
    <row r="509" ht="14.25" customHeight="1">
      <c r="C509" s="17"/>
      <c r="D509" s="17"/>
      <c r="E509" s="24"/>
      <c r="F509" s="15"/>
      <c r="G509" s="15"/>
      <c r="H509" s="15"/>
      <c r="I509" s="4"/>
      <c r="J509" s="17"/>
      <c r="K509" s="17"/>
      <c r="L509" s="17"/>
      <c r="M509" s="17"/>
      <c r="N509" s="17"/>
      <c r="O509" s="15"/>
      <c r="P509" s="18"/>
      <c r="Q509" s="18"/>
      <c r="S509" s="15"/>
    </row>
    <row r="510" ht="14.25" customHeight="1">
      <c r="C510" s="17"/>
      <c r="D510" s="17"/>
      <c r="E510" s="24"/>
      <c r="F510" s="15"/>
      <c r="G510" s="15"/>
      <c r="H510" s="15"/>
      <c r="I510" s="4"/>
      <c r="J510" s="17"/>
      <c r="K510" s="17"/>
      <c r="L510" s="17"/>
      <c r="M510" s="17"/>
      <c r="N510" s="17"/>
      <c r="O510" s="15"/>
      <c r="P510" s="18"/>
      <c r="Q510" s="18"/>
      <c r="S510" s="15"/>
    </row>
    <row r="511" ht="14.25" customHeight="1">
      <c r="C511" s="17"/>
      <c r="D511" s="17"/>
      <c r="E511" s="24"/>
      <c r="F511" s="15"/>
      <c r="G511" s="15"/>
      <c r="H511" s="15"/>
      <c r="I511" s="4"/>
      <c r="J511" s="17"/>
      <c r="K511" s="17"/>
      <c r="L511" s="17"/>
      <c r="M511" s="17"/>
      <c r="N511" s="17"/>
      <c r="O511" s="15"/>
      <c r="P511" s="18"/>
      <c r="Q511" s="18"/>
      <c r="S511" s="15"/>
    </row>
    <row r="512" ht="14.25" customHeight="1">
      <c r="C512" s="17"/>
      <c r="D512" s="17"/>
      <c r="E512" s="24"/>
      <c r="F512" s="15"/>
      <c r="G512" s="15"/>
      <c r="H512" s="15"/>
      <c r="I512" s="4"/>
      <c r="J512" s="17"/>
      <c r="K512" s="17"/>
      <c r="L512" s="17"/>
      <c r="M512" s="17"/>
      <c r="N512" s="17"/>
      <c r="O512" s="15"/>
      <c r="P512" s="18"/>
      <c r="Q512" s="18"/>
      <c r="S512" s="15"/>
    </row>
    <row r="513" ht="14.25" customHeight="1">
      <c r="C513" s="17"/>
      <c r="D513" s="17"/>
      <c r="E513" s="24"/>
      <c r="F513" s="15"/>
      <c r="G513" s="15"/>
      <c r="H513" s="15"/>
      <c r="I513" s="4"/>
      <c r="J513" s="17"/>
      <c r="K513" s="17"/>
      <c r="L513" s="17"/>
      <c r="M513" s="17"/>
      <c r="N513" s="17"/>
      <c r="O513" s="15"/>
      <c r="P513" s="18"/>
      <c r="Q513" s="18"/>
      <c r="S513" s="15"/>
    </row>
    <row r="514" ht="14.25" customHeight="1">
      <c r="C514" s="17"/>
      <c r="D514" s="17"/>
      <c r="E514" s="24"/>
      <c r="F514" s="15"/>
      <c r="G514" s="15"/>
      <c r="H514" s="15"/>
      <c r="I514" s="4"/>
      <c r="J514" s="17"/>
      <c r="K514" s="17"/>
      <c r="L514" s="17"/>
      <c r="M514" s="17"/>
      <c r="N514" s="17"/>
      <c r="O514" s="15"/>
      <c r="P514" s="18"/>
      <c r="Q514" s="18"/>
      <c r="S514" s="15"/>
    </row>
    <row r="515" ht="14.25" customHeight="1">
      <c r="C515" s="17"/>
      <c r="D515" s="17"/>
      <c r="E515" s="24"/>
      <c r="F515" s="15"/>
      <c r="G515" s="15"/>
      <c r="H515" s="15"/>
      <c r="I515" s="4"/>
      <c r="J515" s="17"/>
      <c r="K515" s="17"/>
      <c r="L515" s="17"/>
      <c r="M515" s="17"/>
      <c r="N515" s="17"/>
      <c r="O515" s="15"/>
      <c r="P515" s="18"/>
      <c r="Q515" s="18"/>
      <c r="S515" s="15"/>
    </row>
    <row r="516" ht="14.25" customHeight="1">
      <c r="C516" s="17"/>
      <c r="D516" s="17"/>
      <c r="E516" s="24"/>
      <c r="F516" s="15"/>
      <c r="G516" s="15"/>
      <c r="H516" s="15"/>
      <c r="I516" s="4"/>
      <c r="J516" s="17"/>
      <c r="K516" s="17"/>
      <c r="L516" s="17"/>
      <c r="M516" s="17"/>
      <c r="N516" s="17"/>
      <c r="O516" s="15"/>
      <c r="P516" s="18"/>
      <c r="Q516" s="18"/>
      <c r="S516" s="15"/>
    </row>
    <row r="517" ht="14.25" customHeight="1">
      <c r="C517" s="17"/>
      <c r="D517" s="17"/>
      <c r="E517" s="24"/>
      <c r="F517" s="15"/>
      <c r="G517" s="15"/>
      <c r="H517" s="15"/>
      <c r="I517" s="4"/>
      <c r="J517" s="17"/>
      <c r="K517" s="17"/>
      <c r="L517" s="17"/>
      <c r="M517" s="17"/>
      <c r="N517" s="17"/>
      <c r="O517" s="15"/>
      <c r="P517" s="18"/>
      <c r="Q517" s="18"/>
      <c r="S517" s="15"/>
    </row>
    <row r="518" ht="14.25" customHeight="1">
      <c r="C518" s="17"/>
      <c r="D518" s="17"/>
      <c r="E518" s="24"/>
      <c r="F518" s="15"/>
      <c r="G518" s="15"/>
      <c r="H518" s="15"/>
      <c r="I518" s="4"/>
      <c r="J518" s="17"/>
      <c r="K518" s="17"/>
      <c r="L518" s="17"/>
      <c r="M518" s="17"/>
      <c r="N518" s="17"/>
      <c r="O518" s="15"/>
      <c r="P518" s="18"/>
      <c r="Q518" s="18"/>
      <c r="S518" s="15"/>
    </row>
    <row r="519" ht="14.25" customHeight="1">
      <c r="C519" s="17"/>
      <c r="D519" s="17"/>
      <c r="E519" s="24"/>
      <c r="F519" s="15"/>
      <c r="G519" s="15"/>
      <c r="H519" s="15"/>
      <c r="I519" s="4"/>
      <c r="J519" s="17"/>
      <c r="K519" s="17"/>
      <c r="L519" s="17"/>
      <c r="M519" s="17"/>
      <c r="N519" s="17"/>
      <c r="O519" s="15"/>
      <c r="P519" s="18"/>
      <c r="Q519" s="18"/>
      <c r="S519" s="15"/>
    </row>
    <row r="520" ht="14.25" customHeight="1">
      <c r="C520" s="17"/>
      <c r="D520" s="17"/>
      <c r="E520" s="24"/>
      <c r="F520" s="15"/>
      <c r="G520" s="15"/>
      <c r="H520" s="15"/>
      <c r="I520" s="4"/>
      <c r="J520" s="17"/>
      <c r="K520" s="17"/>
      <c r="L520" s="17"/>
      <c r="M520" s="17"/>
      <c r="N520" s="17"/>
      <c r="O520" s="15"/>
      <c r="P520" s="18"/>
      <c r="Q520" s="18"/>
      <c r="S520" s="15"/>
    </row>
    <row r="521" ht="14.25" customHeight="1">
      <c r="C521" s="17"/>
      <c r="D521" s="17"/>
      <c r="E521" s="24"/>
      <c r="F521" s="15"/>
      <c r="G521" s="15"/>
      <c r="H521" s="15"/>
      <c r="I521" s="4"/>
      <c r="J521" s="17"/>
      <c r="K521" s="17"/>
      <c r="L521" s="17"/>
      <c r="M521" s="17"/>
      <c r="N521" s="17"/>
      <c r="O521" s="15"/>
      <c r="P521" s="18"/>
      <c r="Q521" s="18"/>
      <c r="S521" s="15"/>
    </row>
    <row r="522" ht="14.25" customHeight="1">
      <c r="C522" s="17"/>
      <c r="D522" s="17"/>
      <c r="E522" s="24"/>
      <c r="F522" s="15"/>
      <c r="G522" s="15"/>
      <c r="H522" s="15"/>
      <c r="I522" s="4"/>
      <c r="J522" s="17"/>
      <c r="K522" s="17"/>
      <c r="L522" s="17"/>
      <c r="M522" s="17"/>
      <c r="N522" s="17"/>
      <c r="O522" s="15"/>
      <c r="P522" s="18"/>
      <c r="Q522" s="18"/>
      <c r="S522" s="15"/>
    </row>
    <row r="523" ht="14.25" customHeight="1">
      <c r="C523" s="17"/>
      <c r="D523" s="17"/>
      <c r="E523" s="24"/>
      <c r="F523" s="15"/>
      <c r="G523" s="15"/>
      <c r="H523" s="15"/>
      <c r="I523" s="4"/>
      <c r="J523" s="17"/>
      <c r="K523" s="17"/>
      <c r="L523" s="17"/>
      <c r="M523" s="17"/>
      <c r="N523" s="17"/>
      <c r="O523" s="15"/>
      <c r="P523" s="18"/>
      <c r="Q523" s="18"/>
      <c r="S523" s="15"/>
    </row>
    <row r="524" ht="14.25" customHeight="1">
      <c r="C524" s="17"/>
      <c r="D524" s="17"/>
      <c r="E524" s="24"/>
      <c r="F524" s="15"/>
      <c r="G524" s="15"/>
      <c r="H524" s="15"/>
      <c r="I524" s="4"/>
      <c r="J524" s="17"/>
      <c r="K524" s="17"/>
      <c r="L524" s="17"/>
      <c r="M524" s="17"/>
      <c r="N524" s="17"/>
      <c r="O524" s="15"/>
      <c r="P524" s="18"/>
      <c r="Q524" s="18"/>
      <c r="S524" s="15"/>
    </row>
    <row r="525" ht="14.25" customHeight="1">
      <c r="C525" s="17"/>
      <c r="D525" s="17"/>
      <c r="E525" s="24"/>
      <c r="F525" s="15"/>
      <c r="G525" s="15"/>
      <c r="H525" s="15"/>
      <c r="I525" s="4"/>
      <c r="J525" s="17"/>
      <c r="K525" s="17"/>
      <c r="L525" s="17"/>
      <c r="M525" s="17"/>
      <c r="N525" s="17"/>
      <c r="O525" s="15"/>
      <c r="P525" s="18"/>
      <c r="Q525" s="18"/>
      <c r="S525" s="15"/>
    </row>
    <row r="526" ht="14.25" customHeight="1">
      <c r="C526" s="17"/>
      <c r="D526" s="17"/>
      <c r="E526" s="24"/>
      <c r="F526" s="15"/>
      <c r="G526" s="15"/>
      <c r="H526" s="15"/>
      <c r="I526" s="4"/>
      <c r="J526" s="17"/>
      <c r="K526" s="17"/>
      <c r="L526" s="17"/>
      <c r="M526" s="17"/>
      <c r="N526" s="17"/>
      <c r="O526" s="15"/>
      <c r="P526" s="18"/>
      <c r="Q526" s="18"/>
      <c r="S526" s="15"/>
    </row>
    <row r="527" ht="14.25" customHeight="1">
      <c r="C527" s="17"/>
      <c r="D527" s="17"/>
      <c r="E527" s="24"/>
      <c r="F527" s="15"/>
      <c r="G527" s="15"/>
      <c r="H527" s="15"/>
      <c r="I527" s="4"/>
      <c r="J527" s="17"/>
      <c r="K527" s="17"/>
      <c r="L527" s="17"/>
      <c r="M527" s="17"/>
      <c r="N527" s="17"/>
      <c r="O527" s="15"/>
      <c r="P527" s="18"/>
      <c r="Q527" s="18"/>
      <c r="S527" s="15"/>
    </row>
    <row r="528" ht="14.25" customHeight="1">
      <c r="C528" s="17"/>
      <c r="D528" s="17"/>
      <c r="E528" s="24"/>
      <c r="F528" s="15"/>
      <c r="G528" s="15"/>
      <c r="H528" s="15"/>
      <c r="I528" s="4"/>
      <c r="J528" s="17"/>
      <c r="K528" s="17"/>
      <c r="L528" s="17"/>
      <c r="M528" s="17"/>
      <c r="N528" s="17"/>
      <c r="O528" s="15"/>
      <c r="P528" s="18"/>
      <c r="Q528" s="18"/>
      <c r="S528" s="15"/>
    </row>
    <row r="529" ht="14.25" customHeight="1">
      <c r="C529" s="17"/>
      <c r="D529" s="17"/>
      <c r="E529" s="24"/>
      <c r="F529" s="15"/>
      <c r="G529" s="15"/>
      <c r="H529" s="15"/>
      <c r="I529" s="4"/>
      <c r="J529" s="17"/>
      <c r="K529" s="17"/>
      <c r="L529" s="17"/>
      <c r="M529" s="17"/>
      <c r="N529" s="17"/>
      <c r="O529" s="15"/>
      <c r="P529" s="18"/>
      <c r="Q529" s="18"/>
      <c r="S529" s="15"/>
    </row>
    <row r="530" ht="14.25" customHeight="1">
      <c r="C530" s="17"/>
      <c r="D530" s="17"/>
      <c r="E530" s="24"/>
      <c r="F530" s="15"/>
      <c r="G530" s="15"/>
      <c r="H530" s="15"/>
      <c r="I530" s="4"/>
      <c r="J530" s="17"/>
      <c r="K530" s="17"/>
      <c r="L530" s="17"/>
      <c r="M530" s="17"/>
      <c r="N530" s="17"/>
      <c r="O530" s="15"/>
      <c r="P530" s="18"/>
      <c r="Q530" s="18"/>
      <c r="S530" s="15"/>
    </row>
    <row r="531" ht="14.25" customHeight="1">
      <c r="C531" s="17"/>
      <c r="D531" s="17"/>
      <c r="E531" s="24"/>
      <c r="F531" s="15"/>
      <c r="G531" s="15"/>
      <c r="H531" s="15"/>
      <c r="I531" s="4"/>
      <c r="J531" s="17"/>
      <c r="K531" s="17"/>
      <c r="L531" s="17"/>
      <c r="M531" s="17"/>
      <c r="N531" s="17"/>
      <c r="O531" s="15"/>
      <c r="P531" s="18"/>
      <c r="Q531" s="18"/>
      <c r="S531" s="15"/>
    </row>
    <row r="532" ht="14.25" customHeight="1">
      <c r="C532" s="17"/>
      <c r="D532" s="17"/>
      <c r="E532" s="24"/>
      <c r="F532" s="15"/>
      <c r="G532" s="15"/>
      <c r="H532" s="15"/>
      <c r="I532" s="4"/>
      <c r="J532" s="17"/>
      <c r="K532" s="17"/>
      <c r="L532" s="17"/>
      <c r="M532" s="17"/>
      <c r="N532" s="17"/>
      <c r="O532" s="15"/>
      <c r="P532" s="18"/>
      <c r="Q532" s="18"/>
      <c r="S532" s="15"/>
    </row>
    <row r="533" ht="14.25" customHeight="1">
      <c r="C533" s="17"/>
      <c r="D533" s="17"/>
      <c r="E533" s="24"/>
      <c r="F533" s="15"/>
      <c r="G533" s="15"/>
      <c r="H533" s="15"/>
      <c r="I533" s="4"/>
      <c r="J533" s="17"/>
      <c r="K533" s="17"/>
      <c r="L533" s="17"/>
      <c r="M533" s="17"/>
      <c r="N533" s="17"/>
      <c r="O533" s="15"/>
      <c r="P533" s="18"/>
      <c r="Q533" s="18"/>
      <c r="S533" s="15"/>
    </row>
    <row r="534" ht="14.25" customHeight="1">
      <c r="C534" s="17"/>
      <c r="D534" s="17"/>
      <c r="E534" s="24"/>
      <c r="F534" s="15"/>
      <c r="G534" s="15"/>
      <c r="H534" s="15"/>
      <c r="I534" s="4"/>
      <c r="J534" s="17"/>
      <c r="K534" s="17"/>
      <c r="L534" s="17"/>
      <c r="M534" s="17"/>
      <c r="N534" s="17"/>
      <c r="O534" s="15"/>
      <c r="P534" s="18"/>
      <c r="Q534" s="18"/>
      <c r="S534" s="15"/>
    </row>
    <row r="535" ht="14.25" customHeight="1">
      <c r="C535" s="17"/>
      <c r="D535" s="17"/>
      <c r="E535" s="24"/>
      <c r="F535" s="15"/>
      <c r="G535" s="15"/>
      <c r="H535" s="15"/>
      <c r="I535" s="4"/>
      <c r="J535" s="17"/>
      <c r="K535" s="17"/>
      <c r="L535" s="17"/>
      <c r="M535" s="17"/>
      <c r="N535" s="17"/>
      <c r="O535" s="15"/>
      <c r="P535" s="18"/>
      <c r="Q535" s="18"/>
      <c r="S535" s="15"/>
    </row>
    <row r="536" ht="14.25" customHeight="1">
      <c r="C536" s="17"/>
      <c r="D536" s="17"/>
      <c r="E536" s="24"/>
      <c r="F536" s="15"/>
      <c r="G536" s="15"/>
      <c r="H536" s="15"/>
      <c r="I536" s="4"/>
      <c r="J536" s="17"/>
      <c r="K536" s="17"/>
      <c r="L536" s="17"/>
      <c r="M536" s="17"/>
      <c r="N536" s="17"/>
      <c r="O536" s="15"/>
      <c r="P536" s="18"/>
      <c r="Q536" s="18"/>
      <c r="S536" s="15"/>
    </row>
    <row r="537" ht="14.25" customHeight="1">
      <c r="C537" s="17"/>
      <c r="D537" s="17"/>
      <c r="E537" s="24"/>
      <c r="F537" s="15"/>
      <c r="G537" s="15"/>
      <c r="H537" s="15"/>
      <c r="I537" s="4"/>
      <c r="J537" s="17"/>
      <c r="K537" s="17"/>
      <c r="L537" s="17"/>
      <c r="M537" s="17"/>
      <c r="N537" s="17"/>
      <c r="O537" s="15"/>
      <c r="P537" s="18"/>
      <c r="Q537" s="18"/>
      <c r="S537" s="15"/>
    </row>
    <row r="538" ht="14.25" customHeight="1">
      <c r="C538" s="17"/>
      <c r="D538" s="17"/>
      <c r="E538" s="24"/>
      <c r="F538" s="15"/>
      <c r="G538" s="15"/>
      <c r="H538" s="15"/>
      <c r="I538" s="4"/>
      <c r="J538" s="17"/>
      <c r="K538" s="17"/>
      <c r="L538" s="17"/>
      <c r="M538" s="17"/>
      <c r="N538" s="17"/>
      <c r="O538" s="15"/>
      <c r="P538" s="18"/>
      <c r="Q538" s="18"/>
      <c r="S538" s="15"/>
    </row>
    <row r="539" ht="14.25" customHeight="1">
      <c r="C539" s="17"/>
      <c r="D539" s="17"/>
      <c r="E539" s="24"/>
      <c r="F539" s="15"/>
      <c r="G539" s="15"/>
      <c r="H539" s="15"/>
      <c r="I539" s="4"/>
      <c r="J539" s="17"/>
      <c r="K539" s="17"/>
      <c r="L539" s="17"/>
      <c r="M539" s="17"/>
      <c r="N539" s="17"/>
      <c r="O539" s="15"/>
      <c r="P539" s="18"/>
      <c r="Q539" s="18"/>
      <c r="S539" s="15"/>
    </row>
    <row r="540" ht="14.25" customHeight="1">
      <c r="C540" s="17"/>
      <c r="D540" s="17"/>
      <c r="E540" s="24"/>
      <c r="F540" s="15"/>
      <c r="G540" s="15"/>
      <c r="H540" s="15"/>
      <c r="I540" s="4"/>
      <c r="J540" s="17"/>
      <c r="K540" s="17"/>
      <c r="L540" s="17"/>
      <c r="M540" s="17"/>
      <c r="N540" s="17"/>
      <c r="O540" s="15"/>
      <c r="P540" s="18"/>
      <c r="Q540" s="18"/>
      <c r="S540" s="15"/>
    </row>
    <row r="541" ht="14.25" customHeight="1">
      <c r="C541" s="17"/>
      <c r="D541" s="17"/>
      <c r="E541" s="24"/>
      <c r="F541" s="15"/>
      <c r="G541" s="15"/>
      <c r="H541" s="15"/>
      <c r="I541" s="4"/>
      <c r="J541" s="17"/>
      <c r="K541" s="17"/>
      <c r="L541" s="17"/>
      <c r="M541" s="17"/>
      <c r="N541" s="17"/>
      <c r="O541" s="15"/>
      <c r="P541" s="18"/>
      <c r="Q541" s="18"/>
      <c r="S541" s="15"/>
    </row>
    <row r="542" ht="14.25" customHeight="1">
      <c r="C542" s="17"/>
      <c r="D542" s="17"/>
      <c r="E542" s="24"/>
      <c r="F542" s="15"/>
      <c r="G542" s="15"/>
      <c r="H542" s="15"/>
      <c r="I542" s="4"/>
      <c r="J542" s="17"/>
      <c r="K542" s="17"/>
      <c r="L542" s="17"/>
      <c r="M542" s="17"/>
      <c r="N542" s="17"/>
      <c r="O542" s="15"/>
      <c r="P542" s="18"/>
      <c r="Q542" s="18"/>
      <c r="S542" s="15"/>
    </row>
    <row r="543" ht="14.25" customHeight="1">
      <c r="C543" s="17"/>
      <c r="D543" s="17"/>
      <c r="E543" s="24"/>
      <c r="F543" s="15"/>
      <c r="G543" s="15"/>
      <c r="H543" s="15"/>
      <c r="I543" s="4"/>
      <c r="J543" s="17"/>
      <c r="K543" s="17"/>
      <c r="L543" s="17"/>
      <c r="M543" s="17"/>
      <c r="N543" s="17"/>
      <c r="O543" s="15"/>
      <c r="P543" s="18"/>
      <c r="Q543" s="18"/>
      <c r="S543" s="15"/>
    </row>
    <row r="544" ht="14.25" customHeight="1">
      <c r="C544" s="17"/>
      <c r="D544" s="17"/>
      <c r="E544" s="24"/>
      <c r="F544" s="15"/>
      <c r="G544" s="15"/>
      <c r="H544" s="15"/>
      <c r="I544" s="4"/>
      <c r="J544" s="17"/>
      <c r="K544" s="17"/>
      <c r="L544" s="17"/>
      <c r="M544" s="17"/>
      <c r="N544" s="17"/>
      <c r="O544" s="15"/>
      <c r="P544" s="18"/>
      <c r="Q544" s="18"/>
      <c r="S544" s="15"/>
    </row>
    <row r="545" ht="14.25" customHeight="1">
      <c r="C545" s="17"/>
      <c r="D545" s="17"/>
      <c r="E545" s="24"/>
      <c r="F545" s="15"/>
      <c r="G545" s="15"/>
      <c r="H545" s="15"/>
      <c r="I545" s="4"/>
      <c r="J545" s="17"/>
      <c r="K545" s="17"/>
      <c r="L545" s="17"/>
      <c r="M545" s="17"/>
      <c r="N545" s="17"/>
      <c r="O545" s="15"/>
      <c r="P545" s="18"/>
      <c r="Q545" s="18"/>
      <c r="S545" s="15"/>
    </row>
    <row r="546" ht="14.25" customHeight="1">
      <c r="C546" s="17"/>
      <c r="D546" s="17"/>
      <c r="E546" s="24"/>
      <c r="F546" s="15"/>
      <c r="G546" s="15"/>
      <c r="H546" s="15"/>
      <c r="I546" s="4"/>
      <c r="J546" s="17"/>
      <c r="K546" s="17"/>
      <c r="L546" s="17"/>
      <c r="M546" s="17"/>
      <c r="N546" s="17"/>
      <c r="O546" s="15"/>
      <c r="P546" s="18"/>
      <c r="Q546" s="18"/>
      <c r="S546" s="15"/>
    </row>
    <row r="547" ht="14.25" customHeight="1">
      <c r="C547" s="17"/>
      <c r="D547" s="17"/>
      <c r="E547" s="24"/>
      <c r="F547" s="15"/>
      <c r="G547" s="15"/>
      <c r="H547" s="15"/>
      <c r="I547" s="4"/>
      <c r="J547" s="17"/>
      <c r="K547" s="17"/>
      <c r="L547" s="17"/>
      <c r="M547" s="17"/>
      <c r="N547" s="17"/>
      <c r="O547" s="15"/>
      <c r="P547" s="18"/>
      <c r="Q547" s="18"/>
      <c r="S547" s="15"/>
    </row>
    <row r="548" ht="14.25" customHeight="1">
      <c r="C548" s="17"/>
      <c r="D548" s="17"/>
      <c r="E548" s="24"/>
      <c r="F548" s="15"/>
      <c r="G548" s="15"/>
      <c r="H548" s="15"/>
      <c r="I548" s="4"/>
      <c r="J548" s="17"/>
      <c r="K548" s="17"/>
      <c r="L548" s="17"/>
      <c r="M548" s="17"/>
      <c r="N548" s="17"/>
      <c r="O548" s="15"/>
      <c r="P548" s="18"/>
      <c r="Q548" s="18"/>
      <c r="S548" s="15"/>
    </row>
    <row r="549" ht="14.25" customHeight="1">
      <c r="C549" s="17"/>
      <c r="D549" s="17"/>
      <c r="E549" s="24"/>
      <c r="F549" s="15"/>
      <c r="G549" s="15"/>
      <c r="H549" s="15"/>
      <c r="I549" s="4"/>
      <c r="J549" s="17"/>
      <c r="K549" s="17"/>
      <c r="L549" s="17"/>
      <c r="M549" s="17"/>
      <c r="N549" s="17"/>
      <c r="O549" s="15"/>
      <c r="P549" s="18"/>
      <c r="Q549" s="18"/>
      <c r="S549" s="15"/>
    </row>
    <row r="550" ht="14.25" customHeight="1">
      <c r="C550" s="17"/>
      <c r="D550" s="17"/>
      <c r="E550" s="24"/>
      <c r="F550" s="15"/>
      <c r="G550" s="15"/>
      <c r="H550" s="15"/>
      <c r="I550" s="4"/>
      <c r="J550" s="17"/>
      <c r="K550" s="17"/>
      <c r="L550" s="17"/>
      <c r="M550" s="17"/>
      <c r="N550" s="17"/>
      <c r="O550" s="15"/>
      <c r="P550" s="18"/>
      <c r="Q550" s="18"/>
      <c r="S550" s="15"/>
    </row>
    <row r="551" ht="14.25" customHeight="1">
      <c r="C551" s="17"/>
      <c r="D551" s="17"/>
      <c r="E551" s="24"/>
      <c r="F551" s="15"/>
      <c r="G551" s="15"/>
      <c r="H551" s="15"/>
      <c r="I551" s="4"/>
      <c r="J551" s="17"/>
      <c r="K551" s="17"/>
      <c r="L551" s="17"/>
      <c r="M551" s="17"/>
      <c r="N551" s="17"/>
      <c r="O551" s="15"/>
      <c r="P551" s="18"/>
      <c r="Q551" s="18"/>
      <c r="S551" s="15"/>
    </row>
    <row r="552" ht="14.25" customHeight="1">
      <c r="C552" s="17"/>
      <c r="D552" s="17"/>
      <c r="E552" s="24"/>
      <c r="F552" s="15"/>
      <c r="G552" s="15"/>
      <c r="H552" s="15"/>
      <c r="I552" s="4"/>
      <c r="J552" s="17"/>
      <c r="K552" s="17"/>
      <c r="L552" s="17"/>
      <c r="M552" s="17"/>
      <c r="N552" s="17"/>
      <c r="O552" s="15"/>
      <c r="P552" s="18"/>
      <c r="Q552" s="18"/>
      <c r="S552" s="15"/>
    </row>
    <row r="553" ht="14.25" customHeight="1">
      <c r="C553" s="17"/>
      <c r="D553" s="17"/>
      <c r="E553" s="24"/>
      <c r="F553" s="15"/>
      <c r="G553" s="15"/>
      <c r="H553" s="15"/>
      <c r="I553" s="4"/>
      <c r="J553" s="17"/>
      <c r="K553" s="17"/>
      <c r="L553" s="17"/>
      <c r="M553" s="17"/>
      <c r="N553" s="17"/>
      <c r="O553" s="15"/>
      <c r="P553" s="18"/>
      <c r="Q553" s="18"/>
      <c r="S553" s="15"/>
    </row>
    <row r="554" ht="14.25" customHeight="1">
      <c r="C554" s="17"/>
      <c r="D554" s="17"/>
      <c r="E554" s="24"/>
      <c r="F554" s="15"/>
      <c r="G554" s="15"/>
      <c r="H554" s="15"/>
      <c r="I554" s="4"/>
      <c r="J554" s="17"/>
      <c r="K554" s="17"/>
      <c r="L554" s="17"/>
      <c r="M554" s="17"/>
      <c r="N554" s="17"/>
      <c r="O554" s="15"/>
      <c r="P554" s="18"/>
      <c r="Q554" s="18"/>
      <c r="S554" s="15"/>
    </row>
    <row r="555" ht="14.25" customHeight="1">
      <c r="C555" s="17"/>
      <c r="D555" s="17"/>
      <c r="E555" s="24"/>
      <c r="F555" s="15"/>
      <c r="G555" s="15"/>
      <c r="H555" s="15"/>
      <c r="I555" s="4"/>
      <c r="J555" s="17"/>
      <c r="K555" s="17"/>
      <c r="L555" s="17"/>
      <c r="M555" s="17"/>
      <c r="N555" s="17"/>
      <c r="O555" s="15"/>
      <c r="P555" s="18"/>
      <c r="Q555" s="18"/>
      <c r="S555" s="15"/>
    </row>
    <row r="556" ht="14.25" customHeight="1">
      <c r="C556" s="17"/>
      <c r="D556" s="17"/>
      <c r="E556" s="24"/>
      <c r="F556" s="15"/>
      <c r="G556" s="15"/>
      <c r="H556" s="15"/>
      <c r="I556" s="4"/>
      <c r="J556" s="17"/>
      <c r="K556" s="17"/>
      <c r="L556" s="17"/>
      <c r="M556" s="17"/>
      <c r="N556" s="17"/>
      <c r="O556" s="15"/>
      <c r="P556" s="18"/>
      <c r="Q556" s="18"/>
      <c r="S556" s="15"/>
    </row>
    <row r="557" ht="14.25" customHeight="1">
      <c r="C557" s="17"/>
      <c r="D557" s="17"/>
      <c r="E557" s="24"/>
      <c r="F557" s="15"/>
      <c r="G557" s="15"/>
      <c r="H557" s="15"/>
      <c r="I557" s="4"/>
      <c r="J557" s="17"/>
      <c r="K557" s="17"/>
      <c r="L557" s="17"/>
      <c r="M557" s="17"/>
      <c r="N557" s="17"/>
      <c r="O557" s="15"/>
      <c r="P557" s="18"/>
      <c r="Q557" s="18"/>
      <c r="S557" s="15"/>
    </row>
    <row r="558" ht="14.25" customHeight="1">
      <c r="C558" s="17"/>
      <c r="D558" s="17"/>
      <c r="E558" s="24"/>
      <c r="F558" s="15"/>
      <c r="G558" s="15"/>
      <c r="H558" s="15"/>
      <c r="I558" s="4"/>
      <c r="J558" s="17"/>
      <c r="K558" s="17"/>
      <c r="L558" s="17"/>
      <c r="M558" s="17"/>
      <c r="N558" s="17"/>
      <c r="O558" s="15"/>
      <c r="P558" s="18"/>
      <c r="Q558" s="18"/>
      <c r="S558" s="15"/>
    </row>
    <row r="559" ht="14.25" customHeight="1">
      <c r="C559" s="17"/>
      <c r="D559" s="17"/>
      <c r="E559" s="24"/>
      <c r="F559" s="15"/>
      <c r="G559" s="15"/>
      <c r="H559" s="15"/>
      <c r="I559" s="4"/>
      <c r="J559" s="17"/>
      <c r="K559" s="17"/>
      <c r="L559" s="17"/>
      <c r="M559" s="17"/>
      <c r="N559" s="17"/>
      <c r="O559" s="15"/>
      <c r="P559" s="18"/>
      <c r="Q559" s="18"/>
      <c r="S559" s="15"/>
    </row>
    <row r="560" ht="14.25" customHeight="1">
      <c r="C560" s="17"/>
      <c r="D560" s="17"/>
      <c r="E560" s="24"/>
      <c r="F560" s="15"/>
      <c r="G560" s="15"/>
      <c r="H560" s="15"/>
      <c r="I560" s="4"/>
      <c r="J560" s="17"/>
      <c r="K560" s="17"/>
      <c r="L560" s="17"/>
      <c r="M560" s="17"/>
      <c r="N560" s="17"/>
      <c r="O560" s="15"/>
      <c r="P560" s="18"/>
      <c r="Q560" s="18"/>
      <c r="S560" s="15"/>
    </row>
    <row r="561" ht="14.25" customHeight="1">
      <c r="C561" s="17"/>
      <c r="D561" s="17"/>
      <c r="E561" s="24"/>
      <c r="F561" s="15"/>
      <c r="G561" s="15"/>
      <c r="H561" s="15"/>
      <c r="I561" s="4"/>
      <c r="J561" s="17"/>
      <c r="K561" s="17"/>
      <c r="L561" s="17"/>
      <c r="M561" s="17"/>
      <c r="N561" s="17"/>
      <c r="O561" s="15"/>
      <c r="P561" s="18"/>
      <c r="Q561" s="18"/>
      <c r="S561" s="15"/>
    </row>
    <row r="562" ht="14.25" customHeight="1">
      <c r="C562" s="17"/>
      <c r="D562" s="17"/>
      <c r="E562" s="24"/>
      <c r="F562" s="15"/>
      <c r="G562" s="15"/>
      <c r="H562" s="15"/>
      <c r="I562" s="4"/>
      <c r="J562" s="17"/>
      <c r="K562" s="17"/>
      <c r="L562" s="17"/>
      <c r="M562" s="17"/>
      <c r="N562" s="17"/>
      <c r="O562" s="15"/>
      <c r="P562" s="18"/>
      <c r="Q562" s="18"/>
      <c r="S562" s="15"/>
    </row>
    <row r="563" ht="14.25" customHeight="1">
      <c r="C563" s="17"/>
      <c r="D563" s="17"/>
      <c r="E563" s="24"/>
      <c r="F563" s="15"/>
      <c r="G563" s="15"/>
      <c r="H563" s="15"/>
      <c r="I563" s="4"/>
      <c r="J563" s="17"/>
      <c r="K563" s="17"/>
      <c r="L563" s="17"/>
      <c r="M563" s="17"/>
      <c r="N563" s="17"/>
      <c r="O563" s="15"/>
      <c r="P563" s="18"/>
      <c r="Q563" s="18"/>
      <c r="S563" s="15"/>
    </row>
    <row r="564" ht="14.25" customHeight="1">
      <c r="C564" s="17"/>
      <c r="D564" s="17"/>
      <c r="E564" s="24"/>
      <c r="F564" s="15"/>
      <c r="G564" s="15"/>
      <c r="H564" s="15"/>
      <c r="I564" s="4"/>
      <c r="J564" s="17"/>
      <c r="K564" s="17"/>
      <c r="L564" s="17"/>
      <c r="M564" s="17"/>
      <c r="N564" s="17"/>
      <c r="O564" s="15"/>
      <c r="P564" s="18"/>
      <c r="Q564" s="18"/>
      <c r="S564" s="15"/>
    </row>
    <row r="565" ht="14.25" customHeight="1">
      <c r="C565" s="17"/>
      <c r="D565" s="17"/>
      <c r="E565" s="24"/>
      <c r="F565" s="15"/>
      <c r="G565" s="15"/>
      <c r="H565" s="15"/>
      <c r="I565" s="4"/>
      <c r="J565" s="17"/>
      <c r="K565" s="17"/>
      <c r="L565" s="17"/>
      <c r="M565" s="17"/>
      <c r="N565" s="17"/>
      <c r="O565" s="15"/>
      <c r="P565" s="18"/>
      <c r="Q565" s="18"/>
      <c r="S565" s="15"/>
    </row>
    <row r="566" ht="14.25" customHeight="1">
      <c r="C566" s="17"/>
      <c r="D566" s="17"/>
      <c r="E566" s="24"/>
      <c r="F566" s="15"/>
      <c r="G566" s="15"/>
      <c r="H566" s="15"/>
      <c r="I566" s="4"/>
      <c r="J566" s="17"/>
      <c r="K566" s="17"/>
      <c r="L566" s="17"/>
      <c r="M566" s="17"/>
      <c r="N566" s="17"/>
      <c r="O566" s="15"/>
      <c r="P566" s="18"/>
      <c r="Q566" s="18"/>
      <c r="S566" s="15"/>
    </row>
    <row r="567" ht="14.25" customHeight="1">
      <c r="C567" s="17"/>
      <c r="D567" s="17"/>
      <c r="E567" s="24"/>
      <c r="F567" s="15"/>
      <c r="G567" s="15"/>
      <c r="H567" s="15"/>
      <c r="I567" s="4"/>
      <c r="J567" s="17"/>
      <c r="K567" s="17"/>
      <c r="L567" s="17"/>
      <c r="M567" s="17"/>
      <c r="N567" s="17"/>
      <c r="O567" s="15"/>
      <c r="P567" s="18"/>
      <c r="Q567" s="18"/>
      <c r="S567" s="15"/>
    </row>
    <row r="568" ht="14.25" customHeight="1">
      <c r="C568" s="17"/>
      <c r="D568" s="17"/>
      <c r="E568" s="24"/>
      <c r="F568" s="15"/>
      <c r="G568" s="15"/>
      <c r="H568" s="15"/>
      <c r="I568" s="4"/>
      <c r="J568" s="17"/>
      <c r="K568" s="17"/>
      <c r="L568" s="17"/>
      <c r="M568" s="17"/>
      <c r="N568" s="17"/>
      <c r="O568" s="15"/>
      <c r="P568" s="18"/>
      <c r="Q568" s="18"/>
      <c r="S568" s="15"/>
    </row>
    <row r="569" ht="14.25" customHeight="1">
      <c r="C569" s="17"/>
      <c r="D569" s="17"/>
      <c r="E569" s="24"/>
      <c r="F569" s="15"/>
      <c r="G569" s="15"/>
      <c r="H569" s="15"/>
      <c r="I569" s="4"/>
      <c r="J569" s="17"/>
      <c r="K569" s="17"/>
      <c r="L569" s="17"/>
      <c r="M569" s="17"/>
      <c r="N569" s="17"/>
      <c r="O569" s="15"/>
      <c r="P569" s="18"/>
      <c r="Q569" s="18"/>
      <c r="S569" s="15"/>
    </row>
    <row r="570" ht="14.25" customHeight="1">
      <c r="C570" s="17"/>
      <c r="D570" s="17"/>
      <c r="E570" s="24"/>
      <c r="F570" s="15"/>
      <c r="G570" s="15"/>
      <c r="H570" s="15"/>
      <c r="I570" s="4"/>
      <c r="J570" s="17"/>
      <c r="K570" s="17"/>
      <c r="L570" s="17"/>
      <c r="M570" s="17"/>
      <c r="N570" s="17"/>
      <c r="O570" s="15"/>
      <c r="P570" s="18"/>
      <c r="Q570" s="18"/>
      <c r="S570" s="15"/>
    </row>
    <row r="571" ht="14.25" customHeight="1">
      <c r="C571" s="17"/>
      <c r="D571" s="17"/>
      <c r="E571" s="24"/>
      <c r="F571" s="15"/>
      <c r="G571" s="15"/>
      <c r="H571" s="15"/>
      <c r="I571" s="4"/>
      <c r="J571" s="17"/>
      <c r="K571" s="17"/>
      <c r="L571" s="17"/>
      <c r="M571" s="17"/>
      <c r="N571" s="17"/>
      <c r="O571" s="15"/>
      <c r="P571" s="18"/>
      <c r="Q571" s="18"/>
      <c r="S571" s="15"/>
    </row>
    <row r="572" ht="14.25" customHeight="1">
      <c r="C572" s="17"/>
      <c r="D572" s="17"/>
      <c r="E572" s="24"/>
      <c r="F572" s="15"/>
      <c r="G572" s="15"/>
      <c r="H572" s="15"/>
      <c r="I572" s="4"/>
      <c r="J572" s="17"/>
      <c r="K572" s="17"/>
      <c r="L572" s="17"/>
      <c r="M572" s="17"/>
      <c r="N572" s="17"/>
      <c r="O572" s="15"/>
      <c r="P572" s="18"/>
      <c r="Q572" s="18"/>
      <c r="S572" s="15"/>
    </row>
    <row r="573" ht="14.25" customHeight="1">
      <c r="C573" s="17"/>
      <c r="D573" s="17"/>
      <c r="E573" s="24"/>
      <c r="F573" s="15"/>
      <c r="G573" s="15"/>
      <c r="H573" s="15"/>
      <c r="I573" s="4"/>
      <c r="J573" s="17"/>
      <c r="K573" s="17"/>
      <c r="L573" s="17"/>
      <c r="M573" s="17"/>
      <c r="N573" s="17"/>
      <c r="O573" s="15"/>
      <c r="P573" s="18"/>
      <c r="Q573" s="18"/>
      <c r="S573" s="15"/>
    </row>
    <row r="574" ht="14.25" customHeight="1">
      <c r="C574" s="17"/>
      <c r="D574" s="17"/>
      <c r="E574" s="24"/>
      <c r="F574" s="15"/>
      <c r="G574" s="15"/>
      <c r="H574" s="15"/>
      <c r="I574" s="4"/>
      <c r="J574" s="17"/>
      <c r="K574" s="17"/>
      <c r="L574" s="17"/>
      <c r="M574" s="17"/>
      <c r="N574" s="17"/>
      <c r="O574" s="15"/>
      <c r="P574" s="18"/>
      <c r="Q574" s="18"/>
      <c r="S574" s="15"/>
    </row>
    <row r="575" ht="14.25" customHeight="1">
      <c r="C575" s="17"/>
      <c r="D575" s="17"/>
      <c r="E575" s="24"/>
      <c r="F575" s="15"/>
      <c r="G575" s="15"/>
      <c r="H575" s="15"/>
      <c r="I575" s="4"/>
      <c r="J575" s="17"/>
      <c r="K575" s="17"/>
      <c r="L575" s="17"/>
      <c r="M575" s="17"/>
      <c r="N575" s="17"/>
      <c r="O575" s="15"/>
      <c r="P575" s="18"/>
      <c r="Q575" s="18"/>
      <c r="S575" s="15"/>
    </row>
    <row r="576" ht="14.25" customHeight="1">
      <c r="C576" s="17"/>
      <c r="D576" s="17"/>
      <c r="E576" s="24"/>
      <c r="F576" s="15"/>
      <c r="G576" s="15"/>
      <c r="H576" s="15"/>
      <c r="I576" s="4"/>
      <c r="J576" s="17"/>
      <c r="K576" s="17"/>
      <c r="L576" s="17"/>
      <c r="M576" s="17"/>
      <c r="N576" s="17"/>
      <c r="O576" s="15"/>
      <c r="P576" s="18"/>
      <c r="Q576" s="18"/>
      <c r="S576" s="15"/>
    </row>
    <row r="577" ht="14.25" customHeight="1">
      <c r="C577" s="17"/>
      <c r="D577" s="17"/>
      <c r="E577" s="24"/>
      <c r="F577" s="15"/>
      <c r="G577" s="15"/>
      <c r="H577" s="15"/>
      <c r="I577" s="4"/>
      <c r="J577" s="17"/>
      <c r="K577" s="17"/>
      <c r="L577" s="17"/>
      <c r="M577" s="17"/>
      <c r="N577" s="17"/>
      <c r="O577" s="15"/>
      <c r="P577" s="18"/>
      <c r="Q577" s="18"/>
      <c r="S577" s="15"/>
    </row>
    <row r="578" ht="14.25" customHeight="1">
      <c r="C578" s="17"/>
      <c r="D578" s="17"/>
      <c r="E578" s="24"/>
      <c r="F578" s="15"/>
      <c r="G578" s="15"/>
      <c r="H578" s="15"/>
      <c r="I578" s="4"/>
      <c r="J578" s="17"/>
      <c r="K578" s="17"/>
      <c r="L578" s="17"/>
      <c r="M578" s="17"/>
      <c r="N578" s="17"/>
      <c r="O578" s="15"/>
      <c r="P578" s="18"/>
      <c r="Q578" s="18"/>
      <c r="S578" s="15"/>
    </row>
    <row r="579" ht="14.25" customHeight="1">
      <c r="C579" s="17"/>
      <c r="D579" s="17"/>
      <c r="E579" s="24"/>
      <c r="F579" s="15"/>
      <c r="G579" s="15"/>
      <c r="H579" s="15"/>
      <c r="I579" s="4"/>
      <c r="J579" s="17"/>
      <c r="K579" s="17"/>
      <c r="L579" s="17"/>
      <c r="M579" s="17"/>
      <c r="N579" s="17"/>
      <c r="O579" s="15"/>
      <c r="P579" s="18"/>
      <c r="Q579" s="18"/>
      <c r="S579" s="15"/>
    </row>
    <row r="580" ht="14.25" customHeight="1">
      <c r="C580" s="17"/>
      <c r="D580" s="17"/>
      <c r="E580" s="24"/>
      <c r="F580" s="15"/>
      <c r="G580" s="15"/>
      <c r="H580" s="15"/>
      <c r="I580" s="4"/>
      <c r="J580" s="17"/>
      <c r="K580" s="17"/>
      <c r="L580" s="17"/>
      <c r="M580" s="17"/>
      <c r="N580" s="17"/>
      <c r="O580" s="15"/>
      <c r="P580" s="18"/>
      <c r="Q580" s="18"/>
      <c r="S580" s="15"/>
    </row>
    <row r="581" ht="14.25" customHeight="1">
      <c r="C581" s="17"/>
      <c r="D581" s="17"/>
      <c r="E581" s="24"/>
      <c r="F581" s="15"/>
      <c r="G581" s="15"/>
      <c r="H581" s="15"/>
      <c r="I581" s="4"/>
      <c r="J581" s="17"/>
      <c r="K581" s="17"/>
      <c r="L581" s="17"/>
      <c r="M581" s="17"/>
      <c r="N581" s="17"/>
      <c r="O581" s="15"/>
      <c r="P581" s="18"/>
      <c r="Q581" s="18"/>
      <c r="S581" s="15"/>
    </row>
    <row r="582" ht="14.25" customHeight="1">
      <c r="C582" s="17"/>
      <c r="D582" s="17"/>
      <c r="E582" s="24"/>
      <c r="F582" s="15"/>
      <c r="G582" s="15"/>
      <c r="H582" s="15"/>
      <c r="I582" s="4"/>
      <c r="J582" s="17"/>
      <c r="K582" s="17"/>
      <c r="L582" s="17"/>
      <c r="M582" s="17"/>
      <c r="N582" s="17"/>
      <c r="O582" s="15"/>
      <c r="P582" s="18"/>
      <c r="Q582" s="18"/>
      <c r="S582" s="15"/>
    </row>
    <row r="583" ht="14.25" customHeight="1">
      <c r="C583" s="17"/>
      <c r="D583" s="17"/>
      <c r="E583" s="24"/>
      <c r="F583" s="15"/>
      <c r="G583" s="15"/>
      <c r="H583" s="15"/>
      <c r="I583" s="4"/>
      <c r="J583" s="17"/>
      <c r="K583" s="17"/>
      <c r="L583" s="17"/>
      <c r="M583" s="17"/>
      <c r="N583" s="17"/>
      <c r="O583" s="15"/>
      <c r="P583" s="18"/>
      <c r="Q583" s="18"/>
      <c r="S583" s="15"/>
    </row>
    <row r="584" ht="14.25" customHeight="1">
      <c r="C584" s="17"/>
      <c r="D584" s="17"/>
      <c r="E584" s="24"/>
      <c r="F584" s="15"/>
      <c r="G584" s="15"/>
      <c r="H584" s="15"/>
      <c r="I584" s="4"/>
      <c r="J584" s="17"/>
      <c r="K584" s="17"/>
      <c r="L584" s="17"/>
      <c r="M584" s="17"/>
      <c r="N584" s="17"/>
      <c r="O584" s="15"/>
      <c r="P584" s="18"/>
      <c r="Q584" s="18"/>
      <c r="S584" s="15"/>
    </row>
    <row r="585" ht="14.25" customHeight="1">
      <c r="C585" s="17"/>
      <c r="D585" s="17"/>
      <c r="E585" s="24"/>
      <c r="F585" s="15"/>
      <c r="G585" s="15"/>
      <c r="H585" s="15"/>
      <c r="I585" s="4"/>
      <c r="J585" s="17"/>
      <c r="K585" s="17"/>
      <c r="L585" s="17"/>
      <c r="M585" s="17"/>
      <c r="N585" s="17"/>
      <c r="O585" s="15"/>
      <c r="P585" s="18"/>
      <c r="Q585" s="18"/>
      <c r="S585" s="15"/>
    </row>
    <row r="586" ht="14.25" customHeight="1">
      <c r="C586" s="17"/>
      <c r="D586" s="17"/>
      <c r="E586" s="24"/>
      <c r="F586" s="15"/>
      <c r="G586" s="15"/>
      <c r="H586" s="15"/>
      <c r="I586" s="4"/>
      <c r="J586" s="17"/>
      <c r="K586" s="17"/>
      <c r="L586" s="17"/>
      <c r="M586" s="17"/>
      <c r="N586" s="17"/>
      <c r="O586" s="15"/>
      <c r="P586" s="18"/>
      <c r="Q586" s="18"/>
      <c r="S586" s="15"/>
    </row>
    <row r="587" ht="14.25" customHeight="1">
      <c r="C587" s="17"/>
      <c r="D587" s="17"/>
      <c r="E587" s="24"/>
      <c r="F587" s="15"/>
      <c r="G587" s="15"/>
      <c r="H587" s="15"/>
      <c r="I587" s="4"/>
      <c r="J587" s="17"/>
      <c r="K587" s="17"/>
      <c r="L587" s="17"/>
      <c r="M587" s="17"/>
      <c r="N587" s="17"/>
      <c r="O587" s="15"/>
      <c r="P587" s="18"/>
      <c r="Q587" s="18"/>
      <c r="S587" s="15"/>
    </row>
    <row r="588" ht="14.25" customHeight="1">
      <c r="C588" s="17"/>
      <c r="D588" s="17"/>
      <c r="E588" s="24"/>
      <c r="F588" s="15"/>
      <c r="G588" s="15"/>
      <c r="H588" s="15"/>
      <c r="I588" s="4"/>
      <c r="J588" s="17"/>
      <c r="K588" s="17"/>
      <c r="L588" s="17"/>
      <c r="M588" s="17"/>
      <c r="N588" s="17"/>
      <c r="O588" s="15"/>
      <c r="P588" s="18"/>
      <c r="Q588" s="18"/>
      <c r="S588" s="15"/>
    </row>
    <row r="589" ht="14.25" customHeight="1">
      <c r="C589" s="17"/>
      <c r="D589" s="17"/>
      <c r="E589" s="24"/>
      <c r="F589" s="15"/>
      <c r="G589" s="15"/>
      <c r="H589" s="15"/>
      <c r="I589" s="4"/>
      <c r="J589" s="17"/>
      <c r="K589" s="17"/>
      <c r="L589" s="17"/>
      <c r="M589" s="17"/>
      <c r="N589" s="17"/>
      <c r="O589" s="15"/>
      <c r="P589" s="18"/>
      <c r="Q589" s="18"/>
      <c r="S589" s="15"/>
    </row>
    <row r="590" ht="14.25" customHeight="1">
      <c r="C590" s="17"/>
      <c r="D590" s="17"/>
      <c r="E590" s="24"/>
      <c r="F590" s="15"/>
      <c r="G590" s="15"/>
      <c r="H590" s="15"/>
      <c r="I590" s="4"/>
      <c r="J590" s="17"/>
      <c r="K590" s="17"/>
      <c r="L590" s="17"/>
      <c r="M590" s="17"/>
      <c r="N590" s="17"/>
      <c r="O590" s="15"/>
      <c r="P590" s="18"/>
      <c r="Q590" s="18"/>
      <c r="S590" s="15"/>
    </row>
    <row r="591" ht="14.25" customHeight="1">
      <c r="C591" s="17"/>
      <c r="D591" s="17"/>
      <c r="E591" s="24"/>
      <c r="F591" s="15"/>
      <c r="G591" s="15"/>
      <c r="H591" s="15"/>
      <c r="I591" s="4"/>
      <c r="J591" s="17"/>
      <c r="K591" s="17"/>
      <c r="L591" s="17"/>
      <c r="M591" s="17"/>
      <c r="N591" s="17"/>
      <c r="O591" s="15"/>
      <c r="P591" s="18"/>
      <c r="Q591" s="18"/>
      <c r="S591" s="15"/>
    </row>
    <row r="592" ht="14.25" customHeight="1">
      <c r="C592" s="17"/>
      <c r="D592" s="17"/>
      <c r="E592" s="24"/>
      <c r="F592" s="15"/>
      <c r="G592" s="15"/>
      <c r="H592" s="15"/>
      <c r="I592" s="4"/>
      <c r="J592" s="17"/>
      <c r="K592" s="17"/>
      <c r="L592" s="17"/>
      <c r="M592" s="17"/>
      <c r="N592" s="17"/>
      <c r="O592" s="15"/>
      <c r="P592" s="18"/>
      <c r="Q592" s="18"/>
      <c r="S592" s="15"/>
    </row>
    <row r="593" ht="14.25" customHeight="1">
      <c r="C593" s="17"/>
      <c r="D593" s="17"/>
      <c r="E593" s="24"/>
      <c r="F593" s="15"/>
      <c r="G593" s="15"/>
      <c r="H593" s="15"/>
      <c r="I593" s="4"/>
      <c r="J593" s="17"/>
      <c r="K593" s="17"/>
      <c r="L593" s="17"/>
      <c r="M593" s="17"/>
      <c r="N593" s="17"/>
      <c r="O593" s="15"/>
      <c r="P593" s="18"/>
      <c r="Q593" s="18"/>
      <c r="S593" s="15"/>
    </row>
    <row r="594" ht="14.25" customHeight="1">
      <c r="C594" s="17"/>
      <c r="D594" s="17"/>
      <c r="E594" s="24"/>
      <c r="F594" s="15"/>
      <c r="G594" s="15"/>
      <c r="H594" s="15"/>
      <c r="I594" s="4"/>
      <c r="J594" s="17"/>
      <c r="K594" s="17"/>
      <c r="L594" s="17"/>
      <c r="M594" s="17"/>
      <c r="N594" s="17"/>
      <c r="O594" s="15"/>
      <c r="P594" s="18"/>
      <c r="Q594" s="18"/>
      <c r="S594" s="15"/>
    </row>
    <row r="595" ht="14.25" customHeight="1">
      <c r="C595" s="17"/>
      <c r="D595" s="17"/>
      <c r="E595" s="24"/>
      <c r="F595" s="15"/>
      <c r="G595" s="15"/>
      <c r="H595" s="15"/>
      <c r="I595" s="4"/>
      <c r="J595" s="17"/>
      <c r="K595" s="17"/>
      <c r="L595" s="17"/>
      <c r="M595" s="17"/>
      <c r="N595" s="17"/>
      <c r="O595" s="15"/>
      <c r="P595" s="18"/>
      <c r="Q595" s="18"/>
      <c r="S595" s="15"/>
    </row>
    <row r="596" ht="14.25" customHeight="1">
      <c r="C596" s="17"/>
      <c r="D596" s="17"/>
      <c r="E596" s="24"/>
      <c r="F596" s="15"/>
      <c r="G596" s="15"/>
      <c r="H596" s="15"/>
      <c r="I596" s="4"/>
      <c r="J596" s="17"/>
      <c r="K596" s="17"/>
      <c r="L596" s="17"/>
      <c r="M596" s="17"/>
      <c r="N596" s="17"/>
      <c r="O596" s="15"/>
      <c r="P596" s="18"/>
      <c r="Q596" s="18"/>
      <c r="S596" s="15"/>
    </row>
    <row r="597" ht="14.25" customHeight="1">
      <c r="C597" s="17"/>
      <c r="D597" s="17"/>
      <c r="E597" s="24"/>
      <c r="F597" s="15"/>
      <c r="G597" s="15"/>
      <c r="H597" s="15"/>
      <c r="I597" s="4"/>
      <c r="J597" s="17"/>
      <c r="K597" s="17"/>
      <c r="L597" s="17"/>
      <c r="M597" s="17"/>
      <c r="N597" s="17"/>
      <c r="O597" s="15"/>
      <c r="P597" s="18"/>
      <c r="Q597" s="18"/>
      <c r="S597" s="15"/>
    </row>
    <row r="598" ht="14.25" customHeight="1">
      <c r="C598" s="17"/>
      <c r="D598" s="17"/>
      <c r="E598" s="24"/>
      <c r="F598" s="15"/>
      <c r="G598" s="15"/>
      <c r="H598" s="15"/>
      <c r="I598" s="4"/>
      <c r="J598" s="17"/>
      <c r="K598" s="17"/>
      <c r="L598" s="17"/>
      <c r="M598" s="17"/>
      <c r="N598" s="17"/>
      <c r="O598" s="15"/>
      <c r="P598" s="18"/>
      <c r="Q598" s="18"/>
      <c r="S598" s="15"/>
    </row>
    <row r="599" ht="14.25" customHeight="1">
      <c r="C599" s="17"/>
      <c r="D599" s="17"/>
      <c r="E599" s="24"/>
      <c r="F599" s="15"/>
      <c r="G599" s="15"/>
      <c r="H599" s="15"/>
      <c r="I599" s="4"/>
      <c r="J599" s="17"/>
      <c r="K599" s="17"/>
      <c r="L599" s="17"/>
      <c r="M599" s="17"/>
      <c r="N599" s="17"/>
      <c r="O599" s="15"/>
      <c r="P599" s="18"/>
      <c r="Q599" s="18"/>
      <c r="S599" s="15"/>
    </row>
    <row r="600" ht="14.25" customHeight="1">
      <c r="C600" s="17"/>
      <c r="D600" s="17"/>
      <c r="E600" s="24"/>
      <c r="F600" s="15"/>
      <c r="G600" s="15"/>
      <c r="H600" s="15"/>
      <c r="I600" s="4"/>
      <c r="J600" s="17"/>
      <c r="K600" s="17"/>
      <c r="L600" s="17"/>
      <c r="M600" s="17"/>
      <c r="N600" s="17"/>
      <c r="O600" s="15"/>
      <c r="P600" s="18"/>
      <c r="Q600" s="18"/>
      <c r="S600" s="15"/>
    </row>
    <row r="601" ht="14.25" customHeight="1">
      <c r="C601" s="17"/>
      <c r="D601" s="17"/>
      <c r="E601" s="24"/>
      <c r="F601" s="15"/>
      <c r="G601" s="15"/>
      <c r="H601" s="15"/>
      <c r="I601" s="4"/>
      <c r="J601" s="17"/>
      <c r="K601" s="17"/>
      <c r="L601" s="17"/>
      <c r="M601" s="17"/>
      <c r="N601" s="17"/>
      <c r="O601" s="15"/>
      <c r="P601" s="18"/>
      <c r="Q601" s="18"/>
      <c r="S601" s="15"/>
    </row>
    <row r="602" ht="14.25" customHeight="1">
      <c r="C602" s="17"/>
      <c r="D602" s="17"/>
      <c r="E602" s="24"/>
      <c r="F602" s="15"/>
      <c r="G602" s="15"/>
      <c r="H602" s="15"/>
      <c r="I602" s="4"/>
      <c r="J602" s="17"/>
      <c r="K602" s="17"/>
      <c r="L602" s="17"/>
      <c r="M602" s="17"/>
      <c r="N602" s="17"/>
      <c r="O602" s="15"/>
      <c r="P602" s="18"/>
      <c r="Q602" s="18"/>
      <c r="S602" s="15"/>
    </row>
    <row r="603" ht="14.25" customHeight="1">
      <c r="C603" s="17"/>
      <c r="D603" s="17"/>
      <c r="E603" s="24"/>
      <c r="F603" s="15"/>
      <c r="G603" s="15"/>
      <c r="H603" s="15"/>
      <c r="I603" s="4"/>
      <c r="J603" s="17"/>
      <c r="K603" s="17"/>
      <c r="L603" s="17"/>
      <c r="M603" s="17"/>
      <c r="N603" s="17"/>
      <c r="O603" s="15"/>
      <c r="P603" s="18"/>
      <c r="Q603" s="18"/>
      <c r="S603" s="15"/>
    </row>
    <row r="604" ht="14.25" customHeight="1">
      <c r="C604" s="17"/>
      <c r="D604" s="17"/>
      <c r="E604" s="24"/>
      <c r="F604" s="15"/>
      <c r="G604" s="15"/>
      <c r="H604" s="15"/>
      <c r="I604" s="4"/>
      <c r="J604" s="17"/>
      <c r="K604" s="17"/>
      <c r="L604" s="17"/>
      <c r="M604" s="17"/>
      <c r="N604" s="17"/>
      <c r="O604" s="15"/>
      <c r="P604" s="18"/>
      <c r="Q604" s="18"/>
      <c r="S604" s="15"/>
    </row>
    <row r="605" ht="14.25" customHeight="1">
      <c r="C605" s="17"/>
      <c r="D605" s="17"/>
      <c r="E605" s="24"/>
      <c r="F605" s="15"/>
      <c r="G605" s="15"/>
      <c r="H605" s="15"/>
      <c r="I605" s="4"/>
      <c r="J605" s="17"/>
      <c r="K605" s="17"/>
      <c r="L605" s="17"/>
      <c r="M605" s="17"/>
      <c r="N605" s="17"/>
      <c r="O605" s="15"/>
      <c r="P605" s="18"/>
      <c r="Q605" s="18"/>
      <c r="S605" s="15"/>
    </row>
    <row r="606" ht="14.25" customHeight="1">
      <c r="C606" s="17"/>
      <c r="D606" s="17"/>
      <c r="E606" s="24"/>
      <c r="F606" s="15"/>
      <c r="G606" s="15"/>
      <c r="H606" s="15"/>
      <c r="I606" s="4"/>
      <c r="J606" s="17"/>
      <c r="K606" s="17"/>
      <c r="L606" s="17"/>
      <c r="M606" s="17"/>
      <c r="N606" s="17"/>
      <c r="O606" s="15"/>
      <c r="P606" s="18"/>
      <c r="Q606" s="18"/>
      <c r="S606" s="15"/>
    </row>
    <row r="607" ht="14.25" customHeight="1">
      <c r="C607" s="17"/>
      <c r="D607" s="17"/>
      <c r="E607" s="24"/>
      <c r="F607" s="15"/>
      <c r="G607" s="15"/>
      <c r="H607" s="15"/>
      <c r="I607" s="4"/>
      <c r="J607" s="17"/>
      <c r="K607" s="17"/>
      <c r="L607" s="17"/>
      <c r="M607" s="17"/>
      <c r="N607" s="17"/>
      <c r="O607" s="15"/>
      <c r="P607" s="18"/>
      <c r="Q607" s="18"/>
      <c r="S607" s="15"/>
    </row>
    <row r="608" ht="14.25" customHeight="1">
      <c r="C608" s="17"/>
      <c r="D608" s="17"/>
      <c r="E608" s="24"/>
      <c r="F608" s="15"/>
      <c r="G608" s="15"/>
      <c r="H608" s="15"/>
      <c r="I608" s="4"/>
      <c r="J608" s="17"/>
      <c r="K608" s="17"/>
      <c r="L608" s="17"/>
      <c r="M608" s="17"/>
      <c r="N608" s="17"/>
      <c r="O608" s="15"/>
      <c r="P608" s="18"/>
      <c r="Q608" s="18"/>
      <c r="S608" s="15"/>
    </row>
    <row r="609" ht="14.25" customHeight="1">
      <c r="C609" s="17"/>
      <c r="D609" s="17"/>
      <c r="E609" s="24"/>
      <c r="F609" s="15"/>
      <c r="G609" s="15"/>
      <c r="H609" s="15"/>
      <c r="I609" s="4"/>
      <c r="J609" s="17"/>
      <c r="K609" s="17"/>
      <c r="L609" s="17"/>
      <c r="M609" s="17"/>
      <c r="N609" s="17"/>
      <c r="O609" s="15"/>
      <c r="P609" s="18"/>
      <c r="Q609" s="18"/>
      <c r="S609" s="15"/>
    </row>
    <row r="610" ht="14.25" customHeight="1">
      <c r="C610" s="17"/>
      <c r="D610" s="17"/>
      <c r="E610" s="24"/>
      <c r="F610" s="15"/>
      <c r="G610" s="15"/>
      <c r="H610" s="15"/>
      <c r="I610" s="4"/>
      <c r="J610" s="17"/>
      <c r="K610" s="17"/>
      <c r="L610" s="17"/>
      <c r="M610" s="17"/>
      <c r="N610" s="17"/>
      <c r="O610" s="15"/>
      <c r="P610" s="18"/>
      <c r="Q610" s="18"/>
      <c r="S610" s="15"/>
    </row>
    <row r="611" ht="14.25" customHeight="1">
      <c r="C611" s="17"/>
      <c r="D611" s="17"/>
      <c r="E611" s="24"/>
      <c r="F611" s="15"/>
      <c r="G611" s="15"/>
      <c r="H611" s="15"/>
      <c r="I611" s="4"/>
      <c r="J611" s="17"/>
      <c r="K611" s="17"/>
      <c r="L611" s="17"/>
      <c r="M611" s="17"/>
      <c r="N611" s="17"/>
      <c r="O611" s="15"/>
      <c r="P611" s="18"/>
      <c r="Q611" s="18"/>
      <c r="S611" s="15"/>
    </row>
    <row r="612" ht="14.25" customHeight="1">
      <c r="C612" s="17"/>
      <c r="D612" s="17"/>
      <c r="E612" s="24"/>
      <c r="F612" s="15"/>
      <c r="G612" s="15"/>
      <c r="H612" s="15"/>
      <c r="I612" s="4"/>
      <c r="J612" s="17"/>
      <c r="K612" s="17"/>
      <c r="L612" s="17"/>
      <c r="M612" s="17"/>
      <c r="N612" s="17"/>
      <c r="O612" s="15"/>
      <c r="P612" s="18"/>
      <c r="Q612" s="18"/>
      <c r="S612" s="15"/>
    </row>
    <row r="613" ht="14.25" customHeight="1">
      <c r="C613" s="17"/>
      <c r="D613" s="17"/>
      <c r="E613" s="24"/>
      <c r="F613" s="15"/>
      <c r="G613" s="15"/>
      <c r="H613" s="15"/>
      <c r="I613" s="4"/>
      <c r="J613" s="17"/>
      <c r="K613" s="17"/>
      <c r="L613" s="17"/>
      <c r="M613" s="17"/>
      <c r="N613" s="17"/>
      <c r="O613" s="15"/>
      <c r="P613" s="18"/>
      <c r="Q613" s="18"/>
      <c r="S613" s="15"/>
    </row>
    <row r="614" ht="14.25" customHeight="1">
      <c r="C614" s="17"/>
      <c r="D614" s="17"/>
      <c r="E614" s="24"/>
      <c r="F614" s="15"/>
      <c r="G614" s="15"/>
      <c r="H614" s="15"/>
      <c r="I614" s="4"/>
      <c r="J614" s="17"/>
      <c r="K614" s="17"/>
      <c r="L614" s="17"/>
      <c r="M614" s="17"/>
      <c r="N614" s="17"/>
      <c r="O614" s="15"/>
      <c r="P614" s="18"/>
      <c r="Q614" s="18"/>
      <c r="S614" s="15"/>
    </row>
    <row r="615" ht="14.25" customHeight="1">
      <c r="C615" s="17"/>
      <c r="D615" s="17"/>
      <c r="E615" s="24"/>
      <c r="F615" s="15"/>
      <c r="G615" s="15"/>
      <c r="H615" s="15"/>
      <c r="I615" s="4"/>
      <c r="J615" s="17"/>
      <c r="K615" s="17"/>
      <c r="L615" s="17"/>
      <c r="M615" s="17"/>
      <c r="N615" s="17"/>
      <c r="O615" s="15"/>
      <c r="P615" s="18"/>
      <c r="Q615" s="18"/>
      <c r="S615" s="15"/>
    </row>
    <row r="616" ht="14.25" customHeight="1">
      <c r="C616" s="17"/>
      <c r="D616" s="17"/>
      <c r="E616" s="24"/>
      <c r="F616" s="15"/>
      <c r="G616" s="15"/>
      <c r="H616" s="15"/>
      <c r="I616" s="4"/>
      <c r="J616" s="17"/>
      <c r="K616" s="17"/>
      <c r="L616" s="17"/>
      <c r="M616" s="17"/>
      <c r="N616" s="17"/>
      <c r="O616" s="15"/>
      <c r="P616" s="18"/>
      <c r="Q616" s="18"/>
      <c r="S616" s="15"/>
    </row>
    <row r="617" ht="14.25" customHeight="1">
      <c r="C617" s="17"/>
      <c r="D617" s="17"/>
      <c r="E617" s="24"/>
      <c r="F617" s="15"/>
      <c r="G617" s="15"/>
      <c r="H617" s="15"/>
      <c r="I617" s="4"/>
      <c r="J617" s="17"/>
      <c r="K617" s="17"/>
      <c r="L617" s="17"/>
      <c r="M617" s="17"/>
      <c r="N617" s="17"/>
      <c r="O617" s="15"/>
      <c r="P617" s="18"/>
      <c r="Q617" s="18"/>
      <c r="S617" s="15"/>
    </row>
    <row r="618" ht="14.25" customHeight="1">
      <c r="C618" s="17"/>
      <c r="D618" s="17"/>
      <c r="E618" s="24"/>
      <c r="F618" s="15"/>
      <c r="G618" s="15"/>
      <c r="H618" s="15"/>
      <c r="I618" s="4"/>
      <c r="J618" s="17"/>
      <c r="K618" s="17"/>
      <c r="L618" s="17"/>
      <c r="M618" s="17"/>
      <c r="N618" s="17"/>
      <c r="O618" s="15"/>
      <c r="P618" s="18"/>
      <c r="Q618" s="18"/>
      <c r="S618" s="15"/>
    </row>
    <row r="619" ht="14.25" customHeight="1">
      <c r="C619" s="17"/>
      <c r="D619" s="17"/>
      <c r="E619" s="24"/>
      <c r="F619" s="15"/>
      <c r="G619" s="15"/>
      <c r="H619" s="15"/>
      <c r="I619" s="4"/>
      <c r="J619" s="17"/>
      <c r="K619" s="17"/>
      <c r="L619" s="17"/>
      <c r="M619" s="17"/>
      <c r="N619" s="17"/>
      <c r="O619" s="15"/>
      <c r="P619" s="18"/>
      <c r="Q619" s="18"/>
      <c r="S619" s="15"/>
    </row>
    <row r="620" ht="14.25" customHeight="1">
      <c r="C620" s="17"/>
      <c r="D620" s="17"/>
      <c r="E620" s="24"/>
      <c r="F620" s="15"/>
      <c r="G620" s="15"/>
      <c r="H620" s="15"/>
      <c r="I620" s="4"/>
      <c r="J620" s="17"/>
      <c r="K620" s="17"/>
      <c r="L620" s="17"/>
      <c r="M620" s="17"/>
      <c r="N620" s="17"/>
      <c r="O620" s="15"/>
      <c r="P620" s="18"/>
      <c r="Q620" s="18"/>
      <c r="S620" s="15"/>
    </row>
    <row r="621" ht="14.25" customHeight="1">
      <c r="C621" s="17"/>
      <c r="D621" s="17"/>
      <c r="E621" s="24"/>
      <c r="F621" s="15"/>
      <c r="G621" s="15"/>
      <c r="H621" s="15"/>
      <c r="I621" s="4"/>
      <c r="J621" s="17"/>
      <c r="K621" s="17"/>
      <c r="L621" s="17"/>
      <c r="M621" s="17"/>
      <c r="N621" s="17"/>
      <c r="O621" s="15"/>
      <c r="P621" s="18"/>
      <c r="Q621" s="18"/>
      <c r="S621" s="15"/>
    </row>
    <row r="622" ht="14.25" customHeight="1">
      <c r="C622" s="17"/>
      <c r="D622" s="17"/>
      <c r="E622" s="24"/>
      <c r="F622" s="15"/>
      <c r="G622" s="15"/>
      <c r="H622" s="15"/>
      <c r="I622" s="4"/>
      <c r="J622" s="17"/>
      <c r="K622" s="17"/>
      <c r="L622" s="17"/>
      <c r="M622" s="17"/>
      <c r="N622" s="17"/>
      <c r="O622" s="15"/>
      <c r="P622" s="18"/>
      <c r="Q622" s="18"/>
      <c r="S622" s="15"/>
    </row>
    <row r="623" ht="14.25" customHeight="1">
      <c r="C623" s="17"/>
      <c r="D623" s="17"/>
      <c r="E623" s="24"/>
      <c r="F623" s="15"/>
      <c r="G623" s="15"/>
      <c r="H623" s="15"/>
      <c r="I623" s="4"/>
      <c r="J623" s="17"/>
      <c r="K623" s="17"/>
      <c r="L623" s="17"/>
      <c r="M623" s="17"/>
      <c r="N623" s="17"/>
      <c r="O623" s="15"/>
      <c r="P623" s="18"/>
      <c r="Q623" s="18"/>
      <c r="S623" s="15"/>
    </row>
    <row r="624" ht="14.25" customHeight="1">
      <c r="C624" s="17"/>
      <c r="D624" s="17"/>
      <c r="E624" s="24"/>
      <c r="F624" s="15"/>
      <c r="G624" s="15"/>
      <c r="H624" s="15"/>
      <c r="I624" s="4"/>
      <c r="J624" s="17"/>
      <c r="K624" s="17"/>
      <c r="L624" s="17"/>
      <c r="M624" s="17"/>
      <c r="N624" s="17"/>
      <c r="O624" s="15"/>
      <c r="P624" s="18"/>
      <c r="Q624" s="18"/>
      <c r="S624" s="15"/>
    </row>
    <row r="625" ht="14.25" customHeight="1">
      <c r="C625" s="17"/>
      <c r="D625" s="17"/>
      <c r="E625" s="24"/>
      <c r="F625" s="15"/>
      <c r="G625" s="15"/>
      <c r="H625" s="15"/>
      <c r="I625" s="4"/>
      <c r="J625" s="17"/>
      <c r="K625" s="17"/>
      <c r="L625" s="17"/>
      <c r="M625" s="17"/>
      <c r="N625" s="17"/>
      <c r="O625" s="15"/>
      <c r="P625" s="18"/>
      <c r="Q625" s="18"/>
      <c r="S625" s="15"/>
    </row>
    <row r="626" ht="14.25" customHeight="1">
      <c r="C626" s="17"/>
      <c r="D626" s="17"/>
      <c r="E626" s="24"/>
      <c r="F626" s="15"/>
      <c r="G626" s="15"/>
      <c r="H626" s="15"/>
      <c r="I626" s="4"/>
      <c r="J626" s="17"/>
      <c r="K626" s="17"/>
      <c r="L626" s="17"/>
      <c r="M626" s="17"/>
      <c r="N626" s="17"/>
      <c r="O626" s="15"/>
      <c r="P626" s="18"/>
      <c r="Q626" s="18"/>
      <c r="S626" s="15"/>
    </row>
    <row r="627" ht="14.25" customHeight="1">
      <c r="C627" s="17"/>
      <c r="D627" s="17"/>
      <c r="E627" s="24"/>
      <c r="F627" s="15"/>
      <c r="G627" s="15"/>
      <c r="H627" s="15"/>
      <c r="I627" s="4"/>
      <c r="J627" s="17"/>
      <c r="K627" s="17"/>
      <c r="L627" s="17"/>
      <c r="M627" s="17"/>
      <c r="N627" s="17"/>
      <c r="O627" s="15"/>
      <c r="P627" s="18"/>
      <c r="Q627" s="18"/>
      <c r="S627" s="15"/>
    </row>
    <row r="628" ht="14.25" customHeight="1">
      <c r="C628" s="17"/>
      <c r="D628" s="17"/>
      <c r="E628" s="24"/>
      <c r="F628" s="15"/>
      <c r="G628" s="15"/>
      <c r="H628" s="15"/>
      <c r="I628" s="4"/>
      <c r="J628" s="17"/>
      <c r="K628" s="17"/>
      <c r="L628" s="17"/>
      <c r="M628" s="17"/>
      <c r="N628" s="17"/>
      <c r="O628" s="15"/>
      <c r="P628" s="18"/>
      <c r="Q628" s="18"/>
      <c r="S628" s="15"/>
    </row>
    <row r="629" ht="14.25" customHeight="1">
      <c r="C629" s="17"/>
      <c r="D629" s="17"/>
      <c r="E629" s="24"/>
      <c r="F629" s="15"/>
      <c r="G629" s="15"/>
      <c r="H629" s="15"/>
      <c r="I629" s="4"/>
      <c r="J629" s="17"/>
      <c r="K629" s="17"/>
      <c r="L629" s="17"/>
      <c r="M629" s="17"/>
      <c r="N629" s="17"/>
      <c r="O629" s="15"/>
      <c r="P629" s="18"/>
      <c r="Q629" s="18"/>
      <c r="S629" s="15"/>
    </row>
    <row r="630" ht="14.25" customHeight="1">
      <c r="C630" s="17"/>
      <c r="D630" s="17"/>
      <c r="E630" s="24"/>
      <c r="F630" s="15"/>
      <c r="G630" s="15"/>
      <c r="H630" s="15"/>
      <c r="I630" s="4"/>
      <c r="J630" s="17"/>
      <c r="K630" s="17"/>
      <c r="L630" s="17"/>
      <c r="M630" s="17"/>
      <c r="N630" s="17"/>
      <c r="O630" s="15"/>
      <c r="P630" s="18"/>
      <c r="Q630" s="18"/>
      <c r="S630" s="15"/>
    </row>
    <row r="631" ht="14.25" customHeight="1">
      <c r="C631" s="17"/>
      <c r="D631" s="17"/>
      <c r="E631" s="24"/>
      <c r="F631" s="15"/>
      <c r="G631" s="15"/>
      <c r="H631" s="15"/>
      <c r="I631" s="4"/>
      <c r="J631" s="17"/>
      <c r="K631" s="17"/>
      <c r="L631" s="17"/>
      <c r="M631" s="17"/>
      <c r="N631" s="17"/>
      <c r="O631" s="15"/>
      <c r="P631" s="18"/>
      <c r="Q631" s="18"/>
      <c r="S631" s="15"/>
    </row>
    <row r="632" ht="14.25" customHeight="1">
      <c r="C632" s="17"/>
      <c r="D632" s="17"/>
      <c r="E632" s="24"/>
      <c r="F632" s="15"/>
      <c r="G632" s="15"/>
      <c r="H632" s="15"/>
      <c r="I632" s="4"/>
      <c r="J632" s="17"/>
      <c r="K632" s="17"/>
      <c r="L632" s="17"/>
      <c r="M632" s="17"/>
      <c r="N632" s="17"/>
      <c r="O632" s="15"/>
      <c r="P632" s="18"/>
      <c r="Q632" s="18"/>
      <c r="S632" s="15"/>
    </row>
    <row r="633" ht="14.25" customHeight="1">
      <c r="C633" s="17"/>
      <c r="D633" s="17"/>
      <c r="E633" s="24"/>
      <c r="F633" s="15"/>
      <c r="G633" s="15"/>
      <c r="H633" s="15"/>
      <c r="I633" s="4"/>
      <c r="J633" s="17"/>
      <c r="K633" s="17"/>
      <c r="L633" s="17"/>
      <c r="M633" s="17"/>
      <c r="N633" s="17"/>
      <c r="O633" s="15"/>
      <c r="P633" s="18"/>
      <c r="Q633" s="18"/>
      <c r="S633" s="15"/>
    </row>
    <row r="634" ht="14.25" customHeight="1">
      <c r="C634" s="17"/>
      <c r="D634" s="17"/>
      <c r="E634" s="24"/>
      <c r="F634" s="15"/>
      <c r="G634" s="15"/>
      <c r="H634" s="15"/>
      <c r="I634" s="4"/>
      <c r="J634" s="17"/>
      <c r="K634" s="17"/>
      <c r="L634" s="17"/>
      <c r="M634" s="17"/>
      <c r="N634" s="17"/>
      <c r="O634" s="15"/>
      <c r="P634" s="18"/>
      <c r="Q634" s="18"/>
      <c r="S634" s="15"/>
    </row>
    <row r="635" ht="14.25" customHeight="1">
      <c r="C635" s="17"/>
      <c r="D635" s="17"/>
      <c r="E635" s="24"/>
      <c r="F635" s="15"/>
      <c r="G635" s="15"/>
      <c r="H635" s="15"/>
      <c r="I635" s="4"/>
      <c r="J635" s="17"/>
      <c r="K635" s="17"/>
      <c r="L635" s="17"/>
      <c r="M635" s="17"/>
      <c r="N635" s="17"/>
      <c r="O635" s="15"/>
      <c r="P635" s="18"/>
      <c r="Q635" s="18"/>
      <c r="S635" s="15"/>
    </row>
    <row r="636" ht="14.25" customHeight="1">
      <c r="C636" s="17"/>
      <c r="D636" s="17"/>
      <c r="E636" s="24"/>
      <c r="F636" s="15"/>
      <c r="G636" s="15"/>
      <c r="H636" s="15"/>
      <c r="I636" s="4"/>
      <c r="J636" s="17"/>
      <c r="K636" s="17"/>
      <c r="L636" s="17"/>
      <c r="M636" s="17"/>
      <c r="N636" s="17"/>
      <c r="O636" s="15"/>
      <c r="P636" s="18"/>
      <c r="Q636" s="18"/>
      <c r="S636" s="15"/>
    </row>
    <row r="637" ht="14.25" customHeight="1">
      <c r="C637" s="17"/>
      <c r="D637" s="17"/>
      <c r="E637" s="24"/>
      <c r="F637" s="15"/>
      <c r="G637" s="15"/>
      <c r="H637" s="15"/>
      <c r="I637" s="4"/>
      <c r="J637" s="17"/>
      <c r="K637" s="17"/>
      <c r="L637" s="17"/>
      <c r="M637" s="17"/>
      <c r="N637" s="17"/>
      <c r="O637" s="15"/>
      <c r="P637" s="18"/>
      <c r="Q637" s="18"/>
      <c r="S637" s="15"/>
    </row>
    <row r="638" ht="14.25" customHeight="1">
      <c r="C638" s="17"/>
      <c r="D638" s="17"/>
      <c r="E638" s="24"/>
      <c r="F638" s="15"/>
      <c r="G638" s="15"/>
      <c r="H638" s="15"/>
      <c r="I638" s="4"/>
      <c r="J638" s="17"/>
      <c r="K638" s="17"/>
      <c r="L638" s="17"/>
      <c r="M638" s="17"/>
      <c r="N638" s="17"/>
      <c r="O638" s="15"/>
      <c r="P638" s="18"/>
      <c r="Q638" s="18"/>
      <c r="S638" s="15"/>
    </row>
    <row r="639" ht="14.25" customHeight="1">
      <c r="C639" s="17"/>
      <c r="D639" s="17"/>
      <c r="E639" s="24"/>
      <c r="F639" s="15"/>
      <c r="G639" s="15"/>
      <c r="H639" s="15"/>
      <c r="I639" s="4"/>
      <c r="J639" s="17"/>
      <c r="K639" s="17"/>
      <c r="L639" s="17"/>
      <c r="M639" s="17"/>
      <c r="N639" s="17"/>
      <c r="O639" s="15"/>
      <c r="P639" s="18"/>
      <c r="Q639" s="18"/>
      <c r="S639" s="15"/>
    </row>
    <row r="640" ht="14.25" customHeight="1">
      <c r="C640" s="17"/>
      <c r="D640" s="17"/>
      <c r="E640" s="24"/>
      <c r="F640" s="15"/>
      <c r="G640" s="15"/>
      <c r="H640" s="15"/>
      <c r="I640" s="4"/>
      <c r="J640" s="17"/>
      <c r="K640" s="17"/>
      <c r="L640" s="17"/>
      <c r="M640" s="17"/>
      <c r="N640" s="17"/>
      <c r="O640" s="15"/>
      <c r="P640" s="18"/>
      <c r="Q640" s="18"/>
      <c r="S640" s="15"/>
    </row>
    <row r="641" ht="14.25" customHeight="1">
      <c r="C641" s="17"/>
      <c r="D641" s="17"/>
      <c r="E641" s="24"/>
      <c r="F641" s="15"/>
      <c r="G641" s="15"/>
      <c r="H641" s="15"/>
      <c r="I641" s="4"/>
      <c r="J641" s="17"/>
      <c r="K641" s="17"/>
      <c r="L641" s="17"/>
      <c r="M641" s="17"/>
      <c r="N641" s="17"/>
      <c r="O641" s="15"/>
      <c r="P641" s="18"/>
      <c r="Q641" s="18"/>
      <c r="S641" s="15"/>
    </row>
    <row r="642" ht="14.25" customHeight="1">
      <c r="C642" s="17"/>
      <c r="D642" s="17"/>
      <c r="E642" s="24"/>
      <c r="F642" s="15"/>
      <c r="G642" s="15"/>
      <c r="H642" s="15"/>
      <c r="I642" s="4"/>
      <c r="J642" s="17"/>
      <c r="K642" s="17"/>
      <c r="L642" s="17"/>
      <c r="M642" s="17"/>
      <c r="N642" s="17"/>
      <c r="O642" s="15"/>
      <c r="P642" s="18"/>
      <c r="Q642" s="18"/>
      <c r="S642" s="15"/>
    </row>
    <row r="643" ht="14.25" customHeight="1">
      <c r="C643" s="17"/>
      <c r="D643" s="17"/>
      <c r="E643" s="24"/>
      <c r="F643" s="15"/>
      <c r="G643" s="15"/>
      <c r="H643" s="15"/>
      <c r="I643" s="4"/>
      <c r="J643" s="17"/>
      <c r="K643" s="17"/>
      <c r="L643" s="17"/>
      <c r="M643" s="17"/>
      <c r="N643" s="17"/>
      <c r="O643" s="15"/>
      <c r="P643" s="18"/>
      <c r="Q643" s="18"/>
      <c r="S643" s="15"/>
    </row>
    <row r="644" ht="14.25" customHeight="1">
      <c r="C644" s="17"/>
      <c r="D644" s="17"/>
      <c r="E644" s="24"/>
      <c r="F644" s="15"/>
      <c r="G644" s="15"/>
      <c r="H644" s="15"/>
      <c r="I644" s="4"/>
      <c r="J644" s="17"/>
      <c r="K644" s="17"/>
      <c r="L644" s="17"/>
      <c r="M644" s="17"/>
      <c r="N644" s="17"/>
      <c r="O644" s="15"/>
      <c r="P644" s="18"/>
      <c r="Q644" s="18"/>
      <c r="S644" s="15"/>
    </row>
    <row r="645" ht="14.25" customHeight="1">
      <c r="C645" s="17"/>
      <c r="D645" s="17"/>
      <c r="E645" s="24"/>
      <c r="F645" s="15"/>
      <c r="G645" s="15"/>
      <c r="H645" s="15"/>
      <c r="I645" s="4"/>
      <c r="J645" s="17"/>
      <c r="K645" s="17"/>
      <c r="L645" s="17"/>
      <c r="M645" s="17"/>
      <c r="N645" s="17"/>
      <c r="O645" s="15"/>
      <c r="P645" s="18"/>
      <c r="Q645" s="18"/>
      <c r="S645" s="15"/>
    </row>
    <row r="646" ht="14.25" customHeight="1">
      <c r="C646" s="17"/>
      <c r="D646" s="17"/>
      <c r="E646" s="24"/>
      <c r="F646" s="15"/>
      <c r="G646" s="15"/>
      <c r="H646" s="15"/>
      <c r="I646" s="4"/>
      <c r="J646" s="17"/>
      <c r="K646" s="17"/>
      <c r="L646" s="17"/>
      <c r="M646" s="17"/>
      <c r="N646" s="17"/>
      <c r="O646" s="15"/>
      <c r="P646" s="18"/>
      <c r="Q646" s="18"/>
      <c r="S646" s="15"/>
    </row>
    <row r="647" ht="14.25" customHeight="1">
      <c r="C647" s="17"/>
      <c r="D647" s="17"/>
      <c r="E647" s="24"/>
      <c r="F647" s="15"/>
      <c r="G647" s="15"/>
      <c r="H647" s="15"/>
      <c r="I647" s="4"/>
      <c r="J647" s="17"/>
      <c r="K647" s="17"/>
      <c r="L647" s="17"/>
      <c r="M647" s="17"/>
      <c r="N647" s="17"/>
      <c r="O647" s="15"/>
      <c r="P647" s="18"/>
      <c r="Q647" s="18"/>
      <c r="S647" s="15"/>
    </row>
    <row r="648" ht="14.25" customHeight="1">
      <c r="C648" s="17"/>
      <c r="D648" s="17"/>
      <c r="E648" s="24"/>
      <c r="F648" s="15"/>
      <c r="G648" s="15"/>
      <c r="H648" s="15"/>
      <c r="I648" s="4"/>
      <c r="J648" s="17"/>
      <c r="K648" s="17"/>
      <c r="L648" s="17"/>
      <c r="M648" s="17"/>
      <c r="N648" s="17"/>
      <c r="O648" s="15"/>
      <c r="P648" s="18"/>
      <c r="Q648" s="18"/>
      <c r="S648" s="15"/>
    </row>
    <row r="649" ht="14.25" customHeight="1">
      <c r="C649" s="17"/>
      <c r="D649" s="17"/>
      <c r="E649" s="24"/>
      <c r="F649" s="15"/>
      <c r="G649" s="15"/>
      <c r="H649" s="15"/>
      <c r="I649" s="4"/>
      <c r="J649" s="17"/>
      <c r="K649" s="17"/>
      <c r="L649" s="17"/>
      <c r="M649" s="17"/>
      <c r="N649" s="17"/>
      <c r="O649" s="15"/>
      <c r="P649" s="18"/>
      <c r="Q649" s="18"/>
      <c r="S649" s="15"/>
    </row>
    <row r="650" ht="14.25" customHeight="1">
      <c r="C650" s="17"/>
      <c r="D650" s="17"/>
      <c r="E650" s="24"/>
      <c r="F650" s="15"/>
      <c r="G650" s="15"/>
      <c r="H650" s="15"/>
      <c r="I650" s="4"/>
      <c r="J650" s="17"/>
      <c r="K650" s="17"/>
      <c r="L650" s="17"/>
      <c r="M650" s="17"/>
      <c r="N650" s="17"/>
      <c r="O650" s="15"/>
      <c r="P650" s="18"/>
      <c r="Q650" s="18"/>
      <c r="S650" s="15"/>
    </row>
    <row r="651" ht="14.25" customHeight="1">
      <c r="C651" s="17"/>
      <c r="D651" s="17"/>
      <c r="E651" s="24"/>
      <c r="F651" s="15"/>
      <c r="G651" s="15"/>
      <c r="H651" s="15"/>
      <c r="I651" s="4"/>
      <c r="J651" s="17"/>
      <c r="K651" s="17"/>
      <c r="L651" s="17"/>
      <c r="M651" s="17"/>
      <c r="N651" s="17"/>
      <c r="O651" s="15"/>
      <c r="P651" s="18"/>
      <c r="Q651" s="18"/>
      <c r="S651" s="15"/>
    </row>
    <row r="652" ht="14.25" customHeight="1">
      <c r="C652" s="17"/>
      <c r="D652" s="17"/>
      <c r="E652" s="24"/>
      <c r="F652" s="15"/>
      <c r="G652" s="15"/>
      <c r="H652" s="15"/>
      <c r="I652" s="4"/>
      <c r="J652" s="17"/>
      <c r="K652" s="17"/>
      <c r="L652" s="17"/>
      <c r="M652" s="17"/>
      <c r="N652" s="17"/>
      <c r="O652" s="15"/>
      <c r="P652" s="18"/>
      <c r="Q652" s="18"/>
      <c r="S652" s="15"/>
    </row>
    <row r="653" ht="14.25" customHeight="1">
      <c r="C653" s="17"/>
      <c r="D653" s="17"/>
      <c r="E653" s="24"/>
      <c r="F653" s="15"/>
      <c r="G653" s="15"/>
      <c r="H653" s="15"/>
      <c r="I653" s="4"/>
      <c r="J653" s="17"/>
      <c r="K653" s="17"/>
      <c r="L653" s="17"/>
      <c r="M653" s="17"/>
      <c r="N653" s="17"/>
      <c r="O653" s="15"/>
      <c r="P653" s="18"/>
      <c r="Q653" s="18"/>
      <c r="S653" s="15"/>
    </row>
    <row r="654" ht="14.25" customHeight="1">
      <c r="C654" s="17"/>
      <c r="D654" s="17"/>
      <c r="E654" s="24"/>
      <c r="F654" s="15"/>
      <c r="G654" s="15"/>
      <c r="H654" s="15"/>
      <c r="I654" s="4"/>
      <c r="J654" s="17"/>
      <c r="K654" s="17"/>
      <c r="L654" s="17"/>
      <c r="M654" s="17"/>
      <c r="N654" s="17"/>
      <c r="O654" s="15"/>
      <c r="P654" s="18"/>
      <c r="Q654" s="18"/>
      <c r="S654" s="15"/>
    </row>
    <row r="655" ht="14.25" customHeight="1">
      <c r="C655" s="17"/>
      <c r="D655" s="17"/>
      <c r="E655" s="24"/>
      <c r="F655" s="15"/>
      <c r="G655" s="15"/>
      <c r="H655" s="15"/>
      <c r="I655" s="4"/>
      <c r="J655" s="17"/>
      <c r="K655" s="17"/>
      <c r="L655" s="17"/>
      <c r="M655" s="17"/>
      <c r="N655" s="17"/>
      <c r="O655" s="15"/>
      <c r="P655" s="18"/>
      <c r="Q655" s="18"/>
      <c r="S655" s="15"/>
    </row>
    <row r="656" ht="14.25" customHeight="1">
      <c r="C656" s="17"/>
      <c r="D656" s="17"/>
      <c r="E656" s="24"/>
      <c r="F656" s="15"/>
      <c r="G656" s="15"/>
      <c r="H656" s="15"/>
      <c r="I656" s="4"/>
      <c r="J656" s="17"/>
      <c r="K656" s="17"/>
      <c r="L656" s="17"/>
      <c r="M656" s="17"/>
      <c r="N656" s="17"/>
      <c r="O656" s="15"/>
      <c r="P656" s="18"/>
      <c r="Q656" s="18"/>
      <c r="S656" s="15"/>
    </row>
    <row r="657" ht="14.25" customHeight="1">
      <c r="C657" s="17"/>
      <c r="D657" s="17"/>
      <c r="E657" s="24"/>
      <c r="F657" s="15"/>
      <c r="G657" s="15"/>
      <c r="H657" s="15"/>
      <c r="I657" s="4"/>
      <c r="J657" s="17"/>
      <c r="K657" s="17"/>
      <c r="L657" s="17"/>
      <c r="M657" s="17"/>
      <c r="N657" s="17"/>
      <c r="O657" s="15"/>
      <c r="P657" s="18"/>
      <c r="Q657" s="18"/>
      <c r="S657" s="15"/>
    </row>
    <row r="658" ht="14.25" customHeight="1">
      <c r="C658" s="17"/>
      <c r="D658" s="17"/>
      <c r="E658" s="24"/>
      <c r="F658" s="15"/>
      <c r="G658" s="15"/>
      <c r="H658" s="15"/>
      <c r="I658" s="4"/>
      <c r="J658" s="17"/>
      <c r="K658" s="17"/>
      <c r="L658" s="17"/>
      <c r="M658" s="17"/>
      <c r="N658" s="17"/>
      <c r="O658" s="15"/>
      <c r="P658" s="18"/>
      <c r="Q658" s="18"/>
      <c r="S658" s="15"/>
    </row>
    <row r="659" ht="14.25" customHeight="1">
      <c r="C659" s="17"/>
      <c r="D659" s="17"/>
      <c r="E659" s="24"/>
      <c r="F659" s="15"/>
      <c r="G659" s="15"/>
      <c r="H659" s="15"/>
      <c r="I659" s="4"/>
      <c r="J659" s="17"/>
      <c r="K659" s="17"/>
      <c r="L659" s="17"/>
      <c r="M659" s="17"/>
      <c r="N659" s="17"/>
      <c r="O659" s="15"/>
      <c r="P659" s="18"/>
      <c r="Q659" s="18"/>
      <c r="S659" s="15"/>
    </row>
    <row r="660" ht="14.25" customHeight="1">
      <c r="C660" s="17"/>
      <c r="D660" s="17"/>
      <c r="E660" s="24"/>
      <c r="F660" s="15"/>
      <c r="G660" s="15"/>
      <c r="H660" s="15"/>
      <c r="I660" s="4"/>
      <c r="J660" s="17"/>
      <c r="K660" s="17"/>
      <c r="L660" s="17"/>
      <c r="M660" s="17"/>
      <c r="N660" s="17"/>
      <c r="O660" s="15"/>
      <c r="P660" s="18"/>
      <c r="Q660" s="18"/>
      <c r="S660" s="15"/>
    </row>
    <row r="661" ht="14.25" customHeight="1">
      <c r="C661" s="17"/>
      <c r="D661" s="17"/>
      <c r="E661" s="24"/>
      <c r="F661" s="15"/>
      <c r="G661" s="15"/>
      <c r="H661" s="15"/>
      <c r="I661" s="4"/>
      <c r="J661" s="17"/>
      <c r="K661" s="17"/>
      <c r="L661" s="17"/>
      <c r="M661" s="17"/>
      <c r="N661" s="17"/>
      <c r="O661" s="15"/>
      <c r="P661" s="18"/>
      <c r="Q661" s="18"/>
      <c r="S661" s="15"/>
    </row>
    <row r="662" ht="14.25" customHeight="1">
      <c r="C662" s="17"/>
      <c r="D662" s="17"/>
      <c r="E662" s="24"/>
      <c r="F662" s="15"/>
      <c r="G662" s="15"/>
      <c r="H662" s="15"/>
      <c r="I662" s="4"/>
      <c r="J662" s="17"/>
      <c r="K662" s="17"/>
      <c r="L662" s="17"/>
      <c r="M662" s="17"/>
      <c r="N662" s="17"/>
      <c r="O662" s="15"/>
      <c r="P662" s="18"/>
      <c r="Q662" s="18"/>
      <c r="S662" s="15"/>
    </row>
    <row r="663" ht="14.25" customHeight="1">
      <c r="C663" s="17"/>
      <c r="D663" s="17"/>
      <c r="E663" s="24"/>
      <c r="F663" s="15"/>
      <c r="G663" s="15"/>
      <c r="H663" s="15"/>
      <c r="I663" s="4"/>
      <c r="J663" s="17"/>
      <c r="K663" s="17"/>
      <c r="L663" s="17"/>
      <c r="M663" s="17"/>
      <c r="N663" s="17"/>
      <c r="O663" s="15"/>
      <c r="P663" s="18"/>
      <c r="Q663" s="18"/>
      <c r="S663" s="15"/>
    </row>
    <row r="664" ht="14.25" customHeight="1">
      <c r="C664" s="17"/>
      <c r="D664" s="17"/>
      <c r="E664" s="24"/>
      <c r="F664" s="15"/>
      <c r="G664" s="15"/>
      <c r="H664" s="15"/>
      <c r="I664" s="4"/>
      <c r="J664" s="17"/>
      <c r="K664" s="17"/>
      <c r="L664" s="17"/>
      <c r="M664" s="17"/>
      <c r="N664" s="17"/>
      <c r="O664" s="15"/>
      <c r="P664" s="18"/>
      <c r="Q664" s="18"/>
      <c r="S664" s="15"/>
    </row>
    <row r="665" ht="14.25" customHeight="1">
      <c r="C665" s="17"/>
      <c r="D665" s="17"/>
      <c r="E665" s="24"/>
      <c r="F665" s="15"/>
      <c r="G665" s="15"/>
      <c r="H665" s="15"/>
      <c r="I665" s="4"/>
      <c r="J665" s="17"/>
      <c r="K665" s="17"/>
      <c r="L665" s="17"/>
      <c r="M665" s="17"/>
      <c r="N665" s="17"/>
      <c r="O665" s="15"/>
      <c r="P665" s="18"/>
      <c r="Q665" s="18"/>
      <c r="S665" s="15"/>
    </row>
    <row r="666" ht="14.25" customHeight="1">
      <c r="C666" s="17"/>
      <c r="D666" s="17"/>
      <c r="E666" s="24"/>
      <c r="F666" s="15"/>
      <c r="G666" s="15"/>
      <c r="H666" s="15"/>
      <c r="I666" s="4"/>
      <c r="J666" s="17"/>
      <c r="K666" s="17"/>
      <c r="L666" s="17"/>
      <c r="M666" s="17"/>
      <c r="N666" s="17"/>
      <c r="O666" s="15"/>
      <c r="P666" s="18"/>
      <c r="Q666" s="18"/>
      <c r="S666" s="15"/>
    </row>
    <row r="667" ht="14.25" customHeight="1">
      <c r="C667" s="17"/>
      <c r="D667" s="17"/>
      <c r="E667" s="24"/>
      <c r="F667" s="15"/>
      <c r="G667" s="15"/>
      <c r="H667" s="15"/>
      <c r="I667" s="4"/>
      <c r="J667" s="17"/>
      <c r="K667" s="17"/>
      <c r="L667" s="17"/>
      <c r="M667" s="17"/>
      <c r="N667" s="17"/>
      <c r="O667" s="15"/>
      <c r="P667" s="18"/>
      <c r="Q667" s="18"/>
      <c r="S667" s="15"/>
    </row>
    <row r="668" ht="14.25" customHeight="1">
      <c r="C668" s="17"/>
      <c r="D668" s="17"/>
      <c r="E668" s="24"/>
      <c r="F668" s="15"/>
      <c r="G668" s="15"/>
      <c r="H668" s="15"/>
      <c r="I668" s="4"/>
      <c r="J668" s="17"/>
      <c r="K668" s="17"/>
      <c r="L668" s="17"/>
      <c r="M668" s="17"/>
      <c r="N668" s="17"/>
      <c r="O668" s="15"/>
      <c r="P668" s="18"/>
      <c r="Q668" s="18"/>
      <c r="S668" s="15"/>
    </row>
    <row r="669" ht="14.25" customHeight="1">
      <c r="C669" s="17"/>
      <c r="D669" s="17"/>
      <c r="E669" s="24"/>
      <c r="F669" s="15"/>
      <c r="G669" s="15"/>
      <c r="H669" s="15"/>
      <c r="I669" s="4"/>
      <c r="J669" s="17"/>
      <c r="K669" s="17"/>
      <c r="L669" s="17"/>
      <c r="M669" s="17"/>
      <c r="N669" s="17"/>
      <c r="O669" s="15"/>
      <c r="P669" s="18"/>
      <c r="Q669" s="18"/>
      <c r="S669" s="15"/>
    </row>
    <row r="670" ht="14.25" customHeight="1">
      <c r="C670" s="17"/>
      <c r="D670" s="17"/>
      <c r="E670" s="24"/>
      <c r="F670" s="15"/>
      <c r="G670" s="15"/>
      <c r="H670" s="15"/>
      <c r="I670" s="4"/>
      <c r="J670" s="17"/>
      <c r="K670" s="17"/>
      <c r="L670" s="17"/>
      <c r="M670" s="17"/>
      <c r="N670" s="17"/>
      <c r="O670" s="15"/>
      <c r="P670" s="18"/>
      <c r="Q670" s="18"/>
      <c r="S670" s="15"/>
    </row>
    <row r="671" ht="14.25" customHeight="1">
      <c r="C671" s="17"/>
      <c r="D671" s="17"/>
      <c r="E671" s="24"/>
      <c r="F671" s="15"/>
      <c r="G671" s="15"/>
      <c r="H671" s="15"/>
      <c r="I671" s="4"/>
      <c r="J671" s="17"/>
      <c r="K671" s="17"/>
      <c r="L671" s="17"/>
      <c r="M671" s="17"/>
      <c r="N671" s="17"/>
      <c r="O671" s="15"/>
      <c r="P671" s="18"/>
      <c r="Q671" s="18"/>
      <c r="S671" s="15"/>
    </row>
    <row r="672" ht="14.25" customHeight="1">
      <c r="C672" s="17"/>
      <c r="D672" s="17"/>
      <c r="E672" s="24"/>
      <c r="F672" s="15"/>
      <c r="G672" s="15"/>
      <c r="H672" s="15"/>
      <c r="I672" s="4"/>
      <c r="J672" s="17"/>
      <c r="K672" s="17"/>
      <c r="L672" s="17"/>
      <c r="M672" s="17"/>
      <c r="N672" s="17"/>
      <c r="O672" s="15"/>
      <c r="P672" s="18"/>
      <c r="Q672" s="18"/>
      <c r="S672" s="15"/>
    </row>
    <row r="673" ht="14.25" customHeight="1">
      <c r="C673" s="17"/>
      <c r="D673" s="17"/>
      <c r="E673" s="24"/>
      <c r="F673" s="15"/>
      <c r="G673" s="15"/>
      <c r="H673" s="15"/>
      <c r="I673" s="4"/>
      <c r="J673" s="17"/>
      <c r="K673" s="17"/>
      <c r="L673" s="17"/>
      <c r="M673" s="17"/>
      <c r="N673" s="17"/>
      <c r="O673" s="15"/>
      <c r="P673" s="18"/>
      <c r="Q673" s="18"/>
      <c r="S673" s="15"/>
    </row>
    <row r="674" ht="14.25" customHeight="1">
      <c r="C674" s="17"/>
      <c r="D674" s="17"/>
      <c r="E674" s="24"/>
      <c r="F674" s="15"/>
      <c r="G674" s="15"/>
      <c r="H674" s="15"/>
      <c r="I674" s="4"/>
      <c r="J674" s="17"/>
      <c r="K674" s="17"/>
      <c r="L674" s="17"/>
      <c r="M674" s="17"/>
      <c r="N674" s="17"/>
      <c r="O674" s="15"/>
      <c r="P674" s="18"/>
      <c r="Q674" s="18"/>
      <c r="S674" s="15"/>
    </row>
    <row r="675" ht="14.25" customHeight="1">
      <c r="C675" s="17"/>
      <c r="D675" s="17"/>
      <c r="E675" s="24"/>
      <c r="F675" s="15"/>
      <c r="G675" s="15"/>
      <c r="H675" s="15"/>
      <c r="I675" s="4"/>
      <c r="J675" s="17"/>
      <c r="K675" s="17"/>
      <c r="L675" s="17"/>
      <c r="M675" s="17"/>
      <c r="N675" s="17"/>
      <c r="O675" s="15"/>
      <c r="P675" s="18"/>
      <c r="Q675" s="18"/>
      <c r="S675" s="15"/>
    </row>
    <row r="676" ht="14.25" customHeight="1">
      <c r="C676" s="17"/>
      <c r="D676" s="17"/>
      <c r="E676" s="24"/>
      <c r="F676" s="15"/>
      <c r="G676" s="15"/>
      <c r="H676" s="15"/>
      <c r="I676" s="4"/>
      <c r="J676" s="17"/>
      <c r="K676" s="17"/>
      <c r="L676" s="17"/>
      <c r="M676" s="17"/>
      <c r="N676" s="17"/>
      <c r="O676" s="15"/>
      <c r="P676" s="18"/>
      <c r="Q676" s="18"/>
      <c r="S676" s="15"/>
    </row>
    <row r="677" ht="14.25" customHeight="1">
      <c r="C677" s="17"/>
      <c r="D677" s="17"/>
      <c r="E677" s="24"/>
      <c r="F677" s="15"/>
      <c r="G677" s="15"/>
      <c r="H677" s="15"/>
      <c r="I677" s="4"/>
      <c r="J677" s="17"/>
      <c r="K677" s="17"/>
      <c r="L677" s="17"/>
      <c r="M677" s="17"/>
      <c r="N677" s="17"/>
      <c r="O677" s="15"/>
      <c r="P677" s="18"/>
      <c r="Q677" s="18"/>
      <c r="S677" s="15"/>
    </row>
    <row r="678" ht="14.25" customHeight="1">
      <c r="C678" s="17"/>
      <c r="D678" s="17"/>
      <c r="E678" s="24"/>
      <c r="F678" s="15"/>
      <c r="G678" s="15"/>
      <c r="H678" s="15"/>
      <c r="I678" s="4"/>
      <c r="J678" s="17"/>
      <c r="K678" s="17"/>
      <c r="L678" s="17"/>
      <c r="M678" s="17"/>
      <c r="N678" s="17"/>
      <c r="O678" s="15"/>
      <c r="P678" s="18"/>
      <c r="Q678" s="18"/>
      <c r="S678" s="15"/>
    </row>
    <row r="679" ht="14.25" customHeight="1">
      <c r="C679" s="17"/>
      <c r="D679" s="17"/>
      <c r="E679" s="24"/>
      <c r="F679" s="15"/>
      <c r="G679" s="15"/>
      <c r="H679" s="15"/>
      <c r="I679" s="4"/>
      <c r="J679" s="17"/>
      <c r="K679" s="17"/>
      <c r="L679" s="17"/>
      <c r="M679" s="17"/>
      <c r="N679" s="17"/>
      <c r="O679" s="15"/>
      <c r="P679" s="18"/>
      <c r="Q679" s="18"/>
      <c r="S679" s="15"/>
    </row>
    <row r="680" ht="14.25" customHeight="1">
      <c r="C680" s="17"/>
      <c r="D680" s="17"/>
      <c r="E680" s="24"/>
      <c r="F680" s="15"/>
      <c r="G680" s="15"/>
      <c r="H680" s="15"/>
      <c r="I680" s="4"/>
      <c r="J680" s="17"/>
      <c r="K680" s="17"/>
      <c r="L680" s="17"/>
      <c r="M680" s="17"/>
      <c r="N680" s="17"/>
      <c r="O680" s="15"/>
      <c r="P680" s="18"/>
      <c r="Q680" s="18"/>
      <c r="S680" s="15"/>
    </row>
    <row r="681" ht="14.25" customHeight="1">
      <c r="C681" s="17"/>
      <c r="D681" s="17"/>
      <c r="E681" s="24"/>
      <c r="F681" s="15"/>
      <c r="G681" s="15"/>
      <c r="H681" s="15"/>
      <c r="I681" s="4"/>
      <c r="J681" s="17"/>
      <c r="K681" s="17"/>
      <c r="L681" s="17"/>
      <c r="M681" s="17"/>
      <c r="N681" s="17"/>
      <c r="O681" s="15"/>
      <c r="P681" s="18"/>
      <c r="Q681" s="18"/>
      <c r="S681" s="15"/>
    </row>
    <row r="682" ht="14.25" customHeight="1">
      <c r="C682" s="17"/>
      <c r="D682" s="17"/>
      <c r="E682" s="24"/>
      <c r="F682" s="15"/>
      <c r="G682" s="15"/>
      <c r="H682" s="15"/>
      <c r="I682" s="4"/>
      <c r="J682" s="17"/>
      <c r="K682" s="17"/>
      <c r="L682" s="17"/>
      <c r="M682" s="17"/>
      <c r="N682" s="17"/>
      <c r="O682" s="15"/>
      <c r="P682" s="18"/>
      <c r="Q682" s="18"/>
      <c r="S682" s="15"/>
    </row>
    <row r="683" ht="14.25" customHeight="1">
      <c r="C683" s="17"/>
      <c r="D683" s="17"/>
      <c r="E683" s="24"/>
      <c r="F683" s="15"/>
      <c r="G683" s="15"/>
      <c r="H683" s="15"/>
      <c r="I683" s="4"/>
      <c r="J683" s="17"/>
      <c r="K683" s="17"/>
      <c r="L683" s="17"/>
      <c r="M683" s="17"/>
      <c r="N683" s="17"/>
      <c r="O683" s="15"/>
      <c r="P683" s="18"/>
      <c r="Q683" s="18"/>
      <c r="S683" s="15"/>
    </row>
    <row r="684" ht="14.25" customHeight="1">
      <c r="C684" s="17"/>
      <c r="D684" s="17"/>
      <c r="E684" s="24"/>
      <c r="F684" s="15"/>
      <c r="G684" s="15"/>
      <c r="H684" s="15"/>
      <c r="I684" s="4"/>
      <c r="J684" s="17"/>
      <c r="K684" s="17"/>
      <c r="L684" s="17"/>
      <c r="M684" s="17"/>
      <c r="N684" s="17"/>
      <c r="O684" s="15"/>
      <c r="P684" s="18"/>
      <c r="Q684" s="18"/>
      <c r="S684" s="15"/>
    </row>
    <row r="685" ht="14.25" customHeight="1">
      <c r="C685" s="17"/>
      <c r="D685" s="17"/>
      <c r="E685" s="24"/>
      <c r="F685" s="15"/>
      <c r="G685" s="15"/>
      <c r="H685" s="15"/>
      <c r="I685" s="4"/>
      <c r="J685" s="17"/>
      <c r="K685" s="17"/>
      <c r="L685" s="17"/>
      <c r="M685" s="17"/>
      <c r="N685" s="17"/>
      <c r="O685" s="15"/>
      <c r="P685" s="18"/>
      <c r="Q685" s="18"/>
      <c r="S685" s="15"/>
    </row>
    <row r="686" ht="14.25" customHeight="1">
      <c r="C686" s="17"/>
      <c r="D686" s="17"/>
      <c r="E686" s="24"/>
      <c r="F686" s="15"/>
      <c r="G686" s="15"/>
      <c r="H686" s="15"/>
      <c r="I686" s="4"/>
      <c r="J686" s="17"/>
      <c r="K686" s="17"/>
      <c r="L686" s="17"/>
      <c r="M686" s="17"/>
      <c r="N686" s="17"/>
      <c r="O686" s="15"/>
      <c r="P686" s="18"/>
      <c r="Q686" s="18"/>
      <c r="S686" s="15"/>
    </row>
    <row r="687" ht="14.25" customHeight="1">
      <c r="C687" s="17"/>
      <c r="D687" s="17"/>
      <c r="E687" s="24"/>
      <c r="F687" s="15"/>
      <c r="G687" s="15"/>
      <c r="H687" s="15"/>
      <c r="I687" s="4"/>
      <c r="J687" s="17"/>
      <c r="K687" s="17"/>
      <c r="L687" s="17"/>
      <c r="M687" s="17"/>
      <c r="N687" s="17"/>
      <c r="O687" s="15"/>
      <c r="P687" s="18"/>
      <c r="Q687" s="18"/>
      <c r="S687" s="15"/>
    </row>
    <row r="688" ht="14.25" customHeight="1">
      <c r="C688" s="17"/>
      <c r="D688" s="17"/>
      <c r="E688" s="24"/>
      <c r="F688" s="15"/>
      <c r="G688" s="15"/>
      <c r="H688" s="15"/>
      <c r="I688" s="4"/>
      <c r="J688" s="17"/>
      <c r="K688" s="17"/>
      <c r="L688" s="17"/>
      <c r="M688" s="17"/>
      <c r="N688" s="17"/>
      <c r="O688" s="15"/>
      <c r="P688" s="18"/>
      <c r="Q688" s="18"/>
      <c r="S688" s="15"/>
    </row>
    <row r="689" ht="14.25" customHeight="1">
      <c r="C689" s="17"/>
      <c r="D689" s="17"/>
      <c r="E689" s="24"/>
      <c r="F689" s="15"/>
      <c r="G689" s="15"/>
      <c r="H689" s="15"/>
      <c r="I689" s="4"/>
      <c r="J689" s="17"/>
      <c r="K689" s="17"/>
      <c r="L689" s="17"/>
      <c r="M689" s="17"/>
      <c r="N689" s="17"/>
      <c r="O689" s="15"/>
      <c r="P689" s="18"/>
      <c r="Q689" s="18"/>
      <c r="S689" s="15"/>
    </row>
    <row r="690" ht="14.25" customHeight="1">
      <c r="C690" s="17"/>
      <c r="D690" s="17"/>
      <c r="E690" s="24"/>
      <c r="F690" s="15"/>
      <c r="G690" s="15"/>
      <c r="H690" s="15"/>
      <c r="I690" s="4"/>
      <c r="J690" s="17"/>
      <c r="K690" s="17"/>
      <c r="L690" s="17"/>
      <c r="M690" s="17"/>
      <c r="N690" s="17"/>
      <c r="O690" s="15"/>
      <c r="P690" s="18"/>
      <c r="Q690" s="18"/>
      <c r="S690" s="15"/>
    </row>
    <row r="691" ht="14.25" customHeight="1">
      <c r="C691" s="17"/>
      <c r="D691" s="17"/>
      <c r="E691" s="24"/>
      <c r="F691" s="15"/>
      <c r="G691" s="15"/>
      <c r="H691" s="15"/>
      <c r="I691" s="4"/>
      <c r="J691" s="17"/>
      <c r="K691" s="17"/>
      <c r="L691" s="17"/>
      <c r="M691" s="17"/>
      <c r="N691" s="17"/>
      <c r="O691" s="15"/>
      <c r="P691" s="18"/>
      <c r="Q691" s="18"/>
      <c r="S691" s="15"/>
    </row>
    <row r="692" ht="14.25" customHeight="1">
      <c r="C692" s="17"/>
      <c r="D692" s="17"/>
      <c r="E692" s="24"/>
      <c r="F692" s="15"/>
      <c r="G692" s="15"/>
      <c r="H692" s="15"/>
      <c r="I692" s="4"/>
      <c r="J692" s="17"/>
      <c r="K692" s="17"/>
      <c r="L692" s="17"/>
      <c r="M692" s="17"/>
      <c r="N692" s="17"/>
      <c r="O692" s="15"/>
      <c r="P692" s="18"/>
      <c r="Q692" s="18"/>
      <c r="S692" s="15"/>
    </row>
    <row r="693" ht="14.25" customHeight="1">
      <c r="C693" s="17"/>
      <c r="D693" s="17"/>
      <c r="E693" s="24"/>
      <c r="F693" s="15"/>
      <c r="G693" s="15"/>
      <c r="H693" s="15"/>
      <c r="I693" s="4"/>
      <c r="J693" s="17"/>
      <c r="K693" s="17"/>
      <c r="L693" s="17"/>
      <c r="M693" s="17"/>
      <c r="N693" s="17"/>
      <c r="O693" s="15"/>
      <c r="P693" s="18"/>
      <c r="Q693" s="18"/>
      <c r="S693" s="15"/>
    </row>
    <row r="694" ht="14.25" customHeight="1">
      <c r="C694" s="17"/>
      <c r="D694" s="17"/>
      <c r="E694" s="24"/>
      <c r="F694" s="15"/>
      <c r="G694" s="15"/>
      <c r="H694" s="15"/>
      <c r="I694" s="4"/>
      <c r="J694" s="17"/>
      <c r="K694" s="17"/>
      <c r="L694" s="17"/>
      <c r="M694" s="17"/>
      <c r="N694" s="17"/>
      <c r="O694" s="15"/>
      <c r="P694" s="18"/>
      <c r="Q694" s="18"/>
      <c r="S694" s="15"/>
    </row>
    <row r="695" ht="14.25" customHeight="1">
      <c r="C695" s="17"/>
      <c r="D695" s="17"/>
      <c r="E695" s="24"/>
      <c r="F695" s="15"/>
      <c r="G695" s="15"/>
      <c r="H695" s="15"/>
      <c r="I695" s="4"/>
      <c r="J695" s="17"/>
      <c r="K695" s="17"/>
      <c r="L695" s="17"/>
      <c r="M695" s="17"/>
      <c r="N695" s="17"/>
      <c r="O695" s="15"/>
      <c r="P695" s="18"/>
      <c r="Q695" s="18"/>
      <c r="S695" s="15"/>
    </row>
    <row r="696" ht="14.25" customHeight="1">
      <c r="C696" s="17"/>
      <c r="D696" s="17"/>
      <c r="E696" s="24"/>
      <c r="F696" s="15"/>
      <c r="G696" s="15"/>
      <c r="H696" s="15"/>
      <c r="I696" s="4"/>
      <c r="J696" s="17"/>
      <c r="K696" s="17"/>
      <c r="L696" s="17"/>
      <c r="M696" s="17"/>
      <c r="N696" s="17"/>
      <c r="O696" s="15"/>
      <c r="P696" s="18"/>
      <c r="Q696" s="18"/>
      <c r="S696" s="15"/>
    </row>
    <row r="697" ht="14.25" customHeight="1">
      <c r="C697" s="17"/>
      <c r="D697" s="17"/>
      <c r="E697" s="24"/>
      <c r="F697" s="15"/>
      <c r="G697" s="15"/>
      <c r="H697" s="15"/>
      <c r="I697" s="4"/>
      <c r="J697" s="17"/>
      <c r="K697" s="17"/>
      <c r="L697" s="17"/>
      <c r="M697" s="17"/>
      <c r="N697" s="17"/>
      <c r="O697" s="15"/>
      <c r="P697" s="18"/>
      <c r="Q697" s="18"/>
      <c r="S697" s="15"/>
    </row>
    <row r="698" ht="14.25" customHeight="1">
      <c r="C698" s="17"/>
      <c r="D698" s="17"/>
      <c r="E698" s="24"/>
      <c r="F698" s="15"/>
      <c r="G698" s="15"/>
      <c r="H698" s="15"/>
      <c r="I698" s="4"/>
      <c r="J698" s="17"/>
      <c r="K698" s="17"/>
      <c r="L698" s="17"/>
      <c r="M698" s="17"/>
      <c r="N698" s="17"/>
      <c r="O698" s="15"/>
      <c r="P698" s="18"/>
      <c r="Q698" s="18"/>
      <c r="S698" s="15"/>
    </row>
    <row r="699" ht="14.25" customHeight="1">
      <c r="C699" s="17"/>
      <c r="D699" s="17"/>
      <c r="E699" s="24"/>
      <c r="F699" s="15"/>
      <c r="G699" s="15"/>
      <c r="H699" s="15"/>
      <c r="I699" s="4"/>
      <c r="J699" s="17"/>
      <c r="K699" s="17"/>
      <c r="L699" s="17"/>
      <c r="M699" s="17"/>
      <c r="N699" s="17"/>
      <c r="O699" s="15"/>
      <c r="P699" s="18"/>
      <c r="Q699" s="18"/>
      <c r="S699" s="15"/>
    </row>
    <row r="700" ht="14.25" customHeight="1">
      <c r="C700" s="17"/>
      <c r="D700" s="17"/>
      <c r="E700" s="24"/>
      <c r="F700" s="15"/>
      <c r="G700" s="15"/>
      <c r="H700" s="15"/>
      <c r="I700" s="4"/>
      <c r="J700" s="17"/>
      <c r="K700" s="17"/>
      <c r="L700" s="17"/>
      <c r="M700" s="17"/>
      <c r="N700" s="17"/>
      <c r="O700" s="15"/>
      <c r="P700" s="18"/>
      <c r="Q700" s="18"/>
      <c r="S700" s="15"/>
    </row>
    <row r="701" ht="14.25" customHeight="1">
      <c r="C701" s="17"/>
      <c r="D701" s="17"/>
      <c r="E701" s="24"/>
      <c r="F701" s="15"/>
      <c r="G701" s="15"/>
      <c r="H701" s="15"/>
      <c r="I701" s="4"/>
      <c r="J701" s="17"/>
      <c r="K701" s="17"/>
      <c r="L701" s="17"/>
      <c r="M701" s="17"/>
      <c r="N701" s="17"/>
      <c r="O701" s="15"/>
      <c r="P701" s="18"/>
      <c r="Q701" s="18"/>
      <c r="S701" s="15"/>
    </row>
    <row r="702" ht="14.25" customHeight="1">
      <c r="C702" s="17"/>
      <c r="D702" s="17"/>
      <c r="E702" s="24"/>
      <c r="F702" s="15"/>
      <c r="G702" s="15"/>
      <c r="H702" s="15"/>
      <c r="I702" s="4"/>
      <c r="J702" s="17"/>
      <c r="K702" s="17"/>
      <c r="L702" s="17"/>
      <c r="M702" s="17"/>
      <c r="N702" s="17"/>
      <c r="O702" s="15"/>
      <c r="P702" s="18"/>
      <c r="Q702" s="18"/>
      <c r="S702" s="15"/>
    </row>
    <row r="703" ht="14.25" customHeight="1">
      <c r="C703" s="17"/>
      <c r="D703" s="17"/>
      <c r="E703" s="24"/>
      <c r="F703" s="15"/>
      <c r="G703" s="15"/>
      <c r="H703" s="15"/>
      <c r="I703" s="4"/>
      <c r="J703" s="17"/>
      <c r="K703" s="17"/>
      <c r="L703" s="17"/>
      <c r="M703" s="17"/>
      <c r="N703" s="17"/>
      <c r="O703" s="15"/>
      <c r="P703" s="18"/>
      <c r="Q703" s="18"/>
      <c r="S703" s="15"/>
    </row>
    <row r="704" ht="14.25" customHeight="1">
      <c r="C704" s="17"/>
      <c r="D704" s="17"/>
      <c r="E704" s="24"/>
      <c r="F704" s="15"/>
      <c r="G704" s="15"/>
      <c r="H704" s="15"/>
      <c r="I704" s="4"/>
      <c r="J704" s="17"/>
      <c r="K704" s="17"/>
      <c r="L704" s="17"/>
      <c r="M704" s="17"/>
      <c r="N704" s="17"/>
      <c r="O704" s="15"/>
      <c r="P704" s="18"/>
      <c r="Q704" s="18"/>
      <c r="S704" s="15"/>
    </row>
    <row r="705" ht="14.25" customHeight="1">
      <c r="C705" s="17"/>
      <c r="D705" s="17"/>
      <c r="E705" s="24"/>
      <c r="F705" s="15"/>
      <c r="G705" s="15"/>
      <c r="H705" s="15"/>
      <c r="I705" s="4"/>
      <c r="J705" s="17"/>
      <c r="K705" s="17"/>
      <c r="L705" s="17"/>
      <c r="M705" s="17"/>
      <c r="N705" s="17"/>
      <c r="O705" s="15"/>
      <c r="P705" s="18"/>
      <c r="Q705" s="18"/>
      <c r="S705" s="15"/>
    </row>
    <row r="706" ht="14.25" customHeight="1">
      <c r="C706" s="17"/>
      <c r="D706" s="17"/>
      <c r="E706" s="24"/>
      <c r="F706" s="15"/>
      <c r="G706" s="15"/>
      <c r="H706" s="15"/>
      <c r="I706" s="4"/>
      <c r="J706" s="17"/>
      <c r="K706" s="17"/>
      <c r="L706" s="17"/>
      <c r="M706" s="17"/>
      <c r="N706" s="17"/>
      <c r="O706" s="15"/>
      <c r="P706" s="18"/>
      <c r="Q706" s="18"/>
      <c r="S706" s="15"/>
    </row>
    <row r="707" ht="14.25" customHeight="1">
      <c r="C707" s="17"/>
      <c r="D707" s="17"/>
      <c r="E707" s="24"/>
      <c r="F707" s="15"/>
      <c r="G707" s="15"/>
      <c r="H707" s="15"/>
      <c r="I707" s="4"/>
      <c r="J707" s="17"/>
      <c r="K707" s="17"/>
      <c r="L707" s="17"/>
      <c r="M707" s="17"/>
      <c r="N707" s="17"/>
      <c r="O707" s="15"/>
      <c r="P707" s="18"/>
      <c r="Q707" s="18"/>
      <c r="S707" s="15"/>
    </row>
    <row r="708" ht="14.25" customHeight="1">
      <c r="C708" s="17"/>
      <c r="D708" s="17"/>
      <c r="E708" s="24"/>
      <c r="F708" s="15"/>
      <c r="G708" s="15"/>
      <c r="H708" s="15"/>
      <c r="I708" s="4"/>
      <c r="J708" s="17"/>
      <c r="K708" s="17"/>
      <c r="L708" s="17"/>
      <c r="M708" s="17"/>
      <c r="N708" s="17"/>
      <c r="O708" s="15"/>
      <c r="P708" s="18"/>
      <c r="Q708" s="18"/>
      <c r="S708" s="15"/>
    </row>
    <row r="709" ht="14.25" customHeight="1">
      <c r="C709" s="17"/>
      <c r="D709" s="17"/>
      <c r="E709" s="24"/>
      <c r="F709" s="15"/>
      <c r="G709" s="15"/>
      <c r="H709" s="15"/>
      <c r="I709" s="4"/>
      <c r="J709" s="17"/>
      <c r="K709" s="17"/>
      <c r="L709" s="17"/>
      <c r="M709" s="17"/>
      <c r="N709" s="17"/>
      <c r="O709" s="15"/>
      <c r="P709" s="18"/>
      <c r="Q709" s="18"/>
      <c r="S709" s="15"/>
    </row>
    <row r="710" ht="14.25" customHeight="1">
      <c r="C710" s="17"/>
      <c r="D710" s="17"/>
      <c r="E710" s="24"/>
      <c r="F710" s="15"/>
      <c r="G710" s="15"/>
      <c r="H710" s="15"/>
      <c r="I710" s="4"/>
      <c r="J710" s="17"/>
      <c r="K710" s="17"/>
      <c r="L710" s="17"/>
      <c r="M710" s="17"/>
      <c r="N710" s="17"/>
      <c r="O710" s="15"/>
      <c r="P710" s="18"/>
      <c r="Q710" s="18"/>
      <c r="S710" s="15"/>
    </row>
    <row r="711" ht="14.25" customHeight="1">
      <c r="C711" s="17"/>
      <c r="D711" s="17"/>
      <c r="E711" s="24"/>
      <c r="F711" s="15"/>
      <c r="G711" s="15"/>
      <c r="H711" s="15"/>
      <c r="I711" s="4"/>
      <c r="J711" s="17"/>
      <c r="K711" s="17"/>
      <c r="L711" s="17"/>
      <c r="M711" s="17"/>
      <c r="N711" s="17"/>
      <c r="O711" s="15"/>
      <c r="P711" s="18"/>
      <c r="Q711" s="18"/>
      <c r="S711" s="15"/>
    </row>
    <row r="712" ht="14.25" customHeight="1">
      <c r="C712" s="17"/>
      <c r="D712" s="17"/>
      <c r="E712" s="24"/>
      <c r="F712" s="15"/>
      <c r="G712" s="15"/>
      <c r="H712" s="15"/>
      <c r="I712" s="4"/>
      <c r="J712" s="17"/>
      <c r="K712" s="17"/>
      <c r="L712" s="17"/>
      <c r="M712" s="17"/>
      <c r="N712" s="17"/>
      <c r="O712" s="15"/>
      <c r="P712" s="18"/>
      <c r="Q712" s="18"/>
      <c r="S712" s="15"/>
    </row>
    <row r="713" ht="14.25" customHeight="1">
      <c r="C713" s="17"/>
      <c r="D713" s="17"/>
      <c r="E713" s="24"/>
      <c r="F713" s="15"/>
      <c r="G713" s="15"/>
      <c r="H713" s="15"/>
      <c r="I713" s="4"/>
      <c r="J713" s="17"/>
      <c r="K713" s="17"/>
      <c r="L713" s="17"/>
      <c r="M713" s="17"/>
      <c r="N713" s="17"/>
      <c r="O713" s="15"/>
      <c r="P713" s="18"/>
      <c r="Q713" s="18"/>
      <c r="S713" s="15"/>
    </row>
    <row r="714" ht="14.25" customHeight="1">
      <c r="C714" s="17"/>
      <c r="D714" s="17"/>
      <c r="E714" s="24"/>
      <c r="F714" s="15"/>
      <c r="G714" s="15"/>
      <c r="H714" s="15"/>
      <c r="I714" s="4"/>
      <c r="J714" s="17"/>
      <c r="K714" s="17"/>
      <c r="L714" s="17"/>
      <c r="M714" s="17"/>
      <c r="N714" s="17"/>
      <c r="O714" s="15"/>
      <c r="P714" s="18"/>
      <c r="Q714" s="18"/>
      <c r="S714" s="15"/>
    </row>
    <row r="715" ht="14.25" customHeight="1">
      <c r="C715" s="17"/>
      <c r="D715" s="17"/>
      <c r="E715" s="24"/>
      <c r="F715" s="15"/>
      <c r="G715" s="15"/>
      <c r="H715" s="15"/>
      <c r="I715" s="4"/>
      <c r="J715" s="17"/>
      <c r="K715" s="17"/>
      <c r="L715" s="17"/>
      <c r="M715" s="17"/>
      <c r="N715" s="17"/>
      <c r="O715" s="15"/>
      <c r="P715" s="18"/>
      <c r="Q715" s="18"/>
      <c r="S715" s="15"/>
    </row>
    <row r="716" ht="14.25" customHeight="1">
      <c r="C716" s="17"/>
      <c r="D716" s="17"/>
      <c r="E716" s="24"/>
      <c r="F716" s="15"/>
      <c r="G716" s="15"/>
      <c r="H716" s="15"/>
      <c r="I716" s="4"/>
      <c r="J716" s="17"/>
      <c r="K716" s="17"/>
      <c r="L716" s="17"/>
      <c r="M716" s="17"/>
      <c r="N716" s="17"/>
      <c r="O716" s="15"/>
      <c r="P716" s="18"/>
      <c r="Q716" s="18"/>
      <c r="S716" s="15"/>
    </row>
    <row r="717" ht="14.25" customHeight="1">
      <c r="C717" s="17"/>
      <c r="D717" s="17"/>
      <c r="E717" s="24"/>
      <c r="F717" s="15"/>
      <c r="G717" s="15"/>
      <c r="H717" s="15"/>
      <c r="I717" s="4"/>
      <c r="J717" s="17"/>
      <c r="K717" s="17"/>
      <c r="L717" s="17"/>
      <c r="M717" s="17"/>
      <c r="N717" s="17"/>
      <c r="O717" s="15"/>
      <c r="P717" s="18"/>
      <c r="Q717" s="18"/>
      <c r="S717" s="15"/>
    </row>
    <row r="718" ht="14.25" customHeight="1">
      <c r="C718" s="17"/>
      <c r="D718" s="17"/>
      <c r="E718" s="24"/>
      <c r="F718" s="15"/>
      <c r="G718" s="15"/>
      <c r="H718" s="15"/>
      <c r="I718" s="4"/>
      <c r="J718" s="17"/>
      <c r="K718" s="17"/>
      <c r="L718" s="17"/>
      <c r="M718" s="17"/>
      <c r="N718" s="17"/>
      <c r="O718" s="15"/>
      <c r="P718" s="18"/>
      <c r="Q718" s="18"/>
      <c r="S718" s="15"/>
    </row>
    <row r="719" ht="14.25" customHeight="1">
      <c r="C719" s="17"/>
      <c r="D719" s="17"/>
      <c r="E719" s="24"/>
      <c r="F719" s="15"/>
      <c r="G719" s="15"/>
      <c r="H719" s="15"/>
      <c r="I719" s="4"/>
      <c r="J719" s="17"/>
      <c r="K719" s="17"/>
      <c r="L719" s="17"/>
      <c r="M719" s="17"/>
      <c r="N719" s="17"/>
      <c r="O719" s="15"/>
      <c r="P719" s="18"/>
      <c r="Q719" s="18"/>
      <c r="S719" s="15"/>
    </row>
    <row r="720" ht="14.25" customHeight="1">
      <c r="C720" s="17"/>
      <c r="D720" s="17"/>
      <c r="E720" s="24"/>
      <c r="F720" s="15"/>
      <c r="G720" s="15"/>
      <c r="H720" s="15"/>
      <c r="I720" s="4"/>
      <c r="J720" s="17"/>
      <c r="K720" s="17"/>
      <c r="L720" s="17"/>
      <c r="M720" s="17"/>
      <c r="N720" s="17"/>
      <c r="O720" s="15"/>
      <c r="P720" s="18"/>
      <c r="Q720" s="18"/>
      <c r="S720" s="15"/>
    </row>
    <row r="721" ht="14.25" customHeight="1">
      <c r="C721" s="17"/>
      <c r="D721" s="17"/>
      <c r="E721" s="24"/>
      <c r="F721" s="15"/>
      <c r="G721" s="15"/>
      <c r="H721" s="15"/>
      <c r="I721" s="4"/>
      <c r="J721" s="17"/>
      <c r="K721" s="17"/>
      <c r="L721" s="17"/>
      <c r="M721" s="17"/>
      <c r="N721" s="17"/>
      <c r="O721" s="15"/>
      <c r="P721" s="18"/>
      <c r="Q721" s="18"/>
      <c r="S721" s="15"/>
    </row>
    <row r="722" ht="14.25" customHeight="1">
      <c r="C722" s="17"/>
      <c r="D722" s="17"/>
      <c r="E722" s="24"/>
      <c r="F722" s="15"/>
      <c r="G722" s="15"/>
      <c r="H722" s="15"/>
      <c r="I722" s="4"/>
      <c r="J722" s="17"/>
      <c r="K722" s="17"/>
      <c r="L722" s="17"/>
      <c r="M722" s="17"/>
      <c r="N722" s="17"/>
      <c r="O722" s="15"/>
      <c r="P722" s="18"/>
      <c r="Q722" s="18"/>
      <c r="S722" s="15"/>
    </row>
    <row r="723" ht="14.25" customHeight="1">
      <c r="C723" s="17"/>
      <c r="D723" s="17"/>
      <c r="E723" s="24"/>
      <c r="F723" s="15"/>
      <c r="G723" s="15"/>
      <c r="H723" s="15"/>
      <c r="I723" s="4"/>
      <c r="J723" s="17"/>
      <c r="K723" s="17"/>
      <c r="L723" s="17"/>
      <c r="M723" s="17"/>
      <c r="N723" s="17"/>
      <c r="O723" s="15"/>
      <c r="P723" s="18"/>
      <c r="Q723" s="18"/>
      <c r="S723" s="15"/>
    </row>
    <row r="724" ht="14.25" customHeight="1">
      <c r="C724" s="17"/>
      <c r="D724" s="17"/>
      <c r="E724" s="24"/>
      <c r="F724" s="15"/>
      <c r="G724" s="15"/>
      <c r="H724" s="15"/>
      <c r="I724" s="4"/>
      <c r="J724" s="17"/>
      <c r="K724" s="17"/>
      <c r="L724" s="17"/>
      <c r="M724" s="17"/>
      <c r="N724" s="17"/>
      <c r="O724" s="15"/>
      <c r="P724" s="18"/>
      <c r="Q724" s="18"/>
      <c r="S724" s="15"/>
    </row>
    <row r="725" ht="14.25" customHeight="1">
      <c r="C725" s="17"/>
      <c r="D725" s="17"/>
      <c r="E725" s="24"/>
      <c r="F725" s="15"/>
      <c r="G725" s="15"/>
      <c r="H725" s="15"/>
      <c r="I725" s="4"/>
      <c r="J725" s="17"/>
      <c r="K725" s="17"/>
      <c r="L725" s="17"/>
      <c r="M725" s="17"/>
      <c r="N725" s="17"/>
      <c r="O725" s="15"/>
      <c r="P725" s="18"/>
      <c r="Q725" s="18"/>
      <c r="S725" s="15"/>
    </row>
    <row r="726" ht="14.25" customHeight="1">
      <c r="C726" s="17"/>
      <c r="D726" s="17"/>
      <c r="E726" s="24"/>
      <c r="F726" s="15"/>
      <c r="G726" s="15"/>
      <c r="H726" s="15"/>
      <c r="I726" s="4"/>
      <c r="J726" s="17"/>
      <c r="K726" s="17"/>
      <c r="L726" s="17"/>
      <c r="M726" s="17"/>
      <c r="N726" s="17"/>
      <c r="O726" s="15"/>
      <c r="P726" s="18"/>
      <c r="Q726" s="18"/>
      <c r="S726" s="15"/>
    </row>
    <row r="727" ht="14.25" customHeight="1">
      <c r="C727" s="17"/>
      <c r="D727" s="17"/>
      <c r="E727" s="24"/>
      <c r="F727" s="15"/>
      <c r="G727" s="15"/>
      <c r="H727" s="15"/>
      <c r="I727" s="4"/>
      <c r="J727" s="17"/>
      <c r="K727" s="17"/>
      <c r="L727" s="17"/>
      <c r="M727" s="17"/>
      <c r="N727" s="17"/>
      <c r="O727" s="15"/>
      <c r="P727" s="18"/>
      <c r="Q727" s="18"/>
      <c r="S727" s="15"/>
    </row>
    <row r="728" ht="14.25" customHeight="1">
      <c r="C728" s="17"/>
      <c r="D728" s="17"/>
      <c r="E728" s="24"/>
      <c r="F728" s="15"/>
      <c r="G728" s="15"/>
      <c r="H728" s="15"/>
      <c r="I728" s="4"/>
      <c r="J728" s="17"/>
      <c r="K728" s="17"/>
      <c r="L728" s="17"/>
      <c r="M728" s="17"/>
      <c r="N728" s="17"/>
      <c r="O728" s="15"/>
      <c r="P728" s="18"/>
      <c r="Q728" s="18"/>
      <c r="S728" s="15"/>
    </row>
    <row r="729" ht="14.25" customHeight="1">
      <c r="C729" s="17"/>
      <c r="D729" s="17"/>
      <c r="E729" s="24"/>
      <c r="F729" s="15"/>
      <c r="G729" s="15"/>
      <c r="H729" s="15"/>
      <c r="I729" s="4"/>
      <c r="J729" s="17"/>
      <c r="K729" s="17"/>
      <c r="L729" s="17"/>
      <c r="M729" s="17"/>
      <c r="N729" s="17"/>
      <c r="O729" s="15"/>
      <c r="P729" s="18"/>
      <c r="Q729" s="18"/>
      <c r="S729" s="15"/>
    </row>
    <row r="730" ht="14.25" customHeight="1">
      <c r="C730" s="17"/>
      <c r="D730" s="17"/>
      <c r="E730" s="24"/>
      <c r="F730" s="15"/>
      <c r="G730" s="15"/>
      <c r="H730" s="15"/>
      <c r="I730" s="4"/>
      <c r="J730" s="17"/>
      <c r="K730" s="17"/>
      <c r="L730" s="17"/>
      <c r="M730" s="17"/>
      <c r="N730" s="17"/>
      <c r="O730" s="15"/>
      <c r="P730" s="18"/>
      <c r="Q730" s="18"/>
      <c r="S730" s="15"/>
    </row>
    <row r="731" ht="14.25" customHeight="1">
      <c r="C731" s="17"/>
      <c r="D731" s="17"/>
      <c r="E731" s="24"/>
      <c r="F731" s="15"/>
      <c r="G731" s="15"/>
      <c r="H731" s="15"/>
      <c r="I731" s="4"/>
      <c r="J731" s="17"/>
      <c r="K731" s="17"/>
      <c r="L731" s="17"/>
      <c r="M731" s="17"/>
      <c r="N731" s="17"/>
      <c r="O731" s="15"/>
      <c r="P731" s="18"/>
      <c r="Q731" s="18"/>
      <c r="S731" s="15"/>
    </row>
    <row r="732" ht="14.25" customHeight="1">
      <c r="C732" s="17"/>
      <c r="D732" s="17"/>
      <c r="E732" s="24"/>
      <c r="F732" s="15"/>
      <c r="G732" s="15"/>
      <c r="H732" s="15"/>
      <c r="I732" s="4"/>
      <c r="J732" s="17"/>
      <c r="K732" s="17"/>
      <c r="L732" s="17"/>
      <c r="M732" s="17"/>
      <c r="N732" s="17"/>
      <c r="O732" s="15"/>
      <c r="P732" s="18"/>
      <c r="Q732" s="18"/>
      <c r="S732" s="15"/>
    </row>
    <row r="733" ht="14.25" customHeight="1">
      <c r="C733" s="17"/>
      <c r="D733" s="17"/>
      <c r="E733" s="24"/>
      <c r="F733" s="15"/>
      <c r="G733" s="15"/>
      <c r="H733" s="15"/>
      <c r="I733" s="4"/>
      <c r="J733" s="17"/>
      <c r="K733" s="17"/>
      <c r="L733" s="17"/>
      <c r="M733" s="17"/>
      <c r="N733" s="17"/>
      <c r="O733" s="15"/>
      <c r="P733" s="18"/>
      <c r="Q733" s="18"/>
      <c r="S733" s="15"/>
    </row>
    <row r="734" ht="14.25" customHeight="1">
      <c r="C734" s="17"/>
      <c r="D734" s="17"/>
      <c r="E734" s="24"/>
      <c r="F734" s="15"/>
      <c r="G734" s="15"/>
      <c r="H734" s="15"/>
      <c r="I734" s="4"/>
      <c r="J734" s="17"/>
      <c r="K734" s="17"/>
      <c r="L734" s="17"/>
      <c r="M734" s="17"/>
      <c r="N734" s="17"/>
      <c r="O734" s="15"/>
      <c r="P734" s="18"/>
      <c r="Q734" s="18"/>
      <c r="S734" s="15"/>
    </row>
    <row r="735" ht="14.25" customHeight="1">
      <c r="C735" s="17"/>
      <c r="D735" s="17"/>
      <c r="E735" s="24"/>
      <c r="F735" s="15"/>
      <c r="G735" s="15"/>
      <c r="H735" s="15"/>
      <c r="I735" s="4"/>
      <c r="J735" s="17"/>
      <c r="K735" s="17"/>
      <c r="L735" s="17"/>
      <c r="M735" s="17"/>
      <c r="N735" s="17"/>
      <c r="O735" s="15"/>
      <c r="P735" s="18"/>
      <c r="Q735" s="18"/>
      <c r="S735" s="15"/>
    </row>
    <row r="736" ht="14.25" customHeight="1">
      <c r="C736" s="17"/>
      <c r="D736" s="17"/>
      <c r="E736" s="24"/>
      <c r="F736" s="15"/>
      <c r="G736" s="15"/>
      <c r="H736" s="15"/>
      <c r="I736" s="4"/>
      <c r="J736" s="17"/>
      <c r="K736" s="17"/>
      <c r="L736" s="17"/>
      <c r="M736" s="17"/>
      <c r="N736" s="17"/>
      <c r="O736" s="15"/>
      <c r="P736" s="18"/>
      <c r="Q736" s="18"/>
      <c r="S736" s="15"/>
    </row>
    <row r="737" ht="14.25" customHeight="1">
      <c r="C737" s="17"/>
      <c r="D737" s="17"/>
      <c r="E737" s="24"/>
      <c r="F737" s="15"/>
      <c r="G737" s="15"/>
      <c r="H737" s="15"/>
      <c r="I737" s="4"/>
      <c r="J737" s="17"/>
      <c r="K737" s="17"/>
      <c r="L737" s="17"/>
      <c r="M737" s="17"/>
      <c r="N737" s="17"/>
      <c r="O737" s="15"/>
      <c r="P737" s="18"/>
      <c r="Q737" s="18"/>
      <c r="S737" s="15"/>
    </row>
    <row r="738" ht="14.25" customHeight="1">
      <c r="C738" s="17"/>
      <c r="D738" s="17"/>
      <c r="E738" s="24"/>
      <c r="F738" s="15"/>
      <c r="G738" s="15"/>
      <c r="H738" s="15"/>
      <c r="I738" s="4"/>
      <c r="J738" s="17"/>
      <c r="K738" s="17"/>
      <c r="L738" s="17"/>
      <c r="M738" s="17"/>
      <c r="N738" s="17"/>
      <c r="O738" s="15"/>
      <c r="P738" s="18"/>
      <c r="Q738" s="18"/>
      <c r="S738" s="15"/>
    </row>
    <row r="739" ht="14.25" customHeight="1">
      <c r="C739" s="17"/>
      <c r="D739" s="17"/>
      <c r="E739" s="24"/>
      <c r="F739" s="15"/>
      <c r="G739" s="15"/>
      <c r="H739" s="15"/>
      <c r="I739" s="4"/>
      <c r="J739" s="17"/>
      <c r="K739" s="17"/>
      <c r="L739" s="17"/>
      <c r="M739" s="17"/>
      <c r="N739" s="17"/>
      <c r="O739" s="15"/>
      <c r="P739" s="18"/>
      <c r="Q739" s="18"/>
      <c r="S739" s="15"/>
    </row>
    <row r="740" ht="14.25" customHeight="1">
      <c r="C740" s="17"/>
      <c r="D740" s="17"/>
      <c r="E740" s="24"/>
      <c r="F740" s="15"/>
      <c r="G740" s="15"/>
      <c r="H740" s="15"/>
      <c r="I740" s="4"/>
      <c r="J740" s="17"/>
      <c r="K740" s="17"/>
      <c r="L740" s="17"/>
      <c r="M740" s="17"/>
      <c r="N740" s="17"/>
      <c r="O740" s="15"/>
      <c r="P740" s="18"/>
      <c r="Q740" s="18"/>
      <c r="S740" s="15"/>
    </row>
    <row r="741" ht="14.25" customHeight="1">
      <c r="C741" s="17"/>
      <c r="D741" s="17"/>
      <c r="E741" s="24"/>
      <c r="F741" s="15"/>
      <c r="G741" s="15"/>
      <c r="H741" s="15"/>
      <c r="I741" s="4"/>
      <c r="J741" s="17"/>
      <c r="K741" s="17"/>
      <c r="L741" s="17"/>
      <c r="M741" s="17"/>
      <c r="N741" s="17"/>
      <c r="O741" s="15"/>
      <c r="P741" s="18"/>
      <c r="Q741" s="18"/>
      <c r="S741" s="15"/>
    </row>
    <row r="742" ht="14.25" customHeight="1">
      <c r="C742" s="17"/>
      <c r="D742" s="17"/>
      <c r="E742" s="24"/>
      <c r="F742" s="15"/>
      <c r="G742" s="15"/>
      <c r="H742" s="15"/>
      <c r="I742" s="4"/>
      <c r="J742" s="17"/>
      <c r="K742" s="17"/>
      <c r="L742" s="17"/>
      <c r="M742" s="17"/>
      <c r="N742" s="17"/>
      <c r="O742" s="15"/>
      <c r="P742" s="18"/>
      <c r="Q742" s="18"/>
      <c r="S742" s="15"/>
    </row>
    <row r="743" ht="14.25" customHeight="1">
      <c r="C743" s="17"/>
      <c r="D743" s="17"/>
      <c r="E743" s="24"/>
      <c r="F743" s="15"/>
      <c r="G743" s="15"/>
      <c r="H743" s="15"/>
      <c r="I743" s="4"/>
      <c r="J743" s="17"/>
      <c r="K743" s="17"/>
      <c r="L743" s="17"/>
      <c r="M743" s="17"/>
      <c r="N743" s="17"/>
      <c r="O743" s="15"/>
      <c r="P743" s="18"/>
      <c r="Q743" s="18"/>
      <c r="S743" s="15"/>
    </row>
    <row r="744" ht="14.25" customHeight="1">
      <c r="C744" s="17"/>
      <c r="D744" s="17"/>
      <c r="E744" s="24"/>
      <c r="F744" s="15"/>
      <c r="G744" s="15"/>
      <c r="H744" s="15"/>
      <c r="I744" s="4"/>
      <c r="J744" s="17"/>
      <c r="K744" s="17"/>
      <c r="L744" s="17"/>
      <c r="M744" s="17"/>
      <c r="N744" s="17"/>
      <c r="O744" s="15"/>
      <c r="P744" s="18"/>
      <c r="Q744" s="18"/>
      <c r="S744" s="15"/>
    </row>
    <row r="745" ht="14.25" customHeight="1">
      <c r="C745" s="17"/>
      <c r="D745" s="17"/>
      <c r="E745" s="24"/>
      <c r="F745" s="15"/>
      <c r="G745" s="15"/>
      <c r="H745" s="15"/>
      <c r="I745" s="4"/>
      <c r="J745" s="17"/>
      <c r="K745" s="17"/>
      <c r="L745" s="17"/>
      <c r="M745" s="17"/>
      <c r="N745" s="17"/>
      <c r="O745" s="15"/>
      <c r="P745" s="18"/>
      <c r="Q745" s="18"/>
      <c r="S745" s="15"/>
    </row>
    <row r="746" ht="14.25" customHeight="1">
      <c r="C746" s="17"/>
      <c r="D746" s="17"/>
      <c r="E746" s="24"/>
      <c r="F746" s="15"/>
      <c r="G746" s="15"/>
      <c r="H746" s="15"/>
      <c r="I746" s="4"/>
      <c r="J746" s="17"/>
      <c r="K746" s="17"/>
      <c r="L746" s="17"/>
      <c r="M746" s="17"/>
      <c r="N746" s="17"/>
      <c r="O746" s="15"/>
      <c r="P746" s="18"/>
      <c r="Q746" s="18"/>
      <c r="S746" s="15"/>
    </row>
    <row r="747" ht="14.25" customHeight="1">
      <c r="C747" s="17"/>
      <c r="D747" s="17"/>
      <c r="E747" s="24"/>
      <c r="F747" s="15"/>
      <c r="G747" s="15"/>
      <c r="H747" s="15"/>
      <c r="I747" s="4"/>
      <c r="J747" s="17"/>
      <c r="K747" s="17"/>
      <c r="L747" s="17"/>
      <c r="M747" s="17"/>
      <c r="N747" s="17"/>
      <c r="O747" s="15"/>
      <c r="P747" s="18"/>
      <c r="Q747" s="18"/>
      <c r="S747" s="15"/>
    </row>
    <row r="748" ht="14.25" customHeight="1">
      <c r="C748" s="17"/>
      <c r="D748" s="17"/>
      <c r="E748" s="24"/>
      <c r="F748" s="15"/>
      <c r="G748" s="15"/>
      <c r="H748" s="15"/>
      <c r="I748" s="4"/>
      <c r="J748" s="17"/>
      <c r="K748" s="17"/>
      <c r="L748" s="17"/>
      <c r="M748" s="17"/>
      <c r="N748" s="17"/>
      <c r="O748" s="15"/>
      <c r="P748" s="18"/>
      <c r="Q748" s="18"/>
      <c r="S748" s="15"/>
    </row>
    <row r="749" ht="14.25" customHeight="1">
      <c r="C749" s="17"/>
      <c r="D749" s="17"/>
      <c r="E749" s="24"/>
      <c r="F749" s="15"/>
      <c r="G749" s="15"/>
      <c r="H749" s="15"/>
      <c r="I749" s="4"/>
      <c r="J749" s="17"/>
      <c r="K749" s="17"/>
      <c r="L749" s="17"/>
      <c r="M749" s="17"/>
      <c r="N749" s="17"/>
      <c r="O749" s="15"/>
      <c r="P749" s="18"/>
      <c r="Q749" s="18"/>
      <c r="S749" s="15"/>
    </row>
    <row r="750" ht="14.25" customHeight="1">
      <c r="C750" s="17"/>
      <c r="D750" s="17"/>
      <c r="E750" s="24"/>
      <c r="F750" s="15"/>
      <c r="G750" s="15"/>
      <c r="H750" s="15"/>
      <c r="I750" s="4"/>
      <c r="J750" s="17"/>
      <c r="K750" s="17"/>
      <c r="L750" s="17"/>
      <c r="M750" s="17"/>
      <c r="N750" s="17"/>
      <c r="O750" s="15"/>
      <c r="P750" s="18"/>
      <c r="Q750" s="18"/>
      <c r="S750" s="15"/>
    </row>
    <row r="751" ht="14.25" customHeight="1">
      <c r="C751" s="17"/>
      <c r="D751" s="17"/>
      <c r="E751" s="24"/>
      <c r="F751" s="15"/>
      <c r="G751" s="15"/>
      <c r="H751" s="15"/>
      <c r="I751" s="4"/>
      <c r="J751" s="17"/>
      <c r="K751" s="17"/>
      <c r="L751" s="17"/>
      <c r="M751" s="17"/>
      <c r="N751" s="17"/>
      <c r="O751" s="15"/>
      <c r="P751" s="18"/>
      <c r="Q751" s="18"/>
      <c r="S751" s="15"/>
    </row>
    <row r="752" ht="14.25" customHeight="1">
      <c r="C752" s="17"/>
      <c r="D752" s="17"/>
      <c r="E752" s="24"/>
      <c r="F752" s="15"/>
      <c r="G752" s="15"/>
      <c r="H752" s="15"/>
      <c r="I752" s="4"/>
      <c r="J752" s="17"/>
      <c r="K752" s="17"/>
      <c r="L752" s="17"/>
      <c r="M752" s="17"/>
      <c r="N752" s="17"/>
      <c r="O752" s="15"/>
      <c r="P752" s="18"/>
      <c r="Q752" s="18"/>
      <c r="S752" s="15"/>
    </row>
    <row r="753" ht="14.25" customHeight="1">
      <c r="C753" s="17"/>
      <c r="D753" s="17"/>
      <c r="E753" s="24"/>
      <c r="F753" s="15"/>
      <c r="G753" s="15"/>
      <c r="H753" s="15"/>
      <c r="I753" s="4"/>
      <c r="J753" s="17"/>
      <c r="K753" s="17"/>
      <c r="L753" s="17"/>
      <c r="M753" s="17"/>
      <c r="N753" s="17"/>
      <c r="O753" s="15"/>
      <c r="P753" s="18"/>
      <c r="Q753" s="18"/>
      <c r="S753" s="15"/>
    </row>
    <row r="754" ht="14.25" customHeight="1">
      <c r="C754" s="17"/>
      <c r="D754" s="17"/>
      <c r="E754" s="24"/>
      <c r="F754" s="15"/>
      <c r="G754" s="15"/>
      <c r="H754" s="15"/>
      <c r="I754" s="4"/>
      <c r="J754" s="17"/>
      <c r="K754" s="17"/>
      <c r="L754" s="17"/>
      <c r="M754" s="17"/>
      <c r="N754" s="17"/>
      <c r="O754" s="15"/>
      <c r="P754" s="18"/>
      <c r="Q754" s="18"/>
      <c r="S754" s="15"/>
    </row>
    <row r="755" ht="14.25" customHeight="1">
      <c r="C755" s="17"/>
      <c r="D755" s="17"/>
      <c r="E755" s="24"/>
      <c r="F755" s="15"/>
      <c r="G755" s="15"/>
      <c r="H755" s="15"/>
      <c r="I755" s="4"/>
      <c r="J755" s="17"/>
      <c r="K755" s="17"/>
      <c r="L755" s="17"/>
      <c r="M755" s="17"/>
      <c r="N755" s="17"/>
      <c r="O755" s="15"/>
      <c r="P755" s="18"/>
      <c r="Q755" s="18"/>
      <c r="S755" s="15"/>
    </row>
    <row r="756" ht="14.25" customHeight="1">
      <c r="C756" s="17"/>
      <c r="D756" s="17"/>
      <c r="E756" s="24"/>
      <c r="F756" s="15"/>
      <c r="G756" s="15"/>
      <c r="H756" s="15"/>
      <c r="I756" s="4"/>
      <c r="J756" s="17"/>
      <c r="K756" s="17"/>
      <c r="L756" s="17"/>
      <c r="M756" s="17"/>
      <c r="N756" s="17"/>
      <c r="O756" s="15"/>
      <c r="P756" s="18"/>
      <c r="Q756" s="18"/>
      <c r="S756" s="15"/>
    </row>
    <row r="757" ht="14.25" customHeight="1">
      <c r="C757" s="17"/>
      <c r="D757" s="17"/>
      <c r="E757" s="24"/>
      <c r="F757" s="15"/>
      <c r="G757" s="15"/>
      <c r="H757" s="15"/>
      <c r="I757" s="4"/>
      <c r="J757" s="17"/>
      <c r="K757" s="17"/>
      <c r="L757" s="17"/>
      <c r="M757" s="17"/>
      <c r="N757" s="17"/>
      <c r="O757" s="15"/>
      <c r="P757" s="18"/>
      <c r="Q757" s="18"/>
      <c r="S757" s="15"/>
    </row>
    <row r="758" ht="14.25" customHeight="1">
      <c r="C758" s="17"/>
      <c r="D758" s="17"/>
      <c r="E758" s="24"/>
      <c r="F758" s="15"/>
      <c r="G758" s="15"/>
      <c r="H758" s="15"/>
      <c r="I758" s="4"/>
      <c r="J758" s="17"/>
      <c r="K758" s="17"/>
      <c r="L758" s="17"/>
      <c r="M758" s="17"/>
      <c r="N758" s="17"/>
      <c r="O758" s="15"/>
      <c r="P758" s="18"/>
      <c r="Q758" s="18"/>
      <c r="S758" s="15"/>
    </row>
    <row r="759" ht="14.25" customHeight="1">
      <c r="C759" s="17"/>
      <c r="D759" s="17"/>
      <c r="E759" s="24"/>
      <c r="F759" s="15"/>
      <c r="G759" s="15"/>
      <c r="H759" s="15"/>
      <c r="I759" s="4"/>
      <c r="J759" s="17"/>
      <c r="K759" s="17"/>
      <c r="L759" s="17"/>
      <c r="M759" s="17"/>
      <c r="N759" s="17"/>
      <c r="O759" s="15"/>
      <c r="P759" s="18"/>
      <c r="Q759" s="18"/>
      <c r="S759" s="15"/>
    </row>
    <row r="760" ht="14.25" customHeight="1">
      <c r="C760" s="17"/>
      <c r="D760" s="17"/>
      <c r="E760" s="24"/>
      <c r="F760" s="15"/>
      <c r="G760" s="15"/>
      <c r="H760" s="15"/>
      <c r="I760" s="4"/>
      <c r="J760" s="17"/>
      <c r="K760" s="17"/>
      <c r="L760" s="17"/>
      <c r="M760" s="17"/>
      <c r="N760" s="17"/>
      <c r="O760" s="15"/>
      <c r="P760" s="18"/>
      <c r="Q760" s="18"/>
      <c r="S760" s="15"/>
    </row>
    <row r="761" ht="14.25" customHeight="1">
      <c r="C761" s="17"/>
      <c r="D761" s="17"/>
      <c r="E761" s="24"/>
      <c r="F761" s="15"/>
      <c r="G761" s="15"/>
      <c r="H761" s="15"/>
      <c r="I761" s="4"/>
      <c r="J761" s="17"/>
      <c r="K761" s="17"/>
      <c r="L761" s="17"/>
      <c r="M761" s="17"/>
      <c r="N761" s="17"/>
      <c r="O761" s="15"/>
      <c r="P761" s="18"/>
      <c r="Q761" s="18"/>
      <c r="S761" s="15"/>
    </row>
    <row r="762" ht="14.25" customHeight="1">
      <c r="C762" s="17"/>
      <c r="D762" s="17"/>
      <c r="E762" s="24"/>
      <c r="F762" s="15"/>
      <c r="G762" s="15"/>
      <c r="H762" s="15"/>
      <c r="I762" s="4"/>
      <c r="J762" s="17"/>
      <c r="K762" s="17"/>
      <c r="L762" s="17"/>
      <c r="M762" s="17"/>
      <c r="N762" s="17"/>
      <c r="O762" s="15"/>
      <c r="P762" s="18"/>
      <c r="Q762" s="18"/>
      <c r="S762" s="15"/>
    </row>
    <row r="763" ht="14.25" customHeight="1">
      <c r="C763" s="17"/>
      <c r="D763" s="17"/>
      <c r="E763" s="24"/>
      <c r="F763" s="15"/>
      <c r="G763" s="15"/>
      <c r="H763" s="15"/>
      <c r="I763" s="4"/>
      <c r="J763" s="17"/>
      <c r="K763" s="17"/>
      <c r="L763" s="17"/>
      <c r="M763" s="17"/>
      <c r="N763" s="17"/>
      <c r="O763" s="15"/>
      <c r="P763" s="18"/>
      <c r="Q763" s="18"/>
      <c r="S763" s="15"/>
    </row>
    <row r="764" ht="14.25" customHeight="1">
      <c r="C764" s="17"/>
      <c r="D764" s="17"/>
      <c r="E764" s="24"/>
      <c r="F764" s="15"/>
      <c r="G764" s="15"/>
      <c r="H764" s="15"/>
      <c r="I764" s="4"/>
      <c r="J764" s="17"/>
      <c r="K764" s="17"/>
      <c r="L764" s="17"/>
      <c r="M764" s="17"/>
      <c r="N764" s="17"/>
      <c r="O764" s="15"/>
      <c r="P764" s="18"/>
      <c r="Q764" s="18"/>
      <c r="S764" s="15"/>
    </row>
    <row r="765" ht="14.25" customHeight="1">
      <c r="C765" s="17"/>
      <c r="D765" s="17"/>
      <c r="E765" s="24"/>
      <c r="F765" s="15"/>
      <c r="G765" s="15"/>
      <c r="H765" s="15"/>
      <c r="I765" s="4"/>
      <c r="J765" s="17"/>
      <c r="K765" s="17"/>
      <c r="L765" s="17"/>
      <c r="M765" s="17"/>
      <c r="N765" s="17"/>
      <c r="O765" s="15"/>
      <c r="P765" s="18"/>
      <c r="Q765" s="18"/>
      <c r="S765" s="15"/>
    </row>
    <row r="766" ht="14.25" customHeight="1">
      <c r="C766" s="17"/>
      <c r="D766" s="17"/>
      <c r="E766" s="24"/>
      <c r="F766" s="15"/>
      <c r="G766" s="15"/>
      <c r="H766" s="15"/>
      <c r="I766" s="4"/>
      <c r="J766" s="17"/>
      <c r="K766" s="17"/>
      <c r="L766" s="17"/>
      <c r="M766" s="17"/>
      <c r="N766" s="17"/>
      <c r="O766" s="15"/>
      <c r="P766" s="18"/>
      <c r="Q766" s="18"/>
      <c r="S766" s="15"/>
    </row>
    <row r="767" ht="14.25" customHeight="1">
      <c r="C767" s="17"/>
      <c r="D767" s="17"/>
      <c r="E767" s="24"/>
      <c r="F767" s="15"/>
      <c r="G767" s="15"/>
      <c r="H767" s="15"/>
      <c r="I767" s="4"/>
      <c r="J767" s="17"/>
      <c r="K767" s="17"/>
      <c r="L767" s="17"/>
      <c r="M767" s="17"/>
      <c r="N767" s="17"/>
      <c r="O767" s="15"/>
      <c r="P767" s="18"/>
      <c r="Q767" s="18"/>
      <c r="S767" s="15"/>
    </row>
    <row r="768" ht="14.25" customHeight="1">
      <c r="C768" s="17"/>
      <c r="D768" s="17"/>
      <c r="E768" s="24"/>
      <c r="F768" s="15"/>
      <c r="G768" s="15"/>
      <c r="H768" s="15"/>
      <c r="I768" s="4"/>
      <c r="J768" s="17"/>
      <c r="K768" s="17"/>
      <c r="L768" s="17"/>
      <c r="M768" s="17"/>
      <c r="N768" s="17"/>
      <c r="O768" s="15"/>
      <c r="P768" s="18"/>
      <c r="Q768" s="18"/>
      <c r="S768" s="15"/>
    </row>
    <row r="769" ht="14.25" customHeight="1">
      <c r="C769" s="17"/>
      <c r="D769" s="17"/>
      <c r="E769" s="24"/>
      <c r="F769" s="15"/>
      <c r="G769" s="15"/>
      <c r="H769" s="15"/>
      <c r="I769" s="4"/>
      <c r="J769" s="17"/>
      <c r="K769" s="17"/>
      <c r="L769" s="17"/>
      <c r="M769" s="17"/>
      <c r="N769" s="17"/>
      <c r="O769" s="15"/>
      <c r="P769" s="18"/>
      <c r="Q769" s="18"/>
      <c r="S769" s="15"/>
    </row>
    <row r="770" ht="14.25" customHeight="1">
      <c r="C770" s="17"/>
      <c r="D770" s="17"/>
      <c r="E770" s="24"/>
      <c r="F770" s="15"/>
      <c r="G770" s="15"/>
      <c r="H770" s="15"/>
      <c r="I770" s="4"/>
      <c r="J770" s="17"/>
      <c r="K770" s="17"/>
      <c r="L770" s="17"/>
      <c r="M770" s="17"/>
      <c r="N770" s="17"/>
      <c r="O770" s="15"/>
      <c r="P770" s="18"/>
      <c r="Q770" s="18"/>
      <c r="S770" s="15"/>
    </row>
    <row r="771" ht="14.25" customHeight="1">
      <c r="C771" s="17"/>
      <c r="D771" s="17"/>
      <c r="E771" s="24"/>
      <c r="F771" s="15"/>
      <c r="G771" s="15"/>
      <c r="H771" s="15"/>
      <c r="I771" s="4"/>
      <c r="J771" s="17"/>
      <c r="K771" s="17"/>
      <c r="L771" s="17"/>
      <c r="M771" s="17"/>
      <c r="N771" s="17"/>
      <c r="O771" s="15"/>
      <c r="P771" s="18"/>
      <c r="Q771" s="18"/>
      <c r="S771" s="15"/>
    </row>
    <row r="772" ht="14.25" customHeight="1">
      <c r="C772" s="17"/>
      <c r="D772" s="17"/>
      <c r="E772" s="24"/>
      <c r="F772" s="15"/>
      <c r="G772" s="15"/>
      <c r="H772" s="15"/>
      <c r="I772" s="4"/>
      <c r="J772" s="17"/>
      <c r="K772" s="17"/>
      <c r="L772" s="17"/>
      <c r="M772" s="17"/>
      <c r="N772" s="17"/>
      <c r="O772" s="15"/>
      <c r="P772" s="18"/>
      <c r="Q772" s="18"/>
      <c r="S772" s="15"/>
    </row>
    <row r="773" ht="14.25" customHeight="1">
      <c r="C773" s="17"/>
      <c r="D773" s="17"/>
      <c r="E773" s="24"/>
      <c r="F773" s="15"/>
      <c r="G773" s="15"/>
      <c r="H773" s="15"/>
      <c r="I773" s="4"/>
      <c r="J773" s="17"/>
      <c r="K773" s="17"/>
      <c r="L773" s="17"/>
      <c r="M773" s="17"/>
      <c r="N773" s="17"/>
      <c r="O773" s="15"/>
      <c r="P773" s="18"/>
      <c r="Q773" s="18"/>
      <c r="S773" s="15"/>
    </row>
    <row r="774" ht="14.25" customHeight="1">
      <c r="C774" s="17"/>
      <c r="D774" s="17"/>
      <c r="E774" s="24"/>
      <c r="F774" s="15"/>
      <c r="G774" s="15"/>
      <c r="H774" s="15"/>
      <c r="I774" s="4"/>
      <c r="J774" s="17"/>
      <c r="K774" s="17"/>
      <c r="L774" s="17"/>
      <c r="M774" s="17"/>
      <c r="N774" s="17"/>
      <c r="O774" s="15"/>
      <c r="P774" s="18"/>
      <c r="Q774" s="18"/>
      <c r="S774" s="15"/>
    </row>
    <row r="775" ht="14.25" customHeight="1">
      <c r="C775" s="17"/>
      <c r="D775" s="17"/>
      <c r="E775" s="24"/>
      <c r="F775" s="15"/>
      <c r="G775" s="15"/>
      <c r="H775" s="15"/>
      <c r="I775" s="4"/>
      <c r="J775" s="17"/>
      <c r="K775" s="17"/>
      <c r="L775" s="17"/>
      <c r="M775" s="17"/>
      <c r="N775" s="17"/>
      <c r="O775" s="15"/>
      <c r="P775" s="18"/>
      <c r="Q775" s="18"/>
      <c r="S775" s="15"/>
    </row>
    <row r="776" ht="14.25" customHeight="1">
      <c r="C776" s="17"/>
      <c r="D776" s="17"/>
      <c r="E776" s="24"/>
      <c r="F776" s="15"/>
      <c r="G776" s="15"/>
      <c r="H776" s="15"/>
      <c r="I776" s="4"/>
      <c r="J776" s="17"/>
      <c r="K776" s="17"/>
      <c r="L776" s="17"/>
      <c r="M776" s="17"/>
      <c r="N776" s="17"/>
      <c r="O776" s="15"/>
      <c r="P776" s="18"/>
      <c r="Q776" s="18"/>
      <c r="S776" s="15"/>
    </row>
    <row r="777" ht="14.25" customHeight="1">
      <c r="C777" s="17"/>
      <c r="D777" s="17"/>
      <c r="E777" s="24"/>
      <c r="F777" s="15"/>
      <c r="G777" s="15"/>
      <c r="H777" s="15"/>
      <c r="I777" s="4"/>
      <c r="J777" s="17"/>
      <c r="K777" s="17"/>
      <c r="L777" s="17"/>
      <c r="M777" s="17"/>
      <c r="N777" s="17"/>
      <c r="O777" s="15"/>
      <c r="P777" s="18"/>
      <c r="Q777" s="18"/>
      <c r="S777" s="15"/>
    </row>
    <row r="778" ht="14.25" customHeight="1">
      <c r="C778" s="17"/>
      <c r="D778" s="17"/>
      <c r="E778" s="24"/>
      <c r="F778" s="15"/>
      <c r="G778" s="15"/>
      <c r="H778" s="15"/>
      <c r="I778" s="4"/>
      <c r="J778" s="17"/>
      <c r="K778" s="17"/>
      <c r="L778" s="17"/>
      <c r="M778" s="17"/>
      <c r="N778" s="17"/>
      <c r="O778" s="15"/>
      <c r="P778" s="18"/>
      <c r="Q778" s="18"/>
      <c r="S778" s="15"/>
    </row>
    <row r="779" ht="14.25" customHeight="1">
      <c r="C779" s="17"/>
      <c r="D779" s="17"/>
      <c r="E779" s="24"/>
      <c r="F779" s="15"/>
      <c r="G779" s="15"/>
      <c r="H779" s="15"/>
      <c r="I779" s="4"/>
      <c r="J779" s="17"/>
      <c r="K779" s="17"/>
      <c r="L779" s="17"/>
      <c r="M779" s="17"/>
      <c r="N779" s="17"/>
      <c r="O779" s="15"/>
      <c r="P779" s="18"/>
      <c r="Q779" s="18"/>
      <c r="S779" s="15"/>
    </row>
    <row r="780" ht="14.25" customHeight="1">
      <c r="C780" s="17"/>
      <c r="D780" s="17"/>
      <c r="E780" s="24"/>
      <c r="F780" s="15"/>
      <c r="G780" s="15"/>
      <c r="H780" s="15"/>
      <c r="I780" s="4"/>
      <c r="J780" s="17"/>
      <c r="K780" s="17"/>
      <c r="L780" s="17"/>
      <c r="M780" s="17"/>
      <c r="N780" s="17"/>
      <c r="O780" s="15"/>
      <c r="P780" s="18"/>
      <c r="Q780" s="18"/>
      <c r="S780" s="15"/>
    </row>
    <row r="781" ht="14.25" customHeight="1">
      <c r="C781" s="17"/>
      <c r="D781" s="17"/>
      <c r="E781" s="24"/>
      <c r="F781" s="15"/>
      <c r="G781" s="15"/>
      <c r="H781" s="15"/>
      <c r="I781" s="4"/>
      <c r="J781" s="17"/>
      <c r="K781" s="17"/>
      <c r="L781" s="17"/>
      <c r="M781" s="17"/>
      <c r="N781" s="17"/>
      <c r="O781" s="15"/>
      <c r="P781" s="18"/>
      <c r="Q781" s="18"/>
      <c r="S781" s="15"/>
    </row>
    <row r="782" ht="14.25" customHeight="1">
      <c r="C782" s="17"/>
      <c r="D782" s="17"/>
      <c r="E782" s="24"/>
      <c r="F782" s="15"/>
      <c r="G782" s="15"/>
      <c r="H782" s="15"/>
      <c r="I782" s="4"/>
      <c r="J782" s="17"/>
      <c r="K782" s="17"/>
      <c r="L782" s="17"/>
      <c r="M782" s="17"/>
      <c r="N782" s="17"/>
      <c r="O782" s="15"/>
      <c r="P782" s="18"/>
      <c r="Q782" s="18"/>
      <c r="S782" s="15"/>
    </row>
    <row r="783" ht="14.25" customHeight="1">
      <c r="C783" s="17"/>
      <c r="D783" s="17"/>
      <c r="E783" s="24"/>
      <c r="F783" s="15"/>
      <c r="G783" s="15"/>
      <c r="H783" s="15"/>
      <c r="I783" s="4"/>
      <c r="J783" s="17"/>
      <c r="K783" s="17"/>
      <c r="L783" s="17"/>
      <c r="M783" s="17"/>
      <c r="N783" s="17"/>
      <c r="O783" s="15"/>
      <c r="P783" s="18"/>
      <c r="Q783" s="18"/>
      <c r="S783" s="15"/>
    </row>
    <row r="784" ht="14.25" customHeight="1">
      <c r="C784" s="17"/>
      <c r="D784" s="17"/>
      <c r="E784" s="24"/>
      <c r="F784" s="15"/>
      <c r="G784" s="15"/>
      <c r="H784" s="15"/>
      <c r="I784" s="4"/>
      <c r="J784" s="17"/>
      <c r="K784" s="17"/>
      <c r="L784" s="17"/>
      <c r="M784" s="17"/>
      <c r="N784" s="17"/>
      <c r="O784" s="15"/>
      <c r="P784" s="18"/>
      <c r="Q784" s="18"/>
      <c r="S784" s="15"/>
    </row>
    <row r="785" ht="14.25" customHeight="1">
      <c r="C785" s="17"/>
      <c r="D785" s="17"/>
      <c r="E785" s="24"/>
      <c r="F785" s="15"/>
      <c r="G785" s="15"/>
      <c r="H785" s="15"/>
      <c r="I785" s="4"/>
      <c r="J785" s="17"/>
      <c r="K785" s="17"/>
      <c r="L785" s="17"/>
      <c r="M785" s="17"/>
      <c r="N785" s="17"/>
      <c r="O785" s="15"/>
      <c r="P785" s="18"/>
      <c r="Q785" s="18"/>
      <c r="S785" s="15"/>
    </row>
    <row r="786" ht="14.25" customHeight="1">
      <c r="C786" s="17"/>
      <c r="D786" s="17"/>
      <c r="E786" s="24"/>
      <c r="F786" s="15"/>
      <c r="G786" s="15"/>
      <c r="H786" s="15"/>
      <c r="I786" s="4"/>
      <c r="J786" s="17"/>
      <c r="K786" s="17"/>
      <c r="L786" s="17"/>
      <c r="M786" s="17"/>
      <c r="N786" s="17"/>
      <c r="O786" s="15"/>
      <c r="P786" s="18"/>
      <c r="Q786" s="18"/>
      <c r="S786" s="15"/>
    </row>
    <row r="787" ht="14.25" customHeight="1">
      <c r="C787" s="17"/>
      <c r="D787" s="17"/>
      <c r="E787" s="24"/>
      <c r="F787" s="15"/>
      <c r="G787" s="15"/>
      <c r="H787" s="15"/>
      <c r="I787" s="4"/>
      <c r="J787" s="17"/>
      <c r="K787" s="17"/>
      <c r="L787" s="17"/>
      <c r="M787" s="17"/>
      <c r="N787" s="17"/>
      <c r="O787" s="15"/>
      <c r="P787" s="18"/>
      <c r="Q787" s="18"/>
      <c r="S787" s="15"/>
    </row>
    <row r="788" ht="14.25" customHeight="1">
      <c r="C788" s="17"/>
      <c r="D788" s="17"/>
      <c r="E788" s="24"/>
      <c r="F788" s="15"/>
      <c r="G788" s="15"/>
      <c r="H788" s="15"/>
      <c r="I788" s="4"/>
      <c r="J788" s="17"/>
      <c r="K788" s="17"/>
      <c r="L788" s="17"/>
      <c r="M788" s="17"/>
      <c r="N788" s="17"/>
      <c r="O788" s="15"/>
      <c r="P788" s="18"/>
      <c r="Q788" s="18"/>
      <c r="S788" s="15"/>
    </row>
    <row r="789" ht="14.25" customHeight="1">
      <c r="C789" s="17"/>
      <c r="D789" s="17"/>
      <c r="E789" s="24"/>
      <c r="F789" s="15"/>
      <c r="G789" s="15"/>
      <c r="H789" s="15"/>
      <c r="I789" s="4"/>
      <c r="J789" s="17"/>
      <c r="K789" s="17"/>
      <c r="L789" s="17"/>
      <c r="M789" s="17"/>
      <c r="N789" s="17"/>
      <c r="O789" s="15"/>
      <c r="P789" s="18"/>
      <c r="Q789" s="18"/>
      <c r="S789" s="15"/>
    </row>
    <row r="790" ht="14.25" customHeight="1">
      <c r="C790" s="17"/>
      <c r="D790" s="17"/>
      <c r="E790" s="24"/>
      <c r="F790" s="15"/>
      <c r="G790" s="15"/>
      <c r="H790" s="15"/>
      <c r="I790" s="4"/>
      <c r="J790" s="17"/>
      <c r="K790" s="17"/>
      <c r="L790" s="17"/>
      <c r="M790" s="17"/>
      <c r="N790" s="17"/>
      <c r="O790" s="15"/>
      <c r="P790" s="18"/>
      <c r="Q790" s="18"/>
      <c r="S790" s="15"/>
    </row>
    <row r="791" ht="14.25" customHeight="1">
      <c r="C791" s="17"/>
      <c r="D791" s="17"/>
      <c r="E791" s="24"/>
      <c r="F791" s="15"/>
      <c r="G791" s="15"/>
      <c r="H791" s="15"/>
      <c r="I791" s="4"/>
      <c r="J791" s="17"/>
      <c r="K791" s="17"/>
      <c r="L791" s="17"/>
      <c r="M791" s="17"/>
      <c r="N791" s="17"/>
      <c r="O791" s="15"/>
      <c r="P791" s="18"/>
      <c r="Q791" s="18"/>
      <c r="S791" s="15"/>
    </row>
    <row r="792" ht="14.25" customHeight="1">
      <c r="C792" s="17"/>
      <c r="D792" s="17"/>
      <c r="E792" s="24"/>
      <c r="F792" s="15"/>
      <c r="G792" s="15"/>
      <c r="H792" s="15"/>
      <c r="I792" s="4"/>
      <c r="J792" s="17"/>
      <c r="K792" s="17"/>
      <c r="L792" s="17"/>
      <c r="M792" s="17"/>
      <c r="N792" s="17"/>
      <c r="O792" s="15"/>
      <c r="P792" s="18"/>
      <c r="Q792" s="18"/>
      <c r="S792" s="15"/>
    </row>
    <row r="793" ht="14.25" customHeight="1">
      <c r="C793" s="17"/>
      <c r="D793" s="17"/>
      <c r="E793" s="24"/>
      <c r="F793" s="15"/>
      <c r="G793" s="15"/>
      <c r="H793" s="15"/>
      <c r="I793" s="4"/>
      <c r="J793" s="17"/>
      <c r="K793" s="17"/>
      <c r="L793" s="17"/>
      <c r="M793" s="17"/>
      <c r="N793" s="17"/>
      <c r="O793" s="15"/>
      <c r="P793" s="18"/>
      <c r="Q793" s="18"/>
      <c r="S793" s="15"/>
    </row>
    <row r="794" ht="14.25" customHeight="1">
      <c r="C794" s="17"/>
      <c r="D794" s="17"/>
      <c r="E794" s="24"/>
      <c r="F794" s="15"/>
      <c r="G794" s="15"/>
      <c r="H794" s="15"/>
      <c r="I794" s="4"/>
      <c r="J794" s="17"/>
      <c r="K794" s="17"/>
      <c r="L794" s="17"/>
      <c r="M794" s="17"/>
      <c r="N794" s="17"/>
      <c r="O794" s="15"/>
      <c r="P794" s="18"/>
      <c r="Q794" s="18"/>
      <c r="S794" s="15"/>
    </row>
    <row r="795" ht="14.25" customHeight="1">
      <c r="C795" s="17"/>
      <c r="D795" s="17"/>
      <c r="E795" s="24"/>
      <c r="F795" s="15"/>
      <c r="G795" s="15"/>
      <c r="H795" s="15"/>
      <c r="I795" s="4"/>
      <c r="J795" s="17"/>
      <c r="K795" s="17"/>
      <c r="L795" s="17"/>
      <c r="M795" s="17"/>
      <c r="N795" s="17"/>
      <c r="O795" s="15"/>
      <c r="P795" s="18"/>
      <c r="Q795" s="18"/>
      <c r="S795" s="15"/>
    </row>
    <row r="796" ht="14.25" customHeight="1">
      <c r="C796" s="17"/>
      <c r="D796" s="17"/>
      <c r="E796" s="24"/>
      <c r="F796" s="15"/>
      <c r="G796" s="15"/>
      <c r="H796" s="15"/>
      <c r="I796" s="4"/>
      <c r="J796" s="17"/>
      <c r="K796" s="17"/>
      <c r="L796" s="17"/>
      <c r="M796" s="17"/>
      <c r="N796" s="17"/>
      <c r="O796" s="15"/>
      <c r="P796" s="18"/>
      <c r="Q796" s="18"/>
      <c r="S796" s="15"/>
    </row>
    <row r="797" ht="14.25" customHeight="1">
      <c r="C797" s="17"/>
      <c r="D797" s="17"/>
      <c r="E797" s="24"/>
      <c r="F797" s="15"/>
      <c r="G797" s="15"/>
      <c r="H797" s="15"/>
      <c r="I797" s="4"/>
      <c r="J797" s="17"/>
      <c r="K797" s="17"/>
      <c r="L797" s="17"/>
      <c r="M797" s="17"/>
      <c r="N797" s="17"/>
      <c r="O797" s="15"/>
      <c r="P797" s="18"/>
      <c r="Q797" s="18"/>
      <c r="S797" s="15"/>
    </row>
    <row r="798" ht="14.25" customHeight="1">
      <c r="C798" s="17"/>
      <c r="D798" s="17"/>
      <c r="E798" s="24"/>
      <c r="F798" s="15"/>
      <c r="G798" s="15"/>
      <c r="H798" s="15"/>
      <c r="I798" s="4"/>
      <c r="J798" s="17"/>
      <c r="K798" s="17"/>
      <c r="L798" s="17"/>
      <c r="M798" s="17"/>
      <c r="N798" s="17"/>
      <c r="O798" s="15"/>
      <c r="P798" s="18"/>
      <c r="Q798" s="18"/>
      <c r="S798" s="15"/>
    </row>
    <row r="799" ht="14.25" customHeight="1">
      <c r="C799" s="17"/>
      <c r="D799" s="17"/>
      <c r="E799" s="24"/>
      <c r="F799" s="15"/>
      <c r="G799" s="15"/>
      <c r="H799" s="15"/>
      <c r="I799" s="4"/>
      <c r="J799" s="17"/>
      <c r="K799" s="17"/>
      <c r="L799" s="17"/>
      <c r="M799" s="17"/>
      <c r="N799" s="17"/>
      <c r="O799" s="15"/>
      <c r="P799" s="18"/>
      <c r="Q799" s="18"/>
      <c r="S799" s="15"/>
    </row>
    <row r="800" ht="14.25" customHeight="1">
      <c r="C800" s="17"/>
      <c r="D800" s="17"/>
      <c r="E800" s="24"/>
      <c r="F800" s="15"/>
      <c r="G800" s="15"/>
      <c r="H800" s="15"/>
      <c r="I800" s="4"/>
      <c r="J800" s="17"/>
      <c r="K800" s="17"/>
      <c r="L800" s="17"/>
      <c r="M800" s="17"/>
      <c r="N800" s="17"/>
      <c r="O800" s="15"/>
      <c r="P800" s="18"/>
      <c r="Q800" s="18"/>
      <c r="S800" s="15"/>
    </row>
    <row r="801" ht="14.25" customHeight="1">
      <c r="C801" s="17"/>
      <c r="D801" s="17"/>
      <c r="E801" s="24"/>
      <c r="F801" s="15"/>
      <c r="G801" s="15"/>
      <c r="H801" s="15"/>
      <c r="I801" s="4"/>
      <c r="J801" s="17"/>
      <c r="K801" s="17"/>
      <c r="L801" s="17"/>
      <c r="M801" s="17"/>
      <c r="N801" s="17"/>
      <c r="O801" s="15"/>
      <c r="P801" s="18"/>
      <c r="Q801" s="18"/>
      <c r="S801" s="15"/>
    </row>
    <row r="802" ht="14.25" customHeight="1">
      <c r="C802" s="17"/>
      <c r="D802" s="17"/>
      <c r="E802" s="24"/>
      <c r="F802" s="15"/>
      <c r="G802" s="15"/>
      <c r="H802" s="15"/>
      <c r="I802" s="4"/>
      <c r="J802" s="17"/>
      <c r="K802" s="17"/>
      <c r="L802" s="17"/>
      <c r="M802" s="17"/>
      <c r="N802" s="17"/>
      <c r="O802" s="15"/>
      <c r="P802" s="18"/>
      <c r="Q802" s="18"/>
      <c r="S802" s="15"/>
    </row>
    <row r="803" ht="14.25" customHeight="1">
      <c r="C803" s="17"/>
      <c r="D803" s="17"/>
      <c r="E803" s="24"/>
      <c r="F803" s="15"/>
      <c r="G803" s="15"/>
      <c r="H803" s="15"/>
      <c r="I803" s="4"/>
      <c r="J803" s="17"/>
      <c r="K803" s="17"/>
      <c r="L803" s="17"/>
      <c r="M803" s="17"/>
      <c r="N803" s="17"/>
      <c r="O803" s="15"/>
      <c r="P803" s="18"/>
      <c r="Q803" s="18"/>
      <c r="S803" s="15"/>
    </row>
    <row r="804" ht="14.25" customHeight="1">
      <c r="C804" s="17"/>
      <c r="D804" s="17"/>
      <c r="E804" s="24"/>
      <c r="F804" s="15"/>
      <c r="G804" s="15"/>
      <c r="H804" s="15"/>
      <c r="I804" s="4"/>
      <c r="J804" s="17"/>
      <c r="K804" s="17"/>
      <c r="L804" s="17"/>
      <c r="M804" s="17"/>
      <c r="N804" s="17"/>
      <c r="O804" s="15"/>
      <c r="P804" s="18"/>
      <c r="Q804" s="18"/>
      <c r="S804" s="15"/>
    </row>
    <row r="805" ht="14.25" customHeight="1">
      <c r="C805" s="17"/>
      <c r="D805" s="17"/>
      <c r="E805" s="24"/>
      <c r="F805" s="15"/>
      <c r="G805" s="15"/>
      <c r="H805" s="15"/>
      <c r="I805" s="4"/>
      <c r="J805" s="17"/>
      <c r="K805" s="17"/>
      <c r="L805" s="17"/>
      <c r="M805" s="17"/>
      <c r="N805" s="17"/>
      <c r="O805" s="15"/>
      <c r="P805" s="18"/>
      <c r="Q805" s="18"/>
      <c r="S805" s="15"/>
    </row>
    <row r="806" ht="14.25" customHeight="1">
      <c r="C806" s="17"/>
      <c r="D806" s="17"/>
      <c r="E806" s="24"/>
      <c r="F806" s="15"/>
      <c r="G806" s="15"/>
      <c r="H806" s="15"/>
      <c r="I806" s="4"/>
      <c r="J806" s="17"/>
      <c r="K806" s="17"/>
      <c r="L806" s="17"/>
      <c r="M806" s="17"/>
      <c r="N806" s="17"/>
      <c r="O806" s="15"/>
      <c r="P806" s="18"/>
      <c r="Q806" s="18"/>
      <c r="S806" s="15"/>
    </row>
    <row r="807" ht="14.25" customHeight="1">
      <c r="C807" s="17"/>
      <c r="D807" s="17"/>
      <c r="E807" s="24"/>
      <c r="F807" s="15"/>
      <c r="G807" s="15"/>
      <c r="H807" s="15"/>
      <c r="I807" s="4"/>
      <c r="J807" s="17"/>
      <c r="K807" s="17"/>
      <c r="L807" s="17"/>
      <c r="M807" s="17"/>
      <c r="N807" s="17"/>
      <c r="O807" s="15"/>
      <c r="P807" s="18"/>
      <c r="Q807" s="18"/>
      <c r="S807" s="15"/>
    </row>
    <row r="808" ht="14.25" customHeight="1">
      <c r="C808" s="17"/>
      <c r="D808" s="17"/>
      <c r="E808" s="24"/>
      <c r="F808" s="15"/>
      <c r="G808" s="15"/>
      <c r="H808" s="15"/>
      <c r="I808" s="4"/>
      <c r="J808" s="17"/>
      <c r="K808" s="17"/>
      <c r="L808" s="17"/>
      <c r="M808" s="17"/>
      <c r="N808" s="17"/>
      <c r="O808" s="15"/>
      <c r="P808" s="18"/>
      <c r="Q808" s="18"/>
      <c r="S808" s="15"/>
    </row>
    <row r="809" ht="14.25" customHeight="1">
      <c r="C809" s="17"/>
      <c r="D809" s="17"/>
      <c r="E809" s="24"/>
      <c r="F809" s="15"/>
      <c r="G809" s="15"/>
      <c r="H809" s="15"/>
      <c r="I809" s="4"/>
      <c r="J809" s="17"/>
      <c r="K809" s="17"/>
      <c r="L809" s="17"/>
      <c r="M809" s="17"/>
      <c r="N809" s="17"/>
      <c r="O809" s="15"/>
      <c r="P809" s="18"/>
      <c r="Q809" s="18"/>
      <c r="S809" s="15"/>
    </row>
    <row r="810" ht="14.25" customHeight="1">
      <c r="C810" s="17"/>
      <c r="D810" s="17"/>
      <c r="E810" s="24"/>
      <c r="F810" s="15"/>
      <c r="G810" s="15"/>
      <c r="H810" s="15"/>
      <c r="I810" s="4"/>
      <c r="J810" s="17"/>
      <c r="K810" s="17"/>
      <c r="L810" s="17"/>
      <c r="M810" s="17"/>
      <c r="N810" s="17"/>
      <c r="O810" s="15"/>
      <c r="P810" s="18"/>
      <c r="Q810" s="18"/>
      <c r="S810" s="15"/>
    </row>
    <row r="811" ht="14.25" customHeight="1">
      <c r="C811" s="17"/>
      <c r="D811" s="17"/>
      <c r="E811" s="24"/>
      <c r="F811" s="15"/>
      <c r="G811" s="15"/>
      <c r="H811" s="15"/>
      <c r="I811" s="4"/>
      <c r="J811" s="17"/>
      <c r="K811" s="17"/>
      <c r="L811" s="17"/>
      <c r="M811" s="17"/>
      <c r="N811" s="17"/>
      <c r="O811" s="15"/>
      <c r="P811" s="18"/>
      <c r="Q811" s="18"/>
      <c r="S811" s="15"/>
    </row>
    <row r="812" ht="14.25" customHeight="1">
      <c r="C812" s="17"/>
      <c r="D812" s="17"/>
      <c r="E812" s="24"/>
      <c r="F812" s="15"/>
      <c r="G812" s="15"/>
      <c r="H812" s="15"/>
      <c r="I812" s="4"/>
      <c r="J812" s="17"/>
      <c r="K812" s="17"/>
      <c r="L812" s="17"/>
      <c r="M812" s="17"/>
      <c r="N812" s="17"/>
      <c r="O812" s="15"/>
      <c r="P812" s="18"/>
      <c r="Q812" s="18"/>
      <c r="S812" s="15"/>
    </row>
    <row r="813" ht="14.25" customHeight="1">
      <c r="C813" s="17"/>
      <c r="D813" s="17"/>
      <c r="E813" s="24"/>
      <c r="F813" s="15"/>
      <c r="G813" s="15"/>
      <c r="H813" s="15"/>
      <c r="I813" s="4"/>
      <c r="J813" s="17"/>
      <c r="K813" s="17"/>
      <c r="L813" s="17"/>
      <c r="M813" s="17"/>
      <c r="N813" s="17"/>
      <c r="O813" s="15"/>
      <c r="P813" s="18"/>
      <c r="Q813" s="18"/>
      <c r="S813" s="15"/>
    </row>
    <row r="814" ht="14.25" customHeight="1">
      <c r="C814" s="17"/>
      <c r="D814" s="17"/>
      <c r="E814" s="24"/>
      <c r="F814" s="15"/>
      <c r="G814" s="15"/>
      <c r="H814" s="15"/>
      <c r="I814" s="4"/>
      <c r="J814" s="17"/>
      <c r="K814" s="17"/>
      <c r="L814" s="17"/>
      <c r="M814" s="17"/>
      <c r="N814" s="17"/>
      <c r="O814" s="15"/>
      <c r="P814" s="18"/>
      <c r="Q814" s="18"/>
      <c r="S814" s="15"/>
    </row>
    <row r="815" ht="14.25" customHeight="1">
      <c r="C815" s="17"/>
      <c r="D815" s="17"/>
      <c r="E815" s="24"/>
      <c r="F815" s="15"/>
      <c r="G815" s="15"/>
      <c r="H815" s="15"/>
      <c r="I815" s="4"/>
      <c r="J815" s="17"/>
      <c r="K815" s="17"/>
      <c r="L815" s="17"/>
      <c r="M815" s="17"/>
      <c r="N815" s="17"/>
      <c r="O815" s="15"/>
      <c r="P815" s="18"/>
      <c r="Q815" s="18"/>
      <c r="S815" s="15"/>
    </row>
    <row r="816" ht="14.25" customHeight="1">
      <c r="C816" s="17"/>
      <c r="D816" s="17"/>
      <c r="E816" s="24"/>
      <c r="F816" s="15"/>
      <c r="G816" s="15"/>
      <c r="H816" s="15"/>
      <c r="I816" s="4"/>
      <c r="J816" s="17"/>
      <c r="K816" s="17"/>
      <c r="L816" s="17"/>
      <c r="M816" s="17"/>
      <c r="N816" s="17"/>
      <c r="O816" s="15"/>
      <c r="P816" s="18"/>
      <c r="Q816" s="18"/>
      <c r="S816" s="15"/>
    </row>
    <row r="817" ht="14.25" customHeight="1">
      <c r="C817" s="17"/>
      <c r="D817" s="17"/>
      <c r="E817" s="24"/>
      <c r="F817" s="15"/>
      <c r="G817" s="15"/>
      <c r="H817" s="15"/>
      <c r="I817" s="4"/>
      <c r="J817" s="17"/>
      <c r="K817" s="17"/>
      <c r="L817" s="17"/>
      <c r="M817" s="17"/>
      <c r="N817" s="17"/>
      <c r="O817" s="15"/>
      <c r="P817" s="18"/>
      <c r="Q817" s="18"/>
      <c r="S817" s="15"/>
    </row>
    <row r="818" ht="14.25" customHeight="1">
      <c r="C818" s="17"/>
      <c r="D818" s="17"/>
      <c r="E818" s="24"/>
      <c r="F818" s="15"/>
      <c r="G818" s="15"/>
      <c r="H818" s="15"/>
      <c r="I818" s="4"/>
      <c r="J818" s="17"/>
      <c r="K818" s="17"/>
      <c r="L818" s="17"/>
      <c r="M818" s="17"/>
      <c r="N818" s="17"/>
      <c r="O818" s="15"/>
      <c r="P818" s="18"/>
      <c r="Q818" s="18"/>
      <c r="S818" s="15"/>
    </row>
    <row r="819" ht="14.25" customHeight="1">
      <c r="C819" s="17"/>
      <c r="D819" s="17"/>
      <c r="E819" s="24"/>
      <c r="F819" s="15"/>
      <c r="G819" s="15"/>
      <c r="H819" s="15"/>
      <c r="I819" s="4"/>
      <c r="J819" s="17"/>
      <c r="K819" s="17"/>
      <c r="L819" s="17"/>
      <c r="M819" s="17"/>
      <c r="N819" s="17"/>
      <c r="O819" s="15"/>
      <c r="P819" s="18"/>
      <c r="Q819" s="18"/>
      <c r="S819" s="15"/>
    </row>
    <row r="820" ht="14.25" customHeight="1">
      <c r="C820" s="17"/>
      <c r="D820" s="17"/>
      <c r="E820" s="24"/>
      <c r="F820" s="15"/>
      <c r="G820" s="15"/>
      <c r="H820" s="15"/>
      <c r="I820" s="4"/>
      <c r="J820" s="17"/>
      <c r="K820" s="17"/>
      <c r="L820" s="17"/>
      <c r="M820" s="17"/>
      <c r="N820" s="17"/>
      <c r="O820" s="15"/>
      <c r="P820" s="18"/>
      <c r="Q820" s="18"/>
      <c r="S820" s="15"/>
    </row>
    <row r="821" ht="14.25" customHeight="1">
      <c r="C821" s="17"/>
      <c r="D821" s="17"/>
      <c r="E821" s="24"/>
      <c r="F821" s="15"/>
      <c r="G821" s="15"/>
      <c r="H821" s="15"/>
      <c r="I821" s="4"/>
      <c r="J821" s="17"/>
      <c r="K821" s="17"/>
      <c r="L821" s="17"/>
      <c r="M821" s="17"/>
      <c r="N821" s="17"/>
      <c r="O821" s="15"/>
      <c r="P821" s="18"/>
      <c r="Q821" s="18"/>
      <c r="S821" s="15"/>
    </row>
    <row r="822" ht="14.25" customHeight="1">
      <c r="C822" s="17"/>
      <c r="D822" s="17"/>
      <c r="E822" s="24"/>
      <c r="F822" s="15"/>
      <c r="G822" s="15"/>
      <c r="H822" s="15"/>
      <c r="I822" s="4"/>
      <c r="J822" s="17"/>
      <c r="K822" s="17"/>
      <c r="L822" s="17"/>
      <c r="M822" s="17"/>
      <c r="N822" s="17"/>
      <c r="O822" s="15"/>
      <c r="P822" s="18"/>
      <c r="Q822" s="18"/>
      <c r="S822" s="15"/>
    </row>
    <row r="823" ht="14.25" customHeight="1">
      <c r="C823" s="17"/>
      <c r="D823" s="17"/>
      <c r="E823" s="24"/>
      <c r="F823" s="15"/>
      <c r="G823" s="15"/>
      <c r="H823" s="15"/>
      <c r="I823" s="4"/>
      <c r="J823" s="17"/>
      <c r="K823" s="17"/>
      <c r="L823" s="17"/>
      <c r="M823" s="17"/>
      <c r="N823" s="17"/>
      <c r="O823" s="15"/>
      <c r="P823" s="18"/>
      <c r="Q823" s="18"/>
      <c r="S823" s="15"/>
    </row>
    <row r="824" ht="14.25" customHeight="1">
      <c r="C824" s="17"/>
      <c r="D824" s="17"/>
      <c r="E824" s="24"/>
      <c r="F824" s="15"/>
      <c r="G824" s="15"/>
      <c r="H824" s="15"/>
      <c r="I824" s="4"/>
      <c r="J824" s="17"/>
      <c r="K824" s="17"/>
      <c r="L824" s="17"/>
      <c r="M824" s="17"/>
      <c r="N824" s="17"/>
      <c r="O824" s="15"/>
      <c r="P824" s="18"/>
      <c r="Q824" s="18"/>
      <c r="S824" s="15"/>
    </row>
    <row r="825" ht="14.25" customHeight="1">
      <c r="C825" s="17"/>
      <c r="D825" s="17"/>
      <c r="E825" s="24"/>
      <c r="F825" s="15"/>
      <c r="G825" s="15"/>
      <c r="H825" s="15"/>
      <c r="I825" s="4"/>
      <c r="J825" s="17"/>
      <c r="K825" s="17"/>
      <c r="L825" s="17"/>
      <c r="M825" s="17"/>
      <c r="N825" s="17"/>
      <c r="O825" s="15"/>
      <c r="P825" s="18"/>
      <c r="Q825" s="18"/>
      <c r="S825" s="15"/>
    </row>
    <row r="826" ht="14.25" customHeight="1">
      <c r="C826" s="17"/>
      <c r="D826" s="17"/>
      <c r="E826" s="24"/>
      <c r="F826" s="15"/>
      <c r="G826" s="15"/>
      <c r="H826" s="15"/>
      <c r="I826" s="4"/>
      <c r="J826" s="17"/>
      <c r="K826" s="17"/>
      <c r="L826" s="17"/>
      <c r="M826" s="17"/>
      <c r="N826" s="17"/>
      <c r="O826" s="15"/>
      <c r="P826" s="18"/>
      <c r="Q826" s="18"/>
      <c r="S826" s="15"/>
    </row>
    <row r="827" ht="14.25" customHeight="1">
      <c r="C827" s="17"/>
      <c r="D827" s="17"/>
      <c r="E827" s="24"/>
      <c r="F827" s="15"/>
      <c r="G827" s="15"/>
      <c r="H827" s="15"/>
      <c r="I827" s="4"/>
      <c r="J827" s="17"/>
      <c r="K827" s="17"/>
      <c r="L827" s="17"/>
      <c r="M827" s="17"/>
      <c r="N827" s="17"/>
      <c r="O827" s="15"/>
      <c r="P827" s="18"/>
      <c r="Q827" s="18"/>
      <c r="S827" s="15"/>
    </row>
    <row r="828" ht="14.25" customHeight="1">
      <c r="C828" s="17"/>
      <c r="D828" s="17"/>
      <c r="E828" s="24"/>
      <c r="F828" s="15"/>
      <c r="G828" s="15"/>
      <c r="H828" s="15"/>
      <c r="I828" s="4"/>
      <c r="J828" s="17"/>
      <c r="K828" s="17"/>
      <c r="L828" s="17"/>
      <c r="M828" s="17"/>
      <c r="N828" s="17"/>
      <c r="O828" s="15"/>
      <c r="P828" s="18"/>
      <c r="Q828" s="18"/>
      <c r="S828" s="15"/>
    </row>
    <row r="829" ht="14.25" customHeight="1">
      <c r="C829" s="17"/>
      <c r="D829" s="17"/>
      <c r="E829" s="24"/>
      <c r="F829" s="15"/>
      <c r="G829" s="15"/>
      <c r="H829" s="15"/>
      <c r="I829" s="4"/>
      <c r="J829" s="17"/>
      <c r="K829" s="17"/>
      <c r="L829" s="17"/>
      <c r="M829" s="17"/>
      <c r="N829" s="17"/>
      <c r="O829" s="15"/>
      <c r="P829" s="18"/>
      <c r="Q829" s="18"/>
      <c r="S829" s="15"/>
    </row>
    <row r="830" ht="14.25" customHeight="1">
      <c r="C830" s="17"/>
      <c r="D830" s="17"/>
      <c r="E830" s="24"/>
      <c r="F830" s="15"/>
      <c r="G830" s="15"/>
      <c r="H830" s="15"/>
      <c r="I830" s="4"/>
      <c r="J830" s="17"/>
      <c r="K830" s="17"/>
      <c r="L830" s="17"/>
      <c r="M830" s="17"/>
      <c r="N830" s="17"/>
      <c r="O830" s="15"/>
      <c r="P830" s="18"/>
      <c r="Q830" s="18"/>
      <c r="S830" s="15"/>
    </row>
    <row r="831" ht="14.25" customHeight="1">
      <c r="C831" s="17"/>
      <c r="D831" s="17"/>
      <c r="E831" s="24"/>
      <c r="F831" s="15"/>
      <c r="G831" s="15"/>
      <c r="H831" s="15"/>
      <c r="I831" s="4"/>
      <c r="J831" s="17"/>
      <c r="K831" s="17"/>
      <c r="L831" s="17"/>
      <c r="M831" s="17"/>
      <c r="N831" s="17"/>
      <c r="O831" s="15"/>
      <c r="P831" s="18"/>
      <c r="Q831" s="18"/>
      <c r="S831" s="15"/>
    </row>
    <row r="832" ht="14.25" customHeight="1">
      <c r="C832" s="17"/>
      <c r="D832" s="17"/>
      <c r="E832" s="24"/>
      <c r="F832" s="15"/>
      <c r="G832" s="15"/>
      <c r="H832" s="15"/>
      <c r="I832" s="4"/>
      <c r="J832" s="17"/>
      <c r="K832" s="17"/>
      <c r="L832" s="17"/>
      <c r="M832" s="17"/>
      <c r="N832" s="17"/>
      <c r="O832" s="15"/>
      <c r="P832" s="18"/>
      <c r="Q832" s="18"/>
      <c r="S832" s="15"/>
    </row>
    <row r="833" ht="14.25" customHeight="1">
      <c r="C833" s="17"/>
      <c r="D833" s="17"/>
      <c r="E833" s="24"/>
      <c r="F833" s="15"/>
      <c r="G833" s="15"/>
      <c r="H833" s="15"/>
      <c r="I833" s="4"/>
      <c r="J833" s="17"/>
      <c r="K833" s="17"/>
      <c r="L833" s="17"/>
      <c r="M833" s="17"/>
      <c r="N833" s="17"/>
      <c r="O833" s="15"/>
      <c r="P833" s="18"/>
      <c r="Q833" s="18"/>
      <c r="S833" s="15"/>
    </row>
    <row r="834" ht="14.25" customHeight="1">
      <c r="C834" s="17"/>
      <c r="D834" s="17"/>
      <c r="E834" s="24"/>
      <c r="F834" s="15"/>
      <c r="G834" s="15"/>
      <c r="H834" s="15"/>
      <c r="I834" s="4"/>
      <c r="J834" s="17"/>
      <c r="K834" s="17"/>
      <c r="L834" s="17"/>
      <c r="M834" s="17"/>
      <c r="N834" s="17"/>
      <c r="O834" s="15"/>
      <c r="P834" s="18"/>
      <c r="Q834" s="18"/>
      <c r="S834" s="15"/>
    </row>
    <row r="835" ht="14.25" customHeight="1">
      <c r="C835" s="17"/>
      <c r="D835" s="17"/>
      <c r="E835" s="24"/>
      <c r="F835" s="15"/>
      <c r="G835" s="15"/>
      <c r="H835" s="15"/>
      <c r="I835" s="4"/>
      <c r="J835" s="17"/>
      <c r="K835" s="17"/>
      <c r="L835" s="17"/>
      <c r="M835" s="17"/>
      <c r="N835" s="17"/>
      <c r="O835" s="15"/>
      <c r="P835" s="18"/>
      <c r="Q835" s="18"/>
      <c r="S835" s="15"/>
    </row>
    <row r="836" ht="14.25" customHeight="1">
      <c r="C836" s="17"/>
      <c r="D836" s="17"/>
      <c r="E836" s="24"/>
      <c r="F836" s="15"/>
      <c r="G836" s="15"/>
      <c r="H836" s="15"/>
      <c r="I836" s="4"/>
      <c r="J836" s="17"/>
      <c r="K836" s="17"/>
      <c r="L836" s="17"/>
      <c r="M836" s="17"/>
      <c r="N836" s="17"/>
      <c r="O836" s="15"/>
      <c r="P836" s="18"/>
      <c r="Q836" s="18"/>
      <c r="S836" s="15"/>
    </row>
    <row r="837" ht="14.25" customHeight="1">
      <c r="C837" s="17"/>
      <c r="D837" s="17"/>
      <c r="E837" s="24"/>
      <c r="F837" s="15"/>
      <c r="G837" s="15"/>
      <c r="H837" s="15"/>
      <c r="I837" s="4"/>
      <c r="J837" s="17"/>
      <c r="K837" s="17"/>
      <c r="L837" s="17"/>
      <c r="M837" s="17"/>
      <c r="N837" s="17"/>
      <c r="O837" s="15"/>
      <c r="P837" s="18"/>
      <c r="Q837" s="18"/>
      <c r="S837" s="15"/>
    </row>
    <row r="838" ht="14.25" customHeight="1">
      <c r="C838" s="17"/>
      <c r="D838" s="17"/>
      <c r="E838" s="24"/>
      <c r="F838" s="15"/>
      <c r="G838" s="15"/>
      <c r="H838" s="15"/>
      <c r="I838" s="4"/>
      <c r="J838" s="17"/>
      <c r="K838" s="17"/>
      <c r="L838" s="17"/>
      <c r="M838" s="17"/>
      <c r="N838" s="17"/>
      <c r="O838" s="15"/>
      <c r="P838" s="18"/>
      <c r="Q838" s="18"/>
      <c r="S838" s="15"/>
    </row>
    <row r="839" ht="14.25" customHeight="1">
      <c r="C839" s="17"/>
      <c r="D839" s="17"/>
      <c r="E839" s="24"/>
      <c r="F839" s="15"/>
      <c r="G839" s="15"/>
      <c r="H839" s="15"/>
      <c r="I839" s="4"/>
      <c r="J839" s="17"/>
      <c r="K839" s="17"/>
      <c r="L839" s="17"/>
      <c r="M839" s="17"/>
      <c r="N839" s="17"/>
      <c r="O839" s="15"/>
      <c r="P839" s="18"/>
      <c r="Q839" s="18"/>
      <c r="S839" s="15"/>
    </row>
    <row r="840" ht="14.25" customHeight="1">
      <c r="C840" s="17"/>
      <c r="D840" s="17"/>
      <c r="E840" s="24"/>
      <c r="F840" s="15"/>
      <c r="G840" s="15"/>
      <c r="H840" s="15"/>
      <c r="I840" s="4"/>
      <c r="J840" s="17"/>
      <c r="K840" s="17"/>
      <c r="L840" s="17"/>
      <c r="M840" s="17"/>
      <c r="N840" s="17"/>
      <c r="O840" s="15"/>
      <c r="P840" s="18"/>
      <c r="Q840" s="18"/>
      <c r="S840" s="15"/>
    </row>
    <row r="841" ht="14.25" customHeight="1">
      <c r="C841" s="17"/>
      <c r="D841" s="17"/>
      <c r="E841" s="24"/>
      <c r="F841" s="15"/>
      <c r="G841" s="15"/>
      <c r="H841" s="15"/>
      <c r="I841" s="4"/>
      <c r="J841" s="17"/>
      <c r="K841" s="17"/>
      <c r="L841" s="17"/>
      <c r="M841" s="17"/>
      <c r="N841" s="17"/>
      <c r="O841" s="15"/>
      <c r="P841" s="18"/>
      <c r="Q841" s="18"/>
      <c r="S841" s="15"/>
    </row>
    <row r="842" ht="14.25" customHeight="1">
      <c r="C842" s="17"/>
      <c r="D842" s="17"/>
      <c r="E842" s="24"/>
      <c r="F842" s="15"/>
      <c r="G842" s="15"/>
      <c r="H842" s="15"/>
      <c r="I842" s="4"/>
      <c r="J842" s="17"/>
      <c r="K842" s="17"/>
      <c r="L842" s="17"/>
      <c r="M842" s="17"/>
      <c r="N842" s="17"/>
      <c r="O842" s="15"/>
      <c r="P842" s="18"/>
      <c r="Q842" s="18"/>
      <c r="S842" s="15"/>
    </row>
    <row r="843" ht="14.25" customHeight="1">
      <c r="C843" s="17"/>
      <c r="D843" s="17"/>
      <c r="E843" s="24"/>
      <c r="F843" s="15"/>
      <c r="G843" s="15"/>
      <c r="H843" s="15"/>
      <c r="I843" s="4"/>
      <c r="J843" s="17"/>
      <c r="K843" s="17"/>
      <c r="L843" s="17"/>
      <c r="M843" s="17"/>
      <c r="N843" s="17"/>
      <c r="O843" s="15"/>
      <c r="P843" s="18"/>
      <c r="Q843" s="18"/>
      <c r="S843" s="15"/>
    </row>
    <row r="844" ht="14.25" customHeight="1">
      <c r="C844" s="17"/>
      <c r="D844" s="17"/>
      <c r="E844" s="24"/>
      <c r="F844" s="15"/>
      <c r="G844" s="15"/>
      <c r="H844" s="15"/>
      <c r="I844" s="4"/>
      <c r="J844" s="17"/>
      <c r="K844" s="17"/>
      <c r="L844" s="17"/>
      <c r="M844" s="17"/>
      <c r="N844" s="17"/>
      <c r="O844" s="15"/>
      <c r="P844" s="18"/>
      <c r="Q844" s="18"/>
      <c r="S844" s="15"/>
    </row>
    <row r="845" ht="14.25" customHeight="1">
      <c r="C845" s="17"/>
      <c r="D845" s="17"/>
      <c r="E845" s="24"/>
      <c r="F845" s="15"/>
      <c r="G845" s="15"/>
      <c r="H845" s="15"/>
      <c r="I845" s="4"/>
      <c r="J845" s="17"/>
      <c r="K845" s="17"/>
      <c r="L845" s="17"/>
      <c r="M845" s="17"/>
      <c r="N845" s="17"/>
      <c r="O845" s="15"/>
      <c r="P845" s="18"/>
      <c r="Q845" s="18"/>
      <c r="S845" s="15"/>
    </row>
    <row r="846" ht="14.25" customHeight="1">
      <c r="C846" s="17"/>
      <c r="D846" s="17"/>
      <c r="E846" s="24"/>
      <c r="F846" s="15"/>
      <c r="G846" s="15"/>
      <c r="H846" s="15"/>
      <c r="I846" s="4"/>
      <c r="J846" s="17"/>
      <c r="K846" s="17"/>
      <c r="L846" s="17"/>
      <c r="M846" s="17"/>
      <c r="N846" s="17"/>
      <c r="O846" s="15"/>
      <c r="P846" s="18"/>
      <c r="Q846" s="18"/>
      <c r="S846" s="15"/>
    </row>
    <row r="847" ht="14.25" customHeight="1">
      <c r="C847" s="17"/>
      <c r="D847" s="17"/>
      <c r="E847" s="24"/>
      <c r="F847" s="15"/>
      <c r="G847" s="15"/>
      <c r="H847" s="15"/>
      <c r="I847" s="4"/>
      <c r="J847" s="17"/>
      <c r="K847" s="17"/>
      <c r="L847" s="17"/>
      <c r="M847" s="17"/>
      <c r="N847" s="17"/>
      <c r="O847" s="15"/>
      <c r="P847" s="18"/>
      <c r="Q847" s="18"/>
      <c r="S847" s="15"/>
    </row>
    <row r="848" ht="14.25" customHeight="1">
      <c r="C848" s="17"/>
      <c r="D848" s="17"/>
      <c r="E848" s="24"/>
      <c r="F848" s="15"/>
      <c r="G848" s="15"/>
      <c r="H848" s="15"/>
      <c r="I848" s="4"/>
      <c r="J848" s="17"/>
      <c r="K848" s="17"/>
      <c r="L848" s="17"/>
      <c r="M848" s="17"/>
      <c r="N848" s="17"/>
      <c r="O848" s="15"/>
      <c r="P848" s="18"/>
      <c r="Q848" s="18"/>
      <c r="S848" s="15"/>
    </row>
    <row r="849" ht="14.25" customHeight="1">
      <c r="C849" s="17"/>
      <c r="D849" s="17"/>
      <c r="E849" s="24"/>
      <c r="F849" s="15"/>
      <c r="G849" s="15"/>
      <c r="H849" s="15"/>
      <c r="I849" s="4"/>
      <c r="J849" s="17"/>
      <c r="K849" s="17"/>
      <c r="L849" s="17"/>
      <c r="M849" s="17"/>
      <c r="N849" s="17"/>
      <c r="O849" s="15"/>
      <c r="P849" s="18"/>
      <c r="Q849" s="18"/>
      <c r="S849" s="15"/>
    </row>
    <row r="850" ht="14.25" customHeight="1">
      <c r="C850" s="17"/>
      <c r="D850" s="17"/>
      <c r="E850" s="24"/>
      <c r="F850" s="15"/>
      <c r="G850" s="15"/>
      <c r="H850" s="15"/>
      <c r="I850" s="4"/>
      <c r="J850" s="17"/>
      <c r="K850" s="17"/>
      <c r="L850" s="17"/>
      <c r="M850" s="17"/>
      <c r="N850" s="17"/>
      <c r="O850" s="15"/>
      <c r="P850" s="18"/>
      <c r="Q850" s="18"/>
      <c r="S850" s="15"/>
    </row>
    <row r="851" ht="14.25" customHeight="1">
      <c r="C851" s="17"/>
      <c r="D851" s="17"/>
      <c r="E851" s="24"/>
      <c r="F851" s="15"/>
      <c r="G851" s="15"/>
      <c r="H851" s="15"/>
      <c r="I851" s="4"/>
      <c r="J851" s="17"/>
      <c r="K851" s="17"/>
      <c r="L851" s="17"/>
      <c r="M851" s="17"/>
      <c r="N851" s="17"/>
      <c r="O851" s="15"/>
      <c r="P851" s="18"/>
      <c r="Q851" s="18"/>
      <c r="S851" s="15"/>
    </row>
    <row r="852" ht="14.25" customHeight="1">
      <c r="C852" s="17"/>
      <c r="D852" s="17"/>
      <c r="E852" s="24"/>
      <c r="F852" s="15"/>
      <c r="G852" s="15"/>
      <c r="H852" s="15"/>
      <c r="I852" s="4"/>
      <c r="J852" s="17"/>
      <c r="K852" s="17"/>
      <c r="L852" s="17"/>
      <c r="M852" s="17"/>
      <c r="N852" s="17"/>
      <c r="O852" s="15"/>
      <c r="P852" s="18"/>
      <c r="Q852" s="18"/>
      <c r="S852" s="15"/>
    </row>
    <row r="853" ht="14.25" customHeight="1">
      <c r="C853" s="17"/>
      <c r="D853" s="17"/>
      <c r="E853" s="24"/>
      <c r="F853" s="15"/>
      <c r="G853" s="15"/>
      <c r="H853" s="15"/>
      <c r="I853" s="4"/>
      <c r="J853" s="17"/>
      <c r="K853" s="17"/>
      <c r="L853" s="17"/>
      <c r="M853" s="17"/>
      <c r="N853" s="17"/>
      <c r="O853" s="15"/>
      <c r="P853" s="18"/>
      <c r="Q853" s="18"/>
      <c r="S853" s="15"/>
    </row>
    <row r="854" ht="14.25" customHeight="1">
      <c r="C854" s="17"/>
      <c r="D854" s="17"/>
      <c r="E854" s="24"/>
      <c r="F854" s="15"/>
      <c r="G854" s="15"/>
      <c r="H854" s="15"/>
      <c r="I854" s="4"/>
      <c r="J854" s="17"/>
      <c r="K854" s="17"/>
      <c r="L854" s="17"/>
      <c r="M854" s="17"/>
      <c r="N854" s="17"/>
      <c r="O854" s="15"/>
      <c r="P854" s="18"/>
      <c r="Q854" s="18"/>
      <c r="S854" s="15"/>
    </row>
    <row r="855" ht="14.25" customHeight="1">
      <c r="C855" s="17"/>
      <c r="D855" s="17"/>
      <c r="E855" s="24"/>
      <c r="F855" s="15"/>
      <c r="G855" s="15"/>
      <c r="H855" s="15"/>
      <c r="I855" s="4"/>
      <c r="J855" s="17"/>
      <c r="K855" s="17"/>
      <c r="L855" s="17"/>
      <c r="M855" s="17"/>
      <c r="N855" s="17"/>
      <c r="O855" s="15"/>
      <c r="P855" s="18"/>
      <c r="Q855" s="18"/>
      <c r="S855" s="15"/>
    </row>
    <row r="856" ht="14.25" customHeight="1">
      <c r="C856" s="17"/>
      <c r="D856" s="17"/>
      <c r="E856" s="24"/>
      <c r="F856" s="15"/>
      <c r="G856" s="15"/>
      <c r="H856" s="15"/>
      <c r="I856" s="4"/>
      <c r="J856" s="17"/>
      <c r="K856" s="17"/>
      <c r="L856" s="17"/>
      <c r="M856" s="17"/>
      <c r="N856" s="17"/>
      <c r="O856" s="15"/>
      <c r="P856" s="18"/>
      <c r="Q856" s="18"/>
      <c r="S856" s="15"/>
    </row>
    <row r="857" ht="14.25" customHeight="1">
      <c r="C857" s="17"/>
      <c r="D857" s="17"/>
      <c r="E857" s="24"/>
      <c r="F857" s="15"/>
      <c r="G857" s="15"/>
      <c r="H857" s="15"/>
      <c r="I857" s="4"/>
      <c r="J857" s="17"/>
      <c r="K857" s="17"/>
      <c r="L857" s="17"/>
      <c r="M857" s="17"/>
      <c r="N857" s="17"/>
      <c r="O857" s="15"/>
      <c r="P857" s="18"/>
      <c r="Q857" s="18"/>
      <c r="S857" s="15"/>
    </row>
    <row r="858" ht="14.25" customHeight="1">
      <c r="C858" s="17"/>
      <c r="D858" s="17"/>
      <c r="E858" s="24"/>
      <c r="F858" s="15"/>
      <c r="G858" s="15"/>
      <c r="H858" s="15"/>
      <c r="I858" s="4"/>
      <c r="J858" s="17"/>
      <c r="K858" s="17"/>
      <c r="L858" s="17"/>
      <c r="M858" s="17"/>
      <c r="N858" s="17"/>
      <c r="O858" s="15"/>
      <c r="P858" s="18"/>
      <c r="Q858" s="18"/>
      <c r="S858" s="15"/>
    </row>
    <row r="859" ht="14.25" customHeight="1">
      <c r="C859" s="17"/>
      <c r="D859" s="17"/>
      <c r="E859" s="24"/>
      <c r="F859" s="15"/>
      <c r="G859" s="15"/>
      <c r="H859" s="15"/>
      <c r="I859" s="4"/>
      <c r="J859" s="17"/>
      <c r="K859" s="17"/>
      <c r="L859" s="17"/>
      <c r="M859" s="17"/>
      <c r="N859" s="17"/>
      <c r="O859" s="15"/>
      <c r="P859" s="18"/>
      <c r="Q859" s="18"/>
      <c r="S859" s="15"/>
    </row>
    <row r="860" ht="14.25" customHeight="1">
      <c r="C860" s="17"/>
      <c r="D860" s="17"/>
      <c r="E860" s="24"/>
      <c r="F860" s="15"/>
      <c r="G860" s="15"/>
      <c r="H860" s="15"/>
      <c r="I860" s="4"/>
      <c r="J860" s="17"/>
      <c r="K860" s="17"/>
      <c r="L860" s="17"/>
      <c r="M860" s="17"/>
      <c r="N860" s="17"/>
      <c r="O860" s="15"/>
      <c r="P860" s="18"/>
      <c r="Q860" s="18"/>
      <c r="S860" s="15"/>
    </row>
    <row r="861" ht="14.25" customHeight="1">
      <c r="C861" s="17"/>
      <c r="D861" s="17"/>
      <c r="E861" s="24"/>
      <c r="F861" s="15"/>
      <c r="G861" s="15"/>
      <c r="H861" s="15"/>
      <c r="I861" s="4"/>
      <c r="J861" s="17"/>
      <c r="K861" s="17"/>
      <c r="L861" s="17"/>
      <c r="M861" s="17"/>
      <c r="N861" s="17"/>
      <c r="O861" s="15"/>
      <c r="P861" s="18"/>
      <c r="Q861" s="18"/>
      <c r="S861" s="15"/>
    </row>
    <row r="862" ht="14.25" customHeight="1">
      <c r="C862" s="17"/>
      <c r="D862" s="17"/>
      <c r="E862" s="24"/>
      <c r="F862" s="15"/>
      <c r="G862" s="15"/>
      <c r="H862" s="15"/>
      <c r="I862" s="4"/>
      <c r="J862" s="17"/>
      <c r="K862" s="17"/>
      <c r="L862" s="17"/>
      <c r="M862" s="17"/>
      <c r="N862" s="17"/>
      <c r="O862" s="15"/>
      <c r="P862" s="18"/>
      <c r="Q862" s="18"/>
      <c r="S862" s="15"/>
    </row>
    <row r="863" ht="14.25" customHeight="1">
      <c r="C863" s="17"/>
      <c r="D863" s="17"/>
      <c r="E863" s="24"/>
      <c r="F863" s="15"/>
      <c r="G863" s="15"/>
      <c r="H863" s="15"/>
      <c r="I863" s="4"/>
      <c r="J863" s="17"/>
      <c r="K863" s="17"/>
      <c r="L863" s="17"/>
      <c r="M863" s="17"/>
      <c r="N863" s="17"/>
      <c r="O863" s="15"/>
      <c r="P863" s="18"/>
      <c r="Q863" s="18"/>
      <c r="S863" s="15"/>
    </row>
    <row r="864" ht="14.25" customHeight="1">
      <c r="C864" s="17"/>
      <c r="D864" s="17"/>
      <c r="E864" s="24"/>
      <c r="F864" s="15"/>
      <c r="G864" s="15"/>
      <c r="H864" s="15"/>
      <c r="I864" s="4"/>
      <c r="J864" s="17"/>
      <c r="K864" s="17"/>
      <c r="L864" s="17"/>
      <c r="M864" s="17"/>
      <c r="N864" s="17"/>
      <c r="O864" s="15"/>
      <c r="P864" s="18"/>
      <c r="Q864" s="18"/>
      <c r="S864" s="15"/>
    </row>
    <row r="865" ht="14.25" customHeight="1">
      <c r="C865" s="17"/>
      <c r="D865" s="17"/>
      <c r="E865" s="24"/>
      <c r="F865" s="15"/>
      <c r="G865" s="15"/>
      <c r="H865" s="15"/>
      <c r="I865" s="4"/>
      <c r="J865" s="17"/>
      <c r="K865" s="17"/>
      <c r="L865" s="17"/>
      <c r="M865" s="17"/>
      <c r="N865" s="17"/>
      <c r="O865" s="15"/>
      <c r="P865" s="18"/>
      <c r="Q865" s="18"/>
      <c r="S865" s="15"/>
    </row>
    <row r="866" ht="14.25" customHeight="1">
      <c r="C866" s="17"/>
      <c r="D866" s="17"/>
      <c r="E866" s="24"/>
      <c r="F866" s="15"/>
      <c r="G866" s="15"/>
      <c r="H866" s="15"/>
      <c r="I866" s="4"/>
      <c r="J866" s="17"/>
      <c r="K866" s="17"/>
      <c r="L866" s="17"/>
      <c r="M866" s="17"/>
      <c r="N866" s="17"/>
      <c r="O866" s="15"/>
      <c r="P866" s="18"/>
      <c r="Q866" s="18"/>
      <c r="S866" s="15"/>
    </row>
    <row r="867" ht="14.25" customHeight="1">
      <c r="C867" s="17"/>
      <c r="D867" s="17"/>
      <c r="E867" s="24"/>
      <c r="F867" s="15"/>
      <c r="G867" s="15"/>
      <c r="H867" s="15"/>
      <c r="I867" s="4"/>
      <c r="J867" s="17"/>
      <c r="K867" s="17"/>
      <c r="L867" s="17"/>
      <c r="M867" s="17"/>
      <c r="N867" s="17"/>
      <c r="O867" s="15"/>
      <c r="P867" s="18"/>
      <c r="Q867" s="18"/>
      <c r="S867" s="15"/>
    </row>
    <row r="868" ht="14.25" customHeight="1">
      <c r="C868" s="17"/>
      <c r="D868" s="17"/>
      <c r="E868" s="24"/>
      <c r="F868" s="15"/>
      <c r="G868" s="15"/>
      <c r="H868" s="15"/>
      <c r="I868" s="4"/>
      <c r="J868" s="17"/>
      <c r="K868" s="17"/>
      <c r="L868" s="17"/>
      <c r="M868" s="17"/>
      <c r="N868" s="17"/>
      <c r="O868" s="15"/>
      <c r="P868" s="18"/>
      <c r="Q868" s="18"/>
      <c r="S868" s="15"/>
    </row>
    <row r="869" ht="14.25" customHeight="1">
      <c r="C869" s="17"/>
      <c r="D869" s="17"/>
      <c r="E869" s="24"/>
      <c r="F869" s="15"/>
      <c r="G869" s="15"/>
      <c r="H869" s="15"/>
      <c r="I869" s="4"/>
      <c r="J869" s="17"/>
      <c r="K869" s="17"/>
      <c r="L869" s="17"/>
      <c r="M869" s="17"/>
      <c r="N869" s="17"/>
      <c r="O869" s="15"/>
      <c r="P869" s="18"/>
      <c r="Q869" s="18"/>
      <c r="S869" s="15"/>
    </row>
    <row r="870" ht="14.25" customHeight="1">
      <c r="C870" s="17"/>
      <c r="D870" s="17"/>
      <c r="E870" s="24"/>
      <c r="F870" s="15"/>
      <c r="G870" s="15"/>
      <c r="H870" s="15"/>
      <c r="I870" s="4"/>
      <c r="J870" s="17"/>
      <c r="K870" s="17"/>
      <c r="L870" s="17"/>
      <c r="M870" s="17"/>
      <c r="N870" s="17"/>
      <c r="O870" s="15"/>
      <c r="P870" s="18"/>
      <c r="Q870" s="18"/>
      <c r="S870" s="15"/>
    </row>
    <row r="871" ht="14.25" customHeight="1">
      <c r="C871" s="17"/>
      <c r="D871" s="17"/>
      <c r="E871" s="24"/>
      <c r="F871" s="15"/>
      <c r="G871" s="15"/>
      <c r="H871" s="15"/>
      <c r="I871" s="4"/>
      <c r="J871" s="17"/>
      <c r="K871" s="17"/>
      <c r="L871" s="17"/>
      <c r="M871" s="17"/>
      <c r="N871" s="17"/>
      <c r="O871" s="15"/>
      <c r="P871" s="18"/>
      <c r="Q871" s="18"/>
      <c r="S871" s="15"/>
    </row>
    <row r="872" ht="14.25" customHeight="1">
      <c r="C872" s="17"/>
      <c r="D872" s="17"/>
      <c r="E872" s="24"/>
      <c r="F872" s="15"/>
      <c r="G872" s="15"/>
      <c r="H872" s="15"/>
      <c r="I872" s="4"/>
      <c r="J872" s="17"/>
      <c r="K872" s="17"/>
      <c r="L872" s="17"/>
      <c r="M872" s="17"/>
      <c r="N872" s="17"/>
      <c r="O872" s="15"/>
      <c r="P872" s="18"/>
      <c r="Q872" s="18"/>
      <c r="S872" s="15"/>
    </row>
    <row r="873" ht="14.25" customHeight="1">
      <c r="C873" s="17"/>
      <c r="D873" s="17"/>
      <c r="E873" s="24"/>
      <c r="F873" s="15"/>
      <c r="G873" s="15"/>
      <c r="H873" s="15"/>
      <c r="I873" s="4"/>
      <c r="J873" s="17"/>
      <c r="K873" s="17"/>
      <c r="L873" s="17"/>
      <c r="M873" s="17"/>
      <c r="N873" s="17"/>
      <c r="O873" s="15"/>
      <c r="P873" s="18"/>
      <c r="Q873" s="18"/>
      <c r="S873" s="15"/>
    </row>
    <row r="874" ht="14.25" customHeight="1">
      <c r="C874" s="17"/>
      <c r="D874" s="17"/>
      <c r="E874" s="24"/>
      <c r="F874" s="15"/>
      <c r="G874" s="15"/>
      <c r="H874" s="15"/>
      <c r="I874" s="4"/>
      <c r="J874" s="17"/>
      <c r="K874" s="17"/>
      <c r="L874" s="17"/>
      <c r="M874" s="17"/>
      <c r="N874" s="17"/>
      <c r="O874" s="15"/>
      <c r="P874" s="18"/>
      <c r="Q874" s="18"/>
      <c r="S874" s="15"/>
    </row>
    <row r="875" ht="14.25" customHeight="1">
      <c r="C875" s="17"/>
      <c r="D875" s="17"/>
      <c r="E875" s="24"/>
      <c r="F875" s="15"/>
      <c r="G875" s="15"/>
      <c r="H875" s="15"/>
      <c r="I875" s="4"/>
      <c r="J875" s="17"/>
      <c r="K875" s="17"/>
      <c r="L875" s="17"/>
      <c r="M875" s="17"/>
      <c r="N875" s="17"/>
      <c r="O875" s="15"/>
      <c r="P875" s="18"/>
      <c r="Q875" s="18"/>
      <c r="S875" s="15"/>
    </row>
    <row r="876" ht="14.25" customHeight="1">
      <c r="C876" s="17"/>
      <c r="D876" s="17"/>
      <c r="E876" s="24"/>
      <c r="F876" s="15"/>
      <c r="G876" s="15"/>
      <c r="H876" s="15"/>
      <c r="I876" s="4"/>
      <c r="J876" s="17"/>
      <c r="K876" s="17"/>
      <c r="L876" s="17"/>
      <c r="M876" s="17"/>
      <c r="N876" s="17"/>
      <c r="O876" s="15"/>
      <c r="P876" s="18"/>
      <c r="Q876" s="18"/>
      <c r="S876" s="15"/>
    </row>
    <row r="877" ht="14.25" customHeight="1">
      <c r="C877" s="17"/>
      <c r="D877" s="17"/>
      <c r="E877" s="24"/>
      <c r="F877" s="15"/>
      <c r="G877" s="15"/>
      <c r="H877" s="15"/>
      <c r="I877" s="4"/>
      <c r="J877" s="17"/>
      <c r="K877" s="17"/>
      <c r="L877" s="17"/>
      <c r="M877" s="17"/>
      <c r="N877" s="17"/>
      <c r="O877" s="15"/>
      <c r="P877" s="18"/>
      <c r="Q877" s="18"/>
      <c r="S877" s="15"/>
    </row>
    <row r="878" ht="14.25" customHeight="1">
      <c r="C878" s="17"/>
      <c r="D878" s="17"/>
      <c r="E878" s="24"/>
      <c r="F878" s="15"/>
      <c r="G878" s="15"/>
      <c r="H878" s="15"/>
      <c r="I878" s="4"/>
      <c r="J878" s="17"/>
      <c r="K878" s="17"/>
      <c r="L878" s="17"/>
      <c r="M878" s="17"/>
      <c r="N878" s="17"/>
      <c r="O878" s="15"/>
      <c r="P878" s="18"/>
      <c r="Q878" s="18"/>
      <c r="S878" s="15"/>
    </row>
    <row r="879" ht="14.25" customHeight="1">
      <c r="C879" s="17"/>
      <c r="D879" s="17"/>
      <c r="E879" s="24"/>
      <c r="F879" s="15"/>
      <c r="G879" s="15"/>
      <c r="H879" s="15"/>
      <c r="I879" s="4"/>
      <c r="J879" s="17"/>
      <c r="K879" s="17"/>
      <c r="L879" s="17"/>
      <c r="M879" s="17"/>
      <c r="N879" s="17"/>
      <c r="O879" s="15"/>
      <c r="P879" s="18"/>
      <c r="Q879" s="18"/>
      <c r="S879" s="15"/>
    </row>
    <row r="880" ht="14.25" customHeight="1">
      <c r="C880" s="17"/>
      <c r="D880" s="17"/>
      <c r="E880" s="24"/>
      <c r="F880" s="15"/>
      <c r="G880" s="15"/>
      <c r="H880" s="15"/>
      <c r="I880" s="4"/>
      <c r="J880" s="17"/>
      <c r="K880" s="17"/>
      <c r="L880" s="17"/>
      <c r="M880" s="17"/>
      <c r="N880" s="17"/>
      <c r="O880" s="15"/>
      <c r="P880" s="18"/>
      <c r="Q880" s="18"/>
      <c r="S880" s="15"/>
    </row>
    <row r="881" ht="14.25" customHeight="1">
      <c r="C881" s="17"/>
      <c r="D881" s="17"/>
      <c r="E881" s="24"/>
      <c r="F881" s="15"/>
      <c r="G881" s="15"/>
      <c r="H881" s="15"/>
      <c r="I881" s="4"/>
      <c r="J881" s="17"/>
      <c r="K881" s="17"/>
      <c r="L881" s="17"/>
      <c r="M881" s="17"/>
      <c r="N881" s="17"/>
      <c r="O881" s="15"/>
      <c r="P881" s="18"/>
      <c r="Q881" s="18"/>
      <c r="S881" s="15"/>
    </row>
    <row r="882" ht="14.25" customHeight="1">
      <c r="C882" s="17"/>
      <c r="D882" s="17"/>
      <c r="E882" s="24"/>
      <c r="F882" s="15"/>
      <c r="G882" s="15"/>
      <c r="H882" s="15"/>
      <c r="I882" s="4"/>
      <c r="J882" s="17"/>
      <c r="K882" s="17"/>
      <c r="L882" s="17"/>
      <c r="M882" s="17"/>
      <c r="N882" s="17"/>
      <c r="O882" s="15"/>
      <c r="P882" s="18"/>
      <c r="Q882" s="18"/>
      <c r="S882" s="15"/>
    </row>
    <row r="883" ht="14.25" customHeight="1">
      <c r="C883" s="17"/>
      <c r="D883" s="17"/>
      <c r="E883" s="24"/>
      <c r="F883" s="15"/>
      <c r="G883" s="15"/>
      <c r="H883" s="15"/>
      <c r="I883" s="4"/>
      <c r="J883" s="17"/>
      <c r="K883" s="17"/>
      <c r="L883" s="17"/>
      <c r="M883" s="17"/>
      <c r="N883" s="17"/>
      <c r="O883" s="15"/>
      <c r="P883" s="18"/>
      <c r="Q883" s="18"/>
      <c r="S883" s="15"/>
    </row>
    <row r="884" ht="14.25" customHeight="1">
      <c r="C884" s="17"/>
      <c r="D884" s="17"/>
      <c r="E884" s="24"/>
      <c r="F884" s="15"/>
      <c r="G884" s="15"/>
      <c r="H884" s="15"/>
      <c r="I884" s="4"/>
      <c r="J884" s="17"/>
      <c r="K884" s="17"/>
      <c r="L884" s="17"/>
      <c r="M884" s="17"/>
      <c r="N884" s="17"/>
      <c r="O884" s="15"/>
      <c r="P884" s="18"/>
      <c r="Q884" s="18"/>
      <c r="S884" s="15"/>
    </row>
    <row r="885" ht="14.25" customHeight="1">
      <c r="C885" s="17"/>
      <c r="D885" s="17"/>
      <c r="E885" s="24"/>
      <c r="F885" s="15"/>
      <c r="G885" s="15"/>
      <c r="H885" s="15"/>
      <c r="I885" s="4"/>
      <c r="J885" s="17"/>
      <c r="K885" s="17"/>
      <c r="L885" s="17"/>
      <c r="M885" s="17"/>
      <c r="N885" s="17"/>
      <c r="O885" s="15"/>
      <c r="P885" s="18"/>
      <c r="Q885" s="18"/>
      <c r="S885" s="15"/>
    </row>
    <row r="886" ht="14.25" customHeight="1">
      <c r="C886" s="17"/>
      <c r="D886" s="17"/>
      <c r="E886" s="24"/>
      <c r="F886" s="15"/>
      <c r="G886" s="15"/>
      <c r="H886" s="15"/>
      <c r="I886" s="4"/>
      <c r="J886" s="17"/>
      <c r="K886" s="17"/>
      <c r="L886" s="17"/>
      <c r="M886" s="17"/>
      <c r="N886" s="17"/>
      <c r="O886" s="15"/>
      <c r="P886" s="18"/>
      <c r="Q886" s="18"/>
      <c r="S886" s="15"/>
    </row>
    <row r="887" ht="14.25" customHeight="1">
      <c r="C887" s="17"/>
      <c r="D887" s="17"/>
      <c r="E887" s="24"/>
      <c r="F887" s="15"/>
      <c r="G887" s="15"/>
      <c r="H887" s="15"/>
      <c r="I887" s="4"/>
      <c r="J887" s="17"/>
      <c r="K887" s="17"/>
      <c r="L887" s="17"/>
      <c r="M887" s="17"/>
      <c r="N887" s="17"/>
      <c r="O887" s="15"/>
      <c r="P887" s="18"/>
      <c r="Q887" s="18"/>
      <c r="S887" s="15"/>
    </row>
    <row r="888" ht="14.25" customHeight="1">
      <c r="C888" s="17"/>
      <c r="D888" s="17"/>
      <c r="E888" s="24"/>
      <c r="F888" s="15"/>
      <c r="G888" s="15"/>
      <c r="H888" s="15"/>
      <c r="I888" s="4"/>
      <c r="J888" s="17"/>
      <c r="K888" s="17"/>
      <c r="L888" s="17"/>
      <c r="M888" s="17"/>
      <c r="N888" s="17"/>
      <c r="O888" s="15"/>
      <c r="P888" s="18"/>
      <c r="Q888" s="18"/>
      <c r="S888" s="15"/>
    </row>
    <row r="889" ht="14.25" customHeight="1">
      <c r="C889" s="17"/>
      <c r="D889" s="17"/>
      <c r="E889" s="24"/>
      <c r="F889" s="15"/>
      <c r="G889" s="15"/>
      <c r="H889" s="15"/>
      <c r="I889" s="4"/>
      <c r="J889" s="17"/>
      <c r="K889" s="17"/>
      <c r="L889" s="17"/>
      <c r="M889" s="17"/>
      <c r="N889" s="17"/>
      <c r="O889" s="15"/>
      <c r="P889" s="18"/>
      <c r="Q889" s="18"/>
      <c r="S889" s="15"/>
    </row>
    <row r="890" ht="14.25" customHeight="1">
      <c r="C890" s="17"/>
      <c r="D890" s="17"/>
      <c r="E890" s="24"/>
      <c r="F890" s="15"/>
      <c r="G890" s="15"/>
      <c r="H890" s="15"/>
      <c r="I890" s="4"/>
      <c r="J890" s="17"/>
      <c r="K890" s="17"/>
      <c r="L890" s="17"/>
      <c r="M890" s="17"/>
      <c r="N890" s="17"/>
      <c r="O890" s="15"/>
      <c r="P890" s="18"/>
      <c r="Q890" s="18"/>
      <c r="S890" s="15"/>
    </row>
    <row r="891" ht="14.25" customHeight="1">
      <c r="C891" s="17"/>
      <c r="D891" s="17"/>
      <c r="E891" s="24"/>
      <c r="F891" s="15"/>
      <c r="G891" s="15"/>
      <c r="H891" s="15"/>
      <c r="I891" s="4"/>
      <c r="J891" s="17"/>
      <c r="K891" s="17"/>
      <c r="L891" s="17"/>
      <c r="M891" s="17"/>
      <c r="N891" s="17"/>
      <c r="O891" s="15"/>
      <c r="P891" s="18"/>
      <c r="Q891" s="18"/>
      <c r="S891" s="15"/>
    </row>
    <row r="892" ht="14.25" customHeight="1">
      <c r="C892" s="17"/>
      <c r="D892" s="17"/>
      <c r="E892" s="24"/>
      <c r="F892" s="15"/>
      <c r="G892" s="15"/>
      <c r="H892" s="15"/>
      <c r="I892" s="4"/>
      <c r="J892" s="17"/>
      <c r="K892" s="17"/>
      <c r="L892" s="17"/>
      <c r="M892" s="17"/>
      <c r="N892" s="17"/>
      <c r="O892" s="15"/>
      <c r="P892" s="18"/>
      <c r="Q892" s="18"/>
      <c r="S892" s="15"/>
    </row>
    <row r="893" ht="14.25" customHeight="1">
      <c r="C893" s="17"/>
      <c r="D893" s="17"/>
      <c r="E893" s="24"/>
      <c r="F893" s="15"/>
      <c r="G893" s="15"/>
      <c r="H893" s="15"/>
      <c r="I893" s="4"/>
      <c r="J893" s="17"/>
      <c r="K893" s="17"/>
      <c r="L893" s="17"/>
      <c r="M893" s="17"/>
      <c r="N893" s="17"/>
      <c r="O893" s="15"/>
      <c r="P893" s="18"/>
      <c r="Q893" s="18"/>
      <c r="S893" s="15"/>
    </row>
    <row r="894" ht="14.25" customHeight="1">
      <c r="C894" s="17"/>
      <c r="D894" s="17"/>
      <c r="E894" s="24"/>
      <c r="F894" s="15"/>
      <c r="G894" s="15"/>
      <c r="H894" s="15"/>
      <c r="I894" s="4"/>
      <c r="J894" s="17"/>
      <c r="K894" s="17"/>
      <c r="L894" s="17"/>
      <c r="M894" s="17"/>
      <c r="N894" s="17"/>
      <c r="O894" s="15"/>
      <c r="P894" s="18"/>
      <c r="Q894" s="18"/>
      <c r="S894" s="15"/>
    </row>
    <row r="895" ht="14.25" customHeight="1">
      <c r="C895" s="17"/>
      <c r="D895" s="17"/>
      <c r="E895" s="24"/>
      <c r="F895" s="15"/>
      <c r="G895" s="15"/>
      <c r="H895" s="15"/>
      <c r="I895" s="4"/>
      <c r="J895" s="17"/>
      <c r="K895" s="17"/>
      <c r="L895" s="17"/>
      <c r="M895" s="17"/>
      <c r="N895" s="17"/>
      <c r="O895" s="15"/>
      <c r="P895" s="18"/>
      <c r="Q895" s="18"/>
      <c r="S895" s="15"/>
    </row>
    <row r="896" ht="14.25" customHeight="1">
      <c r="C896" s="17"/>
      <c r="D896" s="17"/>
      <c r="E896" s="24"/>
      <c r="F896" s="15"/>
      <c r="G896" s="15"/>
      <c r="H896" s="15"/>
      <c r="I896" s="4"/>
      <c r="J896" s="17"/>
      <c r="K896" s="17"/>
      <c r="L896" s="17"/>
      <c r="M896" s="17"/>
      <c r="N896" s="17"/>
      <c r="O896" s="15"/>
      <c r="P896" s="18"/>
      <c r="Q896" s="18"/>
      <c r="S896" s="15"/>
    </row>
    <row r="897" ht="14.25" customHeight="1">
      <c r="C897" s="17"/>
      <c r="D897" s="17"/>
      <c r="E897" s="24"/>
      <c r="F897" s="15"/>
      <c r="G897" s="15"/>
      <c r="H897" s="15"/>
      <c r="I897" s="4"/>
      <c r="J897" s="17"/>
      <c r="K897" s="17"/>
      <c r="L897" s="17"/>
      <c r="M897" s="17"/>
      <c r="N897" s="17"/>
      <c r="O897" s="15"/>
      <c r="P897" s="18"/>
      <c r="Q897" s="18"/>
      <c r="S897" s="15"/>
    </row>
    <row r="898" ht="14.25" customHeight="1">
      <c r="C898" s="17"/>
      <c r="D898" s="17"/>
      <c r="E898" s="24"/>
      <c r="F898" s="15"/>
      <c r="G898" s="15"/>
      <c r="H898" s="15"/>
      <c r="I898" s="4"/>
      <c r="J898" s="17"/>
      <c r="K898" s="17"/>
      <c r="L898" s="17"/>
      <c r="M898" s="17"/>
      <c r="N898" s="17"/>
      <c r="O898" s="15"/>
      <c r="P898" s="18"/>
      <c r="Q898" s="18"/>
      <c r="S898" s="15"/>
    </row>
    <row r="899" ht="14.25" customHeight="1">
      <c r="C899" s="17"/>
      <c r="D899" s="17"/>
      <c r="E899" s="24"/>
      <c r="F899" s="15"/>
      <c r="G899" s="15"/>
      <c r="H899" s="15"/>
      <c r="I899" s="4"/>
      <c r="J899" s="17"/>
      <c r="K899" s="17"/>
      <c r="L899" s="17"/>
      <c r="M899" s="17"/>
      <c r="N899" s="17"/>
      <c r="O899" s="15"/>
      <c r="P899" s="18"/>
      <c r="Q899" s="18"/>
      <c r="S899" s="15"/>
    </row>
    <row r="900" ht="14.25" customHeight="1">
      <c r="C900" s="17"/>
      <c r="D900" s="17"/>
      <c r="E900" s="24"/>
      <c r="F900" s="15"/>
      <c r="G900" s="15"/>
      <c r="H900" s="15"/>
      <c r="I900" s="4"/>
      <c r="J900" s="17"/>
      <c r="K900" s="17"/>
      <c r="L900" s="17"/>
      <c r="M900" s="17"/>
      <c r="N900" s="17"/>
      <c r="O900" s="15"/>
      <c r="P900" s="18"/>
      <c r="Q900" s="18"/>
      <c r="S900" s="15"/>
    </row>
    <row r="901" ht="14.25" customHeight="1">
      <c r="C901" s="17"/>
      <c r="D901" s="17"/>
      <c r="E901" s="24"/>
      <c r="F901" s="15"/>
      <c r="G901" s="15"/>
      <c r="H901" s="15"/>
      <c r="I901" s="4"/>
      <c r="J901" s="17"/>
      <c r="K901" s="17"/>
      <c r="L901" s="17"/>
      <c r="M901" s="17"/>
      <c r="N901" s="17"/>
      <c r="O901" s="15"/>
      <c r="P901" s="18"/>
      <c r="Q901" s="18"/>
      <c r="S901" s="15"/>
    </row>
    <row r="902" ht="14.25" customHeight="1">
      <c r="C902" s="17"/>
      <c r="D902" s="17"/>
      <c r="E902" s="24"/>
      <c r="F902" s="15"/>
      <c r="G902" s="15"/>
      <c r="H902" s="15"/>
      <c r="I902" s="4"/>
      <c r="J902" s="17"/>
      <c r="K902" s="17"/>
      <c r="L902" s="17"/>
      <c r="M902" s="17"/>
      <c r="N902" s="17"/>
      <c r="O902" s="15"/>
      <c r="P902" s="18"/>
      <c r="Q902" s="18"/>
      <c r="S902" s="15"/>
    </row>
    <row r="903" ht="14.25" customHeight="1">
      <c r="C903" s="17"/>
      <c r="D903" s="17"/>
      <c r="E903" s="24"/>
      <c r="F903" s="15"/>
      <c r="G903" s="15"/>
      <c r="H903" s="15"/>
      <c r="I903" s="4"/>
      <c r="J903" s="17"/>
      <c r="K903" s="17"/>
      <c r="L903" s="17"/>
      <c r="M903" s="17"/>
      <c r="N903" s="17"/>
      <c r="O903" s="15"/>
      <c r="P903" s="18"/>
      <c r="Q903" s="18"/>
      <c r="S903" s="15"/>
    </row>
    <row r="904" ht="14.25" customHeight="1">
      <c r="C904" s="17"/>
      <c r="D904" s="17"/>
      <c r="E904" s="24"/>
      <c r="F904" s="15"/>
      <c r="G904" s="15"/>
      <c r="H904" s="15"/>
      <c r="I904" s="4"/>
      <c r="J904" s="17"/>
      <c r="K904" s="17"/>
      <c r="L904" s="17"/>
      <c r="M904" s="17"/>
      <c r="N904" s="17"/>
      <c r="O904" s="15"/>
      <c r="P904" s="18"/>
      <c r="Q904" s="18"/>
      <c r="S904" s="15"/>
    </row>
    <row r="905" ht="14.25" customHeight="1">
      <c r="C905" s="17"/>
      <c r="D905" s="17"/>
      <c r="E905" s="24"/>
      <c r="F905" s="15"/>
      <c r="G905" s="15"/>
      <c r="H905" s="15"/>
      <c r="I905" s="4"/>
      <c r="J905" s="17"/>
      <c r="K905" s="17"/>
      <c r="L905" s="17"/>
      <c r="M905" s="17"/>
      <c r="N905" s="17"/>
      <c r="O905" s="15"/>
      <c r="P905" s="18"/>
      <c r="Q905" s="18"/>
      <c r="S905" s="15"/>
    </row>
    <row r="906" ht="14.25" customHeight="1">
      <c r="C906" s="17"/>
      <c r="D906" s="17"/>
      <c r="E906" s="24"/>
      <c r="F906" s="15"/>
      <c r="G906" s="15"/>
      <c r="H906" s="15"/>
      <c r="I906" s="4"/>
      <c r="J906" s="17"/>
      <c r="K906" s="17"/>
      <c r="L906" s="17"/>
      <c r="M906" s="17"/>
      <c r="N906" s="17"/>
      <c r="O906" s="15"/>
      <c r="P906" s="18"/>
      <c r="Q906" s="18"/>
      <c r="S906" s="15"/>
    </row>
    <row r="907" ht="14.25" customHeight="1">
      <c r="C907" s="17"/>
      <c r="D907" s="17"/>
      <c r="E907" s="24"/>
      <c r="F907" s="15"/>
      <c r="G907" s="15"/>
      <c r="H907" s="15"/>
      <c r="I907" s="4"/>
      <c r="J907" s="17"/>
      <c r="K907" s="17"/>
      <c r="L907" s="17"/>
      <c r="M907" s="17"/>
      <c r="N907" s="17"/>
      <c r="O907" s="15"/>
      <c r="P907" s="18"/>
      <c r="Q907" s="18"/>
      <c r="S907" s="15"/>
    </row>
    <row r="908" ht="14.25" customHeight="1">
      <c r="C908" s="17"/>
      <c r="D908" s="17"/>
      <c r="E908" s="24"/>
      <c r="F908" s="15"/>
      <c r="G908" s="15"/>
      <c r="H908" s="15"/>
      <c r="I908" s="4"/>
      <c r="J908" s="17"/>
      <c r="K908" s="17"/>
      <c r="L908" s="17"/>
      <c r="M908" s="17"/>
      <c r="N908" s="17"/>
      <c r="O908" s="15"/>
      <c r="P908" s="18"/>
      <c r="Q908" s="18"/>
      <c r="S908" s="15"/>
    </row>
    <row r="909" ht="14.25" customHeight="1">
      <c r="C909" s="17"/>
      <c r="D909" s="17"/>
      <c r="E909" s="24"/>
      <c r="F909" s="15"/>
      <c r="G909" s="15"/>
      <c r="H909" s="15"/>
      <c r="I909" s="4"/>
      <c r="J909" s="17"/>
      <c r="K909" s="17"/>
      <c r="L909" s="17"/>
      <c r="M909" s="17"/>
      <c r="N909" s="17"/>
      <c r="O909" s="15"/>
      <c r="P909" s="18"/>
      <c r="Q909" s="18"/>
      <c r="S909" s="15"/>
    </row>
    <row r="910" ht="14.25" customHeight="1">
      <c r="C910" s="17"/>
      <c r="D910" s="17"/>
      <c r="E910" s="24"/>
      <c r="F910" s="15"/>
      <c r="G910" s="15"/>
      <c r="H910" s="15"/>
      <c r="I910" s="4"/>
      <c r="J910" s="17"/>
      <c r="K910" s="17"/>
      <c r="L910" s="17"/>
      <c r="M910" s="17"/>
      <c r="N910" s="17"/>
      <c r="O910" s="15"/>
      <c r="P910" s="18"/>
      <c r="Q910" s="18"/>
      <c r="S910" s="15"/>
    </row>
    <row r="911" ht="14.25" customHeight="1">
      <c r="C911" s="17"/>
      <c r="D911" s="17"/>
      <c r="E911" s="24"/>
      <c r="F911" s="15"/>
      <c r="G911" s="15"/>
      <c r="H911" s="15"/>
      <c r="I911" s="4"/>
      <c r="J911" s="17"/>
      <c r="K911" s="17"/>
      <c r="L911" s="17"/>
      <c r="M911" s="17"/>
      <c r="N911" s="17"/>
      <c r="O911" s="15"/>
      <c r="P911" s="18"/>
      <c r="Q911" s="18"/>
      <c r="S911" s="15"/>
    </row>
    <row r="912" ht="14.25" customHeight="1">
      <c r="C912" s="17"/>
      <c r="D912" s="17"/>
      <c r="E912" s="24"/>
      <c r="F912" s="15"/>
      <c r="G912" s="15"/>
      <c r="H912" s="15"/>
      <c r="I912" s="4"/>
      <c r="J912" s="17"/>
      <c r="K912" s="17"/>
      <c r="L912" s="17"/>
      <c r="M912" s="17"/>
      <c r="N912" s="17"/>
      <c r="O912" s="15"/>
      <c r="P912" s="18"/>
      <c r="Q912" s="18"/>
      <c r="S912" s="15"/>
    </row>
    <row r="913" ht="14.25" customHeight="1">
      <c r="C913" s="17"/>
      <c r="D913" s="17"/>
      <c r="E913" s="24"/>
      <c r="F913" s="15"/>
      <c r="G913" s="15"/>
      <c r="H913" s="15"/>
      <c r="I913" s="4"/>
      <c r="J913" s="17"/>
      <c r="K913" s="17"/>
      <c r="L913" s="17"/>
      <c r="M913" s="17"/>
      <c r="N913" s="17"/>
      <c r="O913" s="15"/>
      <c r="P913" s="18"/>
      <c r="Q913" s="18"/>
      <c r="S913" s="15"/>
    </row>
    <row r="914" ht="14.25" customHeight="1">
      <c r="C914" s="17"/>
      <c r="D914" s="17"/>
      <c r="E914" s="24"/>
      <c r="F914" s="15"/>
      <c r="G914" s="15"/>
      <c r="H914" s="15"/>
      <c r="I914" s="4"/>
      <c r="J914" s="17"/>
      <c r="K914" s="17"/>
      <c r="L914" s="17"/>
      <c r="M914" s="17"/>
      <c r="N914" s="17"/>
      <c r="O914" s="15"/>
      <c r="P914" s="18"/>
      <c r="Q914" s="18"/>
      <c r="S914" s="15"/>
    </row>
    <row r="915" ht="14.25" customHeight="1">
      <c r="C915" s="17"/>
      <c r="D915" s="17"/>
      <c r="E915" s="24"/>
      <c r="F915" s="15"/>
      <c r="G915" s="15"/>
      <c r="H915" s="15"/>
      <c r="I915" s="4"/>
      <c r="J915" s="17"/>
      <c r="K915" s="17"/>
      <c r="L915" s="17"/>
      <c r="M915" s="17"/>
      <c r="N915" s="17"/>
      <c r="O915" s="15"/>
      <c r="P915" s="18"/>
      <c r="Q915" s="18"/>
      <c r="S915" s="15"/>
    </row>
    <row r="916" ht="14.25" customHeight="1">
      <c r="C916" s="17"/>
      <c r="D916" s="17"/>
      <c r="E916" s="24"/>
      <c r="F916" s="15"/>
      <c r="G916" s="15"/>
      <c r="H916" s="15"/>
      <c r="I916" s="4"/>
      <c r="J916" s="17"/>
      <c r="K916" s="17"/>
      <c r="L916" s="17"/>
      <c r="M916" s="17"/>
      <c r="N916" s="17"/>
      <c r="O916" s="15"/>
      <c r="P916" s="18"/>
      <c r="Q916" s="18"/>
      <c r="S916" s="15"/>
    </row>
    <row r="917" ht="14.25" customHeight="1">
      <c r="C917" s="17"/>
      <c r="D917" s="17"/>
      <c r="E917" s="24"/>
      <c r="F917" s="15"/>
      <c r="G917" s="15"/>
      <c r="H917" s="15"/>
      <c r="I917" s="4"/>
      <c r="J917" s="17"/>
      <c r="K917" s="17"/>
      <c r="L917" s="17"/>
      <c r="M917" s="17"/>
      <c r="N917" s="17"/>
      <c r="O917" s="15"/>
      <c r="P917" s="18"/>
      <c r="Q917" s="18"/>
      <c r="S917" s="15"/>
    </row>
    <row r="918" ht="14.25" customHeight="1">
      <c r="C918" s="17"/>
      <c r="D918" s="17"/>
      <c r="E918" s="24"/>
      <c r="F918" s="15"/>
      <c r="G918" s="15"/>
      <c r="H918" s="15"/>
      <c r="I918" s="4"/>
      <c r="J918" s="17"/>
      <c r="K918" s="17"/>
      <c r="L918" s="17"/>
      <c r="M918" s="17"/>
      <c r="N918" s="17"/>
      <c r="O918" s="15"/>
      <c r="P918" s="18"/>
      <c r="Q918" s="18"/>
      <c r="S918" s="15"/>
    </row>
    <row r="919" ht="14.25" customHeight="1">
      <c r="C919" s="17"/>
      <c r="D919" s="17"/>
      <c r="E919" s="24"/>
      <c r="F919" s="15"/>
      <c r="G919" s="15"/>
      <c r="H919" s="15"/>
      <c r="I919" s="4"/>
      <c r="J919" s="17"/>
      <c r="K919" s="17"/>
      <c r="L919" s="17"/>
      <c r="M919" s="17"/>
      <c r="N919" s="17"/>
      <c r="O919" s="15"/>
      <c r="P919" s="18"/>
      <c r="Q919" s="18"/>
      <c r="S919" s="15"/>
    </row>
    <row r="920" ht="14.25" customHeight="1">
      <c r="C920" s="17"/>
      <c r="D920" s="17"/>
      <c r="E920" s="24"/>
      <c r="F920" s="15"/>
      <c r="G920" s="15"/>
      <c r="H920" s="15"/>
      <c r="I920" s="4"/>
      <c r="J920" s="17"/>
      <c r="K920" s="17"/>
      <c r="L920" s="17"/>
      <c r="M920" s="17"/>
      <c r="N920" s="17"/>
      <c r="O920" s="15"/>
      <c r="P920" s="18"/>
      <c r="Q920" s="18"/>
      <c r="S920" s="15"/>
    </row>
    <row r="921" ht="14.25" customHeight="1">
      <c r="C921" s="17"/>
      <c r="D921" s="17"/>
      <c r="E921" s="24"/>
      <c r="F921" s="15"/>
      <c r="G921" s="15"/>
      <c r="H921" s="15"/>
      <c r="I921" s="4"/>
      <c r="J921" s="17"/>
      <c r="K921" s="17"/>
      <c r="L921" s="17"/>
      <c r="M921" s="17"/>
      <c r="N921" s="17"/>
      <c r="O921" s="15"/>
      <c r="P921" s="18"/>
      <c r="Q921" s="18"/>
      <c r="S921" s="15"/>
    </row>
    <row r="922" ht="14.25" customHeight="1">
      <c r="C922" s="17"/>
      <c r="D922" s="17"/>
      <c r="E922" s="24"/>
      <c r="F922" s="15"/>
      <c r="G922" s="15"/>
      <c r="H922" s="15"/>
      <c r="I922" s="4"/>
      <c r="J922" s="17"/>
      <c r="K922" s="17"/>
      <c r="L922" s="17"/>
      <c r="M922" s="17"/>
      <c r="N922" s="17"/>
      <c r="O922" s="15"/>
      <c r="P922" s="18"/>
      <c r="Q922" s="18"/>
      <c r="S922" s="15"/>
    </row>
    <row r="923" ht="14.25" customHeight="1">
      <c r="C923" s="17"/>
      <c r="D923" s="17"/>
      <c r="E923" s="24"/>
      <c r="F923" s="15"/>
      <c r="G923" s="15"/>
      <c r="H923" s="15"/>
      <c r="I923" s="4"/>
      <c r="J923" s="17"/>
      <c r="K923" s="17"/>
      <c r="L923" s="17"/>
      <c r="M923" s="17"/>
      <c r="N923" s="17"/>
      <c r="O923" s="15"/>
      <c r="P923" s="18"/>
      <c r="Q923" s="18"/>
      <c r="S923" s="15"/>
    </row>
    <row r="924" ht="14.25" customHeight="1">
      <c r="C924" s="17"/>
      <c r="D924" s="17"/>
      <c r="E924" s="24"/>
      <c r="F924" s="15"/>
      <c r="G924" s="15"/>
      <c r="H924" s="15"/>
      <c r="I924" s="4"/>
      <c r="J924" s="17"/>
      <c r="K924" s="17"/>
      <c r="L924" s="17"/>
      <c r="M924" s="17"/>
      <c r="N924" s="17"/>
      <c r="O924" s="15"/>
      <c r="P924" s="18"/>
      <c r="Q924" s="18"/>
      <c r="S924" s="15"/>
    </row>
    <row r="925" ht="14.25" customHeight="1">
      <c r="C925" s="17"/>
      <c r="D925" s="17"/>
      <c r="E925" s="24"/>
      <c r="F925" s="15"/>
      <c r="G925" s="15"/>
      <c r="H925" s="15"/>
      <c r="I925" s="4"/>
      <c r="J925" s="17"/>
      <c r="K925" s="17"/>
      <c r="L925" s="17"/>
      <c r="M925" s="17"/>
      <c r="N925" s="17"/>
      <c r="O925" s="15"/>
      <c r="P925" s="18"/>
      <c r="Q925" s="18"/>
      <c r="S925" s="15"/>
    </row>
    <row r="926" ht="14.25" customHeight="1">
      <c r="C926" s="17"/>
      <c r="D926" s="17"/>
      <c r="E926" s="24"/>
      <c r="F926" s="15"/>
      <c r="G926" s="15"/>
      <c r="H926" s="15"/>
      <c r="I926" s="4"/>
      <c r="J926" s="17"/>
      <c r="K926" s="17"/>
      <c r="L926" s="17"/>
      <c r="M926" s="17"/>
      <c r="N926" s="17"/>
      <c r="O926" s="15"/>
      <c r="P926" s="18"/>
      <c r="Q926" s="18"/>
      <c r="S926" s="15"/>
    </row>
    <row r="927" ht="14.25" customHeight="1">
      <c r="C927" s="17"/>
      <c r="D927" s="17"/>
      <c r="E927" s="24"/>
      <c r="F927" s="15"/>
      <c r="G927" s="15"/>
      <c r="H927" s="15"/>
      <c r="I927" s="4"/>
      <c r="J927" s="17"/>
      <c r="K927" s="17"/>
      <c r="L927" s="17"/>
      <c r="M927" s="17"/>
      <c r="N927" s="17"/>
      <c r="O927" s="15"/>
      <c r="P927" s="18"/>
      <c r="Q927" s="18"/>
      <c r="S927" s="15"/>
    </row>
    <row r="928" ht="14.25" customHeight="1">
      <c r="C928" s="17"/>
      <c r="D928" s="17"/>
      <c r="E928" s="24"/>
      <c r="F928" s="15"/>
      <c r="G928" s="15"/>
      <c r="H928" s="15"/>
      <c r="I928" s="4"/>
      <c r="J928" s="17"/>
      <c r="K928" s="17"/>
      <c r="L928" s="17"/>
      <c r="M928" s="17"/>
      <c r="N928" s="17"/>
      <c r="O928" s="15"/>
      <c r="P928" s="18"/>
      <c r="Q928" s="18"/>
      <c r="S928" s="15"/>
    </row>
    <row r="929" ht="14.25" customHeight="1">
      <c r="C929" s="17"/>
      <c r="D929" s="17"/>
      <c r="E929" s="24"/>
      <c r="F929" s="15"/>
      <c r="G929" s="15"/>
      <c r="H929" s="15"/>
      <c r="I929" s="4"/>
      <c r="J929" s="17"/>
      <c r="K929" s="17"/>
      <c r="L929" s="17"/>
      <c r="M929" s="17"/>
      <c r="N929" s="17"/>
      <c r="O929" s="15"/>
      <c r="P929" s="18"/>
      <c r="Q929" s="18"/>
      <c r="S929" s="15"/>
    </row>
    <row r="930" ht="14.25" customHeight="1">
      <c r="C930" s="17"/>
      <c r="D930" s="17"/>
      <c r="E930" s="24"/>
      <c r="F930" s="15"/>
      <c r="G930" s="15"/>
      <c r="H930" s="15"/>
      <c r="I930" s="4"/>
      <c r="J930" s="17"/>
      <c r="K930" s="17"/>
      <c r="L930" s="17"/>
      <c r="M930" s="17"/>
      <c r="N930" s="17"/>
      <c r="O930" s="15"/>
      <c r="P930" s="18"/>
      <c r="Q930" s="18"/>
      <c r="S930" s="15"/>
    </row>
    <row r="931" ht="14.25" customHeight="1">
      <c r="C931" s="17"/>
      <c r="D931" s="17"/>
      <c r="E931" s="24"/>
      <c r="F931" s="15"/>
      <c r="G931" s="15"/>
      <c r="H931" s="15"/>
      <c r="I931" s="4"/>
      <c r="J931" s="17"/>
      <c r="K931" s="17"/>
      <c r="L931" s="17"/>
      <c r="M931" s="17"/>
      <c r="N931" s="17"/>
      <c r="O931" s="15"/>
      <c r="P931" s="18"/>
      <c r="Q931" s="18"/>
      <c r="S931" s="15"/>
    </row>
    <row r="932" ht="14.25" customHeight="1">
      <c r="C932" s="17"/>
      <c r="D932" s="17"/>
      <c r="E932" s="24"/>
      <c r="F932" s="15"/>
      <c r="G932" s="15"/>
      <c r="H932" s="15"/>
      <c r="I932" s="4"/>
      <c r="J932" s="17"/>
      <c r="K932" s="17"/>
      <c r="L932" s="17"/>
      <c r="M932" s="17"/>
      <c r="N932" s="17"/>
      <c r="O932" s="15"/>
      <c r="P932" s="18"/>
      <c r="Q932" s="18"/>
      <c r="S932" s="15"/>
    </row>
    <row r="933" ht="14.25" customHeight="1">
      <c r="C933" s="17"/>
      <c r="D933" s="17"/>
      <c r="E933" s="24"/>
      <c r="F933" s="15"/>
      <c r="G933" s="15"/>
      <c r="H933" s="15"/>
      <c r="I933" s="4"/>
      <c r="J933" s="17"/>
      <c r="K933" s="17"/>
      <c r="L933" s="17"/>
      <c r="M933" s="17"/>
      <c r="N933" s="17"/>
      <c r="O933" s="15"/>
      <c r="P933" s="18"/>
      <c r="Q933" s="18"/>
      <c r="S933" s="15"/>
    </row>
    <row r="934" ht="14.25" customHeight="1">
      <c r="C934" s="17"/>
      <c r="D934" s="17"/>
      <c r="E934" s="24"/>
      <c r="F934" s="15"/>
      <c r="G934" s="15"/>
      <c r="H934" s="15"/>
      <c r="I934" s="4"/>
      <c r="J934" s="17"/>
      <c r="K934" s="17"/>
      <c r="L934" s="17"/>
      <c r="M934" s="17"/>
      <c r="N934" s="17"/>
      <c r="O934" s="15"/>
      <c r="P934" s="18"/>
      <c r="Q934" s="18"/>
      <c r="S934" s="15"/>
    </row>
    <row r="935" ht="14.25" customHeight="1">
      <c r="C935" s="17"/>
      <c r="D935" s="17"/>
      <c r="E935" s="24"/>
      <c r="F935" s="15"/>
      <c r="G935" s="15"/>
      <c r="H935" s="15"/>
      <c r="I935" s="4"/>
      <c r="J935" s="17"/>
      <c r="K935" s="17"/>
      <c r="L935" s="17"/>
      <c r="M935" s="17"/>
      <c r="N935" s="17"/>
      <c r="O935" s="15"/>
      <c r="P935" s="18"/>
      <c r="Q935" s="18"/>
      <c r="S935" s="15"/>
    </row>
    <row r="936" ht="14.25" customHeight="1">
      <c r="C936" s="17"/>
      <c r="D936" s="17"/>
      <c r="E936" s="24"/>
      <c r="F936" s="15"/>
      <c r="G936" s="15"/>
      <c r="H936" s="15"/>
      <c r="I936" s="4"/>
      <c r="J936" s="17"/>
      <c r="K936" s="17"/>
      <c r="L936" s="17"/>
      <c r="M936" s="17"/>
      <c r="N936" s="17"/>
      <c r="O936" s="15"/>
      <c r="P936" s="18"/>
      <c r="Q936" s="18"/>
      <c r="S936" s="15"/>
    </row>
    <row r="937" ht="14.25" customHeight="1">
      <c r="C937" s="17"/>
      <c r="D937" s="17"/>
      <c r="E937" s="24"/>
      <c r="F937" s="15"/>
      <c r="G937" s="15"/>
      <c r="H937" s="15"/>
      <c r="I937" s="4"/>
      <c r="J937" s="17"/>
      <c r="K937" s="17"/>
      <c r="L937" s="17"/>
      <c r="M937" s="17"/>
      <c r="N937" s="17"/>
      <c r="O937" s="15"/>
      <c r="P937" s="18"/>
      <c r="Q937" s="18"/>
      <c r="S937" s="15"/>
    </row>
    <row r="938" ht="14.25" customHeight="1">
      <c r="C938" s="17"/>
      <c r="D938" s="17"/>
      <c r="E938" s="24"/>
      <c r="F938" s="15"/>
      <c r="G938" s="15"/>
      <c r="H938" s="15"/>
      <c r="I938" s="4"/>
      <c r="J938" s="17"/>
      <c r="K938" s="17"/>
      <c r="L938" s="17"/>
      <c r="M938" s="17"/>
      <c r="N938" s="17"/>
      <c r="O938" s="15"/>
      <c r="P938" s="18"/>
      <c r="Q938" s="18"/>
      <c r="S938" s="15"/>
    </row>
    <row r="939" ht="14.25" customHeight="1">
      <c r="C939" s="17"/>
      <c r="D939" s="17"/>
      <c r="E939" s="24"/>
      <c r="F939" s="15"/>
      <c r="G939" s="15"/>
      <c r="H939" s="15"/>
      <c r="I939" s="4"/>
      <c r="J939" s="17"/>
      <c r="K939" s="17"/>
      <c r="L939" s="17"/>
      <c r="M939" s="17"/>
      <c r="N939" s="17"/>
      <c r="O939" s="15"/>
      <c r="P939" s="18"/>
      <c r="Q939" s="18"/>
      <c r="S939" s="15"/>
    </row>
    <row r="940" ht="14.25" customHeight="1">
      <c r="C940" s="17"/>
      <c r="D940" s="17"/>
      <c r="E940" s="24"/>
      <c r="F940" s="15"/>
      <c r="G940" s="15"/>
      <c r="H940" s="15"/>
      <c r="I940" s="4"/>
      <c r="J940" s="17"/>
      <c r="K940" s="17"/>
      <c r="L940" s="17"/>
      <c r="M940" s="17"/>
      <c r="N940" s="17"/>
      <c r="O940" s="15"/>
      <c r="P940" s="18"/>
      <c r="Q940" s="18"/>
      <c r="S940" s="15"/>
    </row>
    <row r="941" ht="14.25" customHeight="1">
      <c r="C941" s="17"/>
      <c r="D941" s="17"/>
      <c r="E941" s="24"/>
      <c r="F941" s="15"/>
      <c r="G941" s="15"/>
      <c r="H941" s="15"/>
      <c r="I941" s="4"/>
      <c r="J941" s="17"/>
      <c r="K941" s="17"/>
      <c r="L941" s="17"/>
      <c r="M941" s="17"/>
      <c r="N941" s="17"/>
      <c r="O941" s="15"/>
      <c r="P941" s="18"/>
      <c r="Q941" s="18"/>
      <c r="S941" s="15"/>
    </row>
    <row r="942" ht="14.25" customHeight="1">
      <c r="C942" s="17"/>
      <c r="D942" s="17"/>
      <c r="E942" s="24"/>
      <c r="F942" s="15"/>
      <c r="G942" s="15"/>
      <c r="H942" s="15"/>
      <c r="I942" s="4"/>
      <c r="J942" s="17"/>
      <c r="K942" s="17"/>
      <c r="L942" s="17"/>
      <c r="M942" s="17"/>
      <c r="N942" s="17"/>
      <c r="O942" s="15"/>
      <c r="P942" s="18"/>
      <c r="Q942" s="18"/>
      <c r="S942" s="15"/>
    </row>
    <row r="943" ht="14.25" customHeight="1">
      <c r="C943" s="17"/>
      <c r="D943" s="17"/>
      <c r="E943" s="24"/>
      <c r="F943" s="15"/>
      <c r="G943" s="15"/>
      <c r="H943" s="15"/>
      <c r="I943" s="4"/>
      <c r="J943" s="17"/>
      <c r="K943" s="17"/>
      <c r="L943" s="17"/>
      <c r="M943" s="17"/>
      <c r="N943" s="17"/>
      <c r="O943" s="15"/>
      <c r="P943" s="18"/>
      <c r="Q943" s="18"/>
      <c r="S943" s="15"/>
    </row>
    <row r="944" ht="14.25" customHeight="1">
      <c r="C944" s="17"/>
      <c r="D944" s="17"/>
      <c r="E944" s="24"/>
      <c r="F944" s="15"/>
      <c r="G944" s="15"/>
      <c r="H944" s="15"/>
      <c r="I944" s="4"/>
      <c r="J944" s="17"/>
      <c r="K944" s="17"/>
      <c r="L944" s="17"/>
      <c r="M944" s="17"/>
      <c r="N944" s="17"/>
      <c r="O944" s="15"/>
      <c r="P944" s="18"/>
      <c r="Q944" s="18"/>
      <c r="S944" s="15"/>
    </row>
    <row r="945" ht="14.25" customHeight="1">
      <c r="C945" s="17"/>
      <c r="D945" s="17"/>
      <c r="E945" s="24"/>
      <c r="F945" s="15"/>
      <c r="G945" s="15"/>
      <c r="H945" s="15"/>
      <c r="I945" s="4"/>
      <c r="J945" s="17"/>
      <c r="K945" s="17"/>
      <c r="L945" s="17"/>
      <c r="M945" s="17"/>
      <c r="N945" s="17"/>
      <c r="O945" s="15"/>
      <c r="P945" s="18"/>
      <c r="Q945" s="18"/>
      <c r="S945" s="15"/>
    </row>
    <row r="946" ht="14.25" customHeight="1">
      <c r="C946" s="17"/>
      <c r="D946" s="17"/>
      <c r="E946" s="24"/>
      <c r="F946" s="15"/>
      <c r="G946" s="15"/>
      <c r="H946" s="15"/>
      <c r="I946" s="4"/>
      <c r="J946" s="17"/>
      <c r="K946" s="17"/>
      <c r="L946" s="17"/>
      <c r="M946" s="17"/>
      <c r="N946" s="17"/>
      <c r="O946" s="15"/>
      <c r="P946" s="18"/>
      <c r="Q946" s="18"/>
      <c r="S946" s="15"/>
    </row>
    <row r="947" ht="14.25" customHeight="1">
      <c r="C947" s="17"/>
      <c r="D947" s="17"/>
      <c r="E947" s="24"/>
      <c r="F947" s="15"/>
      <c r="G947" s="15"/>
      <c r="H947" s="15"/>
      <c r="I947" s="4"/>
      <c r="J947" s="17"/>
      <c r="K947" s="17"/>
      <c r="L947" s="17"/>
      <c r="M947" s="17"/>
      <c r="N947" s="17"/>
      <c r="O947" s="15"/>
      <c r="P947" s="18"/>
      <c r="Q947" s="18"/>
      <c r="S947" s="15"/>
    </row>
    <row r="948" ht="14.25" customHeight="1">
      <c r="C948" s="17"/>
      <c r="D948" s="17"/>
      <c r="E948" s="24"/>
      <c r="F948" s="15"/>
      <c r="G948" s="15"/>
      <c r="H948" s="15"/>
      <c r="I948" s="4"/>
      <c r="J948" s="17"/>
      <c r="K948" s="17"/>
      <c r="L948" s="17"/>
      <c r="M948" s="17"/>
      <c r="N948" s="17"/>
      <c r="O948" s="15"/>
      <c r="P948" s="18"/>
      <c r="Q948" s="18"/>
      <c r="S948" s="15"/>
    </row>
    <row r="949" ht="14.25" customHeight="1">
      <c r="C949" s="17"/>
      <c r="D949" s="17"/>
      <c r="E949" s="24"/>
      <c r="F949" s="15"/>
      <c r="G949" s="15"/>
      <c r="H949" s="15"/>
      <c r="I949" s="4"/>
      <c r="J949" s="17"/>
      <c r="K949" s="17"/>
      <c r="L949" s="17"/>
      <c r="M949" s="17"/>
      <c r="N949" s="17"/>
      <c r="O949" s="15"/>
      <c r="P949" s="18"/>
      <c r="Q949" s="18"/>
      <c r="S949" s="15"/>
    </row>
    <row r="950" ht="14.25" customHeight="1">
      <c r="C950" s="17"/>
      <c r="D950" s="17"/>
      <c r="E950" s="24"/>
      <c r="F950" s="15"/>
      <c r="G950" s="15"/>
      <c r="H950" s="15"/>
      <c r="I950" s="4"/>
      <c r="J950" s="17"/>
      <c r="K950" s="17"/>
      <c r="L950" s="17"/>
      <c r="M950" s="17"/>
      <c r="N950" s="17"/>
      <c r="O950" s="15"/>
      <c r="P950" s="18"/>
      <c r="Q950" s="18"/>
      <c r="S950" s="15"/>
    </row>
    <row r="951" ht="14.25" customHeight="1">
      <c r="C951" s="17"/>
      <c r="D951" s="17"/>
      <c r="E951" s="24"/>
      <c r="F951" s="15"/>
      <c r="G951" s="15"/>
      <c r="H951" s="15"/>
      <c r="I951" s="4"/>
      <c r="J951" s="17"/>
      <c r="K951" s="17"/>
      <c r="L951" s="17"/>
      <c r="M951" s="17"/>
      <c r="N951" s="17"/>
      <c r="O951" s="15"/>
      <c r="P951" s="18"/>
      <c r="Q951" s="18"/>
      <c r="S951" s="15"/>
    </row>
    <row r="952" ht="14.25" customHeight="1">
      <c r="C952" s="17"/>
      <c r="D952" s="17"/>
      <c r="E952" s="24"/>
      <c r="F952" s="15"/>
      <c r="G952" s="15"/>
      <c r="H952" s="15"/>
      <c r="I952" s="4"/>
      <c r="J952" s="17"/>
      <c r="K952" s="17"/>
      <c r="L952" s="17"/>
      <c r="M952" s="17"/>
      <c r="N952" s="17"/>
      <c r="O952" s="15"/>
      <c r="P952" s="18"/>
      <c r="Q952" s="18"/>
      <c r="S952" s="15"/>
    </row>
    <row r="953" ht="14.25" customHeight="1">
      <c r="C953" s="17"/>
      <c r="D953" s="17"/>
      <c r="E953" s="24"/>
      <c r="F953" s="15"/>
      <c r="G953" s="15"/>
      <c r="H953" s="15"/>
      <c r="I953" s="4"/>
      <c r="J953" s="17"/>
      <c r="K953" s="17"/>
      <c r="L953" s="17"/>
      <c r="M953" s="17"/>
      <c r="N953" s="17"/>
      <c r="O953" s="15"/>
      <c r="P953" s="18"/>
      <c r="Q953" s="18"/>
      <c r="S953" s="15"/>
    </row>
    <row r="954" ht="14.25" customHeight="1">
      <c r="C954" s="17"/>
      <c r="D954" s="17"/>
      <c r="E954" s="24"/>
      <c r="F954" s="15"/>
      <c r="G954" s="15"/>
      <c r="H954" s="15"/>
      <c r="I954" s="4"/>
      <c r="J954" s="17"/>
      <c r="K954" s="17"/>
      <c r="L954" s="17"/>
      <c r="M954" s="17"/>
      <c r="N954" s="17"/>
      <c r="O954" s="15"/>
      <c r="P954" s="18"/>
      <c r="Q954" s="18"/>
      <c r="S954" s="15"/>
    </row>
    <row r="955" ht="14.25" customHeight="1">
      <c r="C955" s="17"/>
      <c r="D955" s="17"/>
      <c r="E955" s="24"/>
      <c r="F955" s="15"/>
      <c r="G955" s="15"/>
      <c r="H955" s="15"/>
      <c r="I955" s="4"/>
      <c r="J955" s="17"/>
      <c r="K955" s="17"/>
      <c r="L955" s="17"/>
      <c r="M955" s="17"/>
      <c r="N955" s="17"/>
      <c r="O955" s="15"/>
      <c r="P955" s="18"/>
      <c r="Q955" s="18"/>
      <c r="S955" s="15"/>
    </row>
    <row r="956" ht="14.25" customHeight="1">
      <c r="C956" s="17"/>
      <c r="D956" s="17"/>
      <c r="E956" s="24"/>
      <c r="F956" s="15"/>
      <c r="G956" s="15"/>
      <c r="H956" s="15"/>
      <c r="I956" s="4"/>
      <c r="J956" s="17"/>
      <c r="K956" s="17"/>
      <c r="L956" s="17"/>
      <c r="M956" s="17"/>
      <c r="N956" s="17"/>
      <c r="O956" s="15"/>
      <c r="P956" s="18"/>
      <c r="Q956" s="18"/>
      <c r="S956" s="15"/>
    </row>
    <row r="957" ht="14.25" customHeight="1">
      <c r="C957" s="17"/>
      <c r="D957" s="17"/>
      <c r="E957" s="24"/>
      <c r="F957" s="15"/>
      <c r="G957" s="15"/>
      <c r="H957" s="15"/>
      <c r="I957" s="4"/>
      <c r="J957" s="17"/>
      <c r="K957" s="17"/>
      <c r="L957" s="17"/>
      <c r="M957" s="17"/>
      <c r="N957" s="17"/>
      <c r="O957" s="15"/>
      <c r="P957" s="18"/>
      <c r="Q957" s="18"/>
      <c r="S957" s="15"/>
    </row>
    <row r="958" ht="14.25" customHeight="1">
      <c r="C958" s="17"/>
      <c r="D958" s="17"/>
      <c r="E958" s="24"/>
      <c r="F958" s="15"/>
      <c r="G958" s="15"/>
      <c r="H958" s="15"/>
      <c r="I958" s="4"/>
      <c r="J958" s="17"/>
      <c r="K958" s="17"/>
      <c r="L958" s="17"/>
      <c r="M958" s="17"/>
      <c r="N958" s="17"/>
      <c r="O958" s="15"/>
      <c r="P958" s="18"/>
      <c r="Q958" s="18"/>
      <c r="S958" s="15"/>
    </row>
    <row r="959" ht="14.25" customHeight="1">
      <c r="C959" s="17"/>
      <c r="D959" s="17"/>
      <c r="E959" s="24"/>
      <c r="F959" s="15"/>
      <c r="G959" s="15"/>
      <c r="H959" s="15"/>
      <c r="I959" s="4"/>
      <c r="J959" s="17"/>
      <c r="K959" s="17"/>
      <c r="L959" s="17"/>
      <c r="M959" s="17"/>
      <c r="N959" s="17"/>
      <c r="O959" s="15"/>
      <c r="P959" s="18"/>
      <c r="Q959" s="18"/>
      <c r="S959" s="15"/>
    </row>
    <row r="960" ht="14.25" customHeight="1">
      <c r="C960" s="17"/>
      <c r="D960" s="17"/>
      <c r="E960" s="24"/>
      <c r="F960" s="15"/>
      <c r="G960" s="15"/>
      <c r="H960" s="15"/>
      <c r="I960" s="4"/>
      <c r="J960" s="17"/>
      <c r="K960" s="17"/>
      <c r="L960" s="17"/>
      <c r="M960" s="17"/>
      <c r="N960" s="17"/>
      <c r="O960" s="15"/>
      <c r="P960" s="18"/>
      <c r="Q960" s="18"/>
      <c r="S960" s="15"/>
    </row>
    <row r="961" ht="14.25" customHeight="1">
      <c r="C961" s="17"/>
      <c r="D961" s="17"/>
      <c r="E961" s="24"/>
      <c r="F961" s="15"/>
      <c r="G961" s="15"/>
      <c r="H961" s="15"/>
      <c r="I961" s="4"/>
      <c r="J961" s="17"/>
      <c r="K961" s="17"/>
      <c r="L961" s="17"/>
      <c r="M961" s="17"/>
      <c r="N961" s="17"/>
      <c r="O961" s="15"/>
      <c r="P961" s="18"/>
      <c r="Q961" s="18"/>
      <c r="S961" s="15"/>
    </row>
    <row r="962" ht="14.25" customHeight="1">
      <c r="C962" s="17"/>
      <c r="D962" s="17"/>
      <c r="E962" s="24"/>
      <c r="F962" s="15"/>
      <c r="G962" s="15"/>
      <c r="H962" s="15"/>
      <c r="I962" s="4"/>
      <c r="J962" s="17"/>
      <c r="K962" s="17"/>
      <c r="L962" s="17"/>
      <c r="M962" s="17"/>
      <c r="N962" s="17"/>
      <c r="O962" s="15"/>
      <c r="P962" s="18"/>
      <c r="Q962" s="18"/>
      <c r="S962" s="15"/>
    </row>
    <row r="963" ht="14.25" customHeight="1">
      <c r="C963" s="17"/>
      <c r="D963" s="17"/>
      <c r="E963" s="24"/>
      <c r="F963" s="15"/>
      <c r="G963" s="15"/>
      <c r="H963" s="15"/>
      <c r="I963" s="4"/>
      <c r="J963" s="17"/>
      <c r="K963" s="17"/>
      <c r="L963" s="17"/>
      <c r="M963" s="17"/>
      <c r="N963" s="17"/>
      <c r="O963" s="15"/>
      <c r="P963" s="18"/>
      <c r="Q963" s="18"/>
      <c r="S963" s="15"/>
    </row>
    <row r="964" ht="14.25" customHeight="1">
      <c r="C964" s="17"/>
      <c r="D964" s="17"/>
      <c r="E964" s="24"/>
      <c r="F964" s="15"/>
      <c r="G964" s="15"/>
      <c r="H964" s="15"/>
      <c r="I964" s="4"/>
      <c r="J964" s="17"/>
      <c r="K964" s="17"/>
      <c r="L964" s="17"/>
      <c r="M964" s="17"/>
      <c r="N964" s="17"/>
      <c r="O964" s="15"/>
      <c r="P964" s="18"/>
      <c r="Q964" s="18"/>
      <c r="S964" s="15"/>
    </row>
    <row r="965" ht="14.25" customHeight="1">
      <c r="C965" s="17"/>
      <c r="D965" s="17"/>
      <c r="E965" s="24"/>
      <c r="F965" s="15"/>
      <c r="G965" s="15"/>
      <c r="H965" s="15"/>
      <c r="I965" s="4"/>
      <c r="J965" s="17"/>
      <c r="K965" s="17"/>
      <c r="L965" s="17"/>
      <c r="M965" s="17"/>
      <c r="N965" s="17"/>
      <c r="O965" s="15"/>
      <c r="P965" s="18"/>
      <c r="Q965" s="18"/>
      <c r="S965" s="15"/>
    </row>
    <row r="966" ht="14.25" customHeight="1">
      <c r="C966" s="17"/>
      <c r="D966" s="17"/>
      <c r="E966" s="24"/>
      <c r="F966" s="15"/>
      <c r="G966" s="15"/>
      <c r="H966" s="15"/>
      <c r="I966" s="4"/>
      <c r="J966" s="17"/>
      <c r="K966" s="17"/>
      <c r="L966" s="17"/>
      <c r="M966" s="17"/>
      <c r="N966" s="17"/>
      <c r="O966" s="15"/>
      <c r="P966" s="18"/>
      <c r="Q966" s="18"/>
      <c r="S966" s="15"/>
    </row>
    <row r="967" ht="14.25" customHeight="1">
      <c r="C967" s="17"/>
      <c r="D967" s="17"/>
      <c r="E967" s="24"/>
      <c r="F967" s="15"/>
      <c r="G967" s="15"/>
      <c r="H967" s="15"/>
      <c r="I967" s="4"/>
      <c r="J967" s="17"/>
      <c r="K967" s="17"/>
      <c r="L967" s="17"/>
      <c r="M967" s="17"/>
      <c r="N967" s="17"/>
      <c r="O967" s="15"/>
      <c r="P967" s="18"/>
      <c r="Q967" s="18"/>
      <c r="S967" s="15"/>
    </row>
    <row r="968" ht="14.25" customHeight="1">
      <c r="C968" s="17"/>
      <c r="D968" s="17"/>
      <c r="E968" s="24"/>
      <c r="F968" s="15"/>
      <c r="G968" s="15"/>
      <c r="H968" s="15"/>
      <c r="I968" s="4"/>
      <c r="J968" s="17"/>
      <c r="K968" s="17"/>
      <c r="L968" s="17"/>
      <c r="M968" s="17"/>
      <c r="N968" s="17"/>
      <c r="O968" s="15"/>
      <c r="P968" s="18"/>
      <c r="Q968" s="18"/>
      <c r="S968" s="15"/>
    </row>
    <row r="969" ht="14.25" customHeight="1">
      <c r="C969" s="17"/>
      <c r="D969" s="17"/>
      <c r="E969" s="24"/>
      <c r="F969" s="15"/>
      <c r="G969" s="15"/>
      <c r="H969" s="15"/>
      <c r="I969" s="4"/>
      <c r="J969" s="17"/>
      <c r="K969" s="17"/>
      <c r="L969" s="17"/>
      <c r="M969" s="17"/>
      <c r="N969" s="17"/>
      <c r="O969" s="15"/>
      <c r="P969" s="18"/>
      <c r="Q969" s="18"/>
      <c r="S969" s="15"/>
    </row>
    <row r="970" ht="14.25" customHeight="1">
      <c r="C970" s="17"/>
      <c r="D970" s="17"/>
      <c r="E970" s="24"/>
      <c r="F970" s="15"/>
      <c r="G970" s="15"/>
      <c r="H970" s="15"/>
      <c r="I970" s="4"/>
      <c r="J970" s="17"/>
      <c r="K970" s="17"/>
      <c r="L970" s="17"/>
      <c r="M970" s="17"/>
      <c r="N970" s="17"/>
      <c r="O970" s="15"/>
      <c r="P970" s="18"/>
      <c r="Q970" s="18"/>
      <c r="S970" s="15"/>
    </row>
    <row r="971" ht="14.25" customHeight="1">
      <c r="C971" s="17"/>
      <c r="D971" s="17"/>
      <c r="E971" s="24"/>
      <c r="F971" s="15"/>
      <c r="G971" s="15"/>
      <c r="H971" s="15"/>
      <c r="I971" s="4"/>
      <c r="J971" s="17"/>
      <c r="K971" s="17"/>
      <c r="L971" s="17"/>
      <c r="M971" s="17"/>
      <c r="N971" s="17"/>
      <c r="O971" s="15"/>
      <c r="P971" s="18"/>
      <c r="Q971" s="18"/>
      <c r="S971" s="15"/>
    </row>
    <row r="972" ht="14.25" customHeight="1">
      <c r="C972" s="17"/>
      <c r="D972" s="17"/>
      <c r="E972" s="24"/>
      <c r="F972" s="15"/>
      <c r="G972" s="15"/>
      <c r="H972" s="15"/>
      <c r="I972" s="4"/>
      <c r="J972" s="17"/>
      <c r="K972" s="17"/>
      <c r="L972" s="17"/>
      <c r="M972" s="17"/>
      <c r="N972" s="17"/>
      <c r="O972" s="15"/>
      <c r="P972" s="18"/>
      <c r="Q972" s="18"/>
      <c r="S972" s="15"/>
    </row>
    <row r="973" ht="14.25" customHeight="1">
      <c r="C973" s="17"/>
      <c r="D973" s="17"/>
      <c r="E973" s="24"/>
      <c r="F973" s="15"/>
      <c r="G973" s="15"/>
      <c r="H973" s="15"/>
      <c r="I973" s="4"/>
      <c r="J973" s="17"/>
      <c r="K973" s="17"/>
      <c r="L973" s="17"/>
      <c r="M973" s="17"/>
      <c r="N973" s="17"/>
      <c r="O973" s="15"/>
      <c r="P973" s="18"/>
      <c r="Q973" s="18"/>
      <c r="S973" s="15"/>
    </row>
    <row r="974" ht="14.25" customHeight="1">
      <c r="C974" s="17"/>
      <c r="D974" s="17"/>
      <c r="E974" s="24"/>
      <c r="F974" s="15"/>
      <c r="G974" s="15"/>
      <c r="H974" s="15"/>
      <c r="I974" s="4"/>
      <c r="J974" s="17"/>
      <c r="K974" s="17"/>
      <c r="L974" s="17"/>
      <c r="M974" s="17"/>
      <c r="N974" s="17"/>
      <c r="O974" s="15"/>
      <c r="P974" s="18"/>
      <c r="Q974" s="18"/>
      <c r="S974" s="15"/>
    </row>
    <row r="975" ht="14.25" customHeight="1">
      <c r="C975" s="17"/>
      <c r="D975" s="17"/>
      <c r="E975" s="24"/>
      <c r="F975" s="15"/>
      <c r="G975" s="15"/>
      <c r="H975" s="15"/>
      <c r="I975" s="4"/>
      <c r="J975" s="17"/>
      <c r="K975" s="17"/>
      <c r="L975" s="17"/>
      <c r="M975" s="17"/>
      <c r="N975" s="17"/>
      <c r="O975" s="15"/>
      <c r="P975" s="18"/>
      <c r="Q975" s="18"/>
      <c r="S975" s="15"/>
    </row>
    <row r="976" ht="14.25" customHeight="1">
      <c r="C976" s="17"/>
      <c r="D976" s="17"/>
      <c r="E976" s="24"/>
      <c r="F976" s="15"/>
      <c r="G976" s="15"/>
      <c r="H976" s="15"/>
      <c r="I976" s="4"/>
      <c r="J976" s="17"/>
      <c r="K976" s="17"/>
      <c r="L976" s="17"/>
      <c r="M976" s="17"/>
      <c r="N976" s="17"/>
      <c r="O976" s="15"/>
      <c r="P976" s="18"/>
      <c r="Q976" s="18"/>
      <c r="S976" s="15"/>
    </row>
    <row r="977" ht="14.25" customHeight="1">
      <c r="C977" s="17"/>
      <c r="D977" s="17"/>
      <c r="E977" s="24"/>
      <c r="F977" s="15"/>
      <c r="G977" s="15"/>
      <c r="H977" s="15"/>
      <c r="I977" s="4"/>
      <c r="J977" s="17"/>
      <c r="K977" s="17"/>
      <c r="L977" s="17"/>
      <c r="M977" s="17"/>
      <c r="N977" s="17"/>
      <c r="O977" s="15"/>
      <c r="P977" s="18"/>
      <c r="Q977" s="18"/>
      <c r="S977" s="15"/>
    </row>
    <row r="978" ht="14.25" customHeight="1">
      <c r="C978" s="17"/>
      <c r="D978" s="17"/>
      <c r="E978" s="24"/>
      <c r="F978" s="15"/>
      <c r="G978" s="15"/>
      <c r="H978" s="15"/>
      <c r="I978" s="4"/>
      <c r="J978" s="17"/>
      <c r="K978" s="17"/>
      <c r="L978" s="17"/>
      <c r="M978" s="17"/>
      <c r="N978" s="17"/>
      <c r="O978" s="15"/>
      <c r="P978" s="18"/>
      <c r="Q978" s="18"/>
      <c r="S978" s="15"/>
    </row>
    <row r="979" ht="14.25" customHeight="1">
      <c r="C979" s="17"/>
      <c r="D979" s="17"/>
      <c r="E979" s="24"/>
      <c r="F979" s="15"/>
      <c r="G979" s="15"/>
      <c r="H979" s="15"/>
      <c r="I979" s="4"/>
      <c r="J979" s="17"/>
      <c r="K979" s="17"/>
      <c r="L979" s="17"/>
      <c r="M979" s="17"/>
      <c r="N979" s="17"/>
      <c r="O979" s="15"/>
      <c r="P979" s="18"/>
      <c r="Q979" s="18"/>
      <c r="S979" s="15"/>
    </row>
    <row r="980" ht="14.25" customHeight="1">
      <c r="C980" s="17"/>
      <c r="D980" s="17"/>
      <c r="E980" s="24"/>
      <c r="F980" s="15"/>
      <c r="G980" s="15"/>
      <c r="H980" s="15"/>
      <c r="I980" s="4"/>
      <c r="J980" s="17"/>
      <c r="K980" s="17"/>
      <c r="L980" s="17"/>
      <c r="M980" s="17"/>
      <c r="N980" s="17"/>
      <c r="O980" s="15"/>
      <c r="P980" s="18"/>
      <c r="Q980" s="18"/>
      <c r="S980" s="15"/>
    </row>
    <row r="981" ht="14.25" customHeight="1">
      <c r="C981" s="17"/>
      <c r="D981" s="17"/>
      <c r="E981" s="24"/>
      <c r="F981" s="15"/>
      <c r="G981" s="15"/>
      <c r="H981" s="15"/>
      <c r="I981" s="4"/>
      <c r="J981" s="17"/>
      <c r="K981" s="17"/>
      <c r="L981" s="17"/>
      <c r="M981" s="17"/>
      <c r="N981" s="17"/>
      <c r="O981" s="15"/>
      <c r="P981" s="18"/>
      <c r="Q981" s="18"/>
      <c r="S981" s="15"/>
    </row>
    <row r="982" ht="14.25" customHeight="1">
      <c r="C982" s="17"/>
      <c r="D982" s="17"/>
      <c r="E982" s="24"/>
      <c r="F982" s="15"/>
      <c r="G982" s="15"/>
      <c r="H982" s="15"/>
      <c r="I982" s="4"/>
      <c r="J982" s="17"/>
      <c r="K982" s="17"/>
      <c r="L982" s="17"/>
      <c r="M982" s="17"/>
      <c r="N982" s="17"/>
      <c r="O982" s="15"/>
      <c r="P982" s="18"/>
      <c r="Q982" s="18"/>
      <c r="S982" s="15"/>
    </row>
    <row r="983" ht="14.25" customHeight="1">
      <c r="C983" s="17"/>
      <c r="D983" s="17"/>
      <c r="E983" s="24"/>
      <c r="F983" s="15"/>
      <c r="G983" s="15"/>
      <c r="H983" s="15"/>
      <c r="I983" s="4"/>
      <c r="J983" s="17"/>
      <c r="K983" s="17"/>
      <c r="L983" s="17"/>
      <c r="M983" s="17"/>
      <c r="N983" s="17"/>
      <c r="O983" s="15"/>
      <c r="P983" s="18"/>
      <c r="Q983" s="18"/>
      <c r="S983" s="15"/>
    </row>
    <row r="984" ht="14.25" customHeight="1">
      <c r="C984" s="17"/>
      <c r="D984" s="17"/>
      <c r="E984" s="24"/>
      <c r="F984" s="15"/>
      <c r="G984" s="15"/>
      <c r="H984" s="15"/>
      <c r="I984" s="4"/>
      <c r="J984" s="17"/>
      <c r="K984" s="17"/>
      <c r="L984" s="17"/>
      <c r="M984" s="17"/>
      <c r="N984" s="17"/>
      <c r="O984" s="15"/>
      <c r="P984" s="18"/>
      <c r="Q984" s="18"/>
      <c r="S984" s="15"/>
    </row>
    <row r="985" ht="14.25" customHeight="1">
      <c r="C985" s="17"/>
      <c r="D985" s="17"/>
      <c r="E985" s="24"/>
      <c r="F985" s="15"/>
      <c r="G985" s="15"/>
      <c r="H985" s="15"/>
      <c r="I985" s="4"/>
      <c r="J985" s="17"/>
      <c r="K985" s="17"/>
      <c r="L985" s="17"/>
      <c r="M985" s="17"/>
      <c r="N985" s="17"/>
      <c r="O985" s="15"/>
      <c r="P985" s="18"/>
      <c r="Q985" s="18"/>
      <c r="S985" s="15"/>
    </row>
    <row r="986" ht="14.25" customHeight="1">
      <c r="C986" s="17"/>
      <c r="D986" s="17"/>
      <c r="E986" s="24"/>
      <c r="F986" s="15"/>
      <c r="G986" s="15"/>
      <c r="H986" s="15"/>
      <c r="I986" s="4"/>
      <c r="J986" s="17"/>
      <c r="K986" s="17"/>
      <c r="L986" s="17"/>
      <c r="M986" s="17"/>
      <c r="N986" s="17"/>
      <c r="O986" s="15"/>
      <c r="P986" s="18"/>
      <c r="Q986" s="18"/>
      <c r="S986" s="15"/>
    </row>
    <row r="987" ht="14.25" customHeight="1">
      <c r="C987" s="17"/>
      <c r="D987" s="17"/>
      <c r="E987" s="24"/>
      <c r="F987" s="15"/>
      <c r="G987" s="15"/>
      <c r="H987" s="15"/>
      <c r="I987" s="4"/>
      <c r="J987" s="17"/>
      <c r="K987" s="17"/>
      <c r="L987" s="17"/>
      <c r="M987" s="17"/>
      <c r="N987" s="17"/>
      <c r="O987" s="15"/>
      <c r="P987" s="18"/>
      <c r="Q987" s="18"/>
      <c r="S987" s="15"/>
    </row>
    <row r="988" ht="14.25" customHeight="1">
      <c r="C988" s="17"/>
      <c r="D988" s="17"/>
      <c r="E988" s="24"/>
      <c r="F988" s="15"/>
      <c r="G988" s="15"/>
      <c r="H988" s="15"/>
      <c r="I988" s="4"/>
      <c r="J988" s="17"/>
      <c r="K988" s="17"/>
      <c r="L988" s="17"/>
      <c r="M988" s="17"/>
      <c r="N988" s="17"/>
      <c r="O988" s="15"/>
      <c r="P988" s="18"/>
      <c r="Q988" s="18"/>
      <c r="S988" s="15"/>
    </row>
    <row r="989" ht="14.25" customHeight="1">
      <c r="C989" s="17"/>
      <c r="D989" s="17"/>
      <c r="E989" s="24"/>
      <c r="F989" s="15"/>
      <c r="G989" s="15"/>
      <c r="H989" s="15"/>
      <c r="I989" s="4"/>
      <c r="J989" s="17"/>
      <c r="K989" s="17"/>
      <c r="L989" s="17"/>
      <c r="M989" s="17"/>
      <c r="N989" s="17"/>
      <c r="O989" s="15"/>
      <c r="P989" s="18"/>
      <c r="Q989" s="18"/>
      <c r="S989" s="15"/>
    </row>
    <row r="990" ht="14.25" customHeight="1">
      <c r="C990" s="17"/>
      <c r="D990" s="17"/>
      <c r="E990" s="24"/>
      <c r="F990" s="15"/>
      <c r="G990" s="15"/>
      <c r="H990" s="15"/>
      <c r="I990" s="4"/>
      <c r="J990" s="17"/>
      <c r="K990" s="17"/>
      <c r="L990" s="17"/>
      <c r="M990" s="17"/>
      <c r="N990" s="17"/>
      <c r="O990" s="15"/>
      <c r="P990" s="18"/>
      <c r="Q990" s="18"/>
      <c r="S990" s="15"/>
    </row>
    <row r="991" ht="14.25" customHeight="1">
      <c r="C991" s="17"/>
      <c r="D991" s="17"/>
      <c r="E991" s="24"/>
      <c r="F991" s="15"/>
      <c r="G991" s="15"/>
      <c r="H991" s="15"/>
      <c r="I991" s="4"/>
      <c r="J991" s="17"/>
      <c r="K991" s="17"/>
      <c r="L991" s="17"/>
      <c r="M991" s="17"/>
      <c r="N991" s="17"/>
      <c r="O991" s="15"/>
      <c r="P991" s="18"/>
      <c r="Q991" s="18"/>
      <c r="S991" s="15"/>
    </row>
    <row r="992" ht="14.25" customHeight="1">
      <c r="C992" s="17"/>
      <c r="D992" s="17"/>
      <c r="E992" s="24"/>
      <c r="F992" s="15"/>
      <c r="G992" s="15"/>
      <c r="H992" s="15"/>
      <c r="I992" s="4"/>
      <c r="J992" s="17"/>
      <c r="K992" s="17"/>
      <c r="L992" s="17"/>
      <c r="M992" s="17"/>
      <c r="N992" s="17"/>
      <c r="O992" s="15"/>
      <c r="P992" s="18"/>
      <c r="Q992" s="18"/>
      <c r="S992" s="15"/>
    </row>
    <row r="993" ht="14.25" customHeight="1">
      <c r="C993" s="17"/>
      <c r="D993" s="17"/>
      <c r="E993" s="24"/>
      <c r="F993" s="15"/>
      <c r="G993" s="15"/>
      <c r="H993" s="15"/>
      <c r="I993" s="4"/>
      <c r="J993" s="17"/>
      <c r="K993" s="17"/>
      <c r="L993" s="17"/>
      <c r="M993" s="17"/>
      <c r="N993" s="17"/>
      <c r="O993" s="15"/>
      <c r="P993" s="18"/>
      <c r="Q993" s="18"/>
      <c r="S993" s="15"/>
    </row>
    <row r="994" ht="14.25" customHeight="1">
      <c r="C994" s="17"/>
      <c r="D994" s="17"/>
      <c r="E994" s="24"/>
      <c r="F994" s="15"/>
      <c r="G994" s="15"/>
      <c r="H994" s="15"/>
      <c r="I994" s="4"/>
      <c r="J994" s="17"/>
      <c r="K994" s="17"/>
      <c r="L994" s="17"/>
      <c r="M994" s="17"/>
      <c r="N994" s="17"/>
      <c r="O994" s="15"/>
      <c r="P994" s="18"/>
      <c r="Q994" s="18"/>
      <c r="S994" s="15"/>
    </row>
    <row r="995" ht="14.25" customHeight="1">
      <c r="C995" s="17"/>
      <c r="D995" s="17"/>
      <c r="E995" s="24"/>
      <c r="F995" s="15"/>
      <c r="G995" s="15"/>
      <c r="H995" s="15"/>
      <c r="I995" s="4"/>
      <c r="J995" s="17"/>
      <c r="K995" s="17"/>
      <c r="L995" s="17"/>
      <c r="M995" s="17"/>
      <c r="N995" s="17"/>
      <c r="O995" s="15"/>
      <c r="P995" s="18"/>
      <c r="Q995" s="18"/>
      <c r="S995" s="15"/>
    </row>
    <row r="996" ht="14.25" customHeight="1">
      <c r="C996" s="17"/>
      <c r="D996" s="17"/>
      <c r="E996" s="24"/>
      <c r="F996" s="15"/>
      <c r="G996" s="15"/>
      <c r="H996" s="15"/>
      <c r="I996" s="4"/>
      <c r="J996" s="17"/>
      <c r="K996" s="17"/>
      <c r="L996" s="17"/>
      <c r="M996" s="17"/>
      <c r="N996" s="17"/>
      <c r="O996" s="15"/>
      <c r="P996" s="18"/>
      <c r="Q996" s="18"/>
      <c r="S996" s="15"/>
    </row>
    <row r="997" ht="14.25" customHeight="1">
      <c r="C997" s="17"/>
      <c r="D997" s="17"/>
      <c r="E997" s="24"/>
      <c r="F997" s="15"/>
      <c r="G997" s="15"/>
      <c r="H997" s="15"/>
      <c r="I997" s="4"/>
      <c r="J997" s="17"/>
      <c r="K997" s="17"/>
      <c r="L997" s="17"/>
      <c r="M997" s="17"/>
      <c r="N997" s="17"/>
      <c r="O997" s="15"/>
      <c r="P997" s="18"/>
      <c r="Q997" s="18"/>
      <c r="S997" s="15"/>
    </row>
    <row r="998" ht="14.25" customHeight="1">
      <c r="C998" s="17"/>
      <c r="D998" s="17"/>
      <c r="E998" s="24"/>
      <c r="F998" s="15"/>
      <c r="G998" s="15"/>
      <c r="H998" s="15"/>
      <c r="I998" s="4"/>
      <c r="J998" s="17"/>
      <c r="K998" s="17"/>
      <c r="L998" s="17"/>
      <c r="M998" s="17"/>
      <c r="N998" s="17"/>
      <c r="O998" s="15"/>
      <c r="P998" s="18"/>
      <c r="Q998" s="18"/>
      <c r="S998" s="15"/>
    </row>
    <row r="999" ht="14.25" customHeight="1">
      <c r="C999" s="17"/>
      <c r="D999" s="17"/>
      <c r="E999" s="24"/>
      <c r="F999" s="15"/>
      <c r="G999" s="15"/>
      <c r="H999" s="15"/>
      <c r="I999" s="4"/>
      <c r="J999" s="17"/>
      <c r="K999" s="17"/>
      <c r="L999" s="17"/>
      <c r="M999" s="17"/>
      <c r="N999" s="17"/>
      <c r="O999" s="15"/>
      <c r="P999" s="18"/>
      <c r="Q999" s="18"/>
      <c r="S999" s="15"/>
    </row>
    <row r="1000" ht="14.25" customHeight="1">
      <c r="C1000" s="17"/>
      <c r="D1000" s="17"/>
      <c r="E1000" s="24"/>
      <c r="F1000" s="15"/>
      <c r="G1000" s="15"/>
      <c r="H1000" s="15"/>
      <c r="I1000" s="4"/>
      <c r="J1000" s="17"/>
      <c r="K1000" s="17"/>
      <c r="L1000" s="17"/>
      <c r="M1000" s="17"/>
      <c r="N1000" s="17"/>
      <c r="O1000" s="15"/>
      <c r="P1000" s="18"/>
      <c r="Q1000" s="18"/>
      <c r="S1000" s="15"/>
    </row>
    <row r="1001" ht="14.25" customHeight="1">
      <c r="C1001" s="17"/>
      <c r="D1001" s="17"/>
      <c r="E1001" s="24"/>
      <c r="F1001" s="15"/>
      <c r="G1001" s="15"/>
      <c r="H1001" s="15"/>
      <c r="O1001" s="15"/>
      <c r="P1001" s="18"/>
      <c r="Q1001" s="18"/>
      <c r="S1001" s="15"/>
    </row>
    <row r="1002" ht="14.25" customHeight="1">
      <c r="C1002" s="17"/>
      <c r="D1002" s="17"/>
      <c r="E1002" s="24"/>
      <c r="F1002" s="15"/>
      <c r="G1002" s="15"/>
      <c r="H1002" s="15"/>
      <c r="O1002" s="15"/>
      <c r="P1002" s="18"/>
      <c r="Q1002" s="18"/>
      <c r="S1002" s="15"/>
    </row>
    <row r="1003" ht="14.25" customHeight="1">
      <c r="C1003" s="17"/>
      <c r="D1003" s="17"/>
      <c r="E1003" s="24"/>
      <c r="F1003" s="15"/>
      <c r="G1003" s="15"/>
      <c r="H1003" s="15"/>
      <c r="O1003" s="15"/>
      <c r="P1003" s="18"/>
      <c r="Q1003" s="18"/>
      <c r="S1003" s="15"/>
    </row>
    <row r="1004" ht="14.25" customHeight="1">
      <c r="C1004" s="17"/>
      <c r="D1004" s="17"/>
      <c r="E1004" s="24"/>
      <c r="F1004" s="15"/>
      <c r="G1004" s="15"/>
      <c r="H1004" s="15"/>
      <c r="O1004" s="15"/>
      <c r="P1004" s="18"/>
      <c r="Q1004" s="18"/>
      <c r="S1004" s="15"/>
    </row>
    <row r="1005" ht="14.25" customHeight="1">
      <c r="C1005" s="17"/>
      <c r="D1005" s="17"/>
      <c r="E1005" s="24"/>
      <c r="F1005" s="15"/>
      <c r="G1005" s="15"/>
      <c r="H1005" s="15"/>
      <c r="O1005" s="15"/>
      <c r="P1005" s="18"/>
      <c r="Q1005" s="18"/>
      <c r="S1005" s="15"/>
    </row>
    <row r="1006" ht="14.25" customHeight="1">
      <c r="C1006" s="17"/>
      <c r="D1006" s="17"/>
      <c r="E1006" s="24"/>
      <c r="F1006" s="15"/>
      <c r="G1006" s="15"/>
      <c r="H1006" s="15"/>
      <c r="O1006" s="15"/>
      <c r="P1006" s="18"/>
      <c r="Q1006" s="18"/>
      <c r="S1006" s="15"/>
    </row>
    <row r="1007" ht="14.25" customHeight="1">
      <c r="C1007" s="17"/>
      <c r="D1007" s="17"/>
      <c r="E1007" s="24"/>
      <c r="F1007" s="15"/>
      <c r="G1007" s="15"/>
      <c r="H1007" s="15"/>
      <c r="O1007" s="15"/>
      <c r="P1007" s="18"/>
      <c r="Q1007" s="18"/>
      <c r="S1007" s="15"/>
    </row>
    <row r="1008" ht="14.25" customHeight="1">
      <c r="C1008" s="17"/>
      <c r="D1008" s="17"/>
      <c r="E1008" s="24"/>
      <c r="F1008" s="15"/>
      <c r="G1008" s="15"/>
      <c r="H1008" s="15"/>
      <c r="O1008" s="15"/>
      <c r="P1008" s="18"/>
      <c r="Q1008" s="18"/>
      <c r="S1008" s="15"/>
    </row>
    <row r="1009" ht="14.25" customHeight="1">
      <c r="C1009" s="17"/>
      <c r="D1009" s="17"/>
      <c r="E1009" s="24"/>
      <c r="F1009" s="15"/>
      <c r="G1009" s="15"/>
      <c r="H1009" s="15"/>
      <c r="O1009" s="15"/>
      <c r="P1009" s="18"/>
      <c r="Q1009" s="18"/>
      <c r="S1009" s="15"/>
    </row>
    <row r="1010" ht="14.25" customHeight="1">
      <c r="C1010" s="17"/>
      <c r="D1010" s="17"/>
      <c r="E1010" s="24"/>
      <c r="F1010" s="15"/>
      <c r="G1010" s="15"/>
      <c r="H1010" s="15"/>
      <c r="O1010" s="15"/>
      <c r="P1010" s="18"/>
      <c r="Q1010" s="18"/>
      <c r="S1010" s="15"/>
    </row>
    <row r="1011" ht="14.25" customHeight="1">
      <c r="C1011" s="17"/>
      <c r="D1011" s="17"/>
      <c r="E1011" s="24"/>
      <c r="F1011" s="15"/>
      <c r="G1011" s="15"/>
      <c r="H1011" s="15"/>
      <c r="O1011" s="15"/>
      <c r="P1011" s="18"/>
      <c r="Q1011" s="18"/>
      <c r="S1011" s="15"/>
    </row>
    <row r="1012" ht="14.25" customHeight="1">
      <c r="C1012" s="17"/>
      <c r="D1012" s="17"/>
      <c r="E1012" s="24"/>
      <c r="F1012" s="15"/>
      <c r="G1012" s="15"/>
      <c r="H1012" s="15"/>
      <c r="O1012" s="15"/>
      <c r="P1012" s="18"/>
      <c r="Q1012" s="18"/>
      <c r="S1012" s="15"/>
    </row>
    <row r="1013" ht="14.25" customHeight="1">
      <c r="C1013" s="17"/>
      <c r="D1013" s="17"/>
      <c r="E1013" s="24"/>
      <c r="F1013" s="15"/>
      <c r="G1013" s="15"/>
      <c r="H1013" s="15"/>
      <c r="O1013" s="15"/>
      <c r="P1013" s="18"/>
      <c r="Q1013" s="18"/>
      <c r="S1013" s="15"/>
    </row>
    <row r="1014" ht="14.25" customHeight="1">
      <c r="C1014" s="17"/>
      <c r="D1014" s="17"/>
      <c r="E1014" s="24"/>
      <c r="F1014" s="15"/>
      <c r="G1014" s="15"/>
      <c r="H1014" s="15"/>
      <c r="O1014" s="15"/>
      <c r="P1014" s="18"/>
      <c r="Q1014" s="18"/>
      <c r="S1014" s="15"/>
    </row>
    <row r="1015" ht="14.25" customHeight="1">
      <c r="C1015" s="17"/>
      <c r="D1015" s="17"/>
      <c r="E1015" s="24"/>
      <c r="F1015" s="15"/>
      <c r="G1015" s="15"/>
      <c r="H1015" s="15"/>
      <c r="O1015" s="15"/>
      <c r="P1015" s="18"/>
      <c r="Q1015" s="18"/>
      <c r="S1015" s="15"/>
    </row>
    <row r="1016" ht="14.25" customHeight="1">
      <c r="C1016" s="17"/>
      <c r="D1016" s="17"/>
      <c r="E1016" s="24"/>
      <c r="F1016" s="15"/>
      <c r="G1016" s="15"/>
      <c r="H1016" s="15"/>
      <c r="O1016" s="15"/>
      <c r="P1016" s="18"/>
      <c r="Q1016" s="18"/>
      <c r="S1016" s="15"/>
    </row>
  </sheetData>
  <mergeCells count="1">
    <mergeCell ref="J16:K16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86"/>
    <col customWidth="1" min="2" max="2" width="15.43"/>
    <col customWidth="1" min="3" max="3" width="12.57"/>
    <col customWidth="1" min="4" max="4" width="13.29"/>
    <col customWidth="1" min="5" max="5" width="11.71"/>
    <col customWidth="1" min="6" max="7" width="8.0"/>
    <col customWidth="1" min="8" max="8" width="9.29"/>
    <col customWidth="1" min="9" max="9" width="6.71"/>
    <col customWidth="1" min="10" max="10" width="4.86"/>
    <col customWidth="1" min="11" max="12" width="16.29"/>
    <col customWidth="1" min="13" max="13" width="11.0"/>
    <col customWidth="1" min="14" max="14" width="10.71"/>
    <col customWidth="1" min="15" max="29" width="8.86"/>
  </cols>
  <sheetData>
    <row r="1" ht="14.2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5" t="s">
        <v>355</v>
      </c>
      <c r="G1" s="25" t="s">
        <v>356</v>
      </c>
      <c r="H1" s="25" t="s">
        <v>357</v>
      </c>
      <c r="I1" s="26"/>
      <c r="J1" s="2" t="s">
        <v>358</v>
      </c>
      <c r="K1" s="2" t="s">
        <v>9</v>
      </c>
      <c r="L1" s="2" t="s">
        <v>2</v>
      </c>
      <c r="M1" s="2" t="s">
        <v>3</v>
      </c>
      <c r="N1" s="2" t="s">
        <v>4</v>
      </c>
      <c r="O1" s="25" t="s">
        <v>355</v>
      </c>
      <c r="P1" s="25" t="s">
        <v>356</v>
      </c>
      <c r="Q1" s="25" t="s">
        <v>357</v>
      </c>
      <c r="R1" s="17"/>
      <c r="S1" s="17"/>
      <c r="T1" s="17"/>
      <c r="U1" s="17"/>
      <c r="V1" s="17"/>
      <c r="W1" s="7"/>
      <c r="X1" s="7"/>
      <c r="Y1" s="7"/>
      <c r="Z1" s="7"/>
      <c r="AA1" s="7"/>
      <c r="AB1" s="7"/>
      <c r="AC1" s="7"/>
    </row>
    <row r="2" ht="14.25" customHeight="1">
      <c r="A2" s="13">
        <v>10101.0</v>
      </c>
      <c r="B2" s="13" t="s">
        <v>11</v>
      </c>
      <c r="C2" s="9">
        <v>10544.0</v>
      </c>
      <c r="D2" s="9">
        <v>3922.444544494152</v>
      </c>
      <c r="E2" s="9">
        <v>289815.0</v>
      </c>
      <c r="F2" s="27">
        <f t="shared" ref="F2:F346" si="1">C2/E2</f>
        <v>0.03638182979</v>
      </c>
      <c r="G2" s="27">
        <f t="shared" ref="G2:G346" si="2">D2/C2</f>
        <v>0.3720072595</v>
      </c>
      <c r="H2" s="27">
        <f t="shared" ref="H2:H346" si="3">F2*G2</f>
        <v>0.0135343048</v>
      </c>
      <c r="I2" s="26"/>
      <c r="J2" s="9">
        <v>1.0</v>
      </c>
      <c r="K2" s="16" t="s">
        <v>12</v>
      </c>
      <c r="L2" s="9">
        <v>86414.0</v>
      </c>
      <c r="M2" s="9">
        <v>34591.0</v>
      </c>
      <c r="N2" s="9">
        <v>592741.0</v>
      </c>
      <c r="O2" s="28">
        <f t="shared" ref="O2:O10" si="4">L2/N2</f>
        <v>0.1457871144</v>
      </c>
      <c r="P2" s="28">
        <f t="shared" ref="P2:P10" si="5">M2/L2</f>
        <v>0.4002939339</v>
      </c>
      <c r="Q2" s="28">
        <f t="shared" ref="Q2:Q10" si="6">O2*P2</f>
        <v>0.05835769754</v>
      </c>
      <c r="R2" s="17"/>
      <c r="S2" s="17"/>
      <c r="T2" s="17"/>
      <c r="U2" s="17"/>
      <c r="V2" s="17"/>
    </row>
    <row r="3" ht="14.25" customHeight="1">
      <c r="A3" s="13">
        <v>10102.0</v>
      </c>
      <c r="B3" s="13" t="s">
        <v>13</v>
      </c>
      <c r="C3" s="9">
        <v>702.0</v>
      </c>
      <c r="D3" s="9">
        <v>257.7777844965458</v>
      </c>
      <c r="E3" s="9">
        <v>8980.0</v>
      </c>
      <c r="F3" s="27">
        <f t="shared" si="1"/>
        <v>0.07817371938</v>
      </c>
      <c r="G3" s="27">
        <f t="shared" si="2"/>
        <v>0.3672048212</v>
      </c>
      <c r="H3" s="27">
        <f t="shared" si="3"/>
        <v>0.02870576665</v>
      </c>
      <c r="I3" s="26"/>
      <c r="J3" s="9">
        <v>2.0</v>
      </c>
      <c r="K3" s="16" t="s">
        <v>14</v>
      </c>
      <c r="L3" s="9">
        <v>218727.0</v>
      </c>
      <c r="M3" s="9">
        <v>81296.0</v>
      </c>
      <c r="N3" s="9">
        <v>2971244.0</v>
      </c>
      <c r="O3" s="28">
        <f t="shared" si="4"/>
        <v>0.07361462068</v>
      </c>
      <c r="P3" s="28">
        <f t="shared" si="5"/>
        <v>0.3716779364</v>
      </c>
      <c r="Q3" s="28">
        <f t="shared" si="6"/>
        <v>0.0273609303</v>
      </c>
      <c r="R3" s="17"/>
      <c r="S3" s="17"/>
      <c r="T3" s="17"/>
      <c r="U3" s="17"/>
      <c r="V3" s="17"/>
    </row>
    <row r="4" ht="14.25" customHeight="1">
      <c r="A4" s="13">
        <v>10103.0</v>
      </c>
      <c r="B4" s="13" t="s">
        <v>15</v>
      </c>
      <c r="C4" s="9">
        <v>7304.0</v>
      </c>
      <c r="D4" s="9">
        <v>3033.1111873984337</v>
      </c>
      <c r="E4" s="9">
        <v>13607.0</v>
      </c>
      <c r="F4" s="27">
        <f t="shared" si="1"/>
        <v>0.5367825384</v>
      </c>
      <c r="G4" s="27">
        <f t="shared" si="2"/>
        <v>0.4152671396</v>
      </c>
      <c r="H4" s="27">
        <f t="shared" si="3"/>
        <v>0.2229081493</v>
      </c>
      <c r="I4" s="26"/>
      <c r="J4" s="9">
        <v>3.0</v>
      </c>
      <c r="K4" s="16" t="s">
        <v>16</v>
      </c>
      <c r="L4" s="9">
        <v>203419.0</v>
      </c>
      <c r="M4" s="9">
        <v>75821.0</v>
      </c>
      <c r="N4" s="9">
        <v>1982027.0</v>
      </c>
      <c r="O4" s="28">
        <f t="shared" si="4"/>
        <v>0.1026318007</v>
      </c>
      <c r="P4" s="28">
        <f t="shared" si="5"/>
        <v>0.3727331272</v>
      </c>
      <c r="Q4" s="28">
        <f t="shared" si="6"/>
        <v>0.03825427202</v>
      </c>
      <c r="R4" s="17"/>
      <c r="S4" s="17"/>
      <c r="T4" s="17"/>
      <c r="U4" s="17"/>
      <c r="V4" s="17"/>
    </row>
    <row r="5" ht="14.25" customHeight="1">
      <c r="A5" s="13">
        <v>10201.0</v>
      </c>
      <c r="B5" s="13" t="s">
        <v>17</v>
      </c>
      <c r="C5" s="9">
        <v>3490.0</v>
      </c>
      <c r="D5" s="9">
        <v>1466.444479227066</v>
      </c>
      <c r="E5" s="9">
        <v>7839.0</v>
      </c>
      <c r="F5" s="27">
        <f t="shared" si="1"/>
        <v>0.4452098482</v>
      </c>
      <c r="G5" s="27">
        <f t="shared" si="2"/>
        <v>0.4201846645</v>
      </c>
      <c r="H5" s="27">
        <f t="shared" si="3"/>
        <v>0.1870703507</v>
      </c>
      <c r="I5" s="26"/>
      <c r="J5" s="9">
        <v>4.0</v>
      </c>
      <c r="K5" s="16" t="s">
        <v>18</v>
      </c>
      <c r="L5" s="9">
        <v>57046.0</v>
      </c>
      <c r="M5" s="9">
        <v>21002.0</v>
      </c>
      <c r="N5" s="9">
        <v>559763.0</v>
      </c>
      <c r="O5" s="28">
        <f t="shared" si="4"/>
        <v>0.1019109873</v>
      </c>
      <c r="P5" s="28">
        <f t="shared" si="5"/>
        <v>0.3681590296</v>
      </c>
      <c r="Q5" s="28">
        <f t="shared" si="6"/>
        <v>0.0375194502</v>
      </c>
      <c r="R5" s="17"/>
      <c r="S5" s="17"/>
      <c r="T5" s="17"/>
      <c r="U5" s="17"/>
      <c r="V5" s="17"/>
    </row>
    <row r="6" ht="14.25" customHeight="1">
      <c r="A6" s="13">
        <v>10202.0</v>
      </c>
      <c r="B6" s="13" t="s">
        <v>19</v>
      </c>
      <c r="C6" s="9">
        <v>5476.0</v>
      </c>
      <c r="D6" s="9">
        <v>2217.6667236089706</v>
      </c>
      <c r="E6" s="9">
        <v>16715.0</v>
      </c>
      <c r="F6" s="27">
        <f t="shared" si="1"/>
        <v>0.3276099312</v>
      </c>
      <c r="G6" s="27">
        <f t="shared" si="2"/>
        <v>0.404979314</v>
      </c>
      <c r="H6" s="27">
        <f t="shared" si="3"/>
        <v>0.1326752452</v>
      </c>
      <c r="I6" s="26"/>
      <c r="J6" s="9">
        <v>5.0</v>
      </c>
      <c r="K6" s="16" t="s">
        <v>20</v>
      </c>
      <c r="L6" s="9">
        <v>139362.0</v>
      </c>
      <c r="M6" s="9">
        <v>53800.0</v>
      </c>
      <c r="N6" s="9">
        <v>846238.0</v>
      </c>
      <c r="O6" s="28">
        <f t="shared" si="4"/>
        <v>0.1646841669</v>
      </c>
      <c r="P6" s="28">
        <f t="shared" si="5"/>
        <v>0.3860449764</v>
      </c>
      <c r="Q6" s="28">
        <f t="shared" si="6"/>
        <v>0.06357549531</v>
      </c>
      <c r="R6" s="17"/>
      <c r="S6" s="17"/>
      <c r="T6" s="17"/>
      <c r="U6" s="17"/>
      <c r="V6" s="17"/>
    </row>
    <row r="7" ht="14.25" customHeight="1">
      <c r="A7" s="13">
        <v>10301.0</v>
      </c>
      <c r="B7" s="13" t="s">
        <v>21</v>
      </c>
      <c r="C7" s="9">
        <v>2898.0</v>
      </c>
      <c r="D7" s="9">
        <v>1110.8889169991016</v>
      </c>
      <c r="E7" s="9">
        <v>13563.0</v>
      </c>
      <c r="F7" s="27">
        <f t="shared" si="1"/>
        <v>0.2136695421</v>
      </c>
      <c r="G7" s="27">
        <f t="shared" si="2"/>
        <v>0.383329509</v>
      </c>
      <c r="H7" s="27">
        <f t="shared" si="3"/>
        <v>0.08190584067</v>
      </c>
      <c r="I7" s="26"/>
      <c r="J7" s="9">
        <v>6.0</v>
      </c>
      <c r="K7" s="16" t="s">
        <v>22</v>
      </c>
      <c r="L7" s="9">
        <v>24899.0</v>
      </c>
      <c r="M7" s="9">
        <v>9295.0</v>
      </c>
      <c r="N7" s="9">
        <v>523255.0</v>
      </c>
      <c r="O7" s="28">
        <f t="shared" si="4"/>
        <v>0.04758482958</v>
      </c>
      <c r="P7" s="28">
        <f t="shared" si="5"/>
        <v>0.373308165</v>
      </c>
      <c r="Q7" s="28">
        <f t="shared" si="6"/>
        <v>0.01776380541</v>
      </c>
      <c r="R7" s="17"/>
      <c r="S7" s="17"/>
      <c r="T7" s="17"/>
      <c r="U7" s="17"/>
      <c r="V7" s="17"/>
    </row>
    <row r="8" ht="14.25" customHeight="1">
      <c r="A8" s="13">
        <v>10302.0</v>
      </c>
      <c r="B8" s="13" t="s">
        <v>23</v>
      </c>
      <c r="C8" s="9">
        <v>4027.0</v>
      </c>
      <c r="D8" s="9">
        <v>1638.5555974841118</v>
      </c>
      <c r="E8" s="9">
        <v>12477.0</v>
      </c>
      <c r="F8" s="27">
        <f t="shared" si="1"/>
        <v>0.3227538671</v>
      </c>
      <c r="G8" s="27">
        <f t="shared" si="2"/>
        <v>0.4068923758</v>
      </c>
      <c r="H8" s="27">
        <f t="shared" si="3"/>
        <v>0.1313260878</v>
      </c>
      <c r="I8" s="26"/>
      <c r="J8" s="9">
        <v>7.0</v>
      </c>
      <c r="K8" s="16" t="s">
        <v>24</v>
      </c>
      <c r="L8" s="9">
        <v>143616.0</v>
      </c>
      <c r="M8" s="9">
        <v>52200.0</v>
      </c>
      <c r="N8" s="9">
        <v>3056077.0</v>
      </c>
      <c r="O8" s="28">
        <f t="shared" si="4"/>
        <v>0.04699358033</v>
      </c>
      <c r="P8" s="28">
        <f t="shared" si="5"/>
        <v>0.3634692513</v>
      </c>
      <c r="Q8" s="28">
        <f t="shared" si="6"/>
        <v>0.01708072146</v>
      </c>
      <c r="R8" s="17"/>
      <c r="S8" s="17"/>
      <c r="T8" s="17"/>
      <c r="U8" s="17"/>
      <c r="V8" s="17"/>
    </row>
    <row r="9" ht="14.25" customHeight="1">
      <c r="A9" s="13">
        <v>10303.0</v>
      </c>
      <c r="B9" s="13" t="s">
        <v>25</v>
      </c>
      <c r="C9" s="9">
        <v>1743.0</v>
      </c>
      <c r="D9" s="9">
        <v>665.6666832268238</v>
      </c>
      <c r="E9" s="9">
        <v>9020.0</v>
      </c>
      <c r="F9" s="27">
        <f t="shared" si="1"/>
        <v>0.1932372506</v>
      </c>
      <c r="G9" s="27">
        <f t="shared" si="2"/>
        <v>0.3819085962</v>
      </c>
      <c r="H9" s="27">
        <f t="shared" si="3"/>
        <v>0.0737989671</v>
      </c>
      <c r="I9" s="26"/>
      <c r="J9" s="9">
        <v>8.0</v>
      </c>
      <c r="K9" s="16" t="s">
        <v>26</v>
      </c>
      <c r="L9" s="9">
        <v>87229.0</v>
      </c>
      <c r="M9" s="9">
        <v>34562.0</v>
      </c>
      <c r="N9" s="9">
        <v>474591.0</v>
      </c>
      <c r="O9" s="28">
        <f t="shared" si="4"/>
        <v>0.18379826</v>
      </c>
      <c r="P9" s="28">
        <f t="shared" si="5"/>
        <v>0.3962214401</v>
      </c>
      <c r="Q9" s="28">
        <f t="shared" si="6"/>
        <v>0.07282481126</v>
      </c>
      <c r="R9" s="17"/>
      <c r="S9" s="17"/>
      <c r="T9" s="17"/>
      <c r="U9" s="17"/>
      <c r="V9" s="17"/>
    </row>
    <row r="10" ht="14.25" customHeight="1">
      <c r="A10" s="13">
        <v>10304.0</v>
      </c>
      <c r="B10" s="13" t="s">
        <v>27</v>
      </c>
      <c r="C10" s="9">
        <v>2488.0</v>
      </c>
      <c r="D10" s="9">
        <v>981.3333581387997</v>
      </c>
      <c r="E10" s="9">
        <v>9126.0</v>
      </c>
      <c r="F10" s="27">
        <f t="shared" si="1"/>
        <v>0.2726276572</v>
      </c>
      <c r="G10" s="27">
        <f t="shared" si="2"/>
        <v>0.3944265909</v>
      </c>
      <c r="H10" s="27">
        <f t="shared" si="3"/>
        <v>0.1075315974</v>
      </c>
      <c r="I10" s="26"/>
      <c r="J10" s="9">
        <v>9.0</v>
      </c>
      <c r="K10" s="16" t="s">
        <v>28</v>
      </c>
      <c r="L10" s="9">
        <v>16872.0</v>
      </c>
      <c r="M10" s="9">
        <v>6337.0</v>
      </c>
      <c r="N10" s="9">
        <v>128194.0</v>
      </c>
      <c r="O10" s="28">
        <f t="shared" si="4"/>
        <v>0.131613024</v>
      </c>
      <c r="P10" s="28">
        <f t="shared" si="5"/>
        <v>0.375592698</v>
      </c>
      <c r="Q10" s="28">
        <f t="shared" si="6"/>
        <v>0.04943289077</v>
      </c>
      <c r="R10" s="17"/>
      <c r="S10" s="17"/>
      <c r="T10" s="17"/>
      <c r="U10" s="17"/>
      <c r="V10" s="17"/>
    </row>
    <row r="11" ht="14.25" customHeight="1">
      <c r="A11" s="13">
        <v>10401.0</v>
      </c>
      <c r="B11" s="13" t="s">
        <v>29</v>
      </c>
      <c r="C11" s="9">
        <v>1573.0</v>
      </c>
      <c r="D11" s="9">
        <v>599.2222363948822</v>
      </c>
      <c r="E11" s="9">
        <v>9058.0</v>
      </c>
      <c r="F11" s="27">
        <f t="shared" si="1"/>
        <v>0.1736586443</v>
      </c>
      <c r="G11" s="27">
        <f t="shared" si="2"/>
        <v>0.380942299</v>
      </c>
      <c r="H11" s="27">
        <f t="shared" si="3"/>
        <v>0.06615392321</v>
      </c>
      <c r="I11" s="26"/>
      <c r="J11" s="13">
        <v>10.0</v>
      </c>
      <c r="K11" s="13" t="s">
        <v>30</v>
      </c>
      <c r="L11" s="10">
        <v>7911.0</v>
      </c>
      <c r="M11" s="10">
        <v>2960.1111866533756</v>
      </c>
      <c r="N11" s="10">
        <v>154916.0</v>
      </c>
      <c r="O11" s="28">
        <v>0.051066384363138734</v>
      </c>
      <c r="P11" s="28">
        <v>0.37417661315299905</v>
      </c>
      <c r="Q11" s="28">
        <v>0.019107846746968523</v>
      </c>
      <c r="R11" s="17"/>
      <c r="S11" s="17"/>
      <c r="T11" s="17"/>
      <c r="U11" s="17"/>
      <c r="V11" s="17"/>
    </row>
    <row r="12" ht="14.25" customHeight="1">
      <c r="A12" s="13">
        <v>10402.0</v>
      </c>
      <c r="B12" s="13" t="s">
        <v>31</v>
      </c>
      <c r="C12" s="9">
        <v>1413.0</v>
      </c>
      <c r="D12" s="9">
        <v>542.4444577693939</v>
      </c>
      <c r="E12" s="9">
        <v>8446.0</v>
      </c>
      <c r="F12" s="27">
        <f t="shared" si="1"/>
        <v>0.1672981293</v>
      </c>
      <c r="G12" s="27">
        <f t="shared" si="2"/>
        <v>0.3838955823</v>
      </c>
      <c r="H12" s="27">
        <f t="shared" si="3"/>
        <v>0.06422501276</v>
      </c>
      <c r="I12" s="26"/>
      <c r="J12" s="13">
        <v>11.0</v>
      </c>
      <c r="K12" s="13" t="s">
        <v>32</v>
      </c>
      <c r="L12" s="10">
        <v>977584.0</v>
      </c>
      <c r="M12" s="10">
        <v>368902.4537423551</v>
      </c>
      <c r="N12" s="10">
        <v>1.113413E7</v>
      </c>
      <c r="O12" s="28">
        <v>0.08780066336570527</v>
      </c>
      <c r="P12" s="28">
        <v>0.3773613865840226</v>
      </c>
      <c r="Q12" s="28">
        <v>0.03313258007067953</v>
      </c>
      <c r="R12" s="17"/>
      <c r="S12" s="17"/>
      <c r="T12" s="17"/>
      <c r="U12" s="17"/>
      <c r="V12" s="17"/>
    </row>
    <row r="13" ht="14.25" customHeight="1">
      <c r="A13" s="13">
        <v>10403.0</v>
      </c>
      <c r="B13" s="13" t="s">
        <v>33</v>
      </c>
      <c r="C13" s="9">
        <v>2510.0</v>
      </c>
      <c r="D13" s="9">
        <v>1017.3333584964275</v>
      </c>
      <c r="E13" s="9">
        <v>6901.0</v>
      </c>
      <c r="F13" s="27">
        <f t="shared" si="1"/>
        <v>0.3637154036</v>
      </c>
      <c r="G13" s="27">
        <f t="shared" si="2"/>
        <v>0.405312095</v>
      </c>
      <c r="H13" s="27">
        <f t="shared" si="3"/>
        <v>0.1474182522</v>
      </c>
      <c r="I13" s="26"/>
      <c r="J13" s="26"/>
      <c r="K13" s="17"/>
      <c r="L13" s="17"/>
      <c r="M13" s="29"/>
      <c r="N13" s="29"/>
      <c r="O13" s="4"/>
      <c r="P13" s="4"/>
      <c r="Q13" s="4"/>
      <c r="R13" s="17"/>
      <c r="S13" s="17"/>
      <c r="T13" s="17"/>
      <c r="U13" s="17"/>
      <c r="V13" s="17"/>
    </row>
    <row r="14" ht="14.25" customHeight="1">
      <c r="A14" s="13">
        <v>10404.0</v>
      </c>
      <c r="B14" s="13" t="s">
        <v>34</v>
      </c>
      <c r="C14" s="9">
        <v>346.0</v>
      </c>
      <c r="D14" s="9">
        <v>128.66667014360428</v>
      </c>
      <c r="E14" s="9">
        <v>3756.0</v>
      </c>
      <c r="F14" s="27">
        <f t="shared" si="1"/>
        <v>0.09211927583</v>
      </c>
      <c r="G14" s="27">
        <f t="shared" si="2"/>
        <v>0.3718689889</v>
      </c>
      <c r="H14" s="27">
        <f t="shared" si="3"/>
        <v>0.03425630196</v>
      </c>
      <c r="I14" s="26"/>
      <c r="J14" s="26"/>
      <c r="K14" s="17"/>
      <c r="L14" s="17"/>
      <c r="M14" s="29"/>
      <c r="N14" s="29"/>
      <c r="O14" s="4"/>
      <c r="P14" s="4"/>
      <c r="Q14" s="4"/>
      <c r="R14" s="17"/>
      <c r="S14" s="17"/>
      <c r="T14" s="17"/>
      <c r="U14" s="17"/>
      <c r="V14" s="17"/>
    </row>
    <row r="15" ht="14.25" customHeight="1">
      <c r="A15" s="13">
        <v>10405.0</v>
      </c>
      <c r="B15" s="13" t="s">
        <v>35</v>
      </c>
      <c r="C15" s="9">
        <v>1288.0</v>
      </c>
      <c r="D15" s="9">
        <v>505.66667875647545</v>
      </c>
      <c r="E15" s="9">
        <v>5639.0</v>
      </c>
      <c r="F15" s="27">
        <f t="shared" si="1"/>
        <v>0.2284092924</v>
      </c>
      <c r="G15" s="27">
        <f t="shared" si="2"/>
        <v>0.3925983531</v>
      </c>
      <c r="H15" s="27">
        <f t="shared" si="3"/>
        <v>0.08967311203</v>
      </c>
      <c r="I15" s="26"/>
      <c r="J15" s="26"/>
      <c r="K15" s="17"/>
      <c r="L15" s="17"/>
      <c r="M15" s="29"/>
      <c r="N15" s="29"/>
      <c r="O15" s="4"/>
      <c r="P15" s="4"/>
      <c r="Q15" s="4"/>
      <c r="R15" s="17"/>
      <c r="S15" s="17"/>
      <c r="T15" s="17"/>
      <c r="U15" s="17"/>
      <c r="V15" s="17"/>
    </row>
    <row r="16" ht="14.25" customHeight="1">
      <c r="A16" s="13">
        <v>10501.0</v>
      </c>
      <c r="B16" s="13" t="s">
        <v>36</v>
      </c>
      <c r="C16" s="9">
        <v>2692.0</v>
      </c>
      <c r="D16" s="9">
        <v>1039.7778040468693</v>
      </c>
      <c r="E16" s="9">
        <v>24168.0</v>
      </c>
      <c r="F16" s="27">
        <f t="shared" si="1"/>
        <v>0.111386958</v>
      </c>
      <c r="G16" s="27">
        <f t="shared" si="2"/>
        <v>0.3862473269</v>
      </c>
      <c r="H16" s="27">
        <f t="shared" si="3"/>
        <v>0.04302291477</v>
      </c>
      <c r="I16" s="26"/>
      <c r="J16" s="26"/>
      <c r="K16" s="17"/>
      <c r="L16" s="17"/>
      <c r="M16" s="4"/>
      <c r="N16" s="4"/>
      <c r="O16" s="4"/>
      <c r="P16" s="4"/>
      <c r="Q16" s="4"/>
      <c r="R16" s="17"/>
      <c r="S16" s="17"/>
      <c r="T16" s="17"/>
      <c r="U16" s="17"/>
      <c r="V16" s="17"/>
    </row>
    <row r="17" ht="14.25" customHeight="1">
      <c r="A17" s="13">
        <v>10502.0</v>
      </c>
      <c r="B17" s="13" t="s">
        <v>38</v>
      </c>
      <c r="C17" s="9">
        <v>1326.0</v>
      </c>
      <c r="D17" s="9">
        <v>499.4444563984871</v>
      </c>
      <c r="E17" s="9">
        <v>7063.0</v>
      </c>
      <c r="F17" s="27">
        <f t="shared" si="1"/>
        <v>0.1877389211</v>
      </c>
      <c r="G17" s="27">
        <f t="shared" si="2"/>
        <v>0.3766549445</v>
      </c>
      <c r="H17" s="27">
        <f t="shared" si="3"/>
        <v>0.07071279292</v>
      </c>
      <c r="I17" s="26"/>
      <c r="J17" s="26"/>
      <c r="K17" s="17"/>
      <c r="L17" s="17"/>
      <c r="M17" s="4"/>
      <c r="N17" s="26"/>
      <c r="O17" s="4"/>
      <c r="P17" s="4"/>
      <c r="Q17" s="4"/>
      <c r="R17" s="17"/>
      <c r="S17" s="17"/>
      <c r="T17" s="17"/>
      <c r="U17" s="17"/>
      <c r="V17" s="17"/>
    </row>
    <row r="18" ht="14.25" customHeight="1">
      <c r="A18" s="13">
        <v>10601.0</v>
      </c>
      <c r="B18" s="13" t="s">
        <v>40</v>
      </c>
      <c r="C18" s="9">
        <v>3094.0</v>
      </c>
      <c r="D18" s="9">
        <v>1190.4444745481014</v>
      </c>
      <c r="E18" s="9">
        <v>13151.0</v>
      </c>
      <c r="F18" s="27">
        <f t="shared" si="1"/>
        <v>0.2352672801</v>
      </c>
      <c r="G18" s="27">
        <f t="shared" si="2"/>
        <v>0.3847590415</v>
      </c>
      <c r="H18" s="27">
        <f t="shared" si="3"/>
        <v>0.09052121318</v>
      </c>
      <c r="I18" s="26"/>
      <c r="J18" s="26"/>
      <c r="K18" s="17"/>
      <c r="L18" s="17"/>
      <c r="M18" s="4"/>
      <c r="N18" s="26"/>
      <c r="O18" s="4"/>
      <c r="P18" s="4"/>
      <c r="Q18" s="4"/>
      <c r="R18" s="17"/>
      <c r="S18" s="17"/>
      <c r="T18" s="17"/>
      <c r="U18" s="17"/>
      <c r="V18" s="17"/>
    </row>
    <row r="19" ht="14.25" customHeight="1">
      <c r="A19" s="13">
        <v>10602.0</v>
      </c>
      <c r="B19" s="13" t="s">
        <v>42</v>
      </c>
      <c r="C19" s="9">
        <v>1569.0</v>
      </c>
      <c r="D19" s="9">
        <v>591.888903349638</v>
      </c>
      <c r="E19" s="9">
        <v>8426.0</v>
      </c>
      <c r="F19" s="27">
        <f t="shared" si="1"/>
        <v>0.186209352</v>
      </c>
      <c r="G19" s="27">
        <f t="shared" si="2"/>
        <v>0.3772395815</v>
      </c>
      <c r="H19" s="27">
        <f t="shared" si="3"/>
        <v>0.07024553802</v>
      </c>
      <c r="I19" s="26"/>
      <c r="J19" s="26"/>
      <c r="K19" s="17"/>
      <c r="L19" s="17"/>
      <c r="M19" s="4"/>
      <c r="N19" s="26"/>
      <c r="O19" s="4"/>
      <c r="P19" s="4"/>
      <c r="Q19" s="4"/>
      <c r="R19" s="17"/>
      <c r="S19" s="17"/>
      <c r="T19" s="17"/>
      <c r="U19" s="17"/>
      <c r="V19" s="17"/>
    </row>
    <row r="20" ht="14.25" customHeight="1">
      <c r="A20" s="13">
        <v>10701.0</v>
      </c>
      <c r="B20" s="13" t="s">
        <v>44</v>
      </c>
      <c r="C20" s="9">
        <v>1705.0</v>
      </c>
      <c r="D20" s="9">
        <v>641.0000150203705</v>
      </c>
      <c r="E20" s="9">
        <v>14306.0</v>
      </c>
      <c r="F20" s="27">
        <f t="shared" si="1"/>
        <v>0.1191807633</v>
      </c>
      <c r="G20" s="27">
        <f t="shared" si="2"/>
        <v>0.375953088</v>
      </c>
      <c r="H20" s="27">
        <f t="shared" si="3"/>
        <v>0.044806376</v>
      </c>
      <c r="I20" s="26"/>
      <c r="J20" s="26"/>
      <c r="K20" s="17"/>
      <c r="L20" s="17"/>
      <c r="M20" s="4"/>
      <c r="N20" s="26"/>
      <c r="O20" s="4"/>
      <c r="P20" s="4"/>
      <c r="Q20" s="4"/>
      <c r="R20" s="17"/>
      <c r="S20" s="17"/>
      <c r="T20" s="17"/>
      <c r="U20" s="17"/>
      <c r="V20" s="17"/>
    </row>
    <row r="21" ht="14.25" customHeight="1">
      <c r="A21" s="13">
        <v>10702.0</v>
      </c>
      <c r="B21" s="13" t="s">
        <v>45</v>
      </c>
      <c r="C21" s="9">
        <v>8261.0</v>
      </c>
      <c r="D21" s="9">
        <v>3347.8889741301537</v>
      </c>
      <c r="E21" s="9">
        <v>26602.0</v>
      </c>
      <c r="F21" s="27">
        <f t="shared" si="1"/>
        <v>0.3105405609</v>
      </c>
      <c r="G21" s="27">
        <f t="shared" si="2"/>
        <v>0.4052643716</v>
      </c>
      <c r="H21" s="27">
        <f t="shared" si="3"/>
        <v>0.1258510253</v>
      </c>
      <c r="I21" s="26"/>
      <c r="J21" s="26"/>
      <c r="K21" s="17"/>
      <c r="L21" s="17"/>
      <c r="M21" s="4"/>
      <c r="N21" s="26"/>
      <c r="O21" s="4"/>
      <c r="P21" s="4"/>
      <c r="Q21" s="4"/>
      <c r="R21" s="17"/>
      <c r="S21" s="17"/>
      <c r="T21" s="17"/>
      <c r="U21" s="17"/>
      <c r="V21" s="17"/>
    </row>
    <row r="22" ht="14.25" customHeight="1">
      <c r="A22" s="13">
        <v>10703.0</v>
      </c>
      <c r="B22" s="13" t="s">
        <v>47</v>
      </c>
      <c r="C22" s="9">
        <v>7111.0</v>
      </c>
      <c r="D22" s="9">
        <v>3073.888967037201</v>
      </c>
      <c r="E22" s="9">
        <v>16095.0</v>
      </c>
      <c r="F22" s="27">
        <f t="shared" si="1"/>
        <v>0.441814228</v>
      </c>
      <c r="G22" s="27">
        <f t="shared" si="2"/>
        <v>0.4322723902</v>
      </c>
      <c r="H22" s="27">
        <f t="shared" si="3"/>
        <v>0.1909840924</v>
      </c>
      <c r="I22" s="26"/>
      <c r="J22" s="26"/>
      <c r="K22" s="17"/>
      <c r="L22" s="17"/>
      <c r="M22" s="4"/>
      <c r="N22" s="26"/>
      <c r="O22" s="4"/>
      <c r="P22" s="4"/>
      <c r="Q22" s="4"/>
      <c r="R22" s="17"/>
      <c r="S22" s="17"/>
      <c r="T22" s="17"/>
      <c r="U22" s="17"/>
      <c r="V22" s="17"/>
    </row>
    <row r="23" ht="14.25" customHeight="1">
      <c r="A23" s="13">
        <v>10704.0</v>
      </c>
      <c r="B23" s="13" t="s">
        <v>48</v>
      </c>
      <c r="C23" s="9">
        <v>4901.0</v>
      </c>
      <c r="D23" s="9">
        <v>2147.4445002377033</v>
      </c>
      <c r="E23" s="9">
        <v>14211.0</v>
      </c>
      <c r="F23" s="27">
        <f t="shared" si="1"/>
        <v>0.3448736894</v>
      </c>
      <c r="G23" s="27">
        <f t="shared" si="2"/>
        <v>0.4381645583</v>
      </c>
      <c r="H23" s="27">
        <f t="shared" si="3"/>
        <v>0.1511114278</v>
      </c>
      <c r="I23" s="26"/>
      <c r="J23" s="26"/>
      <c r="K23" s="17"/>
      <c r="L23" s="17"/>
      <c r="M23" s="4"/>
      <c r="N23" s="26"/>
      <c r="O23" s="4"/>
      <c r="P23" s="4"/>
      <c r="Q23" s="4"/>
      <c r="R23" s="17"/>
      <c r="S23" s="17"/>
      <c r="T23" s="17"/>
      <c r="U23" s="17"/>
      <c r="V23" s="17"/>
    </row>
    <row r="24" ht="14.25" customHeight="1">
      <c r="A24" s="13">
        <v>10801.0</v>
      </c>
      <c r="B24" s="13" t="s">
        <v>49</v>
      </c>
      <c r="C24" s="9">
        <v>1286.0</v>
      </c>
      <c r="D24" s="9">
        <v>499.33334517478943</v>
      </c>
      <c r="E24" s="9">
        <v>8992.0</v>
      </c>
      <c r="F24" s="27">
        <f t="shared" si="1"/>
        <v>0.1430160142</v>
      </c>
      <c r="G24" s="27">
        <f t="shared" si="2"/>
        <v>0.3882840942</v>
      </c>
      <c r="H24" s="27">
        <f t="shared" si="3"/>
        <v>0.05553084355</v>
      </c>
      <c r="I24" s="26"/>
      <c r="J24" s="26"/>
      <c r="K24" s="17"/>
      <c r="L24" s="17"/>
      <c r="M24" s="4"/>
      <c r="N24" s="26"/>
      <c r="O24" s="4"/>
      <c r="P24" s="4"/>
      <c r="Q24" s="4"/>
      <c r="R24" s="17"/>
      <c r="S24" s="17"/>
      <c r="T24" s="17"/>
      <c r="U24" s="17"/>
      <c r="V24" s="17"/>
    </row>
    <row r="25" ht="14.25" customHeight="1">
      <c r="A25" s="13">
        <v>10901.0</v>
      </c>
      <c r="B25" s="13" t="s">
        <v>50</v>
      </c>
      <c r="C25" s="9">
        <v>716.0</v>
      </c>
      <c r="D25" s="9">
        <v>274.33334004879</v>
      </c>
      <c r="E25" s="9">
        <v>5294.0</v>
      </c>
      <c r="F25" s="27">
        <f t="shared" si="1"/>
        <v>0.1352474499</v>
      </c>
      <c r="G25" s="27">
        <f t="shared" si="2"/>
        <v>0.383147123</v>
      </c>
      <c r="H25" s="27">
        <f t="shared" si="3"/>
        <v>0.05181967134</v>
      </c>
      <c r="I25" s="26"/>
      <c r="J25" s="26"/>
      <c r="K25" s="17"/>
      <c r="L25" s="17"/>
      <c r="M25" s="4"/>
      <c r="N25" s="26"/>
      <c r="O25" s="4"/>
      <c r="P25" s="4"/>
      <c r="Q25" s="4"/>
      <c r="R25" s="17"/>
      <c r="S25" s="17"/>
      <c r="T25" s="17"/>
      <c r="U25" s="17"/>
      <c r="V25" s="17"/>
    </row>
    <row r="26" ht="14.25" customHeight="1">
      <c r="A26" s="13">
        <v>10902.0</v>
      </c>
      <c r="B26" s="13" t="s">
        <v>51</v>
      </c>
      <c r="C26" s="9">
        <v>4396.0</v>
      </c>
      <c r="D26" s="9">
        <v>1783.6667112112045</v>
      </c>
      <c r="E26" s="9">
        <v>14799.0</v>
      </c>
      <c r="F26" s="27">
        <f t="shared" si="1"/>
        <v>0.2970470978</v>
      </c>
      <c r="G26" s="27">
        <f t="shared" si="2"/>
        <v>0.4057476595</v>
      </c>
      <c r="H26" s="27">
        <f t="shared" si="3"/>
        <v>0.1205261647</v>
      </c>
      <c r="I26" s="26"/>
      <c r="J26" s="26"/>
      <c r="K26" s="17"/>
      <c r="L26" s="17"/>
      <c r="M26" s="29"/>
      <c r="N26" s="29"/>
      <c r="O26" s="4"/>
      <c r="P26" s="4"/>
      <c r="Q26" s="4"/>
      <c r="R26" s="17"/>
      <c r="S26" s="17"/>
      <c r="T26" s="17"/>
      <c r="U26" s="17"/>
      <c r="V26" s="17"/>
    </row>
    <row r="27" ht="14.25" customHeight="1">
      <c r="A27" s="13">
        <v>10903.0</v>
      </c>
      <c r="B27" s="13" t="s">
        <v>52</v>
      </c>
      <c r="C27" s="9">
        <v>735.0</v>
      </c>
      <c r="D27" s="9">
        <v>289.2222299873829</v>
      </c>
      <c r="E27" s="9">
        <v>4979.0</v>
      </c>
      <c r="F27" s="27">
        <f t="shared" si="1"/>
        <v>0.147620004</v>
      </c>
      <c r="G27" s="27">
        <f t="shared" si="2"/>
        <v>0.3934996326</v>
      </c>
      <c r="H27" s="27">
        <f t="shared" si="3"/>
        <v>0.05808841735</v>
      </c>
      <c r="I27" s="26"/>
      <c r="J27" s="26"/>
      <c r="K27" s="17"/>
      <c r="L27" s="17"/>
      <c r="M27" s="29"/>
      <c r="N27" s="29"/>
      <c r="O27" s="4"/>
      <c r="P27" s="4"/>
      <c r="Q27" s="4"/>
      <c r="R27" s="17"/>
      <c r="S27" s="17"/>
      <c r="T27" s="17"/>
      <c r="U27" s="17"/>
      <c r="V27" s="17"/>
    </row>
    <row r="28" ht="14.25" customHeight="1">
      <c r="A28" s="13">
        <v>11001.0</v>
      </c>
      <c r="B28" s="13" t="s">
        <v>53</v>
      </c>
      <c r="C28" s="9">
        <v>2069.0</v>
      </c>
      <c r="D28" s="9">
        <v>846.7777988016605</v>
      </c>
      <c r="E28" s="9">
        <v>10634.0</v>
      </c>
      <c r="F28" s="27">
        <f t="shared" si="1"/>
        <v>0.1945646041</v>
      </c>
      <c r="G28" s="27">
        <f t="shared" si="2"/>
        <v>0.4092691149</v>
      </c>
      <c r="H28" s="27">
        <f t="shared" si="3"/>
        <v>0.07962928332</v>
      </c>
      <c r="I28" s="26"/>
      <c r="J28" s="26"/>
      <c r="K28" s="17"/>
      <c r="L28" s="17"/>
      <c r="M28" s="29"/>
      <c r="N28" s="29"/>
      <c r="O28" s="4"/>
      <c r="P28" s="4"/>
      <c r="Q28" s="4"/>
      <c r="R28" s="17"/>
      <c r="S28" s="17"/>
      <c r="T28" s="17"/>
      <c r="U28" s="17"/>
      <c r="V28" s="17"/>
    </row>
    <row r="29" ht="14.25" customHeight="1">
      <c r="A29" s="13">
        <v>11002.0</v>
      </c>
      <c r="B29" s="13" t="s">
        <v>54</v>
      </c>
      <c r="C29" s="9">
        <v>200.0</v>
      </c>
      <c r="D29" s="9">
        <v>74.55555763840675</v>
      </c>
      <c r="E29" s="9">
        <v>2538.0</v>
      </c>
      <c r="F29" s="27">
        <f t="shared" si="1"/>
        <v>0.07880220646</v>
      </c>
      <c r="G29" s="27">
        <f t="shared" si="2"/>
        <v>0.3727777882</v>
      </c>
      <c r="H29" s="27">
        <f t="shared" si="3"/>
        <v>0.02937571223</v>
      </c>
      <c r="I29" s="26"/>
      <c r="J29" s="26"/>
      <c r="K29" s="17"/>
      <c r="L29" s="17"/>
      <c r="M29" s="29"/>
      <c r="N29" s="29"/>
      <c r="O29" s="4"/>
      <c r="P29" s="4"/>
      <c r="Q29" s="4"/>
      <c r="R29" s="17"/>
      <c r="S29" s="17"/>
      <c r="T29" s="17"/>
      <c r="U29" s="17"/>
      <c r="V29" s="17"/>
    </row>
    <row r="30" ht="14.25" customHeight="1">
      <c r="A30" s="13">
        <v>11003.0</v>
      </c>
      <c r="B30" s="13" t="s">
        <v>55</v>
      </c>
      <c r="C30" s="9">
        <v>551.0</v>
      </c>
      <c r="D30" s="9">
        <v>204.55556085705757</v>
      </c>
      <c r="E30" s="9">
        <v>6541.0</v>
      </c>
      <c r="F30" s="27">
        <f t="shared" si="1"/>
        <v>0.08423788412</v>
      </c>
      <c r="G30" s="27">
        <f t="shared" si="2"/>
        <v>0.3712442121</v>
      </c>
      <c r="H30" s="27">
        <f t="shared" si="3"/>
        <v>0.03127282692</v>
      </c>
      <c r="I30" s="26"/>
      <c r="J30" s="26"/>
      <c r="K30" s="17"/>
      <c r="L30" s="17"/>
      <c r="M30" s="29"/>
      <c r="N30" s="29"/>
      <c r="O30" s="4"/>
      <c r="P30" s="4"/>
      <c r="Q30" s="4"/>
      <c r="R30" s="17"/>
      <c r="S30" s="17"/>
      <c r="T30" s="17"/>
      <c r="U30" s="17"/>
      <c r="V30" s="17"/>
    </row>
    <row r="31" ht="14.25" customHeight="1">
      <c r="A31" s="13">
        <v>20101.0</v>
      </c>
      <c r="B31" s="13" t="s">
        <v>56</v>
      </c>
      <c r="C31" s="9">
        <v>5318.0</v>
      </c>
      <c r="D31" s="9">
        <v>1917.4444940388203</v>
      </c>
      <c r="E31" s="9">
        <v>730126.0</v>
      </c>
      <c r="F31" s="27">
        <f t="shared" si="1"/>
        <v>0.007283674325</v>
      </c>
      <c r="G31" s="27">
        <f t="shared" si="2"/>
        <v>0.3605574453</v>
      </c>
      <c r="H31" s="27">
        <f t="shared" si="3"/>
        <v>0.002626183007</v>
      </c>
      <c r="I31" s="26"/>
      <c r="J31" s="26"/>
      <c r="K31" s="17"/>
      <c r="L31" s="17"/>
      <c r="M31" s="29"/>
      <c r="N31" s="29"/>
      <c r="O31" s="4"/>
      <c r="P31" s="4"/>
      <c r="Q31" s="4"/>
      <c r="R31" s="17"/>
      <c r="S31" s="17"/>
      <c r="T31" s="17"/>
      <c r="U31" s="17"/>
      <c r="V31" s="17"/>
    </row>
    <row r="32" ht="14.25" customHeight="1">
      <c r="A32" s="13">
        <v>20102.0</v>
      </c>
      <c r="B32" s="13" t="s">
        <v>57</v>
      </c>
      <c r="C32" s="9">
        <v>3254.0</v>
      </c>
      <c r="D32" s="9">
        <v>1208.0000305473804</v>
      </c>
      <c r="E32" s="9">
        <v>21655.0</v>
      </c>
      <c r="F32" s="27">
        <f t="shared" si="1"/>
        <v>0.1502655276</v>
      </c>
      <c r="G32" s="27">
        <f t="shared" si="2"/>
        <v>0.371235412</v>
      </c>
      <c r="H32" s="27">
        <f t="shared" si="3"/>
        <v>0.05578388504</v>
      </c>
      <c r="I32" s="26"/>
      <c r="J32" s="26"/>
      <c r="K32" s="17"/>
      <c r="L32" s="17"/>
      <c r="M32" s="29"/>
      <c r="N32" s="29"/>
      <c r="O32" s="4"/>
      <c r="P32" s="4"/>
      <c r="Q32" s="4"/>
      <c r="R32" s="17"/>
      <c r="S32" s="17"/>
      <c r="T32" s="17"/>
      <c r="U32" s="17"/>
      <c r="V32" s="17"/>
    </row>
    <row r="33" ht="14.25" customHeight="1">
      <c r="A33" s="13">
        <v>20103.0</v>
      </c>
      <c r="B33" s="13" t="s">
        <v>58</v>
      </c>
      <c r="C33" s="9">
        <v>1684.0</v>
      </c>
      <c r="D33" s="9">
        <v>616.6666821241379</v>
      </c>
      <c r="E33" s="9">
        <v>20356.0</v>
      </c>
      <c r="F33" s="27">
        <f t="shared" si="1"/>
        <v>0.08272745137</v>
      </c>
      <c r="G33" s="27">
        <f t="shared" si="2"/>
        <v>0.3661916165</v>
      </c>
      <c r="H33" s="27">
        <f t="shared" si="3"/>
        <v>0.03029409914</v>
      </c>
      <c r="I33" s="26"/>
      <c r="J33" s="26"/>
      <c r="K33" s="17"/>
      <c r="L33" s="17"/>
      <c r="M33" s="29"/>
      <c r="N33" s="29"/>
      <c r="O33" s="4"/>
      <c r="P33" s="4"/>
      <c r="Q33" s="4"/>
      <c r="R33" s="17"/>
      <c r="S33" s="17"/>
      <c r="T33" s="17"/>
      <c r="U33" s="17"/>
      <c r="V33" s="17"/>
    </row>
    <row r="34" ht="14.25" customHeight="1">
      <c r="A34" s="13">
        <v>20104.0</v>
      </c>
      <c r="B34" s="13" t="s">
        <v>59</v>
      </c>
      <c r="C34" s="9">
        <v>5352.0</v>
      </c>
      <c r="D34" s="9">
        <v>1922.6667162179947</v>
      </c>
      <c r="E34" s="9">
        <v>44701.0</v>
      </c>
      <c r="F34" s="27">
        <f t="shared" si="1"/>
        <v>0.1197288651</v>
      </c>
      <c r="G34" s="27">
        <f t="shared" si="2"/>
        <v>0.35924266</v>
      </c>
      <c r="H34" s="27">
        <f t="shared" si="3"/>
        <v>0.04301171598</v>
      </c>
      <c r="I34" s="26"/>
      <c r="J34" s="26"/>
      <c r="K34" s="17"/>
      <c r="L34" s="17"/>
      <c r="M34" s="29"/>
      <c r="N34" s="29"/>
      <c r="O34" s="4"/>
      <c r="P34" s="4"/>
      <c r="Q34" s="4"/>
      <c r="R34" s="17"/>
      <c r="S34" s="17"/>
      <c r="T34" s="17"/>
      <c r="U34" s="17"/>
      <c r="V34" s="17"/>
    </row>
    <row r="35" ht="14.25" customHeight="1">
      <c r="A35" s="13">
        <v>20105.0</v>
      </c>
      <c r="B35" s="13" t="s">
        <v>60</v>
      </c>
      <c r="C35" s="9">
        <v>13743.0</v>
      </c>
      <c r="D35" s="9">
        <v>4904.444571018219</v>
      </c>
      <c r="E35" s="9">
        <v>877537.0</v>
      </c>
      <c r="F35" s="27">
        <f t="shared" si="1"/>
        <v>0.01566087812</v>
      </c>
      <c r="G35" s="27">
        <f t="shared" si="2"/>
        <v>0.3568685564</v>
      </c>
      <c r="H35" s="27">
        <f t="shared" si="3"/>
        <v>0.005588874966</v>
      </c>
      <c r="I35" s="26"/>
      <c r="J35" s="26"/>
      <c r="K35" s="17"/>
      <c r="L35" s="17"/>
      <c r="M35" s="29"/>
      <c r="N35" s="29"/>
      <c r="O35" s="4"/>
      <c r="P35" s="4"/>
      <c r="Q35" s="4"/>
      <c r="R35" s="17"/>
      <c r="S35" s="17"/>
      <c r="T35" s="17"/>
      <c r="U35" s="17"/>
      <c r="V35" s="17"/>
    </row>
    <row r="36" ht="14.25" customHeight="1">
      <c r="A36" s="13">
        <v>20201.0</v>
      </c>
      <c r="B36" s="13" t="s">
        <v>61</v>
      </c>
      <c r="C36" s="9">
        <v>4413.0</v>
      </c>
      <c r="D36" s="9">
        <v>1623.333374619484</v>
      </c>
      <c r="E36" s="9">
        <v>46737.0</v>
      </c>
      <c r="F36" s="27">
        <f t="shared" si="1"/>
        <v>0.0944219783</v>
      </c>
      <c r="G36" s="27">
        <f t="shared" si="2"/>
        <v>0.3678525662</v>
      </c>
      <c r="H36" s="27">
        <f t="shared" si="3"/>
        <v>0.03473336702</v>
      </c>
      <c r="I36" s="26"/>
      <c r="J36" s="26"/>
      <c r="K36" s="17"/>
      <c r="L36" s="17"/>
      <c r="M36" s="29"/>
      <c r="N36" s="29"/>
      <c r="O36" s="4"/>
      <c r="P36" s="4"/>
      <c r="Q36" s="4"/>
      <c r="R36" s="17"/>
      <c r="S36" s="17"/>
      <c r="T36" s="17"/>
      <c r="U36" s="17"/>
      <c r="V36" s="17"/>
    </row>
    <row r="37" ht="14.25" customHeight="1">
      <c r="A37" s="13">
        <v>20202.0</v>
      </c>
      <c r="B37" s="13" t="s">
        <v>62</v>
      </c>
      <c r="C37" s="9">
        <v>2951.0</v>
      </c>
      <c r="D37" s="9">
        <v>1086.5555830299854</v>
      </c>
      <c r="E37" s="9">
        <v>16869.0</v>
      </c>
      <c r="F37" s="27">
        <f t="shared" si="1"/>
        <v>0.1749362736</v>
      </c>
      <c r="G37" s="27">
        <f t="shared" si="2"/>
        <v>0.3681991132</v>
      </c>
      <c r="H37" s="27">
        <f t="shared" si="3"/>
        <v>0.06441138082</v>
      </c>
      <c r="I37" s="26"/>
      <c r="J37" s="26"/>
      <c r="K37" s="17"/>
      <c r="L37" s="17"/>
      <c r="M37" s="29"/>
      <c r="N37" s="29"/>
      <c r="O37" s="4"/>
      <c r="P37" s="4"/>
      <c r="Q37" s="4"/>
      <c r="R37" s="17"/>
      <c r="S37" s="17"/>
      <c r="T37" s="17"/>
      <c r="U37" s="17"/>
      <c r="V37" s="17"/>
    </row>
    <row r="38" ht="14.25" customHeight="1">
      <c r="A38" s="13">
        <v>20203.0</v>
      </c>
      <c r="B38" s="13" t="s">
        <v>63</v>
      </c>
      <c r="C38" s="9">
        <v>673.0</v>
      </c>
      <c r="D38" s="9">
        <v>246.22222837805748</v>
      </c>
      <c r="E38" s="9">
        <v>6889.0</v>
      </c>
      <c r="F38" s="27">
        <f t="shared" si="1"/>
        <v>0.09769197271</v>
      </c>
      <c r="G38" s="27">
        <f t="shared" si="2"/>
        <v>0.3658576945</v>
      </c>
      <c r="H38" s="27">
        <f t="shared" si="3"/>
        <v>0.0357413599</v>
      </c>
      <c r="I38" s="26"/>
      <c r="J38" s="26"/>
      <c r="K38" s="17"/>
      <c r="L38" s="17"/>
      <c r="M38" s="29"/>
      <c r="N38" s="29"/>
      <c r="O38" s="4"/>
      <c r="P38" s="4"/>
      <c r="Q38" s="4"/>
      <c r="R38" s="17"/>
      <c r="S38" s="17"/>
      <c r="T38" s="17"/>
      <c r="U38" s="17"/>
      <c r="V38" s="17"/>
    </row>
    <row r="39" ht="14.25" customHeight="1">
      <c r="A39" s="13">
        <v>20204.0</v>
      </c>
      <c r="B39" s="13" t="s">
        <v>64</v>
      </c>
      <c r="C39" s="9">
        <v>867.0</v>
      </c>
      <c r="D39" s="9">
        <v>313.33334121108055</v>
      </c>
      <c r="E39" s="9">
        <v>8589.0</v>
      </c>
      <c r="F39" s="27">
        <f t="shared" si="1"/>
        <v>0.1009430667</v>
      </c>
      <c r="G39" s="27">
        <f t="shared" si="2"/>
        <v>0.3613994708</v>
      </c>
      <c r="H39" s="27">
        <f t="shared" si="3"/>
        <v>0.03648077089</v>
      </c>
      <c r="I39" s="26"/>
      <c r="J39" s="26"/>
      <c r="K39" s="17"/>
      <c r="L39" s="17"/>
      <c r="M39" s="29"/>
      <c r="N39" s="29"/>
      <c r="O39" s="4"/>
      <c r="P39" s="4"/>
      <c r="Q39" s="4"/>
      <c r="R39" s="17"/>
      <c r="S39" s="17"/>
      <c r="T39" s="17"/>
      <c r="U39" s="17"/>
      <c r="V39" s="17"/>
    </row>
    <row r="40" ht="14.25" customHeight="1">
      <c r="A40" s="13">
        <v>20205.0</v>
      </c>
      <c r="B40" s="13" t="s">
        <v>65</v>
      </c>
      <c r="C40" s="9">
        <v>788.0</v>
      </c>
      <c r="D40" s="9">
        <v>291.55556285381317</v>
      </c>
      <c r="E40" s="9">
        <v>9233.0</v>
      </c>
      <c r="F40" s="27">
        <f t="shared" si="1"/>
        <v>0.08534604137</v>
      </c>
      <c r="G40" s="27">
        <f t="shared" si="2"/>
        <v>0.3699943691</v>
      </c>
      <c r="H40" s="27">
        <f t="shared" si="3"/>
        <v>0.03157755473</v>
      </c>
      <c r="I40" s="26"/>
      <c r="J40" s="26"/>
      <c r="K40" s="17"/>
      <c r="L40" s="17"/>
      <c r="M40" s="29"/>
      <c r="N40" s="29"/>
      <c r="O40" s="4"/>
      <c r="P40" s="4"/>
      <c r="Q40" s="4"/>
      <c r="R40" s="17"/>
      <c r="S40" s="17"/>
      <c r="T40" s="17"/>
      <c r="U40" s="17"/>
      <c r="V40" s="17"/>
    </row>
    <row r="41" ht="14.25" customHeight="1">
      <c r="A41" s="13">
        <v>20206.0</v>
      </c>
      <c r="B41" s="13" t="s">
        <v>66</v>
      </c>
      <c r="C41" s="9">
        <v>289.0</v>
      </c>
      <c r="D41" s="9">
        <v>104.88889154791832</v>
      </c>
      <c r="E41" s="9">
        <v>5034.0</v>
      </c>
      <c r="F41" s="27">
        <f t="shared" si="1"/>
        <v>0.05740961462</v>
      </c>
      <c r="G41" s="27">
        <f t="shared" si="2"/>
        <v>0.362937341</v>
      </c>
      <c r="H41" s="27">
        <f t="shared" si="3"/>
        <v>0.02083609288</v>
      </c>
      <c r="I41" s="26"/>
      <c r="J41" s="26"/>
      <c r="K41" s="17"/>
      <c r="L41" s="17"/>
      <c r="M41" s="29"/>
      <c r="N41" s="29"/>
      <c r="O41" s="4"/>
      <c r="P41" s="4"/>
      <c r="Q41" s="4"/>
      <c r="R41" s="17"/>
      <c r="S41" s="17"/>
      <c r="T41" s="17"/>
      <c r="U41" s="17"/>
      <c r="V41" s="17"/>
    </row>
    <row r="42" ht="14.25" customHeight="1">
      <c r="A42" s="13">
        <v>20301.0</v>
      </c>
      <c r="B42" s="13" t="s">
        <v>67</v>
      </c>
      <c r="C42" s="9">
        <v>3138.0</v>
      </c>
      <c r="D42" s="9">
        <v>1176.7778068482876</v>
      </c>
      <c r="E42" s="9">
        <v>13224.0</v>
      </c>
      <c r="F42" s="27">
        <f t="shared" si="1"/>
        <v>0.2372958258</v>
      </c>
      <c r="G42" s="27">
        <f t="shared" si="2"/>
        <v>0.3750088613</v>
      </c>
      <c r="H42" s="27">
        <f t="shared" si="3"/>
        <v>0.08898803742</v>
      </c>
      <c r="I42" s="26"/>
      <c r="J42" s="26"/>
      <c r="K42" s="17"/>
      <c r="L42" s="17"/>
      <c r="M42" s="29"/>
      <c r="N42" s="29"/>
      <c r="O42" s="4"/>
      <c r="P42" s="4"/>
      <c r="Q42" s="4"/>
      <c r="R42" s="17"/>
      <c r="S42" s="17"/>
      <c r="T42" s="17"/>
      <c r="U42" s="17"/>
      <c r="V42" s="17"/>
    </row>
    <row r="43" ht="14.25" customHeight="1">
      <c r="A43" s="13">
        <v>20302.0</v>
      </c>
      <c r="B43" s="13" t="s">
        <v>68</v>
      </c>
      <c r="C43" s="9">
        <v>2287.0</v>
      </c>
      <c r="D43" s="9">
        <v>837.6666870117188</v>
      </c>
      <c r="E43" s="9">
        <v>15438.0</v>
      </c>
      <c r="F43" s="27">
        <f t="shared" si="1"/>
        <v>0.1481409509</v>
      </c>
      <c r="G43" s="27">
        <f t="shared" si="2"/>
        <v>0.3662731469</v>
      </c>
      <c r="H43" s="27">
        <f t="shared" si="3"/>
        <v>0.05426005227</v>
      </c>
      <c r="I43" s="26"/>
      <c r="J43" s="26"/>
      <c r="K43" s="17"/>
      <c r="L43" s="17"/>
      <c r="M43" s="29"/>
      <c r="N43" s="29"/>
      <c r="O43" s="4"/>
      <c r="P43" s="4"/>
      <c r="Q43" s="4"/>
      <c r="R43" s="17"/>
      <c r="S43" s="17"/>
      <c r="T43" s="17"/>
      <c r="U43" s="17"/>
      <c r="V43" s="17"/>
    </row>
    <row r="44" ht="14.25" customHeight="1">
      <c r="A44" s="13">
        <v>20303.0</v>
      </c>
      <c r="B44" s="13" t="s">
        <v>69</v>
      </c>
      <c r="C44" s="9">
        <v>3179.0</v>
      </c>
      <c r="D44" s="9">
        <v>1184.333361506462</v>
      </c>
      <c r="E44" s="9">
        <v>12187.0</v>
      </c>
      <c r="F44" s="27">
        <f t="shared" si="1"/>
        <v>0.2608517273</v>
      </c>
      <c r="G44" s="27">
        <f t="shared" si="2"/>
        <v>0.3725490285</v>
      </c>
      <c r="H44" s="27">
        <f t="shared" si="3"/>
        <v>0.09718005756</v>
      </c>
      <c r="I44" s="26"/>
      <c r="J44" s="26"/>
      <c r="K44" s="17"/>
      <c r="L44" s="17"/>
      <c r="M44" s="29"/>
      <c r="N44" s="29"/>
      <c r="O44" s="4"/>
      <c r="P44" s="4"/>
      <c r="Q44" s="4"/>
      <c r="R44" s="17"/>
      <c r="S44" s="17"/>
      <c r="T44" s="17"/>
      <c r="U44" s="17"/>
      <c r="V44" s="17"/>
    </row>
    <row r="45" ht="14.25" customHeight="1">
      <c r="A45" s="13">
        <v>20304.0</v>
      </c>
      <c r="B45" s="13" t="s">
        <v>70</v>
      </c>
      <c r="C45" s="9">
        <v>549.0</v>
      </c>
      <c r="D45" s="9">
        <v>196.88889399170876</v>
      </c>
      <c r="E45" s="9">
        <v>5224.0</v>
      </c>
      <c r="F45" s="27">
        <f t="shared" si="1"/>
        <v>0.1050918836</v>
      </c>
      <c r="G45" s="27">
        <f t="shared" si="2"/>
        <v>0.3586318652</v>
      </c>
      <c r="H45" s="27">
        <f t="shared" si="3"/>
        <v>0.03768929824</v>
      </c>
      <c r="I45" s="26"/>
      <c r="J45" s="26"/>
      <c r="K45" s="17"/>
      <c r="L45" s="17"/>
      <c r="M45" s="29"/>
      <c r="N45" s="29"/>
      <c r="O45" s="4"/>
      <c r="P45" s="4"/>
      <c r="Q45" s="4"/>
      <c r="R45" s="17"/>
      <c r="S45" s="17"/>
      <c r="T45" s="17"/>
      <c r="U45" s="17"/>
      <c r="V45" s="17"/>
    </row>
    <row r="46" ht="14.25" customHeight="1">
      <c r="A46" s="13">
        <v>20305.0</v>
      </c>
      <c r="B46" s="13" t="s">
        <v>71</v>
      </c>
      <c r="C46" s="9">
        <v>1394.0</v>
      </c>
      <c r="D46" s="9">
        <v>523.4444571733475</v>
      </c>
      <c r="E46" s="9">
        <v>4123.0</v>
      </c>
      <c r="F46" s="27">
        <f t="shared" si="1"/>
        <v>0.3381033228</v>
      </c>
      <c r="G46" s="27">
        <f t="shared" si="2"/>
        <v>0.3754981759</v>
      </c>
      <c r="H46" s="27">
        <f t="shared" si="3"/>
        <v>0.126957181</v>
      </c>
      <c r="I46" s="26"/>
      <c r="J46" s="26"/>
      <c r="K46" s="17"/>
      <c r="L46" s="17"/>
      <c r="M46" s="29"/>
      <c r="N46" s="29"/>
      <c r="O46" s="4"/>
      <c r="P46" s="4"/>
      <c r="Q46" s="4"/>
      <c r="R46" s="17"/>
      <c r="S46" s="17"/>
      <c r="T46" s="17"/>
      <c r="U46" s="17"/>
      <c r="V46" s="17"/>
    </row>
    <row r="47" ht="14.25" customHeight="1">
      <c r="A47" s="13">
        <v>20306.0</v>
      </c>
      <c r="B47" s="13" t="s">
        <v>72</v>
      </c>
      <c r="C47" s="9">
        <v>1159.0</v>
      </c>
      <c r="D47" s="9">
        <v>429.88889995217323</v>
      </c>
      <c r="E47" s="9">
        <v>6072.0</v>
      </c>
      <c r="F47" s="27">
        <f t="shared" si="1"/>
        <v>0.1908761528</v>
      </c>
      <c r="G47" s="27">
        <f t="shared" si="2"/>
        <v>0.3709136324</v>
      </c>
      <c r="H47" s="27">
        <f t="shared" si="3"/>
        <v>0.07079856719</v>
      </c>
      <c r="I47" s="26"/>
      <c r="J47" s="26"/>
      <c r="K47" s="17"/>
      <c r="L47" s="17"/>
      <c r="M47" s="29"/>
      <c r="N47" s="29"/>
      <c r="O47" s="4"/>
      <c r="P47" s="4"/>
      <c r="Q47" s="4"/>
      <c r="R47" s="17"/>
      <c r="S47" s="17"/>
      <c r="T47" s="17"/>
      <c r="U47" s="17"/>
      <c r="V47" s="17"/>
    </row>
    <row r="48" ht="14.25" customHeight="1">
      <c r="A48" s="13">
        <v>20307.0</v>
      </c>
      <c r="B48" s="13" t="s">
        <v>73</v>
      </c>
      <c r="C48" s="9">
        <v>793.0</v>
      </c>
      <c r="D48" s="9">
        <v>289.3333401978016</v>
      </c>
      <c r="E48" s="9">
        <v>4017.0</v>
      </c>
      <c r="F48" s="27">
        <f t="shared" si="1"/>
        <v>0.1974110032</v>
      </c>
      <c r="G48" s="27">
        <f t="shared" si="2"/>
        <v>0.3648591932</v>
      </c>
      <c r="H48" s="27">
        <f t="shared" si="3"/>
        <v>0.07202721937</v>
      </c>
      <c r="I48" s="26"/>
      <c r="J48" s="26"/>
      <c r="K48" s="17"/>
      <c r="L48" s="17"/>
      <c r="M48" s="29"/>
      <c r="N48" s="29"/>
      <c r="O48" s="4"/>
      <c r="P48" s="4"/>
      <c r="Q48" s="4"/>
      <c r="R48" s="17"/>
      <c r="S48" s="17"/>
      <c r="T48" s="17"/>
      <c r="U48" s="17"/>
      <c r="V48" s="17"/>
    </row>
    <row r="49" ht="14.25" customHeight="1">
      <c r="A49" s="13">
        <v>20308.0</v>
      </c>
      <c r="B49" s="13" t="s">
        <v>74</v>
      </c>
      <c r="C49" s="9">
        <v>2883.0</v>
      </c>
      <c r="D49" s="9">
        <v>1069.5555812120438</v>
      </c>
      <c r="E49" s="9">
        <v>8013.0</v>
      </c>
      <c r="F49" s="27">
        <f t="shared" si="1"/>
        <v>0.3597903407</v>
      </c>
      <c r="G49" s="27">
        <f t="shared" si="2"/>
        <v>0.3709870209</v>
      </c>
      <c r="H49" s="27">
        <f t="shared" si="3"/>
        <v>0.1334775466</v>
      </c>
      <c r="I49" s="26"/>
      <c r="J49" s="26"/>
      <c r="K49" s="17"/>
      <c r="L49" s="17"/>
      <c r="M49" s="29"/>
      <c r="N49" s="29"/>
      <c r="O49" s="4"/>
      <c r="P49" s="4"/>
      <c r="Q49" s="4"/>
      <c r="R49" s="17"/>
      <c r="S49" s="17"/>
      <c r="T49" s="17"/>
      <c r="U49" s="17"/>
      <c r="V49" s="17"/>
    </row>
    <row r="50" ht="14.25" customHeight="1">
      <c r="A50" s="13">
        <v>20401.0</v>
      </c>
      <c r="B50" s="13" t="s">
        <v>75</v>
      </c>
      <c r="C50" s="9">
        <v>3483.0</v>
      </c>
      <c r="D50" s="9">
        <v>1293.0000313520432</v>
      </c>
      <c r="E50" s="9">
        <v>13968.0</v>
      </c>
      <c r="F50" s="27">
        <f t="shared" si="1"/>
        <v>0.2493556701</v>
      </c>
      <c r="G50" s="27">
        <f t="shared" si="2"/>
        <v>0.3712317058</v>
      </c>
      <c r="H50" s="27">
        <f t="shared" si="3"/>
        <v>0.09256873077</v>
      </c>
      <c r="I50" s="26"/>
      <c r="J50" s="26"/>
      <c r="K50" s="17"/>
      <c r="L50" s="17"/>
      <c r="M50" s="29"/>
      <c r="N50" s="29"/>
      <c r="O50" s="4"/>
      <c r="P50" s="4"/>
      <c r="Q50" s="4"/>
      <c r="R50" s="17"/>
      <c r="S50" s="17"/>
      <c r="T50" s="17"/>
      <c r="U50" s="17"/>
      <c r="V50" s="17"/>
    </row>
    <row r="51" ht="14.25" customHeight="1">
      <c r="A51" s="13">
        <v>20402.0</v>
      </c>
      <c r="B51" s="13" t="s">
        <v>76</v>
      </c>
      <c r="C51" s="9">
        <v>3164.0</v>
      </c>
      <c r="D51" s="9">
        <v>1176.4444741606712</v>
      </c>
      <c r="E51" s="9">
        <v>17730.0</v>
      </c>
      <c r="F51" s="27">
        <f t="shared" si="1"/>
        <v>0.1784545967</v>
      </c>
      <c r="G51" s="27">
        <f t="shared" si="2"/>
        <v>0.3718218945</v>
      </c>
      <c r="H51" s="27">
        <f t="shared" si="3"/>
        <v>0.06635332624</v>
      </c>
      <c r="I51" s="26"/>
      <c r="J51" s="26"/>
      <c r="K51" s="17"/>
      <c r="L51" s="17"/>
      <c r="M51" s="29"/>
      <c r="N51" s="29"/>
      <c r="O51" s="4"/>
      <c r="P51" s="4"/>
      <c r="Q51" s="4"/>
      <c r="R51" s="17"/>
      <c r="S51" s="17"/>
      <c r="T51" s="17"/>
      <c r="U51" s="17"/>
      <c r="V51" s="17"/>
    </row>
    <row r="52" ht="14.25" customHeight="1">
      <c r="A52" s="13">
        <v>20403.0</v>
      </c>
      <c r="B52" s="13" t="s">
        <v>77</v>
      </c>
      <c r="C52" s="9">
        <v>3057.0</v>
      </c>
      <c r="D52" s="9">
        <v>1116.000028371811</v>
      </c>
      <c r="E52" s="9">
        <v>17034.0</v>
      </c>
      <c r="F52" s="27">
        <f t="shared" si="1"/>
        <v>0.1794646002</v>
      </c>
      <c r="G52" s="27">
        <f t="shared" si="2"/>
        <v>0.3650637973</v>
      </c>
      <c r="H52" s="27">
        <f t="shared" si="3"/>
        <v>0.06551602844</v>
      </c>
      <c r="I52" s="26"/>
      <c r="J52" s="26"/>
      <c r="K52" s="17"/>
      <c r="L52" s="17"/>
      <c r="M52" s="29"/>
      <c r="N52" s="29"/>
      <c r="O52" s="4"/>
      <c r="P52" s="4"/>
      <c r="Q52" s="4"/>
      <c r="R52" s="17"/>
      <c r="S52" s="17"/>
      <c r="T52" s="17"/>
      <c r="U52" s="17"/>
      <c r="V52" s="17"/>
    </row>
    <row r="53" ht="14.25" customHeight="1">
      <c r="A53" s="13">
        <v>20404.0</v>
      </c>
      <c r="B53" s="13" t="s">
        <v>78</v>
      </c>
      <c r="C53" s="9">
        <v>1529.0</v>
      </c>
      <c r="D53" s="9">
        <v>587.2222369909286</v>
      </c>
      <c r="E53" s="9">
        <v>5651.0</v>
      </c>
      <c r="F53" s="27">
        <f t="shared" si="1"/>
        <v>0.2705715803</v>
      </c>
      <c r="G53" s="27">
        <f t="shared" si="2"/>
        <v>0.3840564009</v>
      </c>
      <c r="H53" s="27">
        <f t="shared" si="3"/>
        <v>0.1039147473</v>
      </c>
      <c r="I53" s="26"/>
      <c r="J53" s="26"/>
      <c r="K53" s="17"/>
      <c r="L53" s="17"/>
      <c r="M53" s="29"/>
      <c r="N53" s="29"/>
      <c r="O53" s="4"/>
      <c r="P53" s="4"/>
      <c r="Q53" s="4"/>
      <c r="R53" s="17"/>
      <c r="S53" s="17"/>
      <c r="T53" s="17"/>
      <c r="U53" s="17"/>
      <c r="V53" s="17"/>
    </row>
    <row r="54" ht="14.25" customHeight="1">
      <c r="A54" s="13">
        <v>20405.0</v>
      </c>
      <c r="B54" s="13" t="s">
        <v>79</v>
      </c>
      <c r="C54" s="9">
        <v>1974.0</v>
      </c>
      <c r="D54" s="9">
        <v>741.6666847169399</v>
      </c>
      <c r="E54" s="9">
        <v>8812.0</v>
      </c>
      <c r="F54" s="27">
        <f t="shared" si="1"/>
        <v>0.2240127099</v>
      </c>
      <c r="G54" s="27">
        <f t="shared" si="2"/>
        <v>0.3757176721</v>
      </c>
      <c r="H54" s="27">
        <f t="shared" si="3"/>
        <v>0.0841655339</v>
      </c>
      <c r="I54" s="26"/>
      <c r="J54" s="26"/>
      <c r="K54" s="17"/>
      <c r="L54" s="17"/>
      <c r="M54" s="29"/>
      <c r="N54" s="29"/>
      <c r="O54" s="4"/>
      <c r="P54" s="4"/>
      <c r="Q54" s="4"/>
      <c r="R54" s="17"/>
      <c r="S54" s="17"/>
      <c r="T54" s="17"/>
      <c r="U54" s="17"/>
      <c r="V54" s="17"/>
    </row>
    <row r="55" ht="14.25" customHeight="1">
      <c r="A55" s="13">
        <v>20501.0</v>
      </c>
      <c r="B55" s="13" t="s">
        <v>80</v>
      </c>
      <c r="C55" s="9">
        <v>2598.0</v>
      </c>
      <c r="D55" s="9">
        <v>974.4444688260555</v>
      </c>
      <c r="E55" s="9">
        <v>17787.0</v>
      </c>
      <c r="F55" s="27">
        <f t="shared" si="1"/>
        <v>0.1460617305</v>
      </c>
      <c r="G55" s="27">
        <f t="shared" si="2"/>
        <v>0.3750748533</v>
      </c>
      <c r="H55" s="27">
        <f t="shared" si="3"/>
        <v>0.05478408213</v>
      </c>
      <c r="I55" s="26"/>
      <c r="J55" s="26"/>
      <c r="K55" s="17"/>
      <c r="L55" s="17"/>
      <c r="M55" s="29"/>
      <c r="N55" s="29"/>
      <c r="O55" s="4"/>
      <c r="P55" s="4"/>
      <c r="Q55" s="4"/>
      <c r="R55" s="17"/>
      <c r="S55" s="17"/>
      <c r="T55" s="17"/>
      <c r="U55" s="17"/>
      <c r="V55" s="17"/>
    </row>
    <row r="56" ht="14.25" customHeight="1">
      <c r="A56" s="13">
        <v>20502.0</v>
      </c>
      <c r="B56" s="13" t="s">
        <v>81</v>
      </c>
      <c r="C56" s="9">
        <v>1942.0</v>
      </c>
      <c r="D56" s="9">
        <v>739.7777965962887</v>
      </c>
      <c r="E56" s="9">
        <v>9010.0</v>
      </c>
      <c r="F56" s="27">
        <f t="shared" si="1"/>
        <v>0.2155382908</v>
      </c>
      <c r="G56" s="27">
        <f t="shared" si="2"/>
        <v>0.3809360436</v>
      </c>
      <c r="H56" s="27">
        <f t="shared" si="3"/>
        <v>0.08210630373</v>
      </c>
      <c r="I56" s="26"/>
      <c r="J56" s="26"/>
      <c r="K56" s="17"/>
      <c r="L56" s="17"/>
      <c r="M56" s="29"/>
      <c r="N56" s="29"/>
      <c r="O56" s="4"/>
      <c r="P56" s="4"/>
      <c r="Q56" s="4"/>
      <c r="R56" s="17"/>
      <c r="S56" s="17"/>
      <c r="T56" s="17"/>
      <c r="U56" s="17"/>
      <c r="V56" s="17"/>
    </row>
    <row r="57" ht="14.25" customHeight="1">
      <c r="A57" s="13">
        <v>20503.0</v>
      </c>
      <c r="B57" s="13" t="s">
        <v>82</v>
      </c>
      <c r="C57" s="9">
        <v>1276.0</v>
      </c>
      <c r="D57" s="9">
        <v>484.5555680692196</v>
      </c>
      <c r="E57" s="9">
        <v>6452.0</v>
      </c>
      <c r="F57" s="27">
        <f t="shared" si="1"/>
        <v>0.1977681339</v>
      </c>
      <c r="G57" s="27">
        <f t="shared" si="2"/>
        <v>0.379745743</v>
      </c>
      <c r="H57" s="27">
        <f t="shared" si="3"/>
        <v>0.07510160695</v>
      </c>
      <c r="I57" s="26"/>
      <c r="J57" s="26"/>
      <c r="K57" s="17"/>
      <c r="L57" s="17"/>
      <c r="M57" s="29"/>
      <c r="N57" s="29"/>
      <c r="O57" s="4"/>
      <c r="P57" s="4"/>
      <c r="Q57" s="4"/>
      <c r="R57" s="17"/>
      <c r="S57" s="17"/>
      <c r="T57" s="17"/>
      <c r="U57" s="17"/>
      <c r="V57" s="17"/>
    </row>
    <row r="58" ht="14.25" customHeight="1">
      <c r="A58" s="13">
        <v>20601.0</v>
      </c>
      <c r="B58" s="13" t="s">
        <v>83</v>
      </c>
      <c r="C58" s="9">
        <v>4391.0</v>
      </c>
      <c r="D58" s="9">
        <v>1611.3333742916584</v>
      </c>
      <c r="E58" s="9">
        <v>29801.0</v>
      </c>
      <c r="F58" s="27">
        <f t="shared" si="1"/>
        <v>0.1473440489</v>
      </c>
      <c r="G58" s="27">
        <f t="shared" si="2"/>
        <v>0.3669627361</v>
      </c>
      <c r="H58" s="27">
        <f t="shared" si="3"/>
        <v>0.05406977532</v>
      </c>
      <c r="I58" s="26"/>
      <c r="J58" s="26"/>
      <c r="K58" s="17"/>
      <c r="L58" s="17"/>
      <c r="M58" s="29"/>
      <c r="N58" s="29"/>
      <c r="O58" s="4"/>
      <c r="P58" s="4"/>
      <c r="Q58" s="4"/>
      <c r="R58" s="17"/>
      <c r="S58" s="17"/>
      <c r="T58" s="17"/>
      <c r="U58" s="17"/>
      <c r="V58" s="17"/>
    </row>
    <row r="59" ht="14.25" customHeight="1">
      <c r="A59" s="13">
        <v>20602.0</v>
      </c>
      <c r="B59" s="13" t="s">
        <v>84</v>
      </c>
      <c r="C59" s="9">
        <v>1988.0</v>
      </c>
      <c r="D59" s="9">
        <v>746.1111290454865</v>
      </c>
      <c r="E59" s="9">
        <v>16043.0</v>
      </c>
      <c r="F59" s="27">
        <f t="shared" si="1"/>
        <v>0.1239169731</v>
      </c>
      <c r="G59" s="27">
        <f t="shared" si="2"/>
        <v>0.375307409</v>
      </c>
      <c r="H59" s="27">
        <f t="shared" si="3"/>
        <v>0.04650695812</v>
      </c>
      <c r="I59" s="26"/>
      <c r="J59" s="26"/>
      <c r="K59" s="17"/>
      <c r="L59" s="17"/>
      <c r="M59" s="29"/>
      <c r="N59" s="29"/>
      <c r="O59" s="4"/>
      <c r="P59" s="4"/>
      <c r="Q59" s="4"/>
      <c r="R59" s="17"/>
      <c r="S59" s="17"/>
      <c r="T59" s="17"/>
      <c r="U59" s="17"/>
      <c r="V59" s="17"/>
    </row>
    <row r="60" ht="14.25" customHeight="1">
      <c r="A60" s="13">
        <v>20603.0</v>
      </c>
      <c r="B60" s="13" t="s">
        <v>85</v>
      </c>
      <c r="C60" s="9">
        <v>1814.0</v>
      </c>
      <c r="D60" s="9">
        <v>682.000017285347</v>
      </c>
      <c r="E60" s="9">
        <v>9515.0</v>
      </c>
      <c r="F60" s="27">
        <f t="shared" si="1"/>
        <v>0.1906463479</v>
      </c>
      <c r="G60" s="27">
        <f t="shared" si="2"/>
        <v>0.3759647284</v>
      </c>
      <c r="H60" s="27">
        <f t="shared" si="3"/>
        <v>0.07167630239</v>
      </c>
      <c r="I60" s="26"/>
      <c r="J60" s="26"/>
      <c r="K60" s="17"/>
      <c r="L60" s="17"/>
      <c r="M60" s="29"/>
      <c r="N60" s="29"/>
      <c r="O60" s="4"/>
      <c r="P60" s="4"/>
      <c r="Q60" s="4"/>
      <c r="R60" s="17"/>
      <c r="S60" s="17"/>
      <c r="T60" s="17"/>
      <c r="U60" s="17"/>
      <c r="V60" s="17"/>
    </row>
    <row r="61" ht="14.25" customHeight="1">
      <c r="A61" s="13">
        <v>20604.0</v>
      </c>
      <c r="B61" s="13" t="s">
        <v>86</v>
      </c>
      <c r="C61" s="9">
        <v>982.0</v>
      </c>
      <c r="D61" s="9">
        <v>371.88889810442924</v>
      </c>
      <c r="E61" s="9">
        <v>4137.0</v>
      </c>
      <c r="F61" s="27">
        <f t="shared" si="1"/>
        <v>0.2373700749</v>
      </c>
      <c r="G61" s="27">
        <f t="shared" si="2"/>
        <v>0.3787055989</v>
      </c>
      <c r="H61" s="27">
        <f t="shared" si="3"/>
        <v>0.08989337638</v>
      </c>
      <c r="I61" s="26"/>
      <c r="J61" s="26"/>
      <c r="K61" s="17"/>
      <c r="L61" s="17"/>
      <c r="M61" s="29"/>
      <c r="N61" s="29"/>
      <c r="O61" s="4"/>
      <c r="P61" s="4"/>
      <c r="Q61" s="4"/>
      <c r="R61" s="17"/>
      <c r="S61" s="17"/>
      <c r="T61" s="17"/>
      <c r="U61" s="17"/>
      <c r="V61" s="17"/>
    </row>
    <row r="62" ht="14.25" customHeight="1">
      <c r="A62" s="13">
        <v>20605.0</v>
      </c>
      <c r="B62" s="13" t="s">
        <v>87</v>
      </c>
      <c r="C62" s="9">
        <v>607.0</v>
      </c>
      <c r="D62" s="9">
        <v>228.7777827680111</v>
      </c>
      <c r="E62" s="9">
        <v>3517.0</v>
      </c>
      <c r="F62" s="27">
        <f t="shared" si="1"/>
        <v>0.1725902758</v>
      </c>
      <c r="G62" s="27">
        <f t="shared" si="2"/>
        <v>0.3768991479</v>
      </c>
      <c r="H62" s="27">
        <f t="shared" si="3"/>
        <v>0.06504912788</v>
      </c>
      <c r="I62" s="26"/>
      <c r="J62" s="26"/>
      <c r="K62" s="17"/>
      <c r="L62" s="17"/>
      <c r="M62" s="29"/>
      <c r="N62" s="29"/>
      <c r="O62" s="4"/>
      <c r="P62" s="4"/>
      <c r="Q62" s="4"/>
      <c r="R62" s="17"/>
      <c r="S62" s="17"/>
      <c r="T62" s="17"/>
      <c r="U62" s="17"/>
      <c r="V62" s="17"/>
    </row>
    <row r="63" ht="14.25" customHeight="1">
      <c r="A63" s="13">
        <v>20606.0</v>
      </c>
      <c r="B63" s="13" t="s">
        <v>88</v>
      </c>
      <c r="C63" s="9">
        <v>603.0</v>
      </c>
      <c r="D63" s="9">
        <v>214.66667199134827</v>
      </c>
      <c r="E63" s="9">
        <v>7572.0</v>
      </c>
      <c r="F63" s="27">
        <f t="shared" si="1"/>
        <v>0.07963549921</v>
      </c>
      <c r="G63" s="27">
        <f t="shared" si="2"/>
        <v>0.3559977977</v>
      </c>
      <c r="H63" s="27">
        <f t="shared" si="3"/>
        <v>0.02835006233</v>
      </c>
      <c r="I63" s="26"/>
      <c r="J63" s="26"/>
      <c r="K63" s="17"/>
      <c r="L63" s="17"/>
      <c r="M63" s="29"/>
      <c r="N63" s="29"/>
      <c r="O63" s="4"/>
      <c r="P63" s="4"/>
      <c r="Q63" s="4"/>
      <c r="R63" s="17"/>
      <c r="S63" s="17"/>
      <c r="T63" s="17"/>
      <c r="U63" s="17"/>
      <c r="V63" s="17"/>
    </row>
    <row r="64" ht="14.25" customHeight="1">
      <c r="A64" s="13">
        <v>20607.0</v>
      </c>
      <c r="B64" s="13" t="s">
        <v>89</v>
      </c>
      <c r="C64" s="9">
        <v>1190.0</v>
      </c>
      <c r="D64" s="9">
        <v>442.55556654930115</v>
      </c>
      <c r="E64" s="9">
        <v>20099.0</v>
      </c>
      <c r="F64" s="27">
        <f t="shared" si="1"/>
        <v>0.05920692572</v>
      </c>
      <c r="G64" s="27">
        <f t="shared" si="2"/>
        <v>0.3718954341</v>
      </c>
      <c r="H64" s="27">
        <f t="shared" si="3"/>
        <v>0.02201878534</v>
      </c>
      <c r="I64" s="26"/>
      <c r="J64" s="26"/>
      <c r="K64" s="17"/>
      <c r="L64" s="17"/>
      <c r="M64" s="29"/>
      <c r="N64" s="29"/>
      <c r="O64" s="4"/>
      <c r="P64" s="4"/>
      <c r="Q64" s="4"/>
      <c r="R64" s="17"/>
      <c r="S64" s="17"/>
      <c r="T64" s="17"/>
      <c r="U64" s="17"/>
      <c r="V64" s="17"/>
    </row>
    <row r="65" ht="14.25" customHeight="1">
      <c r="A65" s="13">
        <v>20608.0</v>
      </c>
      <c r="B65" s="13" t="s">
        <v>90</v>
      </c>
      <c r="C65" s="9">
        <v>2849.0</v>
      </c>
      <c r="D65" s="9">
        <v>1071.2222485244274</v>
      </c>
      <c r="E65" s="9">
        <v>12947.0</v>
      </c>
      <c r="F65" s="27">
        <f t="shared" si="1"/>
        <v>0.2200509771</v>
      </c>
      <c r="G65" s="27">
        <f t="shared" si="2"/>
        <v>0.3759993852</v>
      </c>
      <c r="H65" s="27">
        <f t="shared" si="3"/>
        <v>0.08273903209</v>
      </c>
      <c r="I65" s="26"/>
      <c r="J65" s="26"/>
      <c r="K65" s="17"/>
      <c r="L65" s="17"/>
      <c r="M65" s="29"/>
      <c r="N65" s="29"/>
      <c r="O65" s="4"/>
      <c r="P65" s="4"/>
      <c r="Q65" s="4"/>
      <c r="R65" s="17"/>
      <c r="S65" s="17"/>
      <c r="T65" s="17"/>
      <c r="U65" s="17"/>
      <c r="V65" s="17"/>
    </row>
    <row r="66" ht="14.25" customHeight="1">
      <c r="A66" s="13">
        <v>20701.0</v>
      </c>
      <c r="B66" s="13" t="s">
        <v>91</v>
      </c>
      <c r="C66" s="9">
        <v>3942.0</v>
      </c>
      <c r="D66" s="9">
        <v>1585.0000407397747</v>
      </c>
      <c r="E66" s="9">
        <v>18472.0</v>
      </c>
      <c r="F66" s="27">
        <f t="shared" si="1"/>
        <v>0.213404071</v>
      </c>
      <c r="G66" s="27">
        <f t="shared" si="2"/>
        <v>0.4020801727</v>
      </c>
      <c r="H66" s="27">
        <f t="shared" si="3"/>
        <v>0.08580554573</v>
      </c>
      <c r="I66" s="26"/>
      <c r="J66" s="26"/>
      <c r="K66" s="17"/>
      <c r="L66" s="17"/>
      <c r="M66" s="29"/>
      <c r="N66" s="29"/>
      <c r="O66" s="4"/>
      <c r="P66" s="4"/>
      <c r="Q66" s="4"/>
      <c r="R66" s="17"/>
      <c r="S66" s="17"/>
      <c r="T66" s="17"/>
      <c r="U66" s="17"/>
      <c r="V66" s="17"/>
    </row>
    <row r="67" ht="14.25" customHeight="1">
      <c r="A67" s="13">
        <v>20702.0</v>
      </c>
      <c r="B67" s="13" t="s">
        <v>92</v>
      </c>
      <c r="C67" s="9">
        <v>1210.0</v>
      </c>
      <c r="D67" s="9">
        <v>443.0000110268593</v>
      </c>
      <c r="E67" s="9">
        <v>8489.0</v>
      </c>
      <c r="F67" s="27">
        <f t="shared" si="1"/>
        <v>0.1425374013</v>
      </c>
      <c r="G67" s="27">
        <f t="shared" si="2"/>
        <v>0.3661157116</v>
      </c>
      <c r="H67" s="27">
        <f t="shared" si="3"/>
        <v>0.05218518212</v>
      </c>
      <c r="I67" s="26"/>
      <c r="J67" s="26"/>
      <c r="K67" s="17"/>
      <c r="L67" s="17"/>
      <c r="M67" s="29"/>
      <c r="N67" s="29"/>
      <c r="O67" s="4"/>
      <c r="P67" s="4"/>
      <c r="Q67" s="4"/>
      <c r="R67" s="17"/>
      <c r="S67" s="17"/>
      <c r="T67" s="17"/>
      <c r="U67" s="17"/>
      <c r="V67" s="17"/>
    </row>
    <row r="68" ht="14.25" customHeight="1">
      <c r="A68" s="13">
        <v>20801.0</v>
      </c>
      <c r="B68" s="13" t="s">
        <v>93</v>
      </c>
      <c r="C68" s="9">
        <v>6649.0</v>
      </c>
      <c r="D68" s="9">
        <v>2405.8889497816563</v>
      </c>
      <c r="E68" s="9">
        <v>111001.0</v>
      </c>
      <c r="F68" s="27">
        <f t="shared" si="1"/>
        <v>0.05990036126</v>
      </c>
      <c r="G68" s="27">
        <f t="shared" si="2"/>
        <v>0.3618422244</v>
      </c>
      <c r="H68" s="27">
        <f t="shared" si="3"/>
        <v>0.02167447996</v>
      </c>
      <c r="I68" s="26"/>
      <c r="J68" s="26"/>
      <c r="K68" s="17"/>
      <c r="L68" s="17"/>
      <c r="M68" s="29"/>
      <c r="N68" s="29"/>
      <c r="O68" s="4"/>
      <c r="P68" s="4"/>
      <c r="Q68" s="4"/>
      <c r="R68" s="17"/>
      <c r="S68" s="17"/>
      <c r="T68" s="17"/>
      <c r="U68" s="17"/>
      <c r="V68" s="17"/>
    </row>
    <row r="69" ht="14.25" customHeight="1">
      <c r="A69" s="13">
        <v>20802.0</v>
      </c>
      <c r="B69" s="13" t="s">
        <v>94</v>
      </c>
      <c r="C69" s="9">
        <v>636.0</v>
      </c>
      <c r="D69" s="9">
        <v>231.1111170053482</v>
      </c>
      <c r="E69" s="9">
        <v>8160.0</v>
      </c>
      <c r="F69" s="27">
        <f t="shared" si="1"/>
        <v>0.07794117647</v>
      </c>
      <c r="G69" s="27">
        <f t="shared" si="2"/>
        <v>0.3633822594</v>
      </c>
      <c r="H69" s="27">
        <f t="shared" si="3"/>
        <v>0.02832244081</v>
      </c>
      <c r="I69" s="26"/>
      <c r="J69" s="26"/>
      <c r="K69" s="17"/>
      <c r="L69" s="17"/>
      <c r="M69" s="29"/>
      <c r="N69" s="29"/>
      <c r="O69" s="4"/>
      <c r="P69" s="4"/>
      <c r="Q69" s="4"/>
      <c r="R69" s="17"/>
      <c r="S69" s="17"/>
      <c r="T69" s="17"/>
      <c r="U69" s="17"/>
      <c r="V69" s="17"/>
    </row>
    <row r="70" ht="14.25" customHeight="1">
      <c r="A70" s="13">
        <v>20803.0</v>
      </c>
      <c r="B70" s="13" t="s">
        <v>95</v>
      </c>
      <c r="C70" s="9">
        <v>2667.0</v>
      </c>
      <c r="D70" s="9">
        <v>1035.777802735567</v>
      </c>
      <c r="E70" s="9">
        <v>13621.0</v>
      </c>
      <c r="F70" s="27">
        <f t="shared" si="1"/>
        <v>0.195800602</v>
      </c>
      <c r="G70" s="27">
        <f t="shared" si="2"/>
        <v>0.38836813</v>
      </c>
      <c r="H70" s="27">
        <f t="shared" si="3"/>
        <v>0.07604271366</v>
      </c>
      <c r="I70" s="26"/>
      <c r="J70" s="26"/>
      <c r="K70" s="17"/>
      <c r="L70" s="17"/>
      <c r="M70" s="29"/>
      <c r="N70" s="29"/>
      <c r="O70" s="4"/>
      <c r="P70" s="4"/>
      <c r="Q70" s="4"/>
      <c r="R70" s="17"/>
      <c r="S70" s="17"/>
      <c r="T70" s="17"/>
      <c r="U70" s="17"/>
      <c r="V70" s="17"/>
    </row>
    <row r="71" ht="14.25" customHeight="1">
      <c r="A71" s="13">
        <v>20804.0</v>
      </c>
      <c r="B71" s="13" t="s">
        <v>96</v>
      </c>
      <c r="C71" s="9">
        <v>294.0</v>
      </c>
      <c r="D71" s="9">
        <v>105.88889157772064</v>
      </c>
      <c r="E71" s="9">
        <v>7763.0</v>
      </c>
      <c r="F71" s="27">
        <f t="shared" si="1"/>
        <v>0.03787195672</v>
      </c>
      <c r="G71" s="27">
        <f t="shared" si="2"/>
        <v>0.3601662979</v>
      </c>
      <c r="H71" s="27">
        <f t="shared" si="3"/>
        <v>0.01364020244</v>
      </c>
      <c r="I71" s="26"/>
      <c r="J71" s="26"/>
      <c r="K71" s="17"/>
      <c r="L71" s="17"/>
      <c r="M71" s="29"/>
      <c r="N71" s="29"/>
      <c r="O71" s="4"/>
      <c r="P71" s="4"/>
      <c r="Q71" s="4"/>
      <c r="R71" s="17"/>
      <c r="S71" s="17"/>
      <c r="T71" s="17"/>
      <c r="U71" s="17"/>
      <c r="V71" s="17"/>
    </row>
    <row r="72" ht="14.25" customHeight="1">
      <c r="A72" s="13">
        <v>20805.0</v>
      </c>
      <c r="B72" s="13" t="s">
        <v>97</v>
      </c>
      <c r="C72" s="9">
        <v>1221.0</v>
      </c>
      <c r="D72" s="9">
        <v>450.00001099705696</v>
      </c>
      <c r="E72" s="9">
        <v>7874.0</v>
      </c>
      <c r="F72" s="27">
        <f t="shared" si="1"/>
        <v>0.1550673101</v>
      </c>
      <c r="G72" s="27">
        <f t="shared" si="2"/>
        <v>0.3685503776</v>
      </c>
      <c r="H72" s="27">
        <f t="shared" si="3"/>
        <v>0.0571501157</v>
      </c>
      <c r="I72" s="26"/>
      <c r="J72" s="26"/>
      <c r="K72" s="17"/>
      <c r="L72" s="17"/>
      <c r="M72" s="29"/>
      <c r="N72" s="29"/>
      <c r="O72" s="4"/>
      <c r="P72" s="4"/>
      <c r="Q72" s="4"/>
      <c r="R72" s="17"/>
      <c r="S72" s="17"/>
      <c r="T72" s="17"/>
      <c r="U72" s="17"/>
      <c r="V72" s="17"/>
    </row>
    <row r="73" ht="14.25" customHeight="1">
      <c r="A73" s="13">
        <v>20806.0</v>
      </c>
      <c r="B73" s="13" t="s">
        <v>98</v>
      </c>
      <c r="C73" s="9">
        <v>2091.0</v>
      </c>
      <c r="D73" s="9">
        <v>768.0000194609165</v>
      </c>
      <c r="E73" s="9">
        <v>16938.0</v>
      </c>
      <c r="F73" s="27">
        <f t="shared" si="1"/>
        <v>0.1234502303</v>
      </c>
      <c r="G73" s="27">
        <f t="shared" si="2"/>
        <v>0.3672883881</v>
      </c>
      <c r="H73" s="27">
        <f t="shared" si="3"/>
        <v>0.04534183608</v>
      </c>
      <c r="I73" s="26"/>
      <c r="J73" s="26"/>
      <c r="K73" s="17"/>
      <c r="L73" s="17"/>
      <c r="M73" s="29"/>
      <c r="N73" s="29"/>
      <c r="O73" s="4"/>
      <c r="P73" s="4"/>
      <c r="Q73" s="4"/>
      <c r="R73" s="17"/>
      <c r="S73" s="17"/>
      <c r="T73" s="17"/>
      <c r="U73" s="17"/>
      <c r="V73" s="17"/>
    </row>
    <row r="74" ht="14.25" customHeight="1">
      <c r="A74" s="13">
        <v>20807.0</v>
      </c>
      <c r="B74" s="13" t="s">
        <v>99</v>
      </c>
      <c r="C74" s="9">
        <v>848.0</v>
      </c>
      <c r="D74" s="9">
        <v>308.55556309223175</v>
      </c>
      <c r="E74" s="9">
        <v>7450.0</v>
      </c>
      <c r="F74" s="27">
        <f t="shared" si="1"/>
        <v>0.1138255034</v>
      </c>
      <c r="G74" s="27">
        <f t="shared" si="2"/>
        <v>0.3638626923</v>
      </c>
      <c r="H74" s="27">
        <f t="shared" si="3"/>
        <v>0.04141685411</v>
      </c>
      <c r="I74" s="26"/>
      <c r="J74" s="26"/>
      <c r="K74" s="17"/>
      <c r="L74" s="17"/>
      <c r="M74" s="29"/>
      <c r="N74" s="29"/>
      <c r="O74" s="4"/>
      <c r="P74" s="4"/>
      <c r="Q74" s="4"/>
      <c r="R74" s="17"/>
      <c r="S74" s="17"/>
      <c r="T74" s="17"/>
      <c r="U74" s="17"/>
      <c r="V74" s="17"/>
    </row>
    <row r="75" ht="14.25" customHeight="1">
      <c r="A75" s="13">
        <v>20901.0</v>
      </c>
      <c r="B75" s="13" t="s">
        <v>100</v>
      </c>
      <c r="C75" s="9">
        <v>1199.0</v>
      </c>
      <c r="D75" s="9">
        <v>438.8888999223709</v>
      </c>
      <c r="E75" s="9">
        <v>10652.0</v>
      </c>
      <c r="F75" s="27">
        <f t="shared" si="1"/>
        <v>0.1125610214</v>
      </c>
      <c r="G75" s="27">
        <f t="shared" si="2"/>
        <v>0.3660457881</v>
      </c>
      <c r="H75" s="27">
        <f t="shared" si="3"/>
        <v>0.04120248779</v>
      </c>
      <c r="I75" s="26"/>
      <c r="J75" s="26"/>
      <c r="K75" s="17"/>
      <c r="L75" s="17"/>
      <c r="M75" s="29"/>
      <c r="N75" s="29"/>
      <c r="O75" s="4"/>
      <c r="P75" s="4"/>
      <c r="Q75" s="4"/>
      <c r="R75" s="17"/>
      <c r="S75" s="17"/>
      <c r="T75" s="17"/>
      <c r="U75" s="17"/>
      <c r="V75" s="17"/>
    </row>
    <row r="76" ht="14.25" customHeight="1">
      <c r="A76" s="13">
        <v>20902.0</v>
      </c>
      <c r="B76" s="13" t="s">
        <v>101</v>
      </c>
      <c r="C76" s="9">
        <v>2336.0</v>
      </c>
      <c r="D76" s="9">
        <v>862.0000218451023</v>
      </c>
      <c r="E76" s="9">
        <v>16475.0</v>
      </c>
      <c r="F76" s="27">
        <f t="shared" si="1"/>
        <v>0.1417905918</v>
      </c>
      <c r="G76" s="27">
        <f t="shared" si="2"/>
        <v>0.3690068587</v>
      </c>
      <c r="H76" s="27">
        <f t="shared" si="3"/>
        <v>0.05232170087</v>
      </c>
      <c r="I76" s="26"/>
      <c r="J76" s="26"/>
      <c r="K76" s="17"/>
      <c r="L76" s="17"/>
      <c r="M76" s="29"/>
      <c r="N76" s="29"/>
      <c r="O76" s="4"/>
      <c r="P76" s="4"/>
      <c r="Q76" s="4"/>
      <c r="R76" s="17"/>
      <c r="S76" s="17"/>
      <c r="T76" s="17"/>
      <c r="U76" s="17"/>
      <c r="V76" s="17"/>
    </row>
    <row r="77" ht="14.25" customHeight="1">
      <c r="A77" s="13">
        <v>20903.0</v>
      </c>
      <c r="B77" s="13" t="s">
        <v>102</v>
      </c>
      <c r="C77" s="9">
        <v>2967.0</v>
      </c>
      <c r="D77" s="9">
        <v>1130.000027924776</v>
      </c>
      <c r="E77" s="9">
        <v>12218.0</v>
      </c>
      <c r="F77" s="27">
        <f t="shared" si="1"/>
        <v>0.2428384351</v>
      </c>
      <c r="G77" s="27">
        <f t="shared" si="2"/>
        <v>0.380856093</v>
      </c>
      <c r="H77" s="27">
        <f t="shared" si="3"/>
        <v>0.09248649762</v>
      </c>
      <c r="I77" s="26"/>
      <c r="J77" s="26"/>
      <c r="K77" s="17"/>
      <c r="L77" s="17"/>
      <c r="M77" s="29"/>
      <c r="N77" s="29"/>
      <c r="O77" s="4"/>
      <c r="P77" s="4"/>
      <c r="Q77" s="4"/>
      <c r="R77" s="17"/>
      <c r="S77" s="17"/>
      <c r="T77" s="17"/>
      <c r="U77" s="17"/>
      <c r="V77" s="17"/>
    </row>
    <row r="78" ht="14.25" customHeight="1">
      <c r="A78" s="13">
        <v>20904.0</v>
      </c>
      <c r="B78" s="13" t="s">
        <v>103</v>
      </c>
      <c r="C78" s="9">
        <v>1169.0</v>
      </c>
      <c r="D78" s="9">
        <v>442.8889002799988</v>
      </c>
      <c r="E78" s="9">
        <v>5234.0</v>
      </c>
      <c r="F78" s="27">
        <f t="shared" si="1"/>
        <v>0.2233473443</v>
      </c>
      <c r="G78" s="27">
        <f t="shared" si="2"/>
        <v>0.3788613347</v>
      </c>
      <c r="H78" s="27">
        <f t="shared" si="3"/>
        <v>0.08461767296</v>
      </c>
      <c r="I78" s="26"/>
      <c r="J78" s="26"/>
      <c r="K78" s="17"/>
      <c r="L78" s="17"/>
      <c r="M78" s="29"/>
      <c r="N78" s="29"/>
      <c r="O78" s="4"/>
      <c r="P78" s="4"/>
      <c r="Q78" s="4"/>
      <c r="R78" s="17"/>
      <c r="S78" s="17"/>
      <c r="T78" s="17"/>
      <c r="U78" s="17"/>
      <c r="V78" s="17"/>
    </row>
    <row r="79" ht="14.25" customHeight="1">
      <c r="A79" s="13">
        <v>20905.0</v>
      </c>
      <c r="B79" s="13" t="s">
        <v>104</v>
      </c>
      <c r="C79" s="9">
        <v>2241.0</v>
      </c>
      <c r="D79" s="9">
        <v>833.0000202953815</v>
      </c>
      <c r="E79" s="9">
        <v>13565.0</v>
      </c>
      <c r="F79" s="27">
        <f t="shared" si="1"/>
        <v>0.1652045706</v>
      </c>
      <c r="G79" s="27">
        <f t="shared" si="2"/>
        <v>0.3717090675</v>
      </c>
      <c r="H79" s="27">
        <f t="shared" si="3"/>
        <v>0.06140803688</v>
      </c>
      <c r="I79" s="26"/>
      <c r="J79" s="26"/>
      <c r="K79" s="17"/>
      <c r="L79" s="17"/>
      <c r="M79" s="29"/>
      <c r="N79" s="29"/>
      <c r="O79" s="4"/>
      <c r="P79" s="4"/>
      <c r="Q79" s="4"/>
      <c r="R79" s="17"/>
      <c r="S79" s="17"/>
      <c r="T79" s="17"/>
      <c r="U79" s="17"/>
      <c r="V79" s="17"/>
    </row>
    <row r="80" ht="14.25" customHeight="1">
      <c r="A80" s="13">
        <v>21001.0</v>
      </c>
      <c r="B80" s="13" t="s">
        <v>105</v>
      </c>
      <c r="C80" s="9">
        <v>5023.0</v>
      </c>
      <c r="D80" s="9">
        <v>1892.222267895937</v>
      </c>
      <c r="E80" s="9">
        <v>18648.0</v>
      </c>
      <c r="F80" s="27">
        <f t="shared" si="1"/>
        <v>0.2693586444</v>
      </c>
      <c r="G80" s="27">
        <f t="shared" si="2"/>
        <v>0.3767115803</v>
      </c>
      <c r="H80" s="27">
        <f t="shared" si="3"/>
        <v>0.1014705206</v>
      </c>
      <c r="I80" s="26"/>
      <c r="J80" s="26"/>
      <c r="K80" s="17"/>
      <c r="L80" s="17"/>
      <c r="M80" s="29"/>
      <c r="N80" s="29"/>
      <c r="O80" s="4"/>
      <c r="P80" s="4"/>
      <c r="Q80" s="4"/>
      <c r="R80" s="17"/>
      <c r="S80" s="17"/>
      <c r="T80" s="17"/>
      <c r="U80" s="17"/>
      <c r="V80" s="17"/>
    </row>
    <row r="81" ht="14.25" customHeight="1">
      <c r="A81" s="13">
        <v>21002.0</v>
      </c>
      <c r="B81" s="13" t="s">
        <v>106</v>
      </c>
      <c r="C81" s="9">
        <v>1434.0</v>
      </c>
      <c r="D81" s="9">
        <v>540.0000128149986</v>
      </c>
      <c r="E81" s="9">
        <v>10118.0</v>
      </c>
      <c r="F81" s="27">
        <f t="shared" si="1"/>
        <v>0.1417276142</v>
      </c>
      <c r="G81" s="27">
        <f t="shared" si="2"/>
        <v>0.3765690466</v>
      </c>
      <c r="H81" s="27">
        <f t="shared" si="3"/>
        <v>0.05337023254</v>
      </c>
      <c r="I81" s="26"/>
      <c r="J81" s="26"/>
      <c r="K81" s="17"/>
      <c r="L81" s="17"/>
      <c r="M81" s="29"/>
      <c r="N81" s="29"/>
      <c r="O81" s="4"/>
      <c r="P81" s="4"/>
      <c r="Q81" s="4"/>
      <c r="R81" s="17"/>
      <c r="S81" s="17"/>
      <c r="T81" s="17"/>
      <c r="U81" s="17"/>
      <c r="V81" s="17"/>
    </row>
    <row r="82" ht="14.25" customHeight="1">
      <c r="A82" s="13">
        <v>21003.0</v>
      </c>
      <c r="B82" s="13" t="s">
        <v>107</v>
      </c>
      <c r="C82" s="9">
        <v>1503.0</v>
      </c>
      <c r="D82" s="9">
        <v>557.6666802167892</v>
      </c>
      <c r="E82" s="9">
        <v>15424.0</v>
      </c>
      <c r="F82" s="27">
        <f t="shared" si="1"/>
        <v>0.09744553942</v>
      </c>
      <c r="G82" s="27">
        <f t="shared" si="2"/>
        <v>0.3710357154</v>
      </c>
      <c r="H82" s="27">
        <f t="shared" si="3"/>
        <v>0.03615577543</v>
      </c>
      <c r="I82" s="26"/>
      <c r="J82" s="26"/>
      <c r="K82" s="17"/>
      <c r="L82" s="17"/>
      <c r="M82" s="29"/>
      <c r="N82" s="29"/>
      <c r="O82" s="4"/>
      <c r="P82" s="4"/>
      <c r="Q82" s="4"/>
      <c r="R82" s="17"/>
      <c r="S82" s="17"/>
      <c r="T82" s="17"/>
      <c r="U82" s="17"/>
      <c r="V82" s="17"/>
    </row>
    <row r="83" ht="14.25" customHeight="1">
      <c r="A83" s="13">
        <v>21004.0</v>
      </c>
      <c r="B83" s="13" t="s">
        <v>108</v>
      </c>
      <c r="C83" s="9">
        <v>3805.0</v>
      </c>
      <c r="D83" s="9">
        <v>1403.4444798529148</v>
      </c>
      <c r="E83" s="9">
        <v>23062.0</v>
      </c>
      <c r="F83" s="27">
        <f t="shared" si="1"/>
        <v>0.1649900269</v>
      </c>
      <c r="G83" s="27">
        <f t="shared" si="2"/>
        <v>0.368842176</v>
      </c>
      <c r="H83" s="27">
        <f t="shared" si="3"/>
        <v>0.06085528054</v>
      </c>
      <c r="I83" s="26"/>
      <c r="J83" s="26"/>
      <c r="K83" s="17"/>
      <c r="L83" s="17"/>
      <c r="M83" s="29"/>
      <c r="N83" s="29"/>
      <c r="O83" s="4"/>
      <c r="P83" s="4"/>
      <c r="Q83" s="4"/>
      <c r="R83" s="17"/>
      <c r="S83" s="17"/>
      <c r="T83" s="17"/>
      <c r="U83" s="17"/>
      <c r="V83" s="17"/>
    </row>
    <row r="84" ht="14.25" customHeight="1">
      <c r="A84" s="13">
        <v>21005.0</v>
      </c>
      <c r="B84" s="13" t="s">
        <v>109</v>
      </c>
      <c r="C84" s="9">
        <v>3624.0</v>
      </c>
      <c r="D84" s="9">
        <v>1371.0000329315662</v>
      </c>
      <c r="E84" s="9">
        <v>9524.0</v>
      </c>
      <c r="F84" s="27">
        <f t="shared" si="1"/>
        <v>0.3805123898</v>
      </c>
      <c r="G84" s="27">
        <f t="shared" si="2"/>
        <v>0.3783112674</v>
      </c>
      <c r="H84" s="27">
        <f t="shared" si="3"/>
        <v>0.1439521244</v>
      </c>
      <c r="I84" s="26"/>
      <c r="J84" s="26"/>
      <c r="K84" s="17"/>
      <c r="L84" s="17"/>
      <c r="M84" s="29"/>
      <c r="N84" s="29"/>
      <c r="O84" s="4"/>
      <c r="P84" s="4"/>
      <c r="Q84" s="4"/>
      <c r="R84" s="17"/>
      <c r="S84" s="17"/>
      <c r="T84" s="17"/>
      <c r="U84" s="17"/>
      <c r="V84" s="17"/>
    </row>
    <row r="85" ht="14.25" customHeight="1">
      <c r="A85" s="13">
        <v>21006.0</v>
      </c>
      <c r="B85" s="13" t="s">
        <v>110</v>
      </c>
      <c r="C85" s="9">
        <v>1169.0</v>
      </c>
      <c r="D85" s="9">
        <v>446.0000097155571</v>
      </c>
      <c r="E85" s="9">
        <v>7835.0</v>
      </c>
      <c r="F85" s="27">
        <f t="shared" si="1"/>
        <v>0.1492022974</v>
      </c>
      <c r="G85" s="27">
        <f t="shared" si="2"/>
        <v>0.3815226773</v>
      </c>
      <c r="H85" s="27">
        <f t="shared" si="3"/>
        <v>0.05692405995</v>
      </c>
      <c r="I85" s="26"/>
      <c r="J85" s="26"/>
      <c r="K85" s="17"/>
      <c r="L85" s="17"/>
      <c r="M85" s="29"/>
      <c r="N85" s="29"/>
      <c r="O85" s="4"/>
      <c r="P85" s="4"/>
      <c r="Q85" s="4"/>
      <c r="R85" s="17"/>
      <c r="S85" s="17"/>
      <c r="T85" s="17"/>
      <c r="U85" s="17"/>
      <c r="V85" s="17"/>
    </row>
    <row r="86" ht="14.25" customHeight="1">
      <c r="A86" s="13">
        <v>21101.0</v>
      </c>
      <c r="B86" s="13" t="s">
        <v>111</v>
      </c>
      <c r="C86" s="9">
        <v>973.0</v>
      </c>
      <c r="D86" s="9">
        <v>353.22223180532455</v>
      </c>
      <c r="E86" s="9">
        <v>18121.0</v>
      </c>
      <c r="F86" s="27">
        <f t="shared" si="1"/>
        <v>0.05369460847</v>
      </c>
      <c r="G86" s="27">
        <f t="shared" si="2"/>
        <v>0.3630238765</v>
      </c>
      <c r="H86" s="27">
        <f t="shared" si="3"/>
        <v>0.01949242491</v>
      </c>
      <c r="I86" s="26"/>
      <c r="J86" s="26"/>
      <c r="K86" s="17"/>
      <c r="L86" s="17"/>
      <c r="M86" s="29"/>
      <c r="N86" s="29"/>
      <c r="O86" s="4"/>
      <c r="P86" s="4"/>
      <c r="Q86" s="4"/>
      <c r="R86" s="17"/>
      <c r="S86" s="17"/>
      <c r="T86" s="17"/>
      <c r="U86" s="17"/>
      <c r="V86" s="17"/>
    </row>
    <row r="87" ht="14.25" customHeight="1">
      <c r="A87" s="13">
        <v>21102.0</v>
      </c>
      <c r="B87" s="13" t="s">
        <v>112</v>
      </c>
      <c r="C87" s="9">
        <v>2678.0</v>
      </c>
      <c r="D87" s="9">
        <v>978.1111349761486</v>
      </c>
      <c r="E87" s="9">
        <v>22051.0</v>
      </c>
      <c r="F87" s="27">
        <f t="shared" si="1"/>
        <v>0.1214457394</v>
      </c>
      <c r="G87" s="27">
        <f t="shared" si="2"/>
        <v>0.3652394081</v>
      </c>
      <c r="H87" s="27">
        <f t="shared" si="3"/>
        <v>0.04435676999</v>
      </c>
      <c r="I87" s="26"/>
      <c r="J87" s="26"/>
      <c r="K87" s="17"/>
      <c r="L87" s="17"/>
      <c r="M87" s="29"/>
      <c r="N87" s="29"/>
      <c r="O87" s="4"/>
      <c r="P87" s="4"/>
      <c r="Q87" s="4"/>
      <c r="R87" s="17"/>
      <c r="S87" s="17"/>
      <c r="T87" s="17"/>
      <c r="U87" s="17"/>
      <c r="V87" s="17"/>
    </row>
    <row r="88" ht="14.25" customHeight="1">
      <c r="A88" s="13">
        <v>21103.0</v>
      </c>
      <c r="B88" s="13" t="s">
        <v>113</v>
      </c>
      <c r="C88" s="9">
        <v>422.0</v>
      </c>
      <c r="D88" s="9">
        <v>150.11111515760422</v>
      </c>
      <c r="E88" s="9">
        <v>7412.0</v>
      </c>
      <c r="F88" s="27">
        <f t="shared" si="1"/>
        <v>0.05693470049</v>
      </c>
      <c r="G88" s="27">
        <f t="shared" si="2"/>
        <v>0.355713543</v>
      </c>
      <c r="H88" s="27">
        <f t="shared" si="3"/>
        <v>0.02025244403</v>
      </c>
      <c r="I88" s="26"/>
      <c r="J88" s="26"/>
      <c r="K88" s="17"/>
      <c r="L88" s="17"/>
      <c r="M88" s="29"/>
      <c r="N88" s="29"/>
      <c r="O88" s="4"/>
      <c r="P88" s="4"/>
      <c r="Q88" s="4"/>
      <c r="R88" s="17"/>
      <c r="S88" s="17"/>
      <c r="T88" s="17"/>
      <c r="U88" s="17"/>
      <c r="V88" s="17"/>
    </row>
    <row r="89" ht="14.25" customHeight="1">
      <c r="A89" s="13">
        <v>21104.0</v>
      </c>
      <c r="B89" s="13" t="s">
        <v>114</v>
      </c>
      <c r="C89" s="9">
        <v>5776.0</v>
      </c>
      <c r="D89" s="9">
        <v>2179.8889429867268</v>
      </c>
      <c r="E89" s="9">
        <v>27002.0</v>
      </c>
      <c r="F89" s="27">
        <f t="shared" si="1"/>
        <v>0.2139100807</v>
      </c>
      <c r="G89" s="27">
        <f t="shared" si="2"/>
        <v>0.3774045954</v>
      </c>
      <c r="H89" s="27">
        <f t="shared" si="3"/>
        <v>0.08073064747</v>
      </c>
      <c r="I89" s="26"/>
      <c r="J89" s="26"/>
      <c r="K89" s="17"/>
      <c r="L89" s="17"/>
      <c r="M89" s="29"/>
      <c r="N89" s="29"/>
      <c r="O89" s="4"/>
      <c r="P89" s="4"/>
      <c r="Q89" s="4"/>
      <c r="R89" s="17"/>
      <c r="S89" s="17"/>
      <c r="T89" s="17"/>
      <c r="U89" s="17"/>
      <c r="V89" s="17"/>
    </row>
    <row r="90" ht="14.25" customHeight="1">
      <c r="A90" s="13">
        <v>21105.0</v>
      </c>
      <c r="B90" s="13" t="s">
        <v>115</v>
      </c>
      <c r="C90" s="9">
        <v>8992.0</v>
      </c>
      <c r="D90" s="9">
        <v>3396.3334143161774</v>
      </c>
      <c r="E90" s="9">
        <v>45262.0</v>
      </c>
      <c r="F90" s="27">
        <f t="shared" si="1"/>
        <v>0.1986655473</v>
      </c>
      <c r="G90" s="27">
        <f t="shared" si="2"/>
        <v>0.3777061181</v>
      </c>
      <c r="H90" s="27">
        <f t="shared" si="3"/>
        <v>0.07503719266</v>
      </c>
      <c r="I90" s="26"/>
      <c r="J90" s="26"/>
      <c r="K90" s="17"/>
      <c r="L90" s="17"/>
      <c r="M90" s="29"/>
      <c r="N90" s="29"/>
      <c r="O90" s="4"/>
      <c r="P90" s="4"/>
      <c r="Q90" s="4"/>
      <c r="R90" s="17"/>
      <c r="S90" s="17"/>
      <c r="T90" s="17"/>
      <c r="U90" s="17"/>
      <c r="V90" s="17"/>
    </row>
    <row r="91" ht="14.25" customHeight="1">
      <c r="A91" s="13">
        <v>21201.0</v>
      </c>
      <c r="B91" s="13" t="s">
        <v>116</v>
      </c>
      <c r="C91" s="9">
        <v>7633.0</v>
      </c>
      <c r="D91" s="9">
        <v>2816.555624783039</v>
      </c>
      <c r="E91" s="9">
        <v>49615.0</v>
      </c>
      <c r="F91" s="27">
        <f t="shared" si="1"/>
        <v>0.1538446034</v>
      </c>
      <c r="G91" s="27">
        <f t="shared" si="2"/>
        <v>0.3689971996</v>
      </c>
      <c r="H91" s="27">
        <f t="shared" si="3"/>
        <v>0.05676822785</v>
      </c>
      <c r="I91" s="26"/>
      <c r="J91" s="26"/>
      <c r="K91" s="17"/>
      <c r="L91" s="17"/>
      <c r="M91" s="29"/>
      <c r="N91" s="29"/>
      <c r="O91" s="4"/>
      <c r="P91" s="4"/>
      <c r="Q91" s="4"/>
      <c r="R91" s="17"/>
      <c r="S91" s="17"/>
      <c r="T91" s="17"/>
      <c r="U91" s="17"/>
      <c r="V91" s="17"/>
    </row>
    <row r="92" ht="14.25" customHeight="1">
      <c r="A92" s="13">
        <v>21202.0</v>
      </c>
      <c r="B92" s="13" t="s">
        <v>117</v>
      </c>
      <c r="C92" s="9">
        <v>4992.0</v>
      </c>
      <c r="D92" s="9">
        <v>1829.5556018948555</v>
      </c>
      <c r="E92" s="9">
        <v>38520.0</v>
      </c>
      <c r="F92" s="27">
        <f t="shared" si="1"/>
        <v>0.1295950156</v>
      </c>
      <c r="G92" s="27">
        <f t="shared" si="2"/>
        <v>0.3664975164</v>
      </c>
      <c r="H92" s="27">
        <f t="shared" si="3"/>
        <v>0.04749625135</v>
      </c>
      <c r="I92" s="26"/>
      <c r="J92" s="26"/>
      <c r="K92" s="17"/>
      <c r="L92" s="17"/>
      <c r="M92" s="29"/>
      <c r="N92" s="29"/>
      <c r="O92" s="4"/>
      <c r="P92" s="4"/>
      <c r="Q92" s="4"/>
      <c r="R92" s="17"/>
      <c r="S92" s="17"/>
      <c r="T92" s="17"/>
      <c r="U92" s="17"/>
      <c r="V92" s="17"/>
    </row>
    <row r="93" ht="14.25" customHeight="1">
      <c r="A93" s="13">
        <v>21203.0</v>
      </c>
      <c r="B93" s="13" t="s">
        <v>118</v>
      </c>
      <c r="C93" s="9">
        <v>2660.0</v>
      </c>
      <c r="D93" s="9">
        <v>976.6666903495789</v>
      </c>
      <c r="E93" s="9">
        <v>20533.0</v>
      </c>
      <c r="F93" s="27">
        <f t="shared" si="1"/>
        <v>0.1295475576</v>
      </c>
      <c r="G93" s="27">
        <f t="shared" si="2"/>
        <v>0.3671679287</v>
      </c>
      <c r="H93" s="27">
        <f t="shared" si="3"/>
        <v>0.04756570839</v>
      </c>
      <c r="I93" s="26"/>
      <c r="J93" s="26"/>
      <c r="K93" s="17"/>
      <c r="L93" s="17"/>
      <c r="M93" s="29"/>
      <c r="N93" s="29"/>
      <c r="O93" s="4"/>
      <c r="P93" s="4"/>
      <c r="Q93" s="4"/>
      <c r="R93" s="17"/>
      <c r="S93" s="17"/>
      <c r="T93" s="17"/>
      <c r="U93" s="17"/>
      <c r="V93" s="17"/>
    </row>
    <row r="94" ht="14.25" customHeight="1">
      <c r="A94" s="13">
        <v>21204.0</v>
      </c>
      <c r="B94" s="13" t="s">
        <v>119</v>
      </c>
      <c r="C94" s="9">
        <v>1155.0</v>
      </c>
      <c r="D94" s="9">
        <v>421.44445487856865</v>
      </c>
      <c r="E94" s="9">
        <v>7821.0</v>
      </c>
      <c r="F94" s="27">
        <f t="shared" si="1"/>
        <v>0.1476793249</v>
      </c>
      <c r="G94" s="27">
        <f t="shared" si="2"/>
        <v>0.3648869739</v>
      </c>
      <c r="H94" s="27">
        <f t="shared" si="3"/>
        <v>0.05388626197</v>
      </c>
      <c r="I94" s="26"/>
      <c r="J94" s="26"/>
      <c r="K94" s="17"/>
      <c r="L94" s="17"/>
      <c r="M94" s="29"/>
      <c r="N94" s="29"/>
      <c r="O94" s="4"/>
      <c r="P94" s="4"/>
      <c r="Q94" s="4"/>
      <c r="R94" s="17"/>
      <c r="S94" s="17"/>
      <c r="T94" s="17"/>
      <c r="U94" s="17"/>
      <c r="V94" s="17"/>
    </row>
    <row r="95" ht="14.25" customHeight="1">
      <c r="A95" s="13">
        <v>21301.0</v>
      </c>
      <c r="B95" s="13" t="s">
        <v>120</v>
      </c>
      <c r="C95" s="9">
        <v>6022.0</v>
      </c>
      <c r="D95" s="9">
        <v>2281.2222777307034</v>
      </c>
      <c r="E95" s="9">
        <v>33784.0</v>
      </c>
      <c r="F95" s="27">
        <f t="shared" si="1"/>
        <v>0.1782500592</v>
      </c>
      <c r="G95" s="27">
        <f t="shared" si="2"/>
        <v>0.3788147256</v>
      </c>
      <c r="H95" s="27">
        <f t="shared" si="3"/>
        <v>0.06752374727</v>
      </c>
      <c r="I95" s="26"/>
      <c r="J95" s="26"/>
      <c r="K95" s="17"/>
      <c r="L95" s="17"/>
      <c r="M95" s="29"/>
      <c r="N95" s="29"/>
      <c r="O95" s="4"/>
      <c r="P95" s="4"/>
      <c r="Q95" s="4"/>
      <c r="R95" s="17"/>
      <c r="S95" s="17"/>
      <c r="T95" s="17"/>
      <c r="U95" s="17"/>
      <c r="V95" s="17"/>
    </row>
    <row r="96" ht="14.25" customHeight="1">
      <c r="A96" s="13">
        <v>21302.0</v>
      </c>
      <c r="B96" s="13" t="s">
        <v>121</v>
      </c>
      <c r="C96" s="9">
        <v>1411.0</v>
      </c>
      <c r="D96" s="9">
        <v>516.6666786670685</v>
      </c>
      <c r="E96" s="9">
        <v>9076.0</v>
      </c>
      <c r="F96" s="27">
        <f t="shared" si="1"/>
        <v>0.1554649625</v>
      </c>
      <c r="G96" s="27">
        <f t="shared" si="2"/>
        <v>0.3661705731</v>
      </c>
      <c r="H96" s="27">
        <f t="shared" si="3"/>
        <v>0.05692669443</v>
      </c>
      <c r="I96" s="26"/>
      <c r="J96" s="26"/>
      <c r="K96" s="17"/>
      <c r="L96" s="17"/>
      <c r="M96" s="29"/>
      <c r="N96" s="29"/>
      <c r="O96" s="4"/>
      <c r="P96" s="4"/>
      <c r="Q96" s="4"/>
      <c r="R96" s="17"/>
      <c r="S96" s="17"/>
      <c r="T96" s="17"/>
      <c r="U96" s="17"/>
      <c r="V96" s="17"/>
    </row>
    <row r="97" ht="14.25" customHeight="1">
      <c r="A97" s="13">
        <v>21303.0</v>
      </c>
      <c r="B97" s="13" t="s">
        <v>122</v>
      </c>
      <c r="C97" s="9">
        <v>2802.0</v>
      </c>
      <c r="D97" s="9">
        <v>1032.5555811524391</v>
      </c>
      <c r="E97" s="9">
        <v>11242.0</v>
      </c>
      <c r="F97" s="27">
        <f t="shared" si="1"/>
        <v>0.2492439068</v>
      </c>
      <c r="G97" s="27">
        <f t="shared" si="2"/>
        <v>0.3685066314</v>
      </c>
      <c r="H97" s="27">
        <f t="shared" si="3"/>
        <v>0.09184803248</v>
      </c>
      <c r="I97" s="26"/>
      <c r="J97" s="26"/>
      <c r="K97" s="17"/>
      <c r="L97" s="17"/>
      <c r="M97" s="29"/>
      <c r="N97" s="29"/>
      <c r="O97" s="4"/>
      <c r="P97" s="4"/>
      <c r="Q97" s="4"/>
      <c r="R97" s="17"/>
      <c r="S97" s="17"/>
      <c r="T97" s="17"/>
      <c r="U97" s="17"/>
      <c r="V97" s="17"/>
    </row>
    <row r="98" ht="14.25" customHeight="1">
      <c r="A98" s="13">
        <v>21304.0</v>
      </c>
      <c r="B98" s="13" t="s">
        <v>123</v>
      </c>
      <c r="C98" s="9">
        <v>1827.0</v>
      </c>
      <c r="D98" s="9">
        <v>669.5555730760098</v>
      </c>
      <c r="E98" s="9">
        <v>15249.0</v>
      </c>
      <c r="F98" s="27">
        <f t="shared" si="1"/>
        <v>0.1198111352</v>
      </c>
      <c r="G98" s="27">
        <f t="shared" si="2"/>
        <v>0.3664781462</v>
      </c>
      <c r="H98" s="27">
        <f t="shared" si="3"/>
        <v>0.0439081627</v>
      </c>
      <c r="I98" s="26"/>
      <c r="J98" s="26"/>
      <c r="K98" s="17"/>
      <c r="L98" s="17"/>
      <c r="M98" s="29"/>
      <c r="N98" s="29"/>
      <c r="O98" s="4"/>
      <c r="P98" s="4"/>
      <c r="Q98" s="4"/>
      <c r="R98" s="17"/>
      <c r="S98" s="17"/>
      <c r="T98" s="17"/>
      <c r="U98" s="17"/>
      <c r="V98" s="17"/>
    </row>
    <row r="99" ht="14.25" customHeight="1">
      <c r="A99" s="13">
        <v>21305.0</v>
      </c>
      <c r="B99" s="13" t="s">
        <v>124</v>
      </c>
      <c r="C99" s="9">
        <v>2581.0</v>
      </c>
      <c r="D99" s="9">
        <v>938.2222458422184</v>
      </c>
      <c r="E99" s="9">
        <v>24462.0</v>
      </c>
      <c r="F99" s="27">
        <f t="shared" si="1"/>
        <v>0.1055105879</v>
      </c>
      <c r="G99" s="27">
        <f t="shared" si="2"/>
        <v>0.3635111375</v>
      </c>
      <c r="H99" s="27">
        <f t="shared" si="3"/>
        <v>0.03835427381</v>
      </c>
      <c r="I99" s="26"/>
      <c r="J99" s="26"/>
      <c r="K99" s="17"/>
      <c r="L99" s="17"/>
      <c r="M99" s="29"/>
      <c r="N99" s="29"/>
      <c r="O99" s="4"/>
      <c r="P99" s="4"/>
      <c r="Q99" s="4"/>
      <c r="R99" s="17"/>
      <c r="S99" s="17"/>
      <c r="T99" s="17"/>
      <c r="U99" s="17"/>
      <c r="V99" s="17"/>
    </row>
    <row r="100" ht="14.25" customHeight="1">
      <c r="A100" s="13">
        <v>21306.0</v>
      </c>
      <c r="B100" s="13" t="s">
        <v>125</v>
      </c>
      <c r="C100" s="9">
        <v>1603.0</v>
      </c>
      <c r="D100" s="9">
        <v>590.1111252903938</v>
      </c>
      <c r="E100" s="9">
        <v>12468.0</v>
      </c>
      <c r="F100" s="27">
        <f t="shared" si="1"/>
        <v>0.128569137</v>
      </c>
      <c r="G100" s="27">
        <f t="shared" si="2"/>
        <v>0.368129211</v>
      </c>
      <c r="H100" s="27">
        <f t="shared" si="3"/>
        <v>0.04733005496</v>
      </c>
      <c r="I100" s="26"/>
      <c r="J100" s="26"/>
      <c r="K100" s="17"/>
      <c r="L100" s="17"/>
      <c r="M100" s="29"/>
      <c r="N100" s="29"/>
      <c r="O100" s="4"/>
      <c r="P100" s="4"/>
      <c r="Q100" s="4"/>
      <c r="R100" s="17"/>
      <c r="S100" s="17"/>
      <c r="T100" s="17"/>
      <c r="U100" s="17"/>
      <c r="V100" s="17"/>
    </row>
    <row r="101" ht="14.25" customHeight="1">
      <c r="A101" s="13">
        <v>21307.0</v>
      </c>
      <c r="B101" s="13" t="s">
        <v>126</v>
      </c>
      <c r="C101" s="9">
        <v>573.0</v>
      </c>
      <c r="D101" s="9">
        <v>216.6666721701622</v>
      </c>
      <c r="E101" s="9">
        <v>5507.0</v>
      </c>
      <c r="F101" s="27">
        <f t="shared" si="1"/>
        <v>0.1040493917</v>
      </c>
      <c r="G101" s="27">
        <f t="shared" si="2"/>
        <v>0.3781268275</v>
      </c>
      <c r="H101" s="27">
        <f t="shared" si="3"/>
        <v>0.03934386638</v>
      </c>
      <c r="I101" s="26"/>
      <c r="J101" s="26"/>
      <c r="K101" s="17"/>
      <c r="L101" s="17"/>
      <c r="M101" s="29"/>
      <c r="N101" s="29"/>
      <c r="O101" s="4"/>
      <c r="P101" s="4"/>
      <c r="Q101" s="4"/>
      <c r="R101" s="17"/>
      <c r="S101" s="17"/>
      <c r="T101" s="17"/>
      <c r="U101" s="17"/>
      <c r="V101" s="17"/>
    </row>
    <row r="102" ht="14.25" customHeight="1">
      <c r="A102" s="13">
        <v>21401.0</v>
      </c>
      <c r="B102" s="13" t="s">
        <v>127</v>
      </c>
      <c r="C102" s="9">
        <v>2962.0</v>
      </c>
      <c r="D102" s="9">
        <v>1070.7778042554855</v>
      </c>
      <c r="E102" s="9">
        <v>26606.0</v>
      </c>
      <c r="F102" s="27">
        <f t="shared" si="1"/>
        <v>0.1113282718</v>
      </c>
      <c r="G102" s="27">
        <f t="shared" si="2"/>
        <v>0.3615049981</v>
      </c>
      <c r="H102" s="27">
        <f t="shared" si="3"/>
        <v>0.04024572669</v>
      </c>
      <c r="I102" s="26"/>
      <c r="J102" s="26"/>
      <c r="K102" s="17"/>
      <c r="L102" s="17"/>
      <c r="M102" s="29"/>
      <c r="N102" s="29"/>
      <c r="O102" s="4"/>
      <c r="P102" s="4"/>
      <c r="Q102" s="4"/>
      <c r="R102" s="17"/>
      <c r="S102" s="17"/>
      <c r="T102" s="17"/>
      <c r="U102" s="17"/>
      <c r="V102" s="17"/>
    </row>
    <row r="103" ht="14.25" customHeight="1">
      <c r="A103" s="13">
        <v>21402.0</v>
      </c>
      <c r="B103" s="13" t="s">
        <v>128</v>
      </c>
      <c r="C103" s="9">
        <v>1271.0</v>
      </c>
      <c r="D103" s="9">
        <v>462.22223433852196</v>
      </c>
      <c r="E103" s="9">
        <v>22924.0</v>
      </c>
      <c r="F103" s="27">
        <f t="shared" si="1"/>
        <v>0.05544407608</v>
      </c>
      <c r="G103" s="27">
        <f t="shared" si="2"/>
        <v>0.3636681623</v>
      </c>
      <c r="H103" s="27">
        <f t="shared" si="3"/>
        <v>0.02016324526</v>
      </c>
      <c r="I103" s="26"/>
      <c r="J103" s="26"/>
      <c r="K103" s="17"/>
      <c r="L103" s="17"/>
      <c r="M103" s="29"/>
      <c r="N103" s="29"/>
      <c r="O103" s="4"/>
      <c r="P103" s="4"/>
      <c r="Q103" s="4"/>
      <c r="R103" s="17"/>
      <c r="S103" s="17"/>
      <c r="T103" s="17"/>
      <c r="U103" s="17"/>
      <c r="V103" s="17"/>
    </row>
    <row r="104" ht="14.25" customHeight="1">
      <c r="A104" s="13">
        <v>21501.0</v>
      </c>
      <c r="B104" s="13" t="s">
        <v>129</v>
      </c>
      <c r="C104" s="9">
        <v>2673.0</v>
      </c>
      <c r="D104" s="9">
        <v>1072.6666924357414</v>
      </c>
      <c r="E104" s="9">
        <v>11330.0</v>
      </c>
      <c r="F104" s="27">
        <f t="shared" si="1"/>
        <v>0.2359223301</v>
      </c>
      <c r="G104" s="27">
        <f t="shared" si="2"/>
        <v>0.4012969295</v>
      </c>
      <c r="H104" s="27">
        <f t="shared" si="3"/>
        <v>0.09467490666</v>
      </c>
      <c r="I104" s="26"/>
      <c r="J104" s="26"/>
      <c r="K104" s="17"/>
      <c r="L104" s="17"/>
      <c r="M104" s="29"/>
      <c r="N104" s="29"/>
      <c r="O104" s="4"/>
      <c r="P104" s="4"/>
      <c r="Q104" s="4"/>
      <c r="R104" s="17"/>
      <c r="S104" s="17"/>
      <c r="T104" s="17"/>
      <c r="U104" s="17"/>
      <c r="V104" s="17"/>
    </row>
    <row r="105" ht="14.25" customHeight="1">
      <c r="A105" s="13">
        <v>21502.0</v>
      </c>
      <c r="B105" s="13" t="s">
        <v>130</v>
      </c>
      <c r="C105" s="9">
        <v>934.0</v>
      </c>
      <c r="D105" s="9">
        <v>375.77778619527817</v>
      </c>
      <c r="E105" s="9">
        <v>9644.0</v>
      </c>
      <c r="F105" s="27">
        <f t="shared" si="1"/>
        <v>0.096847781</v>
      </c>
      <c r="G105" s="27">
        <f t="shared" si="2"/>
        <v>0.4023316769</v>
      </c>
      <c r="H105" s="27">
        <f t="shared" si="3"/>
        <v>0.03896493013</v>
      </c>
      <c r="I105" s="26"/>
      <c r="J105" s="26"/>
      <c r="K105" s="17"/>
      <c r="L105" s="17"/>
      <c r="M105" s="29"/>
      <c r="N105" s="29"/>
      <c r="O105" s="4"/>
      <c r="P105" s="4"/>
      <c r="Q105" s="4"/>
      <c r="R105" s="17"/>
      <c r="S105" s="17"/>
      <c r="T105" s="17"/>
      <c r="U105" s="17"/>
      <c r="V105" s="17"/>
    </row>
    <row r="106" ht="14.25" customHeight="1">
      <c r="A106" s="13">
        <v>21601.0</v>
      </c>
      <c r="B106" s="13" t="s">
        <v>131</v>
      </c>
      <c r="C106" s="9">
        <v>3315.0</v>
      </c>
      <c r="D106" s="9">
        <v>1296.444477468729</v>
      </c>
      <c r="E106" s="9">
        <v>15649.0</v>
      </c>
      <c r="F106" s="27">
        <f t="shared" si="1"/>
        <v>0.211834622</v>
      </c>
      <c r="G106" s="27">
        <f t="shared" si="2"/>
        <v>0.3910843069</v>
      </c>
      <c r="H106" s="27">
        <f t="shared" si="3"/>
        <v>0.08284519634</v>
      </c>
      <c r="I106" s="26"/>
      <c r="J106" s="26"/>
      <c r="K106" s="17"/>
      <c r="L106" s="17"/>
      <c r="M106" s="29"/>
      <c r="N106" s="29"/>
      <c r="O106" s="4"/>
      <c r="P106" s="4"/>
      <c r="Q106" s="4"/>
      <c r="R106" s="17"/>
      <c r="S106" s="17"/>
      <c r="T106" s="17"/>
      <c r="U106" s="17"/>
      <c r="V106" s="17"/>
    </row>
    <row r="107" ht="14.25" customHeight="1">
      <c r="A107" s="13">
        <v>21602.0</v>
      </c>
      <c r="B107" s="13" t="s">
        <v>132</v>
      </c>
      <c r="C107" s="9">
        <v>1918.0</v>
      </c>
      <c r="D107" s="9">
        <v>806.0000195205212</v>
      </c>
      <c r="E107" s="9">
        <v>6574.0</v>
      </c>
      <c r="F107" s="27">
        <f t="shared" si="1"/>
        <v>0.2917554001</v>
      </c>
      <c r="G107" s="27">
        <f t="shared" si="2"/>
        <v>0.4202294158</v>
      </c>
      <c r="H107" s="27">
        <f t="shared" si="3"/>
        <v>0.1226042013</v>
      </c>
      <c r="I107" s="26"/>
      <c r="J107" s="26"/>
      <c r="K107" s="17"/>
      <c r="L107" s="17"/>
      <c r="M107" s="29"/>
      <c r="N107" s="29"/>
      <c r="O107" s="4"/>
      <c r="P107" s="4"/>
      <c r="Q107" s="4"/>
      <c r="R107" s="17"/>
      <c r="S107" s="17"/>
      <c r="T107" s="17"/>
      <c r="U107" s="17"/>
      <c r="V107" s="17"/>
    </row>
    <row r="108" ht="14.25" customHeight="1">
      <c r="A108" s="13">
        <v>21701.0</v>
      </c>
      <c r="B108" s="13" t="s">
        <v>133</v>
      </c>
      <c r="C108" s="9">
        <v>2071.0</v>
      </c>
      <c r="D108" s="9">
        <v>761.8889083862305</v>
      </c>
      <c r="E108" s="9">
        <v>17215.0</v>
      </c>
      <c r="F108" s="27">
        <f t="shared" si="1"/>
        <v>0.1203020622</v>
      </c>
      <c r="G108" s="27">
        <f t="shared" si="2"/>
        <v>0.3678845526</v>
      </c>
      <c r="H108" s="27">
        <f t="shared" si="3"/>
        <v>0.04425727031</v>
      </c>
      <c r="I108" s="26"/>
      <c r="J108" s="26"/>
      <c r="K108" s="17"/>
      <c r="L108" s="17"/>
      <c r="M108" s="29"/>
      <c r="N108" s="29"/>
      <c r="O108" s="4"/>
      <c r="P108" s="4"/>
      <c r="Q108" s="4"/>
      <c r="R108" s="17"/>
      <c r="S108" s="17"/>
      <c r="T108" s="17"/>
      <c r="U108" s="17"/>
      <c r="V108" s="17"/>
    </row>
    <row r="109" ht="14.25" customHeight="1">
      <c r="A109" s="13">
        <v>21702.0</v>
      </c>
      <c r="B109" s="13" t="s">
        <v>134</v>
      </c>
      <c r="C109" s="9">
        <v>921.0</v>
      </c>
      <c r="D109" s="9">
        <v>331.2222306728363</v>
      </c>
      <c r="E109" s="9">
        <v>8807.0</v>
      </c>
      <c r="F109" s="27">
        <f t="shared" si="1"/>
        <v>0.1045759055</v>
      </c>
      <c r="G109" s="27">
        <f t="shared" si="2"/>
        <v>0.3596332581</v>
      </c>
      <c r="H109" s="27">
        <f t="shared" si="3"/>
        <v>0.03760897362</v>
      </c>
      <c r="I109" s="26"/>
      <c r="J109" s="26"/>
      <c r="K109" s="17"/>
      <c r="L109" s="17"/>
      <c r="M109" s="29"/>
      <c r="N109" s="29"/>
      <c r="O109" s="4"/>
      <c r="P109" s="4"/>
      <c r="Q109" s="4"/>
      <c r="R109" s="17"/>
      <c r="S109" s="17"/>
      <c r="T109" s="17"/>
      <c r="U109" s="17"/>
      <c r="V109" s="17"/>
    </row>
    <row r="110" ht="14.25" customHeight="1">
      <c r="A110" s="13">
        <v>21703.0</v>
      </c>
      <c r="B110" s="13" t="s">
        <v>135</v>
      </c>
      <c r="C110" s="9">
        <v>1749.0</v>
      </c>
      <c r="D110" s="9">
        <v>660.5555723309517</v>
      </c>
      <c r="E110" s="9">
        <v>7327.0</v>
      </c>
      <c r="F110" s="27">
        <f t="shared" si="1"/>
        <v>0.2387061553</v>
      </c>
      <c r="G110" s="27">
        <f t="shared" si="2"/>
        <v>0.377676142</v>
      </c>
      <c r="H110" s="27">
        <f t="shared" si="3"/>
        <v>0.09015361981</v>
      </c>
      <c r="I110" s="26"/>
      <c r="J110" s="26"/>
      <c r="K110" s="17"/>
      <c r="L110" s="17"/>
      <c r="M110" s="29"/>
      <c r="N110" s="29"/>
      <c r="O110" s="4"/>
      <c r="P110" s="4"/>
      <c r="Q110" s="4"/>
      <c r="R110" s="17"/>
      <c r="S110" s="17"/>
      <c r="T110" s="17"/>
      <c r="U110" s="17"/>
      <c r="V110" s="17"/>
    </row>
    <row r="111" ht="14.25" customHeight="1">
      <c r="A111" s="13">
        <v>21801.0</v>
      </c>
      <c r="B111" s="13" t="s">
        <v>136</v>
      </c>
      <c r="C111" s="9">
        <v>1864.0</v>
      </c>
      <c r="D111" s="9">
        <v>685.8889055252075</v>
      </c>
      <c r="E111" s="9">
        <v>9203.0</v>
      </c>
      <c r="F111" s="27">
        <f t="shared" si="1"/>
        <v>0.2025426491</v>
      </c>
      <c r="G111" s="27">
        <f t="shared" si="2"/>
        <v>0.367966151</v>
      </c>
      <c r="H111" s="27">
        <f t="shared" si="3"/>
        <v>0.07452883902</v>
      </c>
      <c r="I111" s="26"/>
      <c r="J111" s="26"/>
      <c r="K111" s="17"/>
      <c r="L111" s="17"/>
      <c r="M111" s="29"/>
      <c r="N111" s="29"/>
      <c r="O111" s="4"/>
      <c r="P111" s="4"/>
      <c r="Q111" s="4"/>
      <c r="R111" s="17"/>
      <c r="S111" s="17"/>
      <c r="T111" s="17"/>
      <c r="U111" s="17"/>
      <c r="V111" s="17"/>
    </row>
    <row r="112" ht="14.25" customHeight="1">
      <c r="A112" s="13">
        <v>21802.0</v>
      </c>
      <c r="B112" s="13" t="s">
        <v>137</v>
      </c>
      <c r="C112" s="9">
        <v>869.0</v>
      </c>
      <c r="D112" s="9">
        <v>310.555563300848</v>
      </c>
      <c r="E112" s="9">
        <v>6641.0</v>
      </c>
      <c r="F112" s="27">
        <f t="shared" si="1"/>
        <v>0.1308537871</v>
      </c>
      <c r="G112" s="27">
        <f t="shared" si="2"/>
        <v>0.3573711891</v>
      </c>
      <c r="H112" s="27">
        <f t="shared" si="3"/>
        <v>0.04676337348</v>
      </c>
      <c r="I112" s="26"/>
      <c r="J112" s="26"/>
      <c r="K112" s="17"/>
      <c r="L112" s="17"/>
      <c r="M112" s="29"/>
      <c r="N112" s="29"/>
      <c r="O112" s="4"/>
      <c r="P112" s="4"/>
      <c r="Q112" s="4"/>
      <c r="R112" s="17"/>
      <c r="S112" s="17"/>
      <c r="T112" s="17"/>
      <c r="U112" s="17"/>
      <c r="V112" s="17"/>
    </row>
    <row r="113" ht="14.25" customHeight="1">
      <c r="A113" s="13">
        <v>21803.0</v>
      </c>
      <c r="B113" s="13" t="s">
        <v>138</v>
      </c>
      <c r="C113" s="9">
        <v>509.0</v>
      </c>
      <c r="D113" s="9">
        <v>182.55556046962738</v>
      </c>
      <c r="E113" s="9">
        <v>2048.0</v>
      </c>
      <c r="F113" s="27">
        <f t="shared" si="1"/>
        <v>0.2485351563</v>
      </c>
      <c r="G113" s="27">
        <f t="shared" si="2"/>
        <v>0.3586553251</v>
      </c>
      <c r="H113" s="27">
        <f t="shared" si="3"/>
        <v>0.08913845726</v>
      </c>
      <c r="I113" s="26"/>
      <c r="J113" s="26"/>
      <c r="K113" s="17"/>
      <c r="L113" s="17"/>
      <c r="M113" s="29"/>
      <c r="N113" s="29"/>
      <c r="O113" s="4"/>
      <c r="P113" s="4"/>
      <c r="Q113" s="4"/>
      <c r="R113" s="17"/>
      <c r="S113" s="17"/>
      <c r="T113" s="17"/>
      <c r="U113" s="17"/>
      <c r="V113" s="17"/>
    </row>
    <row r="114" ht="14.25" customHeight="1">
      <c r="A114" s="13">
        <v>21901.0</v>
      </c>
      <c r="B114" s="13" t="s">
        <v>139</v>
      </c>
      <c r="C114" s="9">
        <v>1080.0</v>
      </c>
      <c r="D114" s="9">
        <v>396.5555653870106</v>
      </c>
      <c r="E114" s="9">
        <v>6774.0</v>
      </c>
      <c r="F114" s="27">
        <f t="shared" si="1"/>
        <v>0.1594331267</v>
      </c>
      <c r="G114" s="27">
        <f t="shared" si="2"/>
        <v>0.3671810791</v>
      </c>
      <c r="H114" s="27">
        <f t="shared" si="3"/>
        <v>0.05854082749</v>
      </c>
      <c r="I114" s="26"/>
      <c r="J114" s="26"/>
      <c r="K114" s="17"/>
      <c r="L114" s="17"/>
      <c r="M114" s="29"/>
      <c r="N114" s="29"/>
      <c r="O114" s="4"/>
      <c r="P114" s="4"/>
      <c r="Q114" s="4"/>
      <c r="R114" s="17"/>
      <c r="S114" s="17"/>
      <c r="T114" s="17"/>
      <c r="U114" s="17"/>
      <c r="V114" s="17"/>
    </row>
    <row r="115" ht="14.25" customHeight="1">
      <c r="A115" s="13">
        <v>21902.0</v>
      </c>
      <c r="B115" s="13" t="s">
        <v>140</v>
      </c>
      <c r="C115" s="9">
        <v>911.0</v>
      </c>
      <c r="D115" s="9">
        <v>341.55556350946426</v>
      </c>
      <c r="E115" s="9">
        <v>5335.0</v>
      </c>
      <c r="F115" s="27">
        <f t="shared" si="1"/>
        <v>0.1707591378</v>
      </c>
      <c r="G115" s="27">
        <f t="shared" si="2"/>
        <v>0.3749237799</v>
      </c>
      <c r="H115" s="27">
        <f t="shared" si="3"/>
        <v>0.06402166139</v>
      </c>
      <c r="I115" s="26"/>
      <c r="J115" s="26"/>
      <c r="K115" s="17"/>
      <c r="L115" s="17"/>
      <c r="M115" s="29"/>
      <c r="N115" s="29"/>
      <c r="O115" s="4"/>
      <c r="P115" s="4"/>
      <c r="Q115" s="4"/>
      <c r="R115" s="17"/>
      <c r="S115" s="17"/>
      <c r="T115" s="17"/>
      <c r="U115" s="17"/>
      <c r="V115" s="17"/>
    </row>
    <row r="116" ht="14.25" customHeight="1">
      <c r="A116" s="13">
        <v>22001.0</v>
      </c>
      <c r="B116" s="13" t="s">
        <v>141</v>
      </c>
      <c r="C116" s="9">
        <v>6905.0</v>
      </c>
      <c r="D116" s="9">
        <v>2584.6667311787605</v>
      </c>
      <c r="E116" s="9">
        <v>57985.0</v>
      </c>
      <c r="F116" s="27">
        <f t="shared" si="1"/>
        <v>0.1190825213</v>
      </c>
      <c r="G116" s="27">
        <f t="shared" si="2"/>
        <v>0.3743181363</v>
      </c>
      <c r="H116" s="27">
        <f t="shared" si="3"/>
        <v>0.04457474746</v>
      </c>
      <c r="I116" s="26"/>
      <c r="J116" s="26"/>
      <c r="K116" s="17"/>
      <c r="L116" s="17"/>
      <c r="M116" s="29"/>
      <c r="N116" s="29"/>
      <c r="O116" s="4"/>
      <c r="P116" s="4"/>
      <c r="Q116" s="4"/>
      <c r="R116" s="17"/>
      <c r="S116" s="17"/>
      <c r="T116" s="17"/>
      <c r="U116" s="17"/>
      <c r="V116" s="17"/>
    </row>
    <row r="117" ht="14.25" customHeight="1">
      <c r="A117" s="13">
        <v>22002.0</v>
      </c>
      <c r="B117" s="13" t="s">
        <v>142</v>
      </c>
      <c r="C117" s="9">
        <v>2486.0</v>
      </c>
      <c r="D117" s="9">
        <v>934.3333569169044</v>
      </c>
      <c r="E117" s="9">
        <v>10435.0</v>
      </c>
      <c r="F117" s="27">
        <f t="shared" si="1"/>
        <v>0.2382367034</v>
      </c>
      <c r="G117" s="27">
        <f t="shared" si="2"/>
        <v>0.3758380358</v>
      </c>
      <c r="H117" s="27">
        <f t="shared" si="3"/>
        <v>0.08953841465</v>
      </c>
      <c r="I117" s="26"/>
      <c r="J117" s="26"/>
      <c r="K117" s="17"/>
      <c r="L117" s="17"/>
      <c r="M117" s="29"/>
      <c r="N117" s="29"/>
      <c r="O117" s="4"/>
      <c r="P117" s="4"/>
      <c r="Q117" s="4"/>
      <c r="R117" s="17"/>
      <c r="S117" s="17"/>
      <c r="T117" s="17"/>
      <c r="U117" s="17"/>
      <c r="V117" s="17"/>
    </row>
    <row r="118" ht="14.25" customHeight="1">
      <c r="A118" s="13">
        <v>30101.0</v>
      </c>
      <c r="B118" s="13" t="s">
        <v>16</v>
      </c>
      <c r="C118" s="9">
        <v>39149.0</v>
      </c>
      <c r="D118" s="9">
        <v>13940.222585201263</v>
      </c>
      <c r="E118" s="9">
        <v>652155.0</v>
      </c>
      <c r="F118" s="27">
        <f t="shared" si="1"/>
        <v>0.06003020754</v>
      </c>
      <c r="G118" s="27">
        <f t="shared" si="2"/>
        <v>0.356081192</v>
      </c>
      <c r="H118" s="27">
        <f t="shared" si="3"/>
        <v>0.02137562786</v>
      </c>
      <c r="I118" s="26"/>
      <c r="J118" s="26"/>
      <c r="K118" s="17"/>
      <c r="L118" s="17"/>
      <c r="M118" s="29"/>
      <c r="N118" s="29"/>
      <c r="O118" s="4"/>
      <c r="P118" s="4"/>
      <c r="Q118" s="4"/>
      <c r="R118" s="17"/>
      <c r="S118" s="17"/>
      <c r="T118" s="17"/>
      <c r="U118" s="17"/>
      <c r="V118" s="17"/>
    </row>
    <row r="119" ht="14.25" customHeight="1">
      <c r="A119" s="13">
        <v>30201.0</v>
      </c>
      <c r="B119" s="13" t="s">
        <v>143</v>
      </c>
      <c r="C119" s="9">
        <v>4488.0</v>
      </c>
      <c r="D119" s="9">
        <v>1756.555599540472</v>
      </c>
      <c r="E119" s="9">
        <v>22902.0</v>
      </c>
      <c r="F119" s="27">
        <f t="shared" si="1"/>
        <v>0.1959654179</v>
      </c>
      <c r="G119" s="27">
        <f t="shared" si="2"/>
        <v>0.3913893938</v>
      </c>
      <c r="H119" s="27">
        <f t="shared" si="3"/>
        <v>0.07669878611</v>
      </c>
      <c r="I119" s="26"/>
      <c r="J119" s="26"/>
      <c r="K119" s="17"/>
      <c r="L119" s="17"/>
      <c r="M119" s="29"/>
      <c r="N119" s="29"/>
      <c r="O119" s="4"/>
      <c r="P119" s="4"/>
      <c r="Q119" s="4"/>
      <c r="R119" s="17"/>
      <c r="S119" s="17"/>
      <c r="T119" s="17"/>
      <c r="U119" s="17"/>
      <c r="V119" s="17"/>
    </row>
    <row r="120" ht="14.25" customHeight="1">
      <c r="A120" s="13">
        <v>30202.0</v>
      </c>
      <c r="B120" s="13" t="s">
        <v>144</v>
      </c>
      <c r="C120" s="9">
        <v>969.0</v>
      </c>
      <c r="D120" s="9">
        <v>363.7777866721153</v>
      </c>
      <c r="E120" s="9">
        <v>6414.0</v>
      </c>
      <c r="F120" s="27">
        <f t="shared" si="1"/>
        <v>0.1510757717</v>
      </c>
      <c r="G120" s="27">
        <f t="shared" si="2"/>
        <v>0.3754156725</v>
      </c>
      <c r="H120" s="27">
        <f t="shared" si="3"/>
        <v>0.05671621245</v>
      </c>
      <c r="I120" s="26"/>
      <c r="J120" s="26"/>
      <c r="K120" s="17"/>
      <c r="L120" s="17"/>
      <c r="M120" s="29"/>
      <c r="N120" s="29"/>
      <c r="O120" s="4"/>
      <c r="P120" s="4"/>
      <c r="Q120" s="4"/>
      <c r="R120" s="17"/>
      <c r="S120" s="17"/>
      <c r="T120" s="17"/>
      <c r="U120" s="17"/>
      <c r="V120" s="17"/>
    </row>
    <row r="121" ht="14.25" customHeight="1">
      <c r="A121" s="13">
        <v>30203.0</v>
      </c>
      <c r="B121" s="13" t="s">
        <v>145</v>
      </c>
      <c r="C121" s="9">
        <v>638.0</v>
      </c>
      <c r="D121" s="9">
        <v>241.33333909511566</v>
      </c>
      <c r="E121" s="9">
        <v>6678.0</v>
      </c>
      <c r="F121" s="27">
        <f t="shared" si="1"/>
        <v>0.0955375861</v>
      </c>
      <c r="G121" s="27">
        <f t="shared" si="2"/>
        <v>0.3782654218</v>
      </c>
      <c r="H121" s="27">
        <f t="shared" si="3"/>
        <v>0.0361385653</v>
      </c>
      <c r="I121" s="26"/>
      <c r="J121" s="26"/>
      <c r="K121" s="17"/>
      <c r="L121" s="17"/>
      <c r="M121" s="29"/>
      <c r="N121" s="29"/>
      <c r="O121" s="4"/>
      <c r="P121" s="4"/>
      <c r="Q121" s="4"/>
      <c r="R121" s="17"/>
      <c r="S121" s="17"/>
      <c r="T121" s="17"/>
      <c r="U121" s="17"/>
      <c r="V121" s="17"/>
    </row>
    <row r="122" ht="14.25" customHeight="1">
      <c r="A122" s="13">
        <v>30301.0</v>
      </c>
      <c r="B122" s="13" t="s">
        <v>146</v>
      </c>
      <c r="C122" s="9">
        <v>5760.0</v>
      </c>
      <c r="D122" s="9">
        <v>2252.0000586509705</v>
      </c>
      <c r="E122" s="9">
        <v>21691.0</v>
      </c>
      <c r="F122" s="27">
        <f t="shared" si="1"/>
        <v>0.2655479231</v>
      </c>
      <c r="G122" s="27">
        <f t="shared" si="2"/>
        <v>0.3909722324</v>
      </c>
      <c r="H122" s="27">
        <f t="shared" si="3"/>
        <v>0.1038218643</v>
      </c>
      <c r="I122" s="26"/>
      <c r="J122" s="26"/>
      <c r="K122" s="17"/>
      <c r="L122" s="17"/>
      <c r="M122" s="29"/>
      <c r="N122" s="29"/>
      <c r="O122" s="4"/>
      <c r="P122" s="4"/>
      <c r="Q122" s="4"/>
      <c r="R122" s="17"/>
      <c r="S122" s="17"/>
      <c r="T122" s="17"/>
      <c r="U122" s="17"/>
      <c r="V122" s="17"/>
    </row>
    <row r="123" ht="14.25" customHeight="1">
      <c r="A123" s="13">
        <v>30302.0</v>
      </c>
      <c r="B123" s="13" t="s">
        <v>147</v>
      </c>
      <c r="C123" s="9">
        <v>3977.0</v>
      </c>
      <c r="D123" s="9">
        <v>1515.4444826245308</v>
      </c>
      <c r="E123" s="9">
        <v>14667.0</v>
      </c>
      <c r="F123" s="27">
        <f t="shared" si="1"/>
        <v>0.2711529283</v>
      </c>
      <c r="G123" s="27">
        <f t="shared" si="2"/>
        <v>0.3810521706</v>
      </c>
      <c r="H123" s="27">
        <f t="shared" si="3"/>
        <v>0.1033234119</v>
      </c>
      <c r="I123" s="26"/>
      <c r="J123" s="26"/>
      <c r="K123" s="17"/>
      <c r="L123" s="17"/>
      <c r="M123" s="29"/>
      <c r="N123" s="29"/>
      <c r="O123" s="4"/>
      <c r="P123" s="4"/>
      <c r="Q123" s="4"/>
      <c r="R123" s="17"/>
      <c r="S123" s="17"/>
      <c r="T123" s="17"/>
      <c r="U123" s="17"/>
      <c r="V123" s="17"/>
    </row>
    <row r="124" ht="14.25" customHeight="1">
      <c r="A124" s="13">
        <v>30303.0</v>
      </c>
      <c r="B124" s="13" t="s">
        <v>148</v>
      </c>
      <c r="C124" s="9">
        <v>7119.0</v>
      </c>
      <c r="D124" s="9">
        <v>2776.2222860753536</v>
      </c>
      <c r="E124" s="9">
        <v>19532.0</v>
      </c>
      <c r="F124" s="27">
        <f t="shared" si="1"/>
        <v>0.364478804</v>
      </c>
      <c r="G124" s="27">
        <f t="shared" si="2"/>
        <v>0.389973632</v>
      </c>
      <c r="H124" s="27">
        <f t="shared" si="3"/>
        <v>0.142137123</v>
      </c>
      <c r="I124" s="26"/>
      <c r="J124" s="26"/>
      <c r="K124" s="17"/>
      <c r="L124" s="17"/>
      <c r="M124" s="29"/>
      <c r="N124" s="29"/>
      <c r="O124" s="4"/>
      <c r="P124" s="4"/>
      <c r="Q124" s="4"/>
      <c r="R124" s="17"/>
      <c r="S124" s="17"/>
      <c r="T124" s="17"/>
      <c r="U124" s="17"/>
      <c r="V124" s="17"/>
    </row>
    <row r="125" ht="14.25" customHeight="1">
      <c r="A125" s="13">
        <v>30401.0</v>
      </c>
      <c r="B125" s="13" t="s">
        <v>149</v>
      </c>
      <c r="C125" s="9">
        <v>1785.0</v>
      </c>
      <c r="D125" s="9">
        <v>688.2222396731377</v>
      </c>
      <c r="E125" s="9">
        <v>10750.0</v>
      </c>
      <c r="F125" s="27">
        <f t="shared" si="1"/>
        <v>0.1660465116</v>
      </c>
      <c r="G125" s="27">
        <f t="shared" si="2"/>
        <v>0.3855586777</v>
      </c>
      <c r="H125" s="27">
        <f t="shared" si="3"/>
        <v>0.06402067346</v>
      </c>
      <c r="I125" s="26"/>
      <c r="J125" s="26"/>
      <c r="K125" s="17"/>
      <c r="L125" s="17"/>
      <c r="M125" s="29"/>
      <c r="N125" s="29"/>
      <c r="O125" s="4"/>
      <c r="P125" s="4"/>
      <c r="Q125" s="4"/>
      <c r="R125" s="17"/>
      <c r="S125" s="17"/>
      <c r="T125" s="17"/>
      <c r="U125" s="17"/>
      <c r="V125" s="17"/>
    </row>
    <row r="126" ht="14.25" customHeight="1">
      <c r="A126" s="13">
        <v>30402.0</v>
      </c>
      <c r="B126" s="13" t="s">
        <v>150</v>
      </c>
      <c r="C126" s="9">
        <v>1977.0</v>
      </c>
      <c r="D126" s="9">
        <v>743.8889074325562</v>
      </c>
      <c r="E126" s="9">
        <v>7302.0</v>
      </c>
      <c r="F126" s="27">
        <f t="shared" si="1"/>
        <v>0.2707477403</v>
      </c>
      <c r="G126" s="27">
        <f t="shared" si="2"/>
        <v>0.3762715769</v>
      </c>
      <c r="H126" s="27">
        <f t="shared" si="3"/>
        <v>0.1018746792</v>
      </c>
      <c r="I126" s="26"/>
      <c r="J126" s="26"/>
      <c r="K126" s="17"/>
      <c r="L126" s="17"/>
      <c r="M126" s="29"/>
      <c r="N126" s="29"/>
      <c r="O126" s="4"/>
      <c r="P126" s="4"/>
      <c r="Q126" s="4"/>
      <c r="R126" s="17"/>
      <c r="S126" s="17"/>
      <c r="T126" s="17"/>
      <c r="U126" s="17"/>
      <c r="V126" s="17"/>
    </row>
    <row r="127" ht="14.25" customHeight="1">
      <c r="A127" s="13">
        <v>30403.0</v>
      </c>
      <c r="B127" s="13" t="s">
        <v>151</v>
      </c>
      <c r="C127" s="9">
        <v>9379.0</v>
      </c>
      <c r="D127" s="9">
        <v>3431.4445326328278</v>
      </c>
      <c r="E127" s="9">
        <v>29223.0</v>
      </c>
      <c r="F127" s="27">
        <f t="shared" si="1"/>
        <v>0.3209458303</v>
      </c>
      <c r="G127" s="27">
        <f t="shared" si="2"/>
        <v>0.3658646479</v>
      </c>
      <c r="H127" s="27">
        <f t="shared" si="3"/>
        <v>0.1174227332</v>
      </c>
      <c r="I127" s="26"/>
      <c r="J127" s="26"/>
      <c r="K127" s="17"/>
      <c r="L127" s="17"/>
      <c r="M127" s="29"/>
      <c r="N127" s="29"/>
      <c r="O127" s="4"/>
      <c r="P127" s="4"/>
      <c r="Q127" s="4"/>
      <c r="R127" s="17"/>
      <c r="S127" s="17"/>
      <c r="T127" s="17"/>
      <c r="U127" s="17"/>
      <c r="V127" s="17"/>
    </row>
    <row r="128" ht="14.25" customHeight="1">
      <c r="A128" s="13">
        <v>30404.0</v>
      </c>
      <c r="B128" s="13" t="s">
        <v>152</v>
      </c>
      <c r="C128" s="9">
        <v>1645.0</v>
      </c>
      <c r="D128" s="9">
        <v>631.7777934968472</v>
      </c>
      <c r="E128" s="9">
        <v>4979.0</v>
      </c>
      <c r="F128" s="27">
        <f t="shared" si="1"/>
        <v>0.330387628</v>
      </c>
      <c r="G128" s="27">
        <f t="shared" si="2"/>
        <v>0.3840594489</v>
      </c>
      <c r="H128" s="27">
        <f t="shared" si="3"/>
        <v>0.1268884904</v>
      </c>
      <c r="I128" s="26"/>
      <c r="J128" s="26"/>
      <c r="K128" s="17"/>
      <c r="L128" s="17"/>
      <c r="M128" s="29"/>
      <c r="N128" s="29"/>
      <c r="O128" s="4"/>
      <c r="P128" s="4"/>
      <c r="Q128" s="4"/>
      <c r="R128" s="17"/>
      <c r="S128" s="17"/>
      <c r="T128" s="17"/>
      <c r="U128" s="17"/>
      <c r="V128" s="17"/>
    </row>
    <row r="129" ht="14.25" customHeight="1">
      <c r="A129" s="13">
        <v>30501.0</v>
      </c>
      <c r="B129" s="13" t="s">
        <v>153</v>
      </c>
      <c r="C129" s="9">
        <v>768.0</v>
      </c>
      <c r="D129" s="9">
        <v>289.7777852714062</v>
      </c>
      <c r="E129" s="9">
        <v>11052.0</v>
      </c>
      <c r="F129" s="27">
        <f t="shared" si="1"/>
        <v>0.06948968512</v>
      </c>
      <c r="G129" s="27">
        <f t="shared" si="2"/>
        <v>0.3773148246</v>
      </c>
      <c r="H129" s="27">
        <f t="shared" si="3"/>
        <v>0.02621948835</v>
      </c>
      <c r="I129" s="26"/>
      <c r="J129" s="26"/>
      <c r="K129" s="17"/>
      <c r="L129" s="17"/>
      <c r="M129" s="29"/>
      <c r="N129" s="29"/>
      <c r="O129" s="4"/>
      <c r="P129" s="4"/>
      <c r="Q129" s="4"/>
      <c r="R129" s="17"/>
      <c r="S129" s="17"/>
      <c r="T129" s="17"/>
      <c r="U129" s="17"/>
      <c r="V129" s="17"/>
    </row>
    <row r="130" ht="14.25" customHeight="1">
      <c r="A130" s="13">
        <v>30502.0</v>
      </c>
      <c r="B130" s="13" t="s">
        <v>154</v>
      </c>
      <c r="C130" s="9">
        <v>1453.0</v>
      </c>
      <c r="D130" s="9">
        <v>544.7777903974056</v>
      </c>
      <c r="E130" s="9">
        <v>8232.0</v>
      </c>
      <c r="F130" s="27">
        <f t="shared" si="1"/>
        <v>0.1765063168</v>
      </c>
      <c r="G130" s="27">
        <f t="shared" si="2"/>
        <v>0.3749330973</v>
      </c>
      <c r="H130" s="27">
        <f t="shared" si="3"/>
        <v>0.06617806006</v>
      </c>
      <c r="I130" s="26"/>
      <c r="J130" s="26"/>
      <c r="K130" s="17"/>
      <c r="L130" s="17"/>
      <c r="M130" s="29"/>
      <c r="N130" s="29"/>
      <c r="O130" s="4"/>
      <c r="P130" s="4"/>
      <c r="Q130" s="4"/>
      <c r="R130" s="17"/>
      <c r="S130" s="17"/>
      <c r="T130" s="17"/>
      <c r="U130" s="17"/>
      <c r="V130" s="17"/>
    </row>
    <row r="131" ht="14.25" customHeight="1">
      <c r="A131" s="13">
        <v>30601.0</v>
      </c>
      <c r="B131" s="13" t="s">
        <v>155</v>
      </c>
      <c r="C131" s="9">
        <v>4162.0</v>
      </c>
      <c r="D131" s="9">
        <v>1646.666708379984</v>
      </c>
      <c r="E131" s="9">
        <v>10593.0</v>
      </c>
      <c r="F131" s="27">
        <f t="shared" si="1"/>
        <v>0.3929009723</v>
      </c>
      <c r="G131" s="27">
        <f t="shared" si="2"/>
        <v>0.3956431303</v>
      </c>
      <c r="H131" s="27">
        <f t="shared" si="3"/>
        <v>0.1554485706</v>
      </c>
      <c r="I131" s="26"/>
      <c r="J131" s="26"/>
      <c r="K131" s="17"/>
      <c r="L131" s="17"/>
      <c r="M131" s="29"/>
      <c r="N131" s="29"/>
      <c r="O131" s="4"/>
      <c r="P131" s="4"/>
      <c r="Q131" s="4"/>
      <c r="R131" s="17"/>
      <c r="S131" s="17"/>
      <c r="T131" s="17"/>
      <c r="U131" s="17"/>
      <c r="V131" s="17"/>
    </row>
    <row r="132" ht="14.25" customHeight="1">
      <c r="A132" s="13">
        <v>30602.0</v>
      </c>
      <c r="B132" s="13" t="s">
        <v>156</v>
      </c>
      <c r="C132" s="9">
        <v>2396.0</v>
      </c>
      <c r="D132" s="9">
        <v>892.7778003811836</v>
      </c>
      <c r="E132" s="9">
        <v>10695.0</v>
      </c>
      <c r="F132" s="27">
        <f t="shared" si="1"/>
        <v>0.2240299205</v>
      </c>
      <c r="G132" s="27">
        <f t="shared" si="2"/>
        <v>0.3726117698</v>
      </c>
      <c r="H132" s="27">
        <f t="shared" si="3"/>
        <v>0.08347618517</v>
      </c>
      <c r="I132" s="26"/>
      <c r="J132" s="26"/>
      <c r="K132" s="17"/>
      <c r="L132" s="17"/>
      <c r="M132" s="29"/>
      <c r="N132" s="29"/>
      <c r="O132" s="4"/>
      <c r="P132" s="4"/>
      <c r="Q132" s="4"/>
      <c r="R132" s="17"/>
      <c r="S132" s="17"/>
      <c r="T132" s="17"/>
      <c r="U132" s="17"/>
      <c r="V132" s="17"/>
    </row>
    <row r="133" ht="14.25" customHeight="1">
      <c r="A133" s="13">
        <v>30701.0</v>
      </c>
      <c r="B133" s="13" t="s">
        <v>157</v>
      </c>
      <c r="C133" s="9">
        <v>2399.0</v>
      </c>
      <c r="D133" s="9">
        <v>906.3333560526371</v>
      </c>
      <c r="E133" s="9">
        <v>19279.0</v>
      </c>
      <c r="F133" s="27">
        <f t="shared" si="1"/>
        <v>0.1244359147</v>
      </c>
      <c r="G133" s="27">
        <f t="shared" si="2"/>
        <v>0.3777963135</v>
      </c>
      <c r="H133" s="27">
        <f t="shared" si="3"/>
        <v>0.04701142985</v>
      </c>
      <c r="I133" s="26"/>
      <c r="J133" s="26"/>
      <c r="K133" s="17"/>
      <c r="L133" s="17"/>
      <c r="M133" s="29"/>
      <c r="N133" s="29"/>
      <c r="O133" s="4"/>
      <c r="P133" s="4"/>
      <c r="Q133" s="4"/>
      <c r="R133" s="17"/>
      <c r="S133" s="17"/>
      <c r="T133" s="17"/>
      <c r="U133" s="17"/>
      <c r="V133" s="17"/>
    </row>
    <row r="134" ht="14.25" customHeight="1">
      <c r="A134" s="13">
        <v>30702.0</v>
      </c>
      <c r="B134" s="13" t="s">
        <v>158</v>
      </c>
      <c r="C134" s="9">
        <v>567.0</v>
      </c>
      <c r="D134" s="9">
        <v>207.22222712635994</v>
      </c>
      <c r="E134" s="9">
        <v>7732.0</v>
      </c>
      <c r="F134" s="27">
        <f t="shared" si="1"/>
        <v>0.0733316089</v>
      </c>
      <c r="G134" s="27">
        <f t="shared" si="2"/>
        <v>0.3654713</v>
      </c>
      <c r="H134" s="27">
        <f t="shared" si="3"/>
        <v>0.02680059844</v>
      </c>
      <c r="I134" s="26"/>
      <c r="J134" s="26"/>
      <c r="K134" s="17"/>
      <c r="L134" s="17"/>
      <c r="M134" s="29"/>
      <c r="N134" s="29"/>
      <c r="O134" s="4"/>
      <c r="P134" s="4"/>
      <c r="Q134" s="4"/>
      <c r="R134" s="17"/>
      <c r="S134" s="17"/>
      <c r="T134" s="17"/>
      <c r="U134" s="17"/>
      <c r="V134" s="17"/>
    </row>
    <row r="135" ht="14.25" customHeight="1">
      <c r="A135" s="13">
        <v>30703.0</v>
      </c>
      <c r="B135" s="13" t="s">
        <v>159</v>
      </c>
      <c r="C135" s="9">
        <v>560.0</v>
      </c>
      <c r="D135" s="9">
        <v>209.33333826065063</v>
      </c>
      <c r="E135" s="9">
        <v>3934.0</v>
      </c>
      <c r="F135" s="27">
        <f t="shared" si="1"/>
        <v>0.1423487544</v>
      </c>
      <c r="G135" s="27">
        <f t="shared" si="2"/>
        <v>0.3738095326</v>
      </c>
      <c r="H135" s="27">
        <f t="shared" si="3"/>
        <v>0.05321132137</v>
      </c>
      <c r="I135" s="26"/>
      <c r="J135" s="26"/>
      <c r="K135" s="17"/>
      <c r="L135" s="17"/>
      <c r="M135" s="29"/>
      <c r="N135" s="29"/>
      <c r="O135" s="4"/>
      <c r="P135" s="4"/>
      <c r="Q135" s="4"/>
      <c r="R135" s="17"/>
      <c r="S135" s="17"/>
      <c r="T135" s="17"/>
      <c r="U135" s="17"/>
      <c r="V135" s="17"/>
    </row>
    <row r="136" ht="14.25" customHeight="1">
      <c r="A136" s="13">
        <v>30801.0</v>
      </c>
      <c r="B136" s="13" t="s">
        <v>160</v>
      </c>
      <c r="C136" s="9">
        <v>443.0</v>
      </c>
      <c r="D136" s="9">
        <v>156.11111509799957</v>
      </c>
      <c r="E136" s="9">
        <v>21082.0</v>
      </c>
      <c r="F136" s="27">
        <f t="shared" si="1"/>
        <v>0.0210131866</v>
      </c>
      <c r="G136" s="27">
        <f t="shared" si="2"/>
        <v>0.3523952937</v>
      </c>
      <c r="H136" s="27">
        <f t="shared" si="3"/>
        <v>0.007404948065</v>
      </c>
      <c r="I136" s="26"/>
      <c r="J136" s="26"/>
      <c r="K136" s="17"/>
      <c r="L136" s="17"/>
      <c r="M136" s="29"/>
      <c r="N136" s="29"/>
      <c r="O136" s="4"/>
      <c r="P136" s="4"/>
      <c r="Q136" s="4"/>
      <c r="R136" s="17"/>
      <c r="S136" s="17"/>
      <c r="T136" s="17"/>
      <c r="U136" s="17"/>
      <c r="V136" s="17"/>
    </row>
    <row r="137" ht="14.25" customHeight="1">
      <c r="A137" s="13">
        <v>30802.0</v>
      </c>
      <c r="B137" s="13" t="s">
        <v>161</v>
      </c>
      <c r="C137" s="9">
        <v>636.0</v>
      </c>
      <c r="D137" s="9">
        <v>235.22222834825516</v>
      </c>
      <c r="E137" s="9">
        <v>7369.0</v>
      </c>
      <c r="F137" s="27">
        <f t="shared" si="1"/>
        <v>0.08630750441</v>
      </c>
      <c r="G137" s="27">
        <f t="shared" si="2"/>
        <v>0.369846271</v>
      </c>
      <c r="H137" s="27">
        <f t="shared" si="3"/>
        <v>0.03192050866</v>
      </c>
      <c r="I137" s="26"/>
      <c r="J137" s="26"/>
      <c r="K137" s="17"/>
      <c r="L137" s="17"/>
      <c r="M137" s="29"/>
      <c r="N137" s="29"/>
      <c r="O137" s="4"/>
      <c r="P137" s="4"/>
      <c r="Q137" s="4"/>
      <c r="R137" s="17"/>
      <c r="S137" s="17"/>
      <c r="T137" s="17"/>
      <c r="U137" s="17"/>
      <c r="V137" s="17"/>
    </row>
    <row r="138" ht="14.25" customHeight="1">
      <c r="A138" s="13">
        <v>30803.0</v>
      </c>
      <c r="B138" s="13" t="s">
        <v>162</v>
      </c>
      <c r="C138" s="9">
        <v>1324.0</v>
      </c>
      <c r="D138" s="9">
        <v>476.1111233532429</v>
      </c>
      <c r="E138" s="9">
        <v>7579.0</v>
      </c>
      <c r="F138" s="27">
        <f t="shared" si="1"/>
        <v>0.1746932313</v>
      </c>
      <c r="G138" s="27">
        <f t="shared" si="2"/>
        <v>0.3596005463</v>
      </c>
      <c r="H138" s="27">
        <f t="shared" si="3"/>
        <v>0.06281978142</v>
      </c>
      <c r="I138" s="26"/>
      <c r="J138" s="26"/>
      <c r="K138" s="17"/>
      <c r="L138" s="17"/>
      <c r="M138" s="29"/>
      <c r="N138" s="29"/>
      <c r="O138" s="4"/>
      <c r="P138" s="4"/>
      <c r="Q138" s="4"/>
      <c r="R138" s="17"/>
      <c r="S138" s="17"/>
      <c r="T138" s="17"/>
      <c r="U138" s="17"/>
      <c r="V138" s="17"/>
    </row>
    <row r="139" ht="14.25" customHeight="1">
      <c r="A139" s="13">
        <v>30901.0</v>
      </c>
      <c r="B139" s="13" t="s">
        <v>163</v>
      </c>
      <c r="C139" s="9">
        <v>6591.0</v>
      </c>
      <c r="D139" s="9">
        <v>2347.7778398394585</v>
      </c>
      <c r="E139" s="9">
        <v>164395.0</v>
      </c>
      <c r="F139" s="27">
        <f t="shared" si="1"/>
        <v>0.04009246023</v>
      </c>
      <c r="G139" s="27">
        <f t="shared" si="2"/>
        <v>0.3562096556</v>
      </c>
      <c r="H139" s="27">
        <f t="shared" si="3"/>
        <v>0.01428132145</v>
      </c>
      <c r="I139" s="26"/>
      <c r="J139" s="26"/>
      <c r="K139" s="17"/>
      <c r="L139" s="17"/>
      <c r="M139" s="29"/>
      <c r="N139" s="29"/>
      <c r="O139" s="4"/>
      <c r="P139" s="4"/>
      <c r="Q139" s="4"/>
      <c r="R139" s="17"/>
      <c r="S139" s="17"/>
      <c r="T139" s="17"/>
      <c r="U139" s="17"/>
      <c r="V139" s="17"/>
    </row>
    <row r="140" ht="14.25" customHeight="1">
      <c r="A140" s="13">
        <v>30902.0</v>
      </c>
      <c r="B140" s="13" t="s">
        <v>164</v>
      </c>
      <c r="C140" s="9">
        <v>4541.0</v>
      </c>
      <c r="D140" s="9">
        <v>1662.2222648561</v>
      </c>
      <c r="E140" s="9">
        <v>55625.0</v>
      </c>
      <c r="F140" s="27">
        <f t="shared" si="1"/>
        <v>0.08163595506</v>
      </c>
      <c r="G140" s="27">
        <f t="shared" si="2"/>
        <v>0.3660476249</v>
      </c>
      <c r="H140" s="27">
        <f t="shared" si="3"/>
        <v>0.02988264746</v>
      </c>
      <c r="I140" s="26"/>
      <c r="J140" s="26"/>
      <c r="K140" s="17"/>
      <c r="L140" s="17"/>
      <c r="M140" s="29"/>
      <c r="N140" s="29"/>
      <c r="O140" s="4"/>
      <c r="P140" s="4"/>
      <c r="Q140" s="4"/>
      <c r="R140" s="17"/>
      <c r="S140" s="17"/>
      <c r="T140" s="17"/>
      <c r="U140" s="17"/>
      <c r="V140" s="17"/>
    </row>
    <row r="141" ht="14.25" customHeight="1">
      <c r="A141" s="13">
        <v>30903.0</v>
      </c>
      <c r="B141" s="13" t="s">
        <v>165</v>
      </c>
      <c r="C141" s="9">
        <v>2530.0</v>
      </c>
      <c r="D141" s="9">
        <v>909.7778007090092</v>
      </c>
      <c r="E141" s="9">
        <v>61002.0</v>
      </c>
      <c r="F141" s="27">
        <f t="shared" si="1"/>
        <v>0.04147405003</v>
      </c>
      <c r="G141" s="27">
        <f t="shared" si="2"/>
        <v>0.3595959687</v>
      </c>
      <c r="H141" s="27">
        <f t="shared" si="3"/>
        <v>0.0149139012</v>
      </c>
      <c r="I141" s="26"/>
      <c r="J141" s="26"/>
      <c r="K141" s="17"/>
      <c r="L141" s="17"/>
      <c r="M141" s="29"/>
      <c r="N141" s="29"/>
      <c r="O141" s="4"/>
      <c r="P141" s="4"/>
      <c r="Q141" s="4"/>
      <c r="R141" s="17"/>
      <c r="S141" s="17"/>
      <c r="T141" s="17"/>
      <c r="U141" s="17"/>
      <c r="V141" s="17"/>
    </row>
    <row r="142" ht="14.25" customHeight="1">
      <c r="A142" s="13">
        <v>30904.0</v>
      </c>
      <c r="B142" s="13" t="s">
        <v>166</v>
      </c>
      <c r="C142" s="9">
        <v>3268.0</v>
      </c>
      <c r="D142" s="9">
        <v>1172.2222529351711</v>
      </c>
      <c r="E142" s="9">
        <v>55219.0</v>
      </c>
      <c r="F142" s="27">
        <f t="shared" si="1"/>
        <v>0.05918252775</v>
      </c>
      <c r="G142" s="27">
        <f t="shared" si="2"/>
        <v>0.3586971398</v>
      </c>
      <c r="H142" s="27">
        <f t="shared" si="3"/>
        <v>0.02122860343</v>
      </c>
      <c r="I142" s="26"/>
      <c r="J142" s="26"/>
      <c r="K142" s="17"/>
      <c r="L142" s="17"/>
      <c r="M142" s="29"/>
      <c r="N142" s="29"/>
      <c r="O142" s="4"/>
      <c r="P142" s="4"/>
      <c r="Q142" s="4"/>
      <c r="R142" s="17"/>
      <c r="S142" s="17"/>
      <c r="T142" s="17"/>
      <c r="U142" s="17"/>
      <c r="V142" s="17"/>
    </row>
    <row r="143" ht="14.25" customHeight="1">
      <c r="A143" s="13">
        <v>30905.0</v>
      </c>
      <c r="B143" s="13" t="s">
        <v>167</v>
      </c>
      <c r="C143" s="9">
        <v>1014.0</v>
      </c>
      <c r="D143" s="9">
        <v>356.3333424627781</v>
      </c>
      <c r="E143" s="9">
        <v>65844.0</v>
      </c>
      <c r="F143" s="27">
        <f t="shared" si="1"/>
        <v>0.01540003645</v>
      </c>
      <c r="G143" s="27">
        <f t="shared" si="2"/>
        <v>0.3514135527</v>
      </c>
      <c r="H143" s="27">
        <f t="shared" si="3"/>
        <v>0.005411781521</v>
      </c>
      <c r="I143" s="26"/>
      <c r="J143" s="26"/>
      <c r="K143" s="17"/>
      <c r="L143" s="17"/>
      <c r="M143" s="29"/>
      <c r="N143" s="29"/>
      <c r="O143" s="4"/>
      <c r="P143" s="4"/>
      <c r="Q143" s="4"/>
      <c r="R143" s="17"/>
      <c r="S143" s="17"/>
      <c r="T143" s="17"/>
      <c r="U143" s="17"/>
      <c r="V143" s="17"/>
    </row>
    <row r="144" ht="14.25" customHeight="1">
      <c r="A144" s="13">
        <v>31001.0</v>
      </c>
      <c r="B144" s="13" t="s">
        <v>168</v>
      </c>
      <c r="C144" s="9">
        <v>11780.0</v>
      </c>
      <c r="D144" s="9">
        <v>4235.333442270756</v>
      </c>
      <c r="E144" s="9">
        <v>215343.0</v>
      </c>
      <c r="F144" s="27">
        <f t="shared" si="1"/>
        <v>0.05470342663</v>
      </c>
      <c r="G144" s="27">
        <f t="shared" si="2"/>
        <v>0.3595359459</v>
      </c>
      <c r="H144" s="27">
        <f t="shared" si="3"/>
        <v>0.01966784823</v>
      </c>
      <c r="I144" s="26"/>
      <c r="J144" s="26"/>
      <c r="K144" s="17"/>
      <c r="L144" s="17"/>
      <c r="M144" s="29"/>
      <c r="N144" s="29"/>
      <c r="O144" s="4"/>
      <c r="P144" s="4"/>
      <c r="Q144" s="4"/>
      <c r="R144" s="17"/>
      <c r="S144" s="17"/>
      <c r="T144" s="17"/>
      <c r="U144" s="17"/>
      <c r="V144" s="17"/>
    </row>
    <row r="145" ht="14.25" customHeight="1">
      <c r="A145" s="13">
        <v>31002.0</v>
      </c>
      <c r="B145" s="13" t="s">
        <v>169</v>
      </c>
      <c r="C145" s="9">
        <v>2853.0</v>
      </c>
      <c r="D145" s="9">
        <v>1049.3333592116833</v>
      </c>
      <c r="E145" s="9">
        <v>21465.0</v>
      </c>
      <c r="F145" s="27">
        <f t="shared" si="1"/>
        <v>0.1329140461</v>
      </c>
      <c r="G145" s="27">
        <f t="shared" si="2"/>
        <v>0.3677999857</v>
      </c>
      <c r="H145" s="27">
        <f t="shared" si="3"/>
        <v>0.04888578426</v>
      </c>
      <c r="I145" s="26"/>
      <c r="J145" s="26"/>
      <c r="K145" s="17"/>
      <c r="L145" s="17"/>
      <c r="M145" s="29"/>
      <c r="N145" s="29"/>
      <c r="O145" s="4"/>
      <c r="P145" s="4"/>
      <c r="Q145" s="4"/>
      <c r="R145" s="17"/>
      <c r="S145" s="17"/>
      <c r="T145" s="17"/>
      <c r="U145" s="17"/>
      <c r="V145" s="17"/>
    </row>
    <row r="146" ht="14.25" customHeight="1">
      <c r="A146" s="13">
        <v>31003.0</v>
      </c>
      <c r="B146" s="13" t="s">
        <v>170</v>
      </c>
      <c r="C146" s="9">
        <v>16980.0</v>
      </c>
      <c r="D146" s="9">
        <v>6303.666821539402</v>
      </c>
      <c r="E146" s="9">
        <v>92082.0</v>
      </c>
      <c r="F146" s="27">
        <f t="shared" si="1"/>
        <v>0.1844008601</v>
      </c>
      <c r="G146" s="27">
        <f t="shared" si="2"/>
        <v>0.3712406844</v>
      </c>
      <c r="H146" s="27">
        <f t="shared" si="3"/>
        <v>0.06845710151</v>
      </c>
      <c r="I146" s="26"/>
      <c r="J146" s="26"/>
      <c r="K146" s="17"/>
      <c r="L146" s="17"/>
      <c r="M146" s="29"/>
      <c r="N146" s="29"/>
      <c r="O146" s="4"/>
      <c r="P146" s="4"/>
      <c r="Q146" s="4"/>
      <c r="R146" s="17"/>
      <c r="S146" s="17"/>
      <c r="T146" s="17"/>
      <c r="U146" s="17"/>
      <c r="V146" s="17"/>
    </row>
    <row r="147" ht="14.25" customHeight="1">
      <c r="A147" s="13">
        <v>31101.0</v>
      </c>
      <c r="B147" s="13" t="s">
        <v>171</v>
      </c>
      <c r="C147" s="9">
        <v>9329.0</v>
      </c>
      <c r="D147" s="9">
        <v>3646.1112022399902</v>
      </c>
      <c r="E147" s="9">
        <v>24594.0</v>
      </c>
      <c r="F147" s="27">
        <f t="shared" si="1"/>
        <v>0.3793201594</v>
      </c>
      <c r="G147" s="27">
        <f t="shared" si="2"/>
        <v>0.3908362313</v>
      </c>
      <c r="H147" s="27">
        <f t="shared" si="3"/>
        <v>0.1482520616</v>
      </c>
      <c r="I147" s="26"/>
      <c r="J147" s="26"/>
      <c r="K147" s="17"/>
      <c r="L147" s="17"/>
      <c r="M147" s="29"/>
      <c r="N147" s="29"/>
      <c r="O147" s="4"/>
      <c r="P147" s="4"/>
      <c r="Q147" s="4"/>
      <c r="R147" s="17"/>
      <c r="S147" s="17"/>
      <c r="T147" s="17"/>
      <c r="U147" s="17"/>
      <c r="V147" s="17"/>
    </row>
    <row r="148" ht="14.25" customHeight="1">
      <c r="A148" s="13">
        <v>31201.0</v>
      </c>
      <c r="B148" s="13" t="s">
        <v>172</v>
      </c>
      <c r="C148" s="9">
        <v>3968.0</v>
      </c>
      <c r="D148" s="9">
        <v>1508.2222596108913</v>
      </c>
      <c r="E148" s="9">
        <v>14498.0</v>
      </c>
      <c r="F148" s="27">
        <f t="shared" si="1"/>
        <v>0.2736929232</v>
      </c>
      <c r="G148" s="27">
        <f t="shared" si="2"/>
        <v>0.3800963356</v>
      </c>
      <c r="H148" s="27">
        <f t="shared" si="3"/>
        <v>0.1040296772</v>
      </c>
      <c r="I148" s="26"/>
      <c r="J148" s="26"/>
      <c r="K148" s="17"/>
      <c r="L148" s="17"/>
      <c r="M148" s="29"/>
      <c r="N148" s="29"/>
      <c r="O148" s="4"/>
      <c r="P148" s="4"/>
      <c r="Q148" s="4"/>
      <c r="R148" s="17"/>
      <c r="S148" s="17"/>
      <c r="T148" s="17"/>
      <c r="U148" s="17"/>
      <c r="V148" s="17"/>
    </row>
    <row r="149" ht="14.25" customHeight="1">
      <c r="A149" s="13">
        <v>31202.0</v>
      </c>
      <c r="B149" s="13" t="s">
        <v>173</v>
      </c>
      <c r="C149" s="9">
        <v>3451.0</v>
      </c>
      <c r="D149" s="9">
        <v>1333.7778100669384</v>
      </c>
      <c r="E149" s="9">
        <v>11645.0</v>
      </c>
      <c r="F149" s="27">
        <f t="shared" si="1"/>
        <v>0.296350365</v>
      </c>
      <c r="G149" s="27">
        <f t="shared" si="2"/>
        <v>0.3864902376</v>
      </c>
      <c r="H149" s="27">
        <f t="shared" si="3"/>
        <v>0.114536523</v>
      </c>
      <c r="I149" s="26"/>
      <c r="J149" s="26"/>
      <c r="K149" s="17"/>
      <c r="L149" s="17"/>
      <c r="M149" s="29"/>
      <c r="N149" s="29"/>
      <c r="O149" s="4"/>
      <c r="P149" s="4"/>
      <c r="Q149" s="4"/>
      <c r="R149" s="17"/>
      <c r="S149" s="17"/>
      <c r="T149" s="17"/>
      <c r="U149" s="17"/>
      <c r="V149" s="17"/>
    </row>
    <row r="150" ht="14.25" customHeight="1">
      <c r="A150" s="13">
        <v>31203.0</v>
      </c>
      <c r="B150" s="13" t="s">
        <v>174</v>
      </c>
      <c r="C150" s="9">
        <v>1760.0</v>
      </c>
      <c r="D150" s="9">
        <v>664.2222389578819</v>
      </c>
      <c r="E150" s="9">
        <v>12079.0</v>
      </c>
      <c r="F150" s="27">
        <f t="shared" si="1"/>
        <v>0.1457074261</v>
      </c>
      <c r="G150" s="27">
        <f t="shared" si="2"/>
        <v>0.3773989994</v>
      </c>
      <c r="H150" s="27">
        <f t="shared" si="3"/>
        <v>0.05498983682</v>
      </c>
      <c r="I150" s="26"/>
      <c r="J150" s="26"/>
      <c r="K150" s="17"/>
      <c r="L150" s="17"/>
      <c r="M150" s="29"/>
      <c r="N150" s="29"/>
      <c r="O150" s="4"/>
      <c r="P150" s="4"/>
      <c r="Q150" s="4"/>
      <c r="R150" s="17"/>
      <c r="S150" s="17"/>
      <c r="T150" s="17"/>
      <c r="U150" s="17"/>
      <c r="V150" s="17"/>
    </row>
    <row r="151" ht="14.25" customHeight="1">
      <c r="A151" s="13">
        <v>31204.0</v>
      </c>
      <c r="B151" s="13" t="s">
        <v>175</v>
      </c>
      <c r="C151" s="9">
        <v>3913.0</v>
      </c>
      <c r="D151" s="9">
        <v>1442.4444808661938</v>
      </c>
      <c r="E151" s="9">
        <v>26228.0</v>
      </c>
      <c r="F151" s="27">
        <f t="shared" si="1"/>
        <v>0.1491917035</v>
      </c>
      <c r="G151" s="27">
        <f t="shared" si="2"/>
        <v>0.3686287965</v>
      </c>
      <c r="H151" s="27">
        <f t="shared" si="3"/>
        <v>0.05499635812</v>
      </c>
      <c r="I151" s="26"/>
      <c r="J151" s="26"/>
      <c r="K151" s="17"/>
      <c r="L151" s="17"/>
      <c r="M151" s="29"/>
      <c r="N151" s="29"/>
      <c r="O151" s="4"/>
      <c r="P151" s="4"/>
      <c r="Q151" s="4"/>
      <c r="R151" s="17"/>
      <c r="S151" s="17"/>
      <c r="T151" s="17"/>
      <c r="U151" s="17"/>
      <c r="V151" s="17"/>
    </row>
    <row r="152" ht="14.25" customHeight="1">
      <c r="A152" s="13">
        <v>31205.0</v>
      </c>
      <c r="B152" s="13" t="s">
        <v>176</v>
      </c>
      <c r="C152" s="9">
        <v>9220.0</v>
      </c>
      <c r="D152" s="9">
        <v>3385.000083744526</v>
      </c>
      <c r="E152" s="9">
        <v>63353.0</v>
      </c>
      <c r="F152" s="27">
        <f t="shared" si="1"/>
        <v>0.1455337553</v>
      </c>
      <c r="G152" s="27">
        <f t="shared" si="2"/>
        <v>0.3671366685</v>
      </c>
      <c r="H152" s="27">
        <f t="shared" si="3"/>
        <v>0.05343077808</v>
      </c>
      <c r="I152" s="26"/>
      <c r="J152" s="26"/>
      <c r="K152" s="17"/>
      <c r="L152" s="17"/>
      <c r="M152" s="29"/>
      <c r="N152" s="29"/>
      <c r="O152" s="4"/>
      <c r="P152" s="4"/>
      <c r="Q152" s="4"/>
      <c r="R152" s="17"/>
      <c r="S152" s="17"/>
      <c r="T152" s="17"/>
      <c r="U152" s="17"/>
      <c r="V152" s="17"/>
    </row>
    <row r="153" ht="14.25" customHeight="1">
      <c r="A153" s="13">
        <v>31206.0</v>
      </c>
      <c r="B153" s="13" t="s">
        <v>177</v>
      </c>
      <c r="C153" s="9">
        <v>6780.0</v>
      </c>
      <c r="D153" s="9">
        <v>2493.666729271412</v>
      </c>
      <c r="E153" s="9">
        <v>44108.0</v>
      </c>
      <c r="F153" s="27">
        <f t="shared" si="1"/>
        <v>0.153713612</v>
      </c>
      <c r="G153" s="27">
        <f t="shared" si="2"/>
        <v>0.3677974527</v>
      </c>
      <c r="H153" s="27">
        <f t="shared" si="3"/>
        <v>0.05653547495</v>
      </c>
      <c r="I153" s="26"/>
      <c r="J153" s="26"/>
      <c r="K153" s="17"/>
      <c r="L153" s="17"/>
      <c r="M153" s="29"/>
      <c r="N153" s="29"/>
      <c r="O153" s="4"/>
      <c r="P153" s="4"/>
      <c r="Q153" s="4"/>
      <c r="R153" s="17"/>
      <c r="S153" s="17"/>
      <c r="T153" s="17"/>
      <c r="U153" s="17"/>
      <c r="V153" s="17"/>
    </row>
    <row r="154" ht="14.25" customHeight="1">
      <c r="A154" s="13">
        <v>31301.0</v>
      </c>
      <c r="B154" s="13" t="s">
        <v>178</v>
      </c>
      <c r="C154" s="9">
        <v>3519.0</v>
      </c>
      <c r="D154" s="9">
        <v>1333.1111435592175</v>
      </c>
      <c r="E154" s="9">
        <v>19579.0</v>
      </c>
      <c r="F154" s="27">
        <f t="shared" si="1"/>
        <v>0.1797333878</v>
      </c>
      <c r="G154" s="27">
        <f t="shared" si="2"/>
        <v>0.3788323795</v>
      </c>
      <c r="H154" s="27">
        <f t="shared" si="3"/>
        <v>0.06808882699</v>
      </c>
      <c r="I154" s="26"/>
      <c r="J154" s="26"/>
      <c r="K154" s="17"/>
      <c r="L154" s="17"/>
      <c r="M154" s="29"/>
      <c r="N154" s="29"/>
      <c r="O154" s="4"/>
      <c r="P154" s="4"/>
      <c r="Q154" s="4"/>
      <c r="R154" s="17"/>
      <c r="S154" s="17"/>
      <c r="T154" s="17"/>
      <c r="U154" s="17"/>
      <c r="V154" s="17"/>
    </row>
    <row r="155" ht="14.25" customHeight="1">
      <c r="A155" s="13">
        <v>31302.0</v>
      </c>
      <c r="B155" s="13" t="s">
        <v>179</v>
      </c>
      <c r="C155" s="9">
        <v>2534.0</v>
      </c>
      <c r="D155" s="9">
        <v>1041.0000275075436</v>
      </c>
      <c r="E155" s="9">
        <v>5213.0</v>
      </c>
      <c r="F155" s="27">
        <f t="shared" si="1"/>
        <v>0.4860924612</v>
      </c>
      <c r="G155" s="27">
        <f t="shared" si="2"/>
        <v>0.4108129548</v>
      </c>
      <c r="H155" s="27">
        <f t="shared" si="3"/>
        <v>0.1996930803</v>
      </c>
      <c r="I155" s="26"/>
      <c r="J155" s="26"/>
      <c r="K155" s="17"/>
      <c r="L155" s="17"/>
      <c r="M155" s="29"/>
      <c r="N155" s="29"/>
      <c r="O155" s="4"/>
      <c r="P155" s="4"/>
      <c r="Q155" s="4"/>
      <c r="R155" s="17"/>
      <c r="S155" s="17"/>
      <c r="T155" s="17"/>
      <c r="U155" s="17"/>
      <c r="V155" s="17"/>
    </row>
    <row r="156" ht="14.25" customHeight="1">
      <c r="A156" s="13">
        <v>31303.0</v>
      </c>
      <c r="B156" s="13" t="s">
        <v>180</v>
      </c>
      <c r="C156" s="9">
        <v>1361.0</v>
      </c>
      <c r="D156" s="9">
        <v>530.1111240386963</v>
      </c>
      <c r="E156" s="9">
        <v>3488.0</v>
      </c>
      <c r="F156" s="27">
        <f t="shared" si="1"/>
        <v>0.3901949541</v>
      </c>
      <c r="G156" s="27">
        <f t="shared" si="2"/>
        <v>0.3895011933</v>
      </c>
      <c r="H156" s="27">
        <f t="shared" si="3"/>
        <v>0.1519814002</v>
      </c>
      <c r="I156" s="26"/>
      <c r="J156" s="26"/>
      <c r="K156" s="17"/>
      <c r="L156" s="17"/>
      <c r="M156" s="29"/>
      <c r="N156" s="29"/>
      <c r="O156" s="4"/>
      <c r="P156" s="4"/>
      <c r="Q156" s="4"/>
      <c r="R156" s="17"/>
      <c r="S156" s="17"/>
      <c r="T156" s="17"/>
      <c r="U156" s="17"/>
      <c r="V156" s="17"/>
    </row>
    <row r="157" ht="14.25" customHeight="1">
      <c r="A157" s="13">
        <v>31304.0</v>
      </c>
      <c r="B157" s="13" t="s">
        <v>181</v>
      </c>
      <c r="C157" s="9">
        <v>5312.0</v>
      </c>
      <c r="D157" s="9">
        <v>2376.555618941784</v>
      </c>
      <c r="E157" s="9">
        <v>8031.0</v>
      </c>
      <c r="F157" s="27">
        <f t="shared" si="1"/>
        <v>0.6614369319</v>
      </c>
      <c r="G157" s="27">
        <f t="shared" si="2"/>
        <v>0.4473937536</v>
      </c>
      <c r="H157" s="27">
        <f t="shared" si="3"/>
        <v>0.2959227517</v>
      </c>
      <c r="I157" s="26"/>
      <c r="J157" s="26"/>
      <c r="K157" s="17"/>
      <c r="L157" s="17"/>
      <c r="M157" s="29"/>
      <c r="N157" s="29"/>
      <c r="O157" s="4"/>
      <c r="P157" s="4"/>
      <c r="Q157" s="4"/>
      <c r="R157" s="17"/>
      <c r="S157" s="17"/>
      <c r="T157" s="17"/>
      <c r="U157" s="17"/>
      <c r="V157" s="17"/>
    </row>
    <row r="158" ht="14.25" customHeight="1">
      <c r="A158" s="13">
        <v>31401.0</v>
      </c>
      <c r="B158" s="13" t="s">
        <v>182</v>
      </c>
      <c r="C158" s="9">
        <v>1820.0</v>
      </c>
      <c r="D158" s="9">
        <v>654.3333503603935</v>
      </c>
      <c r="E158" s="9">
        <v>34555.0</v>
      </c>
      <c r="F158" s="27">
        <f t="shared" si="1"/>
        <v>0.05266965707</v>
      </c>
      <c r="G158" s="27">
        <f t="shared" si="2"/>
        <v>0.3595238189</v>
      </c>
      <c r="H158" s="27">
        <f t="shared" si="3"/>
        <v>0.01893599625</v>
      </c>
      <c r="I158" s="26"/>
      <c r="J158" s="26"/>
      <c r="K158" s="17"/>
      <c r="L158" s="17"/>
      <c r="M158" s="29"/>
      <c r="N158" s="29"/>
      <c r="O158" s="4"/>
      <c r="P158" s="4"/>
      <c r="Q158" s="4"/>
      <c r="R158" s="17"/>
      <c r="S158" s="17"/>
      <c r="T158" s="17"/>
      <c r="U158" s="17"/>
      <c r="V158" s="17"/>
    </row>
    <row r="159" ht="14.25" customHeight="1">
      <c r="A159" s="13">
        <v>31402.0</v>
      </c>
      <c r="B159" s="13" t="s">
        <v>183</v>
      </c>
      <c r="C159" s="9">
        <v>648.0</v>
      </c>
      <c r="D159" s="9">
        <v>233.66667288541794</v>
      </c>
      <c r="E159" s="9">
        <v>8579.0</v>
      </c>
      <c r="F159" s="27">
        <f t="shared" si="1"/>
        <v>0.07553327894</v>
      </c>
      <c r="G159" s="27">
        <f t="shared" si="2"/>
        <v>0.3605967174</v>
      </c>
      <c r="H159" s="27">
        <f t="shared" si="3"/>
        <v>0.02723705244</v>
      </c>
      <c r="I159" s="26"/>
      <c r="J159" s="26"/>
      <c r="K159" s="17"/>
      <c r="L159" s="17"/>
      <c r="M159" s="29"/>
      <c r="N159" s="29"/>
      <c r="O159" s="4"/>
      <c r="P159" s="4"/>
      <c r="Q159" s="4"/>
      <c r="R159" s="17"/>
      <c r="S159" s="17"/>
      <c r="T159" s="17"/>
      <c r="U159" s="17"/>
      <c r="V159" s="17"/>
    </row>
    <row r="160" ht="14.25" customHeight="1">
      <c r="A160" s="13">
        <v>31403.0</v>
      </c>
      <c r="B160" s="13" t="s">
        <v>184</v>
      </c>
      <c r="C160" s="9">
        <v>637.0</v>
      </c>
      <c r="D160" s="9">
        <v>229.77778363227844</v>
      </c>
      <c r="E160" s="9">
        <v>13032.0</v>
      </c>
      <c r="F160" s="27">
        <f t="shared" si="1"/>
        <v>0.04887968079</v>
      </c>
      <c r="G160" s="27">
        <f t="shared" si="2"/>
        <v>0.3607186556</v>
      </c>
      <c r="H160" s="27">
        <f t="shared" si="3"/>
        <v>0.01763181274</v>
      </c>
      <c r="I160" s="26"/>
      <c r="J160" s="26"/>
      <c r="K160" s="17"/>
      <c r="L160" s="17"/>
      <c r="M160" s="29"/>
      <c r="N160" s="29"/>
      <c r="O160" s="4"/>
      <c r="P160" s="4"/>
      <c r="Q160" s="4"/>
      <c r="R160" s="17"/>
      <c r="S160" s="17"/>
      <c r="T160" s="17"/>
      <c r="U160" s="17"/>
      <c r="V160" s="17"/>
    </row>
    <row r="161" ht="14.25" customHeight="1">
      <c r="A161" s="13">
        <v>31404.0</v>
      </c>
      <c r="B161" s="13" t="s">
        <v>185</v>
      </c>
      <c r="C161" s="9">
        <v>71.0</v>
      </c>
      <c r="D161" s="9">
        <v>26.888889461755753</v>
      </c>
      <c r="E161" s="9">
        <v>1282.0</v>
      </c>
      <c r="F161" s="27">
        <f t="shared" si="1"/>
        <v>0.05538221529</v>
      </c>
      <c r="G161" s="27">
        <f t="shared" si="2"/>
        <v>0.378716753</v>
      </c>
      <c r="H161" s="27">
        <f t="shared" si="3"/>
        <v>0.02097417275</v>
      </c>
      <c r="I161" s="26"/>
      <c r="J161" s="26"/>
      <c r="K161" s="17"/>
      <c r="L161" s="17"/>
      <c r="M161" s="29"/>
      <c r="N161" s="29"/>
      <c r="O161" s="4"/>
      <c r="P161" s="4"/>
      <c r="Q161" s="4"/>
      <c r="R161" s="17"/>
      <c r="S161" s="17"/>
      <c r="T161" s="17"/>
      <c r="U161" s="17"/>
      <c r="V161" s="17"/>
    </row>
    <row r="162" ht="14.25" customHeight="1">
      <c r="A162" s="13">
        <v>31405.0</v>
      </c>
      <c r="B162" s="13" t="s">
        <v>186</v>
      </c>
      <c r="C162" s="9">
        <v>609.0</v>
      </c>
      <c r="D162" s="9">
        <v>239.33333894610405</v>
      </c>
      <c r="E162" s="9">
        <v>3813.0</v>
      </c>
      <c r="F162" s="27">
        <f t="shared" si="1"/>
        <v>0.1597167585</v>
      </c>
      <c r="G162" s="27">
        <f t="shared" si="2"/>
        <v>0.3929939884</v>
      </c>
      <c r="H162" s="27">
        <f t="shared" si="3"/>
        <v>0.06276772592</v>
      </c>
      <c r="I162" s="26"/>
      <c r="J162" s="26"/>
      <c r="K162" s="17"/>
      <c r="L162" s="17"/>
      <c r="M162" s="29"/>
      <c r="N162" s="29"/>
      <c r="O162" s="4"/>
      <c r="P162" s="4"/>
      <c r="Q162" s="4"/>
      <c r="R162" s="17"/>
      <c r="S162" s="17"/>
      <c r="T162" s="17"/>
      <c r="U162" s="17"/>
      <c r="V162" s="17"/>
    </row>
    <row r="163" ht="14.25" customHeight="1">
      <c r="A163" s="13">
        <v>31501.0</v>
      </c>
      <c r="B163" s="13" t="s">
        <v>187</v>
      </c>
      <c r="C163" s="9">
        <v>2322.0</v>
      </c>
      <c r="D163" s="9">
        <v>869.6666879057884</v>
      </c>
      <c r="E163" s="9">
        <v>8271.0</v>
      </c>
      <c r="F163" s="27">
        <f t="shared" si="1"/>
        <v>0.2807399347</v>
      </c>
      <c r="G163" s="27">
        <f t="shared" si="2"/>
        <v>0.3745334573</v>
      </c>
      <c r="H163" s="27">
        <f t="shared" si="3"/>
        <v>0.1051464984</v>
      </c>
      <c r="I163" s="26"/>
      <c r="J163" s="26"/>
      <c r="K163" s="17"/>
      <c r="L163" s="17"/>
      <c r="M163" s="29"/>
      <c r="N163" s="29"/>
      <c r="O163" s="4"/>
      <c r="P163" s="4"/>
      <c r="Q163" s="4"/>
      <c r="R163" s="17"/>
      <c r="S163" s="17"/>
      <c r="T163" s="17"/>
      <c r="U163" s="17"/>
      <c r="V163" s="17"/>
    </row>
    <row r="164" ht="14.25" customHeight="1">
      <c r="A164" s="13">
        <v>31601.0</v>
      </c>
      <c r="B164" s="13" t="s">
        <v>188</v>
      </c>
      <c r="C164" s="9">
        <v>2204.0</v>
      </c>
      <c r="D164" s="9">
        <v>837.2222425043583</v>
      </c>
      <c r="E164" s="9">
        <v>18426.0</v>
      </c>
      <c r="F164" s="27">
        <f t="shared" si="1"/>
        <v>0.1196135895</v>
      </c>
      <c r="G164" s="27">
        <f t="shared" si="2"/>
        <v>0.3798649013</v>
      </c>
      <c r="H164" s="27">
        <f t="shared" si="3"/>
        <v>0.04543700437</v>
      </c>
      <c r="I164" s="26"/>
      <c r="J164" s="26"/>
      <c r="K164" s="17"/>
      <c r="L164" s="17"/>
      <c r="M164" s="29"/>
      <c r="N164" s="29"/>
      <c r="O164" s="4"/>
      <c r="P164" s="4"/>
      <c r="Q164" s="4"/>
      <c r="R164" s="17"/>
      <c r="S164" s="17"/>
      <c r="T164" s="17"/>
      <c r="U164" s="17"/>
      <c r="V164" s="17"/>
    </row>
    <row r="165" ht="14.25" customHeight="1">
      <c r="A165" s="13">
        <v>31602.0</v>
      </c>
      <c r="B165" s="13" t="s">
        <v>189</v>
      </c>
      <c r="C165" s="9">
        <v>2810.0</v>
      </c>
      <c r="D165" s="9">
        <v>1033.6666918694973</v>
      </c>
      <c r="E165" s="9">
        <v>26438.0</v>
      </c>
      <c r="F165" s="27">
        <f t="shared" si="1"/>
        <v>0.1062864059</v>
      </c>
      <c r="G165" s="27">
        <f t="shared" si="2"/>
        <v>0.3678529153</v>
      </c>
      <c r="H165" s="27">
        <f t="shared" si="3"/>
        <v>0.03909776427</v>
      </c>
      <c r="I165" s="26"/>
      <c r="J165" s="26"/>
      <c r="K165" s="17"/>
      <c r="L165" s="17"/>
      <c r="M165" s="29"/>
      <c r="N165" s="29"/>
      <c r="O165" s="4"/>
      <c r="P165" s="4"/>
      <c r="Q165" s="4"/>
      <c r="R165" s="17"/>
      <c r="S165" s="17"/>
      <c r="T165" s="17"/>
      <c r="U165" s="17"/>
      <c r="V165" s="17"/>
    </row>
    <row r="166" ht="14.25" customHeight="1">
      <c r="A166" s="13">
        <v>40101.0</v>
      </c>
      <c r="B166" s="13" t="s">
        <v>18</v>
      </c>
      <c r="C166" s="9">
        <v>5958.0</v>
      </c>
      <c r="D166" s="9">
        <v>2160.4444997012615</v>
      </c>
      <c r="E166" s="9">
        <v>291130.0</v>
      </c>
      <c r="F166" s="27">
        <f t="shared" si="1"/>
        <v>0.02046508433</v>
      </c>
      <c r="G166" s="27">
        <f t="shared" si="2"/>
        <v>0.3626123699</v>
      </c>
      <c r="H166" s="27">
        <f t="shared" si="3"/>
        <v>0.007420892727</v>
      </c>
      <c r="I166" s="26"/>
      <c r="J166" s="26"/>
      <c r="K166" s="17"/>
      <c r="L166" s="17"/>
      <c r="M166" s="29"/>
      <c r="N166" s="29"/>
      <c r="O166" s="4"/>
      <c r="P166" s="4"/>
      <c r="Q166" s="4"/>
      <c r="R166" s="17"/>
      <c r="S166" s="17"/>
      <c r="T166" s="17"/>
      <c r="U166" s="17"/>
      <c r="V166" s="17"/>
    </row>
    <row r="167" ht="14.25" customHeight="1">
      <c r="A167" s="13">
        <v>40102.0</v>
      </c>
      <c r="B167" s="13" t="s">
        <v>190</v>
      </c>
      <c r="C167" s="9">
        <v>3075.0</v>
      </c>
      <c r="D167" s="9">
        <v>1109.2222498953342</v>
      </c>
      <c r="E167" s="9">
        <v>22301.0</v>
      </c>
      <c r="F167" s="27">
        <f t="shared" si="1"/>
        <v>0.1378861934</v>
      </c>
      <c r="G167" s="27">
        <f t="shared" si="2"/>
        <v>0.3607226829</v>
      </c>
      <c r="H167" s="27">
        <f t="shared" si="3"/>
        <v>0.04973867763</v>
      </c>
      <c r="I167" s="26"/>
      <c r="J167" s="26"/>
      <c r="K167" s="17"/>
      <c r="L167" s="17"/>
      <c r="M167" s="29"/>
      <c r="N167" s="29"/>
      <c r="O167" s="4"/>
      <c r="P167" s="4"/>
      <c r="Q167" s="4"/>
      <c r="R167" s="17"/>
      <c r="S167" s="17"/>
      <c r="T167" s="17"/>
      <c r="U167" s="17"/>
      <c r="V167" s="17"/>
    </row>
    <row r="168" ht="14.25" customHeight="1">
      <c r="A168" s="13">
        <v>40103.0</v>
      </c>
      <c r="B168" s="13" t="s">
        <v>191</v>
      </c>
      <c r="C168" s="9">
        <v>5432.0</v>
      </c>
      <c r="D168" s="9">
        <v>2023.000049084425</v>
      </c>
      <c r="E168" s="9">
        <v>9966.0</v>
      </c>
      <c r="F168" s="27">
        <f t="shared" si="1"/>
        <v>0.5450531808</v>
      </c>
      <c r="G168" s="27">
        <f t="shared" si="2"/>
        <v>0.3724226894</v>
      </c>
      <c r="H168" s="27">
        <f t="shared" si="3"/>
        <v>0.2029901715</v>
      </c>
      <c r="I168" s="26"/>
      <c r="J168" s="26"/>
      <c r="K168" s="17"/>
      <c r="L168" s="17"/>
      <c r="M168" s="29"/>
      <c r="N168" s="29"/>
      <c r="O168" s="4"/>
      <c r="P168" s="4"/>
      <c r="Q168" s="4"/>
      <c r="R168" s="17"/>
      <c r="S168" s="17"/>
      <c r="T168" s="17"/>
      <c r="U168" s="17"/>
      <c r="V168" s="17"/>
    </row>
    <row r="169" ht="14.25" customHeight="1">
      <c r="A169" s="13">
        <v>40104.0</v>
      </c>
      <c r="B169" s="13" t="s">
        <v>192</v>
      </c>
      <c r="C169" s="9">
        <v>1889.0</v>
      </c>
      <c r="D169" s="9">
        <v>696.4444615542889</v>
      </c>
      <c r="E169" s="9">
        <v>15687.0</v>
      </c>
      <c r="F169" s="27">
        <f t="shared" si="1"/>
        <v>0.1204181807</v>
      </c>
      <c r="G169" s="27">
        <f t="shared" si="2"/>
        <v>0.3686842041</v>
      </c>
      <c r="H169" s="27">
        <f t="shared" si="3"/>
        <v>0.0443962811</v>
      </c>
      <c r="I169" s="26"/>
      <c r="J169" s="26"/>
      <c r="K169" s="17"/>
      <c r="L169" s="17"/>
      <c r="M169" s="29"/>
      <c r="N169" s="29"/>
      <c r="O169" s="4"/>
      <c r="P169" s="4"/>
      <c r="Q169" s="4"/>
      <c r="R169" s="17"/>
      <c r="S169" s="17"/>
      <c r="T169" s="17"/>
      <c r="U169" s="17"/>
      <c r="V169" s="17"/>
    </row>
    <row r="170" ht="14.25" customHeight="1">
      <c r="A170" s="13">
        <v>40201.0</v>
      </c>
      <c r="B170" s="13" t="s">
        <v>193</v>
      </c>
      <c r="C170" s="9">
        <v>6216.0</v>
      </c>
      <c r="D170" s="9">
        <v>2298.4445017278194</v>
      </c>
      <c r="E170" s="9">
        <v>34911.0</v>
      </c>
      <c r="F170" s="27">
        <f t="shared" si="1"/>
        <v>0.1780527627</v>
      </c>
      <c r="G170" s="27">
        <f t="shared" si="2"/>
        <v>0.369762629</v>
      </c>
      <c r="H170" s="27">
        <f t="shared" si="3"/>
        <v>0.06583725765</v>
      </c>
      <c r="I170" s="26"/>
      <c r="J170" s="26"/>
      <c r="K170" s="17"/>
      <c r="L170" s="17"/>
      <c r="M170" s="29"/>
      <c r="N170" s="29"/>
      <c r="O170" s="4"/>
      <c r="P170" s="4"/>
      <c r="Q170" s="4"/>
      <c r="R170" s="17"/>
      <c r="S170" s="17"/>
      <c r="T170" s="17"/>
      <c r="U170" s="17"/>
      <c r="V170" s="17"/>
    </row>
    <row r="171" ht="14.25" customHeight="1">
      <c r="A171" s="13">
        <v>40202.0</v>
      </c>
      <c r="B171" s="13" t="s">
        <v>194</v>
      </c>
      <c r="C171" s="9">
        <v>1129.0</v>
      </c>
      <c r="D171" s="9">
        <v>402.7777878344059</v>
      </c>
      <c r="E171" s="9">
        <v>5141.0</v>
      </c>
      <c r="F171" s="27">
        <f t="shared" si="1"/>
        <v>0.2196070803</v>
      </c>
      <c r="G171" s="27">
        <f t="shared" si="2"/>
        <v>0.3567562337</v>
      </c>
      <c r="H171" s="27">
        <f t="shared" si="3"/>
        <v>0.07834619487</v>
      </c>
      <c r="I171" s="26"/>
      <c r="J171" s="26"/>
      <c r="K171" s="17"/>
      <c r="L171" s="17"/>
      <c r="M171" s="29"/>
      <c r="N171" s="29"/>
      <c r="O171" s="4"/>
      <c r="P171" s="4"/>
      <c r="Q171" s="4"/>
      <c r="R171" s="17"/>
      <c r="S171" s="17"/>
      <c r="T171" s="17"/>
      <c r="U171" s="17"/>
      <c r="V171" s="17"/>
    </row>
    <row r="172" ht="14.25" customHeight="1">
      <c r="A172" s="13">
        <v>40301.0</v>
      </c>
      <c r="B172" s="13" t="s">
        <v>195</v>
      </c>
      <c r="C172" s="9">
        <v>5322.0</v>
      </c>
      <c r="D172" s="9">
        <v>1989.4444929361343</v>
      </c>
      <c r="E172" s="9">
        <v>15894.0</v>
      </c>
      <c r="F172" s="27">
        <f t="shared" si="1"/>
        <v>0.3348433371</v>
      </c>
      <c r="G172" s="27">
        <f t="shared" si="2"/>
        <v>0.3738151997</v>
      </c>
      <c r="H172" s="27">
        <f t="shared" si="3"/>
        <v>0.1251695289</v>
      </c>
      <c r="I172" s="26"/>
      <c r="J172" s="26"/>
      <c r="K172" s="17"/>
      <c r="L172" s="17"/>
      <c r="M172" s="29"/>
      <c r="N172" s="29"/>
      <c r="O172" s="4"/>
      <c r="P172" s="4"/>
      <c r="Q172" s="4"/>
      <c r="R172" s="17"/>
      <c r="S172" s="17"/>
      <c r="T172" s="17"/>
      <c r="U172" s="17"/>
      <c r="V172" s="17"/>
    </row>
    <row r="173" ht="14.25" customHeight="1">
      <c r="A173" s="13">
        <v>40302.0</v>
      </c>
      <c r="B173" s="13" t="s">
        <v>196</v>
      </c>
      <c r="C173" s="9">
        <v>673.0</v>
      </c>
      <c r="D173" s="9">
        <v>241.66667288541794</v>
      </c>
      <c r="E173" s="9">
        <v>2499.0</v>
      </c>
      <c r="F173" s="27">
        <f t="shared" si="1"/>
        <v>0.2693077231</v>
      </c>
      <c r="G173" s="27">
        <f t="shared" si="2"/>
        <v>0.359088667</v>
      </c>
      <c r="H173" s="27">
        <f t="shared" si="3"/>
        <v>0.09670535129</v>
      </c>
      <c r="I173" s="26"/>
      <c r="J173" s="26"/>
      <c r="K173" s="17"/>
      <c r="L173" s="17"/>
      <c r="M173" s="29"/>
      <c r="N173" s="29"/>
      <c r="O173" s="4"/>
      <c r="P173" s="4"/>
      <c r="Q173" s="4"/>
      <c r="R173" s="17"/>
      <c r="S173" s="17"/>
      <c r="T173" s="17"/>
      <c r="U173" s="17"/>
      <c r="V173" s="17"/>
    </row>
    <row r="174" ht="14.25" customHeight="1">
      <c r="A174" s="13">
        <v>40401.0</v>
      </c>
      <c r="B174" s="13" t="s">
        <v>197</v>
      </c>
      <c r="C174" s="9">
        <v>1218.0</v>
      </c>
      <c r="D174" s="9">
        <v>453.666677236557</v>
      </c>
      <c r="E174" s="9">
        <v>6367.0</v>
      </c>
      <c r="F174" s="27">
        <f t="shared" si="1"/>
        <v>0.1912988849</v>
      </c>
      <c r="G174" s="27">
        <f t="shared" si="2"/>
        <v>0.3724685363</v>
      </c>
      <c r="H174" s="27">
        <f t="shared" si="3"/>
        <v>0.07125281565</v>
      </c>
      <c r="I174" s="26"/>
      <c r="J174" s="26"/>
      <c r="K174" s="17"/>
      <c r="L174" s="17"/>
      <c r="M174" s="29"/>
      <c r="N174" s="29"/>
      <c r="O174" s="4"/>
      <c r="P174" s="4"/>
      <c r="Q174" s="4"/>
      <c r="R174" s="17"/>
      <c r="S174" s="17"/>
      <c r="T174" s="17"/>
      <c r="U174" s="17"/>
      <c r="V174" s="17"/>
    </row>
    <row r="175" ht="14.25" customHeight="1">
      <c r="A175" s="13">
        <v>40402.0</v>
      </c>
      <c r="B175" s="13" t="s">
        <v>198</v>
      </c>
      <c r="C175" s="9">
        <v>1831.0</v>
      </c>
      <c r="D175" s="9">
        <v>686.2222386002541</v>
      </c>
      <c r="E175" s="9">
        <v>5575.0</v>
      </c>
      <c r="F175" s="27">
        <f t="shared" si="1"/>
        <v>0.3284304933</v>
      </c>
      <c r="G175" s="27">
        <f t="shared" si="2"/>
        <v>0.374780032</v>
      </c>
      <c r="H175" s="27">
        <f t="shared" si="3"/>
        <v>0.1230891908</v>
      </c>
      <c r="I175" s="26"/>
      <c r="J175" s="26"/>
      <c r="K175" s="17"/>
      <c r="L175" s="17"/>
      <c r="M175" s="29"/>
      <c r="N175" s="29"/>
      <c r="O175" s="4"/>
      <c r="P175" s="4"/>
      <c r="Q175" s="4"/>
      <c r="R175" s="17"/>
      <c r="S175" s="17"/>
      <c r="T175" s="17"/>
      <c r="U175" s="17"/>
      <c r="V175" s="17"/>
    </row>
    <row r="176" ht="14.25" customHeight="1">
      <c r="A176" s="13">
        <v>40501.0</v>
      </c>
      <c r="B176" s="13" t="s">
        <v>199</v>
      </c>
      <c r="C176" s="9">
        <v>92.0</v>
      </c>
      <c r="D176" s="9">
        <v>31.888889729976654</v>
      </c>
      <c r="E176" s="9">
        <v>3787.0</v>
      </c>
      <c r="F176" s="27">
        <f t="shared" si="1"/>
        <v>0.02429363612</v>
      </c>
      <c r="G176" s="27">
        <f t="shared" si="2"/>
        <v>0.3466183666</v>
      </c>
      <c r="H176" s="27">
        <f t="shared" si="3"/>
        <v>0.008420620473</v>
      </c>
      <c r="I176" s="26"/>
      <c r="J176" s="26"/>
      <c r="K176" s="17"/>
      <c r="L176" s="17"/>
      <c r="M176" s="29"/>
      <c r="N176" s="29"/>
      <c r="O176" s="4"/>
      <c r="P176" s="4"/>
      <c r="Q176" s="4"/>
      <c r="R176" s="17"/>
      <c r="S176" s="17"/>
      <c r="T176" s="17"/>
      <c r="U176" s="17"/>
      <c r="V176" s="17"/>
    </row>
    <row r="177" ht="14.25" customHeight="1">
      <c r="A177" s="13">
        <v>40502.0</v>
      </c>
      <c r="B177" s="13" t="s">
        <v>200</v>
      </c>
      <c r="C177" s="9">
        <v>754.0</v>
      </c>
      <c r="D177" s="9">
        <v>278.2222290337086</v>
      </c>
      <c r="E177" s="9">
        <v>4153.0</v>
      </c>
      <c r="F177" s="27">
        <f t="shared" si="1"/>
        <v>0.181555502</v>
      </c>
      <c r="G177" s="27">
        <f t="shared" si="2"/>
        <v>0.3689949987</v>
      </c>
      <c r="H177" s="27">
        <f t="shared" si="3"/>
        <v>0.06699307225</v>
      </c>
      <c r="I177" s="26"/>
      <c r="J177" s="26"/>
      <c r="K177" s="17"/>
      <c r="L177" s="17"/>
      <c r="M177" s="29"/>
      <c r="N177" s="29"/>
      <c r="O177" s="4"/>
      <c r="P177" s="4"/>
      <c r="Q177" s="4"/>
      <c r="R177" s="17"/>
      <c r="S177" s="17"/>
      <c r="T177" s="17"/>
      <c r="U177" s="17"/>
      <c r="V177" s="17"/>
    </row>
    <row r="178" ht="14.25" customHeight="1">
      <c r="A178" s="13">
        <v>40503.0</v>
      </c>
      <c r="B178" s="13" t="s">
        <v>201</v>
      </c>
      <c r="C178" s="9">
        <v>132.0</v>
      </c>
      <c r="D178" s="9">
        <v>51.222223460674286</v>
      </c>
      <c r="E178" s="9">
        <v>1493.0</v>
      </c>
      <c r="F178" s="27">
        <f t="shared" si="1"/>
        <v>0.0884125921</v>
      </c>
      <c r="G178" s="27">
        <f t="shared" si="2"/>
        <v>0.3880471474</v>
      </c>
      <c r="H178" s="27">
        <f t="shared" si="3"/>
        <v>0.03430825416</v>
      </c>
      <c r="I178" s="26"/>
      <c r="J178" s="26"/>
      <c r="K178" s="17"/>
      <c r="L178" s="17"/>
      <c r="M178" s="29"/>
      <c r="N178" s="29"/>
      <c r="O178" s="4"/>
      <c r="P178" s="4"/>
      <c r="Q178" s="4"/>
      <c r="R178" s="17"/>
      <c r="S178" s="17"/>
      <c r="T178" s="17"/>
      <c r="U178" s="17"/>
      <c r="V178" s="17"/>
    </row>
    <row r="179" ht="14.25" customHeight="1">
      <c r="A179" s="13">
        <v>40504.0</v>
      </c>
      <c r="B179" s="13" t="s">
        <v>202</v>
      </c>
      <c r="C179" s="9">
        <v>28.0</v>
      </c>
      <c r="D179" s="9">
        <v>9.333333611488342</v>
      </c>
      <c r="E179" s="9">
        <v>875.0</v>
      </c>
      <c r="F179" s="27">
        <f t="shared" si="1"/>
        <v>0.032</v>
      </c>
      <c r="G179" s="27">
        <f t="shared" si="2"/>
        <v>0.3333333433</v>
      </c>
      <c r="H179" s="27">
        <f t="shared" si="3"/>
        <v>0.01066666698</v>
      </c>
      <c r="I179" s="26"/>
      <c r="J179" s="26"/>
      <c r="K179" s="17"/>
      <c r="L179" s="17"/>
      <c r="M179" s="29"/>
      <c r="N179" s="29"/>
      <c r="O179" s="4"/>
      <c r="P179" s="4"/>
      <c r="Q179" s="4"/>
      <c r="R179" s="17"/>
      <c r="S179" s="17"/>
      <c r="T179" s="17"/>
      <c r="U179" s="17"/>
      <c r="V179" s="17"/>
    </row>
    <row r="180" ht="14.25" customHeight="1">
      <c r="A180" s="13">
        <v>40505.0</v>
      </c>
      <c r="B180" s="13" t="s">
        <v>203</v>
      </c>
      <c r="C180" s="9">
        <v>349.0</v>
      </c>
      <c r="D180" s="9">
        <v>129.6666700541973</v>
      </c>
      <c r="E180" s="9">
        <v>3856.0</v>
      </c>
      <c r="F180" s="27">
        <f t="shared" si="1"/>
        <v>0.09050829876</v>
      </c>
      <c r="G180" s="27">
        <f t="shared" si="2"/>
        <v>0.3715377365</v>
      </c>
      <c r="H180" s="27">
        <f t="shared" si="3"/>
        <v>0.03362724846</v>
      </c>
      <c r="I180" s="26"/>
      <c r="J180" s="26"/>
      <c r="K180" s="17"/>
      <c r="L180" s="17"/>
      <c r="M180" s="29"/>
      <c r="N180" s="29"/>
      <c r="O180" s="4"/>
      <c r="P180" s="4"/>
      <c r="Q180" s="4"/>
      <c r="R180" s="17"/>
      <c r="S180" s="17"/>
      <c r="T180" s="17"/>
      <c r="U180" s="17"/>
      <c r="V180" s="17"/>
    </row>
    <row r="181" ht="14.25" customHeight="1">
      <c r="A181" s="13">
        <v>40601.0</v>
      </c>
      <c r="B181" s="13" t="s">
        <v>204</v>
      </c>
      <c r="C181" s="9">
        <v>1019.0</v>
      </c>
      <c r="D181" s="9">
        <v>368.555565148592</v>
      </c>
      <c r="E181" s="9">
        <v>9120.0</v>
      </c>
      <c r="F181" s="27">
        <f t="shared" si="1"/>
        <v>0.1117324561</v>
      </c>
      <c r="G181" s="27">
        <f t="shared" si="2"/>
        <v>0.3616835772</v>
      </c>
      <c r="H181" s="27">
        <f t="shared" si="3"/>
        <v>0.04041179442</v>
      </c>
      <c r="I181" s="26"/>
      <c r="J181" s="26"/>
      <c r="K181" s="17"/>
      <c r="L181" s="17"/>
      <c r="M181" s="29"/>
      <c r="N181" s="29"/>
      <c r="O181" s="4"/>
      <c r="P181" s="4"/>
      <c r="Q181" s="4"/>
      <c r="R181" s="17"/>
      <c r="S181" s="17"/>
      <c r="T181" s="17"/>
      <c r="U181" s="17"/>
      <c r="V181" s="17"/>
    </row>
    <row r="182" ht="14.25" customHeight="1">
      <c r="A182" s="13">
        <v>40602.0</v>
      </c>
      <c r="B182" s="13" t="s">
        <v>205</v>
      </c>
      <c r="C182" s="9">
        <v>533.0</v>
      </c>
      <c r="D182" s="9">
        <v>197.1111159324646</v>
      </c>
      <c r="E182" s="9">
        <v>4175.0</v>
      </c>
      <c r="F182" s="27">
        <f t="shared" si="1"/>
        <v>0.1276646707</v>
      </c>
      <c r="G182" s="27">
        <f t="shared" si="2"/>
        <v>0.3698144764</v>
      </c>
      <c r="H182" s="27">
        <f t="shared" si="3"/>
        <v>0.04721224334</v>
      </c>
      <c r="I182" s="26"/>
      <c r="J182" s="26"/>
      <c r="K182" s="17"/>
      <c r="L182" s="17"/>
      <c r="M182" s="29"/>
      <c r="N182" s="29"/>
      <c r="O182" s="4"/>
      <c r="P182" s="4"/>
      <c r="Q182" s="4"/>
      <c r="R182" s="17"/>
      <c r="S182" s="17"/>
      <c r="T182" s="17"/>
      <c r="U182" s="17"/>
      <c r="V182" s="17"/>
    </row>
    <row r="183" ht="14.25" customHeight="1">
      <c r="A183" s="13">
        <v>40603.0</v>
      </c>
      <c r="B183" s="13" t="s">
        <v>206</v>
      </c>
      <c r="C183" s="9">
        <v>272.0</v>
      </c>
      <c r="D183" s="9">
        <v>96.00000238418579</v>
      </c>
      <c r="E183" s="9">
        <v>3563.0</v>
      </c>
      <c r="F183" s="27">
        <f t="shared" si="1"/>
        <v>0.07634016278</v>
      </c>
      <c r="G183" s="27">
        <f t="shared" si="2"/>
        <v>0.3529411852</v>
      </c>
      <c r="H183" s="27">
        <f t="shared" si="3"/>
        <v>0.02694358753</v>
      </c>
      <c r="I183" s="26"/>
      <c r="J183" s="26"/>
      <c r="K183" s="17"/>
      <c r="L183" s="17"/>
      <c r="M183" s="29"/>
      <c r="N183" s="29"/>
      <c r="O183" s="4"/>
      <c r="P183" s="4"/>
      <c r="Q183" s="4"/>
      <c r="R183" s="17"/>
      <c r="S183" s="17"/>
      <c r="T183" s="17"/>
      <c r="U183" s="17"/>
      <c r="V183" s="17"/>
    </row>
    <row r="184" ht="14.25" customHeight="1">
      <c r="A184" s="13">
        <v>40701.0</v>
      </c>
      <c r="B184" s="13" t="s">
        <v>207</v>
      </c>
      <c r="C184" s="9">
        <v>633.0</v>
      </c>
      <c r="D184" s="9">
        <v>226.77778324484825</v>
      </c>
      <c r="E184" s="9">
        <v>19417.0</v>
      </c>
      <c r="F184" s="27">
        <f t="shared" si="1"/>
        <v>0.03260029871</v>
      </c>
      <c r="G184" s="27">
        <f t="shared" si="2"/>
        <v>0.3582587413</v>
      </c>
      <c r="H184" s="27">
        <f t="shared" si="3"/>
        <v>0.01167934198</v>
      </c>
      <c r="I184" s="26"/>
      <c r="J184" s="26"/>
      <c r="K184" s="17"/>
      <c r="L184" s="17"/>
      <c r="M184" s="29"/>
      <c r="N184" s="29"/>
      <c r="O184" s="4"/>
      <c r="P184" s="4"/>
      <c r="Q184" s="4"/>
      <c r="R184" s="17"/>
      <c r="S184" s="17"/>
      <c r="T184" s="17"/>
      <c r="U184" s="17"/>
      <c r="V184" s="17"/>
    </row>
    <row r="185" ht="14.25" customHeight="1">
      <c r="A185" s="13">
        <v>40702.0</v>
      </c>
      <c r="B185" s="13" t="s">
        <v>208</v>
      </c>
      <c r="C185" s="9">
        <v>340.0</v>
      </c>
      <c r="D185" s="9">
        <v>123.333336353302</v>
      </c>
      <c r="E185" s="9">
        <v>6077.0</v>
      </c>
      <c r="F185" s="27">
        <f t="shared" si="1"/>
        <v>0.05594865888</v>
      </c>
      <c r="G185" s="27">
        <f t="shared" si="2"/>
        <v>0.3627451069</v>
      </c>
      <c r="H185" s="27">
        <f t="shared" si="3"/>
        <v>0.02029510225</v>
      </c>
      <c r="I185" s="26"/>
      <c r="J185" s="26"/>
      <c r="K185" s="17"/>
      <c r="L185" s="17"/>
      <c r="M185" s="29"/>
      <c r="N185" s="29"/>
      <c r="O185" s="4"/>
      <c r="P185" s="4"/>
      <c r="Q185" s="4"/>
      <c r="R185" s="17"/>
      <c r="S185" s="17"/>
      <c r="T185" s="17"/>
      <c r="U185" s="17"/>
      <c r="V185" s="17"/>
    </row>
    <row r="186" ht="14.25" customHeight="1">
      <c r="A186" s="13">
        <v>40801.0</v>
      </c>
      <c r="B186" s="13" t="s">
        <v>209</v>
      </c>
      <c r="C186" s="9">
        <v>2363.0</v>
      </c>
      <c r="D186" s="9">
        <v>859.8889105021954</v>
      </c>
      <c r="E186" s="9">
        <v>15855.0</v>
      </c>
      <c r="F186" s="27">
        <f t="shared" si="1"/>
        <v>0.1490381583</v>
      </c>
      <c r="G186" s="27">
        <f t="shared" si="2"/>
        <v>0.3638971267</v>
      </c>
      <c r="H186" s="27">
        <f t="shared" si="3"/>
        <v>0.05423455758</v>
      </c>
      <c r="I186" s="26"/>
      <c r="J186" s="26"/>
      <c r="K186" s="17"/>
      <c r="L186" s="17"/>
      <c r="M186" s="29"/>
      <c r="N186" s="29"/>
      <c r="O186" s="4"/>
      <c r="P186" s="4"/>
      <c r="Q186" s="4"/>
      <c r="R186" s="17"/>
      <c r="S186" s="17"/>
      <c r="T186" s="17"/>
      <c r="U186" s="17"/>
      <c r="V186" s="17"/>
    </row>
    <row r="187" ht="14.25" customHeight="1">
      <c r="A187" s="13">
        <v>40802.0</v>
      </c>
      <c r="B187" s="13" t="s">
        <v>210</v>
      </c>
      <c r="C187" s="9">
        <v>625.0</v>
      </c>
      <c r="D187" s="9">
        <v>226.55556121468544</v>
      </c>
      <c r="E187" s="9">
        <v>3192.0</v>
      </c>
      <c r="F187" s="27">
        <f t="shared" si="1"/>
        <v>0.195802005</v>
      </c>
      <c r="G187" s="27">
        <f t="shared" si="2"/>
        <v>0.3624888979</v>
      </c>
      <c r="H187" s="27">
        <f t="shared" si="3"/>
        <v>0.07097605301</v>
      </c>
      <c r="I187" s="26"/>
      <c r="J187" s="26"/>
      <c r="K187" s="17"/>
      <c r="L187" s="17"/>
      <c r="M187" s="29"/>
      <c r="N187" s="29"/>
      <c r="O187" s="4"/>
      <c r="P187" s="4"/>
      <c r="Q187" s="4"/>
      <c r="R187" s="17"/>
      <c r="S187" s="17"/>
      <c r="T187" s="17"/>
      <c r="U187" s="17"/>
      <c r="V187" s="17"/>
    </row>
    <row r="188" ht="14.25" customHeight="1">
      <c r="A188" s="13">
        <v>40901.0</v>
      </c>
      <c r="B188" s="13" t="s">
        <v>211</v>
      </c>
      <c r="C188" s="9">
        <v>1381.0</v>
      </c>
      <c r="D188" s="9">
        <v>506.7777902185917</v>
      </c>
      <c r="E188" s="9">
        <v>14680.0</v>
      </c>
      <c r="F188" s="27">
        <f t="shared" si="1"/>
        <v>0.09407356948</v>
      </c>
      <c r="G188" s="27">
        <f t="shared" si="2"/>
        <v>0.3669643666</v>
      </c>
      <c r="H188" s="27">
        <f t="shared" si="3"/>
        <v>0.03452164784</v>
      </c>
      <c r="I188" s="26"/>
      <c r="J188" s="26"/>
      <c r="K188" s="17"/>
      <c r="L188" s="17"/>
      <c r="M188" s="29"/>
      <c r="N188" s="29"/>
      <c r="O188" s="4"/>
      <c r="P188" s="4"/>
      <c r="Q188" s="4"/>
      <c r="R188" s="17"/>
      <c r="S188" s="17"/>
      <c r="T188" s="17"/>
      <c r="U188" s="17"/>
      <c r="V188" s="17"/>
    </row>
    <row r="189" ht="14.25" customHeight="1">
      <c r="A189" s="13">
        <v>40902.0</v>
      </c>
      <c r="B189" s="13" t="s">
        <v>212</v>
      </c>
      <c r="C189" s="9">
        <v>151.0</v>
      </c>
      <c r="D189" s="9">
        <v>58.77777877449989</v>
      </c>
      <c r="E189" s="9">
        <v>1379.0</v>
      </c>
      <c r="F189" s="27">
        <f t="shared" si="1"/>
        <v>0.1094996374</v>
      </c>
      <c r="G189" s="27">
        <f t="shared" si="2"/>
        <v>0.3892568131</v>
      </c>
      <c r="H189" s="27">
        <f t="shared" si="3"/>
        <v>0.04262347989</v>
      </c>
      <c r="I189" s="26"/>
      <c r="J189" s="26"/>
      <c r="K189" s="17"/>
      <c r="L189" s="17"/>
      <c r="M189" s="29"/>
      <c r="N189" s="29"/>
      <c r="O189" s="4"/>
      <c r="P189" s="4"/>
      <c r="Q189" s="4"/>
      <c r="R189" s="17"/>
      <c r="S189" s="17"/>
      <c r="T189" s="17"/>
      <c r="U189" s="17"/>
      <c r="V189" s="17"/>
    </row>
    <row r="190" ht="14.25" customHeight="1">
      <c r="A190" s="13">
        <v>40903.0</v>
      </c>
      <c r="B190" s="13" t="s">
        <v>213</v>
      </c>
      <c r="C190" s="9">
        <v>881.0</v>
      </c>
      <c r="D190" s="9">
        <v>336.66667479276657</v>
      </c>
      <c r="E190" s="9">
        <v>2340.0</v>
      </c>
      <c r="F190" s="27">
        <f t="shared" si="1"/>
        <v>0.3764957265</v>
      </c>
      <c r="G190" s="27">
        <f t="shared" si="2"/>
        <v>0.3821415151</v>
      </c>
      <c r="H190" s="27">
        <f t="shared" si="3"/>
        <v>0.1438746473</v>
      </c>
      <c r="I190" s="26"/>
      <c r="J190" s="26"/>
      <c r="K190" s="17"/>
      <c r="L190" s="17"/>
      <c r="M190" s="29"/>
      <c r="N190" s="29"/>
      <c r="O190" s="4"/>
      <c r="P190" s="4"/>
      <c r="Q190" s="4"/>
      <c r="R190" s="17"/>
      <c r="S190" s="17"/>
      <c r="T190" s="17"/>
      <c r="U190" s="17"/>
      <c r="V190" s="17"/>
    </row>
    <row r="191" ht="14.25" customHeight="1">
      <c r="A191" s="13">
        <v>41001.0</v>
      </c>
      <c r="B191" s="13" t="s">
        <v>214</v>
      </c>
      <c r="C191" s="9">
        <v>3885.0</v>
      </c>
      <c r="D191" s="9">
        <v>1404.111146003008</v>
      </c>
      <c r="E191" s="9">
        <v>12134.0</v>
      </c>
      <c r="F191" s="27">
        <f t="shared" si="1"/>
        <v>0.3201747157</v>
      </c>
      <c r="G191" s="27">
        <f t="shared" si="2"/>
        <v>0.3614185704</v>
      </c>
      <c r="H191" s="27">
        <f t="shared" si="3"/>
        <v>0.115717088</v>
      </c>
      <c r="I191" s="26"/>
      <c r="J191" s="26"/>
      <c r="K191" s="17"/>
      <c r="L191" s="17"/>
      <c r="M191" s="29"/>
      <c r="N191" s="29"/>
      <c r="O191" s="4"/>
      <c r="P191" s="4"/>
      <c r="Q191" s="4"/>
      <c r="R191" s="17"/>
      <c r="S191" s="17"/>
      <c r="T191" s="17"/>
      <c r="U191" s="17"/>
      <c r="V191" s="17"/>
    </row>
    <row r="192" ht="14.25" customHeight="1">
      <c r="A192" s="13">
        <v>41101.0</v>
      </c>
      <c r="B192" s="13" t="s">
        <v>215</v>
      </c>
      <c r="C192" s="9">
        <v>637.0</v>
      </c>
      <c r="D192" s="9">
        <v>231.11111718416214</v>
      </c>
      <c r="E192" s="9">
        <v>5325.0</v>
      </c>
      <c r="F192" s="27">
        <f t="shared" si="1"/>
        <v>0.1196244131</v>
      </c>
      <c r="G192" s="27">
        <f t="shared" si="2"/>
        <v>0.3628118009</v>
      </c>
      <c r="H192" s="27">
        <f t="shared" si="3"/>
        <v>0.04340114877</v>
      </c>
      <c r="I192" s="26"/>
      <c r="J192" s="26"/>
      <c r="K192" s="17"/>
      <c r="L192" s="17"/>
      <c r="M192" s="29"/>
      <c r="N192" s="29"/>
      <c r="O192" s="4"/>
      <c r="P192" s="4"/>
      <c r="Q192" s="4"/>
      <c r="R192" s="17"/>
      <c r="S192" s="17"/>
      <c r="T192" s="17"/>
      <c r="U192" s="17"/>
      <c r="V192" s="17"/>
    </row>
    <row r="193" ht="14.25" customHeight="1">
      <c r="A193" s="13">
        <v>41201.0</v>
      </c>
      <c r="B193" s="13" t="s">
        <v>216</v>
      </c>
      <c r="C193" s="9">
        <v>1948.0</v>
      </c>
      <c r="D193" s="9">
        <v>725.8889064192772</v>
      </c>
      <c r="E193" s="9">
        <v>6297.0</v>
      </c>
      <c r="F193" s="27">
        <f t="shared" si="1"/>
        <v>0.3093536605</v>
      </c>
      <c r="G193" s="27">
        <f t="shared" si="2"/>
        <v>0.3726329088</v>
      </c>
      <c r="H193" s="27">
        <f t="shared" si="3"/>
        <v>0.1152753544</v>
      </c>
      <c r="I193" s="26"/>
      <c r="J193" s="26"/>
      <c r="K193" s="17"/>
      <c r="L193" s="17"/>
      <c r="M193" s="29"/>
      <c r="N193" s="29"/>
      <c r="O193" s="4"/>
      <c r="P193" s="4"/>
      <c r="Q193" s="4"/>
      <c r="R193" s="17"/>
      <c r="S193" s="17"/>
      <c r="T193" s="17"/>
      <c r="U193" s="17"/>
      <c r="V193" s="17"/>
    </row>
    <row r="194" ht="14.25" customHeight="1">
      <c r="A194" s="13">
        <v>41202.0</v>
      </c>
      <c r="B194" s="13" t="s">
        <v>217</v>
      </c>
      <c r="C194" s="9">
        <v>668.0</v>
      </c>
      <c r="D194" s="9">
        <v>240.5555616915226</v>
      </c>
      <c r="E194" s="9">
        <v>3050.0</v>
      </c>
      <c r="F194" s="27">
        <f t="shared" si="1"/>
        <v>0.2190163934</v>
      </c>
      <c r="G194" s="27">
        <f t="shared" si="2"/>
        <v>0.3601131163</v>
      </c>
      <c r="H194" s="27">
        <f t="shared" si="3"/>
        <v>0.07887067596</v>
      </c>
      <c r="I194" s="26"/>
      <c r="J194" s="26"/>
      <c r="K194" s="17"/>
      <c r="L194" s="17"/>
      <c r="M194" s="29"/>
      <c r="N194" s="29"/>
      <c r="O194" s="4"/>
      <c r="P194" s="4"/>
      <c r="Q194" s="4"/>
      <c r="R194" s="17"/>
      <c r="S194" s="17"/>
      <c r="T194" s="17"/>
      <c r="U194" s="17"/>
      <c r="V194" s="17"/>
    </row>
    <row r="195" ht="14.25" customHeight="1">
      <c r="A195" s="13">
        <v>41301.0</v>
      </c>
      <c r="B195" s="13" t="s">
        <v>172</v>
      </c>
      <c r="C195" s="9">
        <v>2447.0</v>
      </c>
      <c r="D195" s="9">
        <v>909.8889117538929</v>
      </c>
      <c r="E195" s="9">
        <v>6624.0</v>
      </c>
      <c r="F195" s="27">
        <f t="shared" si="1"/>
        <v>0.3694142512</v>
      </c>
      <c r="G195" s="27">
        <f t="shared" si="2"/>
        <v>0.3718385418</v>
      </c>
      <c r="H195" s="27">
        <f t="shared" si="3"/>
        <v>0.1373624565</v>
      </c>
      <c r="I195" s="26"/>
      <c r="J195" s="26"/>
      <c r="K195" s="17"/>
      <c r="L195" s="17"/>
      <c r="M195" s="29"/>
      <c r="N195" s="29"/>
      <c r="O195" s="4"/>
      <c r="P195" s="4"/>
      <c r="Q195" s="4"/>
      <c r="R195" s="17"/>
      <c r="S195" s="17"/>
      <c r="T195" s="17"/>
      <c r="U195" s="17"/>
      <c r="V195" s="17"/>
    </row>
    <row r="196" ht="14.25" customHeight="1">
      <c r="A196" s="13">
        <v>41401.0</v>
      </c>
      <c r="B196" s="13" t="s">
        <v>218</v>
      </c>
      <c r="C196" s="9">
        <v>2531.0</v>
      </c>
      <c r="D196" s="9">
        <v>953.2222453951836</v>
      </c>
      <c r="E196" s="9">
        <v>13463.0</v>
      </c>
      <c r="F196" s="27">
        <f t="shared" si="1"/>
        <v>0.1879967318</v>
      </c>
      <c r="G196" s="27">
        <f t="shared" si="2"/>
        <v>0.3766188247</v>
      </c>
      <c r="H196" s="27">
        <f t="shared" si="3"/>
        <v>0.07080310818</v>
      </c>
      <c r="I196" s="26"/>
      <c r="J196" s="26"/>
      <c r="K196" s="17"/>
      <c r="L196" s="17"/>
      <c r="M196" s="29"/>
      <c r="N196" s="29"/>
      <c r="O196" s="4"/>
      <c r="P196" s="4"/>
      <c r="Q196" s="4"/>
      <c r="R196" s="17"/>
      <c r="S196" s="17"/>
      <c r="T196" s="17"/>
      <c r="U196" s="17"/>
      <c r="V196" s="17"/>
    </row>
    <row r="197" ht="14.25" customHeight="1">
      <c r="A197" s="13">
        <v>41501.0</v>
      </c>
      <c r="B197" s="13" t="s">
        <v>219</v>
      </c>
      <c r="C197" s="9">
        <v>397.0</v>
      </c>
      <c r="D197" s="9">
        <v>158.11111524701118</v>
      </c>
      <c r="E197" s="9">
        <v>1259.0</v>
      </c>
      <c r="F197" s="27">
        <f t="shared" si="1"/>
        <v>0.3153296267</v>
      </c>
      <c r="G197" s="27">
        <f t="shared" si="2"/>
        <v>0.3982647739</v>
      </c>
      <c r="H197" s="27">
        <f t="shared" si="3"/>
        <v>0.1255846825</v>
      </c>
      <c r="I197" s="26"/>
      <c r="J197" s="26"/>
      <c r="K197" s="17"/>
      <c r="L197" s="17"/>
      <c r="M197" s="29"/>
      <c r="N197" s="29"/>
      <c r="O197" s="4"/>
      <c r="P197" s="4"/>
      <c r="Q197" s="4"/>
      <c r="R197" s="17"/>
      <c r="S197" s="17"/>
      <c r="T197" s="17"/>
      <c r="U197" s="17"/>
      <c r="V197" s="17"/>
    </row>
    <row r="198" ht="14.25" customHeight="1">
      <c r="A198" s="13">
        <v>41502.0</v>
      </c>
      <c r="B198" s="13" t="s">
        <v>220</v>
      </c>
      <c r="C198" s="9">
        <v>145.0</v>
      </c>
      <c r="D198" s="9">
        <v>53.111112266778946</v>
      </c>
      <c r="E198" s="9">
        <v>1077.0</v>
      </c>
      <c r="F198" s="27">
        <f t="shared" si="1"/>
        <v>0.1346332405</v>
      </c>
      <c r="G198" s="27">
        <f t="shared" si="2"/>
        <v>0.3662835329</v>
      </c>
      <c r="H198" s="27">
        <f t="shared" si="3"/>
        <v>0.04931393897</v>
      </c>
      <c r="I198" s="26"/>
      <c r="J198" s="26"/>
      <c r="K198" s="17"/>
      <c r="L198" s="17"/>
      <c r="M198" s="29"/>
      <c r="N198" s="29"/>
      <c r="O198" s="4"/>
      <c r="P198" s="4"/>
      <c r="Q198" s="4"/>
      <c r="R198" s="17"/>
      <c r="S198" s="17"/>
      <c r="T198" s="17"/>
      <c r="U198" s="17"/>
      <c r="V198" s="17"/>
    </row>
    <row r="199" ht="14.25" customHeight="1">
      <c r="A199" s="13">
        <v>41503.0</v>
      </c>
      <c r="B199" s="13" t="s">
        <v>221</v>
      </c>
      <c r="C199" s="9">
        <v>209.0</v>
      </c>
      <c r="D199" s="9">
        <v>76.88889068365097</v>
      </c>
      <c r="E199" s="9">
        <v>1119.0</v>
      </c>
      <c r="F199" s="27">
        <f t="shared" si="1"/>
        <v>0.1867739053</v>
      </c>
      <c r="G199" s="27">
        <f t="shared" si="2"/>
        <v>0.3678894291</v>
      </c>
      <c r="H199" s="27">
        <f t="shared" si="3"/>
        <v>0.06871214538</v>
      </c>
      <c r="I199" s="26"/>
      <c r="J199" s="26"/>
      <c r="K199" s="17"/>
      <c r="L199" s="17"/>
      <c r="M199" s="29"/>
      <c r="N199" s="29"/>
      <c r="O199" s="4"/>
      <c r="P199" s="4"/>
      <c r="Q199" s="4"/>
      <c r="R199" s="17"/>
      <c r="S199" s="17"/>
      <c r="T199" s="17"/>
      <c r="U199" s="17"/>
      <c r="V199" s="17"/>
    </row>
    <row r="200" ht="14.25" customHeight="1">
      <c r="A200" s="13">
        <v>41601.0</v>
      </c>
      <c r="B200" s="13" t="s">
        <v>222</v>
      </c>
      <c r="C200" s="9">
        <v>1883.0</v>
      </c>
      <c r="D200" s="9">
        <v>686.6666838526726</v>
      </c>
      <c r="E200" s="9">
        <v>5982.0</v>
      </c>
      <c r="F200" s="27">
        <f t="shared" si="1"/>
        <v>0.3147776663</v>
      </c>
      <c r="G200" s="27">
        <f t="shared" si="2"/>
        <v>0.3646663217</v>
      </c>
      <c r="H200" s="27">
        <f t="shared" si="3"/>
        <v>0.1147888138</v>
      </c>
      <c r="I200" s="26"/>
      <c r="J200" s="26"/>
      <c r="K200" s="17"/>
      <c r="L200" s="17"/>
      <c r="M200" s="29"/>
      <c r="N200" s="29"/>
      <c r="O200" s="4"/>
      <c r="P200" s="4"/>
      <c r="Q200" s="4"/>
      <c r="R200" s="17"/>
      <c r="S200" s="17"/>
      <c r="T200" s="17"/>
      <c r="U200" s="17"/>
      <c r="V200" s="17"/>
    </row>
    <row r="201" ht="14.25" customHeight="1">
      <c r="A201" s="13">
        <v>50101.0</v>
      </c>
      <c r="B201" s="13" t="s">
        <v>20</v>
      </c>
      <c r="C201" s="9">
        <v>7326.0</v>
      </c>
      <c r="D201" s="9">
        <v>2674.0000684559345</v>
      </c>
      <c r="E201" s="9">
        <v>214011.0</v>
      </c>
      <c r="F201" s="27">
        <f t="shared" si="1"/>
        <v>0.03423188528</v>
      </c>
      <c r="G201" s="27">
        <f t="shared" si="2"/>
        <v>0.3650013743</v>
      </c>
      <c r="H201" s="27">
        <f t="shared" si="3"/>
        <v>0.01249468517</v>
      </c>
      <c r="I201" s="26"/>
      <c r="J201" s="26"/>
      <c r="K201" s="17"/>
      <c r="L201" s="17"/>
      <c r="M201" s="29"/>
      <c r="N201" s="29"/>
      <c r="O201" s="4"/>
      <c r="P201" s="4"/>
      <c r="Q201" s="4"/>
      <c r="R201" s="17"/>
      <c r="S201" s="17"/>
      <c r="T201" s="17"/>
      <c r="U201" s="17"/>
      <c r="V201" s="17"/>
    </row>
    <row r="202" ht="14.25" customHeight="1">
      <c r="A202" s="13">
        <v>50102.0</v>
      </c>
      <c r="B202" s="13" t="s">
        <v>223</v>
      </c>
      <c r="C202" s="9">
        <v>9999.0</v>
      </c>
      <c r="D202" s="9">
        <v>3878.444541335106</v>
      </c>
      <c r="E202" s="9">
        <v>28884.0</v>
      </c>
      <c r="F202" s="27">
        <f t="shared" si="1"/>
        <v>0.3461778147</v>
      </c>
      <c r="G202" s="27">
        <f t="shared" si="2"/>
        <v>0.3878832425</v>
      </c>
      <c r="H202" s="27">
        <f t="shared" si="3"/>
        <v>0.1342765732</v>
      </c>
      <c r="I202" s="26"/>
      <c r="J202" s="26"/>
      <c r="K202" s="17"/>
      <c r="L202" s="17"/>
      <c r="M202" s="29"/>
      <c r="N202" s="29"/>
      <c r="O202" s="4"/>
      <c r="P202" s="4"/>
      <c r="Q202" s="4"/>
      <c r="R202" s="17"/>
      <c r="S202" s="17"/>
      <c r="T202" s="17"/>
      <c r="U202" s="17"/>
      <c r="V202" s="17"/>
    </row>
    <row r="203" ht="14.25" customHeight="1">
      <c r="A203" s="13">
        <v>50103.0</v>
      </c>
      <c r="B203" s="13" t="s">
        <v>224</v>
      </c>
      <c r="C203" s="9">
        <v>1049.0</v>
      </c>
      <c r="D203" s="9">
        <v>376.22223165631294</v>
      </c>
      <c r="E203" s="9">
        <v>12152.0</v>
      </c>
      <c r="F203" s="27">
        <f t="shared" si="1"/>
        <v>0.08632323897</v>
      </c>
      <c r="G203" s="27">
        <f t="shared" si="2"/>
        <v>0.3586484573</v>
      </c>
      <c r="H203" s="27">
        <f t="shared" si="3"/>
        <v>0.03095969648</v>
      </c>
      <c r="I203" s="26"/>
      <c r="J203" s="26"/>
      <c r="K203" s="17"/>
      <c r="L203" s="17"/>
      <c r="M203" s="29"/>
      <c r="N203" s="29"/>
      <c r="O203" s="4"/>
      <c r="P203" s="4"/>
      <c r="Q203" s="4"/>
      <c r="R203" s="17"/>
      <c r="S203" s="17"/>
      <c r="T203" s="17"/>
      <c r="U203" s="17"/>
      <c r="V203" s="17"/>
    </row>
    <row r="204" ht="14.25" customHeight="1">
      <c r="A204" s="13">
        <v>50104.0</v>
      </c>
      <c r="B204" s="13" t="s">
        <v>225</v>
      </c>
      <c r="C204" s="9">
        <v>1140.0</v>
      </c>
      <c r="D204" s="9">
        <v>428.6666769981384</v>
      </c>
      <c r="E204" s="9">
        <v>3117.0</v>
      </c>
      <c r="F204" s="27">
        <f t="shared" si="1"/>
        <v>0.3657362849</v>
      </c>
      <c r="G204" s="27">
        <f t="shared" si="2"/>
        <v>0.3760234009</v>
      </c>
      <c r="H204" s="27">
        <f t="shared" si="3"/>
        <v>0.1375254017</v>
      </c>
      <c r="I204" s="26"/>
      <c r="J204" s="26"/>
      <c r="K204" s="17"/>
      <c r="L204" s="17"/>
      <c r="M204" s="29"/>
      <c r="N204" s="29"/>
      <c r="O204" s="4"/>
      <c r="P204" s="4"/>
      <c r="Q204" s="4"/>
      <c r="R204" s="17"/>
      <c r="S204" s="17"/>
      <c r="T204" s="17"/>
      <c r="U204" s="17"/>
      <c r="V204" s="17"/>
    </row>
    <row r="205" ht="14.25" customHeight="1">
      <c r="A205" s="13">
        <v>50201.0</v>
      </c>
      <c r="B205" s="13" t="s">
        <v>226</v>
      </c>
      <c r="C205" s="9">
        <v>3616.0</v>
      </c>
      <c r="D205" s="9">
        <v>1340.6666996479034</v>
      </c>
      <c r="E205" s="9">
        <v>22129.0</v>
      </c>
      <c r="F205" s="27">
        <f t="shared" si="1"/>
        <v>0.163405486</v>
      </c>
      <c r="G205" s="27">
        <f t="shared" si="2"/>
        <v>0.3707595961</v>
      </c>
      <c r="H205" s="27">
        <f t="shared" si="3"/>
        <v>0.060584152</v>
      </c>
      <c r="I205" s="26"/>
      <c r="J205" s="26"/>
      <c r="K205" s="17"/>
      <c r="L205" s="17"/>
      <c r="M205" s="29"/>
      <c r="N205" s="29"/>
      <c r="O205" s="4"/>
      <c r="P205" s="4"/>
      <c r="Q205" s="4"/>
      <c r="R205" s="17"/>
      <c r="S205" s="17"/>
      <c r="T205" s="17"/>
      <c r="U205" s="17"/>
      <c r="V205" s="17"/>
    </row>
    <row r="206" ht="14.25" customHeight="1">
      <c r="A206" s="13">
        <v>50202.0</v>
      </c>
      <c r="B206" s="13" t="s">
        <v>227</v>
      </c>
      <c r="C206" s="9">
        <v>2189.0</v>
      </c>
      <c r="D206" s="9">
        <v>813.4444649219513</v>
      </c>
      <c r="E206" s="9">
        <v>15640.0</v>
      </c>
      <c r="F206" s="27">
        <f t="shared" si="1"/>
        <v>0.1399616368</v>
      </c>
      <c r="G206" s="27">
        <f t="shared" si="2"/>
        <v>0.3716055116</v>
      </c>
      <c r="H206" s="27">
        <f t="shared" si="3"/>
        <v>0.05201051566</v>
      </c>
      <c r="I206" s="26"/>
      <c r="J206" s="26"/>
      <c r="K206" s="17"/>
      <c r="L206" s="17"/>
      <c r="M206" s="29"/>
      <c r="N206" s="29"/>
      <c r="O206" s="4"/>
      <c r="P206" s="4"/>
      <c r="Q206" s="4"/>
      <c r="R206" s="17"/>
      <c r="S206" s="17"/>
      <c r="T206" s="17"/>
      <c r="U206" s="17"/>
      <c r="V206" s="17"/>
    </row>
    <row r="207" ht="14.25" customHeight="1">
      <c r="A207" s="13">
        <v>50203.0</v>
      </c>
      <c r="B207" s="13" t="s">
        <v>228</v>
      </c>
      <c r="C207" s="9">
        <v>2844.0</v>
      </c>
      <c r="D207" s="9">
        <v>1058.22224894166</v>
      </c>
      <c r="E207" s="9">
        <v>41054.0</v>
      </c>
      <c r="F207" s="27">
        <f t="shared" si="1"/>
        <v>0.06927461392</v>
      </c>
      <c r="G207" s="27">
        <f t="shared" si="2"/>
        <v>0.3720893984</v>
      </c>
      <c r="H207" s="27">
        <f t="shared" si="3"/>
        <v>0.02577634942</v>
      </c>
      <c r="I207" s="26"/>
      <c r="J207" s="26"/>
      <c r="K207" s="17"/>
      <c r="L207" s="17"/>
      <c r="M207" s="29"/>
      <c r="N207" s="29"/>
      <c r="O207" s="4"/>
      <c r="P207" s="4"/>
      <c r="Q207" s="4"/>
      <c r="R207" s="17"/>
      <c r="S207" s="17"/>
      <c r="T207" s="17"/>
      <c r="U207" s="17"/>
      <c r="V207" s="17"/>
    </row>
    <row r="208" ht="14.25" customHeight="1">
      <c r="A208" s="13">
        <v>50204.0</v>
      </c>
      <c r="B208" s="13" t="s">
        <v>229</v>
      </c>
      <c r="C208" s="9">
        <v>2111.0</v>
      </c>
      <c r="D208" s="9">
        <v>803.7777986526489</v>
      </c>
      <c r="E208" s="9">
        <v>8203.0</v>
      </c>
      <c r="F208" s="27">
        <f t="shared" si="1"/>
        <v>0.2573448738</v>
      </c>
      <c r="G208" s="27">
        <f t="shared" si="2"/>
        <v>0.3807568918</v>
      </c>
      <c r="H208" s="27">
        <f t="shared" si="3"/>
        <v>0.09798583429</v>
      </c>
      <c r="I208" s="26"/>
      <c r="J208" s="26"/>
      <c r="K208" s="17"/>
      <c r="L208" s="17"/>
      <c r="M208" s="29"/>
      <c r="N208" s="29"/>
      <c r="O208" s="4"/>
      <c r="P208" s="4"/>
      <c r="Q208" s="4"/>
      <c r="R208" s="17"/>
      <c r="S208" s="17"/>
      <c r="T208" s="17"/>
      <c r="U208" s="17"/>
      <c r="V208" s="17"/>
    </row>
    <row r="209" ht="14.25" customHeight="1">
      <c r="A209" s="13">
        <v>50301.0</v>
      </c>
      <c r="B209" s="13" t="s">
        <v>230</v>
      </c>
      <c r="C209" s="9">
        <v>6609.0</v>
      </c>
      <c r="D209" s="9">
        <v>2506.666729539633</v>
      </c>
      <c r="E209" s="9">
        <v>31757.0</v>
      </c>
      <c r="F209" s="27">
        <f t="shared" si="1"/>
        <v>0.2081115974</v>
      </c>
      <c r="G209" s="27">
        <f t="shared" si="2"/>
        <v>0.3792807882</v>
      </c>
      <c r="H209" s="27">
        <f t="shared" si="3"/>
        <v>0.07893273072</v>
      </c>
      <c r="I209" s="26"/>
      <c r="J209" s="26"/>
      <c r="K209" s="17"/>
      <c r="L209" s="17"/>
      <c r="M209" s="29"/>
      <c r="N209" s="29"/>
      <c r="O209" s="4"/>
      <c r="P209" s="4"/>
      <c r="Q209" s="4"/>
      <c r="R209" s="17"/>
      <c r="S209" s="17"/>
      <c r="T209" s="17"/>
      <c r="U209" s="17"/>
      <c r="V209" s="17"/>
    </row>
    <row r="210" ht="14.25" customHeight="1">
      <c r="A210" s="13">
        <v>50302.0</v>
      </c>
      <c r="B210" s="13" t="s">
        <v>231</v>
      </c>
      <c r="C210" s="9">
        <v>1794.0</v>
      </c>
      <c r="D210" s="9">
        <v>677.3333493173122</v>
      </c>
      <c r="E210" s="9">
        <v>9194.0</v>
      </c>
      <c r="F210" s="27">
        <f t="shared" si="1"/>
        <v>0.1951272569</v>
      </c>
      <c r="G210" s="27">
        <f t="shared" si="2"/>
        <v>0.3775548212</v>
      </c>
      <c r="H210" s="27">
        <f t="shared" si="3"/>
        <v>0.0736712366</v>
      </c>
      <c r="I210" s="26"/>
      <c r="J210" s="26"/>
      <c r="K210" s="17"/>
      <c r="L210" s="17"/>
      <c r="M210" s="29"/>
      <c r="N210" s="29"/>
      <c r="O210" s="4"/>
      <c r="P210" s="4"/>
      <c r="Q210" s="4"/>
      <c r="R210" s="17"/>
      <c r="S210" s="17"/>
      <c r="T210" s="17"/>
      <c r="U210" s="17"/>
      <c r="V210" s="17"/>
    </row>
    <row r="211" ht="14.25" customHeight="1">
      <c r="A211" s="13">
        <v>50303.0</v>
      </c>
      <c r="B211" s="13" t="s">
        <v>232</v>
      </c>
      <c r="C211" s="9">
        <v>6291.0</v>
      </c>
      <c r="D211" s="9">
        <v>2451.7778400182724</v>
      </c>
      <c r="E211" s="9">
        <v>14317.0</v>
      </c>
      <c r="F211" s="27">
        <f t="shared" si="1"/>
        <v>0.4394076971</v>
      </c>
      <c r="G211" s="27">
        <f t="shared" si="2"/>
        <v>0.3897278398</v>
      </c>
      <c r="H211" s="27">
        <f t="shared" si="3"/>
        <v>0.1712494126</v>
      </c>
      <c r="I211" s="26"/>
      <c r="J211" s="26"/>
      <c r="K211" s="17"/>
      <c r="L211" s="17"/>
      <c r="M211" s="29"/>
      <c r="N211" s="29"/>
      <c r="O211" s="4"/>
      <c r="P211" s="4"/>
      <c r="Q211" s="4"/>
      <c r="R211" s="17"/>
      <c r="S211" s="17"/>
      <c r="T211" s="17"/>
      <c r="U211" s="17"/>
      <c r="V211" s="17"/>
    </row>
    <row r="212" ht="14.25" customHeight="1">
      <c r="A212" s="13">
        <v>50401.0</v>
      </c>
      <c r="B212" s="13" t="s">
        <v>233</v>
      </c>
      <c r="C212" s="9">
        <v>5413.0</v>
      </c>
      <c r="D212" s="9">
        <v>2169.8889427781105</v>
      </c>
      <c r="E212" s="9">
        <v>15995.0</v>
      </c>
      <c r="F212" s="27">
        <f t="shared" si="1"/>
        <v>0.3384182557</v>
      </c>
      <c r="G212" s="27">
        <f t="shared" si="2"/>
        <v>0.4008662374</v>
      </c>
      <c r="H212" s="27">
        <f t="shared" si="3"/>
        <v>0.1356604528</v>
      </c>
      <c r="I212" s="26"/>
      <c r="J212" s="26"/>
      <c r="K212" s="17"/>
      <c r="L212" s="17"/>
      <c r="M212" s="29"/>
      <c r="N212" s="29"/>
      <c r="O212" s="4"/>
      <c r="P212" s="4"/>
      <c r="Q212" s="4"/>
      <c r="R212" s="17"/>
      <c r="S212" s="17"/>
      <c r="T212" s="17"/>
      <c r="U212" s="17"/>
      <c r="V212" s="17"/>
    </row>
    <row r="213" ht="14.25" customHeight="1">
      <c r="A213" s="13">
        <v>50402.0</v>
      </c>
      <c r="B213" s="13" t="s">
        <v>234</v>
      </c>
      <c r="C213" s="9">
        <v>6053.0</v>
      </c>
      <c r="D213" s="9">
        <v>2426.8889506459236</v>
      </c>
      <c r="E213" s="9">
        <v>16823.0</v>
      </c>
      <c r="F213" s="27">
        <f t="shared" si="1"/>
        <v>0.3598050288</v>
      </c>
      <c r="G213" s="27">
        <f t="shared" si="2"/>
        <v>0.4009398564</v>
      </c>
      <c r="H213" s="27">
        <f t="shared" si="3"/>
        <v>0.1442601766</v>
      </c>
      <c r="I213" s="26"/>
      <c r="J213" s="26"/>
      <c r="K213" s="17"/>
      <c r="L213" s="17"/>
      <c r="M213" s="29"/>
      <c r="N213" s="29"/>
      <c r="O213" s="4"/>
      <c r="P213" s="4"/>
      <c r="Q213" s="4"/>
      <c r="R213" s="17"/>
      <c r="S213" s="17"/>
      <c r="T213" s="17"/>
      <c r="U213" s="17"/>
      <c r="V213" s="17"/>
    </row>
    <row r="214" ht="14.25" customHeight="1">
      <c r="A214" s="13">
        <v>50403.0</v>
      </c>
      <c r="B214" s="13" t="s">
        <v>235</v>
      </c>
      <c r="C214" s="9">
        <v>9425.0</v>
      </c>
      <c r="D214" s="9">
        <v>3594.2223134040833</v>
      </c>
      <c r="E214" s="9">
        <v>32550.0</v>
      </c>
      <c r="F214" s="27">
        <f t="shared" si="1"/>
        <v>0.2895545315</v>
      </c>
      <c r="G214" s="27">
        <f t="shared" si="2"/>
        <v>0.3813498476</v>
      </c>
      <c r="H214" s="27">
        <f t="shared" si="3"/>
        <v>0.1104215764</v>
      </c>
      <c r="I214" s="26"/>
      <c r="J214" s="26"/>
      <c r="K214" s="17"/>
      <c r="L214" s="17"/>
      <c r="M214" s="29"/>
      <c r="N214" s="29"/>
      <c r="O214" s="4"/>
      <c r="P214" s="4"/>
      <c r="Q214" s="4"/>
      <c r="R214" s="17"/>
      <c r="S214" s="17"/>
      <c r="T214" s="17"/>
      <c r="U214" s="17"/>
      <c r="V214" s="17"/>
    </row>
    <row r="215" ht="14.25" customHeight="1">
      <c r="A215" s="13">
        <v>50404.0</v>
      </c>
      <c r="B215" s="13" t="s">
        <v>236</v>
      </c>
      <c r="C215" s="9">
        <v>5636.0</v>
      </c>
      <c r="D215" s="9">
        <v>2185.8889442682266</v>
      </c>
      <c r="E215" s="9">
        <v>14460.0</v>
      </c>
      <c r="F215" s="27">
        <f t="shared" si="1"/>
        <v>0.3897648686</v>
      </c>
      <c r="G215" s="27">
        <f t="shared" si="2"/>
        <v>0.3878440284</v>
      </c>
      <c r="H215" s="27">
        <f t="shared" si="3"/>
        <v>0.1511679768</v>
      </c>
      <c r="I215" s="26"/>
      <c r="J215" s="26"/>
      <c r="K215" s="17"/>
      <c r="L215" s="17"/>
      <c r="M215" s="29"/>
      <c r="N215" s="29"/>
      <c r="O215" s="4"/>
      <c r="P215" s="4"/>
      <c r="Q215" s="4"/>
      <c r="R215" s="17"/>
      <c r="S215" s="17"/>
      <c r="T215" s="17"/>
      <c r="U215" s="17"/>
      <c r="V215" s="17"/>
    </row>
    <row r="216" ht="14.25" customHeight="1">
      <c r="A216" s="13">
        <v>50405.0</v>
      </c>
      <c r="B216" s="13" t="s">
        <v>237</v>
      </c>
      <c r="C216" s="9">
        <v>6732.0</v>
      </c>
      <c r="D216" s="9">
        <v>2582.222285926342</v>
      </c>
      <c r="E216" s="9">
        <v>20985.0</v>
      </c>
      <c r="F216" s="27">
        <f t="shared" si="1"/>
        <v>0.3208005718</v>
      </c>
      <c r="G216" s="27">
        <f t="shared" si="2"/>
        <v>0.3835743146</v>
      </c>
      <c r="H216" s="27">
        <f t="shared" si="3"/>
        <v>0.1230508595</v>
      </c>
      <c r="I216" s="26"/>
      <c r="J216" s="26"/>
      <c r="K216" s="17"/>
      <c r="L216" s="17"/>
      <c r="M216" s="29"/>
      <c r="N216" s="29"/>
      <c r="O216" s="4"/>
      <c r="P216" s="4"/>
      <c r="Q216" s="4"/>
      <c r="R216" s="17"/>
      <c r="S216" s="17"/>
      <c r="T216" s="17"/>
      <c r="U216" s="17"/>
      <c r="V216" s="17"/>
    </row>
    <row r="217" ht="14.25" customHeight="1">
      <c r="A217" s="13">
        <v>50501.0</v>
      </c>
      <c r="B217" s="13" t="s">
        <v>238</v>
      </c>
      <c r="C217" s="9">
        <v>14401.0</v>
      </c>
      <c r="D217" s="9">
        <v>6030.666821420193</v>
      </c>
      <c r="E217" s="9">
        <v>28347.0</v>
      </c>
      <c r="F217" s="27">
        <f t="shared" si="1"/>
        <v>0.5080255406</v>
      </c>
      <c r="G217" s="27">
        <f t="shared" si="2"/>
        <v>0.418767226</v>
      </c>
      <c r="H217" s="27">
        <f t="shared" si="3"/>
        <v>0.2127444464</v>
      </c>
      <c r="I217" s="26"/>
      <c r="J217" s="26"/>
      <c r="K217" s="17"/>
      <c r="L217" s="17"/>
      <c r="M217" s="29"/>
      <c r="N217" s="29"/>
      <c r="O217" s="4"/>
      <c r="P217" s="4"/>
      <c r="Q217" s="4"/>
      <c r="R217" s="17"/>
      <c r="S217" s="17"/>
      <c r="T217" s="17"/>
      <c r="U217" s="17"/>
      <c r="V217" s="17"/>
    </row>
    <row r="218" ht="14.25" customHeight="1">
      <c r="A218" s="13">
        <v>50502.0</v>
      </c>
      <c r="B218" s="13" t="s">
        <v>239</v>
      </c>
      <c r="C218" s="9">
        <v>4387.0</v>
      </c>
      <c r="D218" s="9">
        <v>1781.0000438988209</v>
      </c>
      <c r="E218" s="9">
        <v>10621.0</v>
      </c>
      <c r="F218" s="27">
        <f t="shared" si="1"/>
        <v>0.4130496187</v>
      </c>
      <c r="G218" s="27">
        <f t="shared" si="2"/>
        <v>0.4059722006</v>
      </c>
      <c r="H218" s="27">
        <f t="shared" si="3"/>
        <v>0.1676866626</v>
      </c>
      <c r="I218" s="26"/>
      <c r="J218" s="26"/>
      <c r="K218" s="17"/>
      <c r="L218" s="17"/>
      <c r="M218" s="29"/>
      <c r="N218" s="29"/>
      <c r="O218" s="4"/>
      <c r="P218" s="4"/>
      <c r="Q218" s="4"/>
      <c r="R218" s="17"/>
      <c r="S218" s="17"/>
      <c r="T218" s="17"/>
      <c r="U218" s="17"/>
      <c r="V218" s="17"/>
    </row>
    <row r="219" ht="14.25" customHeight="1">
      <c r="A219" s="13">
        <v>50601.0</v>
      </c>
      <c r="B219" s="13" t="s">
        <v>240</v>
      </c>
      <c r="C219" s="9">
        <v>5634.0</v>
      </c>
      <c r="D219" s="9">
        <v>2147.2222768366337</v>
      </c>
      <c r="E219" s="9">
        <v>29114.0</v>
      </c>
      <c r="F219" s="27">
        <f t="shared" si="1"/>
        <v>0.1935151474</v>
      </c>
      <c r="G219" s="27">
        <f t="shared" si="2"/>
        <v>0.381118615</v>
      </c>
      <c r="H219" s="27">
        <f t="shared" si="3"/>
        <v>0.07375222494</v>
      </c>
      <c r="I219" s="26"/>
      <c r="J219" s="26"/>
      <c r="K219" s="17"/>
      <c r="L219" s="17"/>
      <c r="M219" s="29"/>
      <c r="N219" s="29"/>
      <c r="O219" s="4"/>
      <c r="P219" s="4"/>
      <c r="Q219" s="4"/>
      <c r="R219" s="17"/>
      <c r="S219" s="17"/>
      <c r="T219" s="17"/>
      <c r="U219" s="17"/>
      <c r="V219" s="17"/>
    </row>
    <row r="220" ht="14.25" customHeight="1">
      <c r="A220" s="13">
        <v>50602.0</v>
      </c>
      <c r="B220" s="13" t="s">
        <v>241</v>
      </c>
      <c r="C220" s="9">
        <v>1575.0</v>
      </c>
      <c r="D220" s="9">
        <v>586.4444584548473</v>
      </c>
      <c r="E220" s="9">
        <v>10083.0</v>
      </c>
      <c r="F220" s="27">
        <f t="shared" si="1"/>
        <v>0.1562035109</v>
      </c>
      <c r="G220" s="27">
        <f t="shared" si="2"/>
        <v>0.3723456879</v>
      </c>
      <c r="H220" s="27">
        <f t="shared" si="3"/>
        <v>0.0581617037</v>
      </c>
      <c r="I220" s="26"/>
      <c r="J220" s="26"/>
      <c r="K220" s="17"/>
      <c r="L220" s="17"/>
      <c r="M220" s="29"/>
      <c r="N220" s="29"/>
      <c r="O220" s="4"/>
      <c r="P220" s="4"/>
      <c r="Q220" s="4"/>
      <c r="R220" s="17"/>
      <c r="S220" s="17"/>
      <c r="T220" s="17"/>
      <c r="U220" s="17"/>
      <c r="V220" s="17"/>
    </row>
    <row r="221" ht="14.25" customHeight="1">
      <c r="A221" s="13">
        <v>50701.0</v>
      </c>
      <c r="B221" s="13" t="s">
        <v>242</v>
      </c>
      <c r="C221" s="9">
        <v>4407.0</v>
      </c>
      <c r="D221" s="9">
        <v>1658.444487452507</v>
      </c>
      <c r="E221" s="9">
        <v>17172.0</v>
      </c>
      <c r="F221" s="27">
        <f t="shared" si="1"/>
        <v>0.2566387142</v>
      </c>
      <c r="G221" s="27">
        <f t="shared" si="2"/>
        <v>0.37632051</v>
      </c>
      <c r="H221" s="27">
        <f t="shared" si="3"/>
        <v>0.0965784118</v>
      </c>
      <c r="I221" s="26"/>
      <c r="J221" s="26"/>
      <c r="K221" s="17"/>
      <c r="L221" s="17"/>
      <c r="M221" s="29"/>
      <c r="N221" s="29"/>
      <c r="O221" s="4"/>
      <c r="P221" s="4"/>
      <c r="Q221" s="4"/>
      <c r="R221" s="17"/>
      <c r="S221" s="17"/>
      <c r="T221" s="17"/>
      <c r="U221" s="17"/>
      <c r="V221" s="17"/>
    </row>
    <row r="222" ht="14.25" customHeight="1">
      <c r="A222" s="13">
        <v>50702.0</v>
      </c>
      <c r="B222" s="13" t="s">
        <v>243</v>
      </c>
      <c r="C222" s="9">
        <v>2031.0</v>
      </c>
      <c r="D222" s="9">
        <v>751.7777964770794</v>
      </c>
      <c r="E222" s="9">
        <v>8439.0</v>
      </c>
      <c r="F222" s="27">
        <f t="shared" si="1"/>
        <v>0.2406683256</v>
      </c>
      <c r="G222" s="27">
        <f t="shared" si="2"/>
        <v>0.3701515492</v>
      </c>
      <c r="H222" s="27">
        <f t="shared" si="3"/>
        <v>0.08908375358</v>
      </c>
      <c r="I222" s="26"/>
      <c r="J222" s="26"/>
      <c r="K222" s="17"/>
      <c r="L222" s="17"/>
      <c r="M222" s="29"/>
      <c r="N222" s="29"/>
      <c r="O222" s="4"/>
      <c r="P222" s="4"/>
      <c r="Q222" s="4"/>
      <c r="R222" s="17"/>
      <c r="S222" s="17"/>
      <c r="T222" s="17"/>
      <c r="U222" s="17"/>
      <c r="V222" s="17"/>
    </row>
    <row r="223" ht="14.25" customHeight="1">
      <c r="A223" s="13">
        <v>50801.0</v>
      </c>
      <c r="B223" s="13" t="s">
        <v>244</v>
      </c>
      <c r="C223" s="9">
        <v>2796.0</v>
      </c>
      <c r="D223" s="9">
        <v>1036.1111369729042</v>
      </c>
      <c r="E223" s="9">
        <v>44448.0</v>
      </c>
      <c r="F223" s="27">
        <f t="shared" si="1"/>
        <v>0.0629049676</v>
      </c>
      <c r="G223" s="27">
        <f t="shared" si="2"/>
        <v>0.3705690762</v>
      </c>
      <c r="H223" s="27">
        <f t="shared" si="3"/>
        <v>0.02331063573</v>
      </c>
      <c r="I223" s="26"/>
      <c r="J223" s="26"/>
      <c r="K223" s="17"/>
      <c r="L223" s="17"/>
      <c r="M223" s="29"/>
      <c r="N223" s="29"/>
      <c r="O223" s="4"/>
      <c r="P223" s="4"/>
      <c r="Q223" s="4"/>
      <c r="R223" s="17"/>
      <c r="S223" s="17"/>
      <c r="T223" s="17"/>
      <c r="U223" s="17"/>
      <c r="V223" s="17"/>
    </row>
    <row r="224" ht="14.25" customHeight="1">
      <c r="A224" s="13">
        <v>50802.0</v>
      </c>
      <c r="B224" s="13" t="s">
        <v>245</v>
      </c>
      <c r="C224" s="9">
        <v>451.0</v>
      </c>
      <c r="D224" s="9">
        <v>169.66667103767395</v>
      </c>
      <c r="E224" s="9">
        <v>9479.0</v>
      </c>
      <c r="F224" s="27">
        <f t="shared" si="1"/>
        <v>0.04757885853</v>
      </c>
      <c r="G224" s="27">
        <f t="shared" si="2"/>
        <v>0.3762010444</v>
      </c>
      <c r="H224" s="27">
        <f t="shared" si="3"/>
        <v>0.01789921627</v>
      </c>
      <c r="I224" s="26"/>
      <c r="J224" s="26"/>
      <c r="K224" s="17"/>
      <c r="L224" s="17"/>
      <c r="M224" s="29"/>
      <c r="N224" s="29"/>
      <c r="O224" s="4"/>
      <c r="P224" s="4"/>
      <c r="Q224" s="4"/>
      <c r="R224" s="17"/>
      <c r="S224" s="17"/>
      <c r="T224" s="17"/>
      <c r="U224" s="17"/>
      <c r="V224" s="17"/>
    </row>
    <row r="225" ht="14.25" customHeight="1">
      <c r="A225" s="13">
        <v>50901.0</v>
      </c>
      <c r="B225" s="13" t="s">
        <v>246</v>
      </c>
      <c r="C225" s="9">
        <v>764.0</v>
      </c>
      <c r="D225" s="9">
        <v>285.00000685453415</v>
      </c>
      <c r="E225" s="9">
        <v>10964.0</v>
      </c>
      <c r="F225" s="27">
        <f t="shared" si="1"/>
        <v>0.06968259759</v>
      </c>
      <c r="G225" s="27">
        <f t="shared" si="2"/>
        <v>0.3730366582</v>
      </c>
      <c r="H225" s="27">
        <f t="shared" si="3"/>
        <v>0.02599416334</v>
      </c>
      <c r="I225" s="26"/>
      <c r="J225" s="26"/>
      <c r="K225" s="17"/>
      <c r="L225" s="17"/>
      <c r="M225" s="29"/>
      <c r="N225" s="29"/>
      <c r="O225" s="4"/>
      <c r="P225" s="4"/>
      <c r="Q225" s="4"/>
      <c r="R225" s="17"/>
      <c r="S225" s="17"/>
      <c r="T225" s="17"/>
      <c r="U225" s="17"/>
      <c r="V225" s="17"/>
    </row>
    <row r="226" ht="14.25" customHeight="1">
      <c r="A226" s="13">
        <v>50902.0</v>
      </c>
      <c r="B226" s="13" t="s">
        <v>247</v>
      </c>
      <c r="C226" s="9">
        <v>137.0</v>
      </c>
      <c r="D226" s="9">
        <v>50.44444552063942</v>
      </c>
      <c r="E226" s="9">
        <v>1513.0</v>
      </c>
      <c r="F226" s="27">
        <f t="shared" si="1"/>
        <v>0.09054857898</v>
      </c>
      <c r="G226" s="27">
        <f t="shared" si="2"/>
        <v>0.3682076315</v>
      </c>
      <c r="H226" s="27">
        <f t="shared" si="3"/>
        <v>0.03334067781</v>
      </c>
      <c r="I226" s="26"/>
      <c r="J226" s="26"/>
      <c r="K226" s="17"/>
      <c r="L226" s="17"/>
      <c r="M226" s="29"/>
      <c r="N226" s="29"/>
      <c r="O226" s="4"/>
      <c r="P226" s="4"/>
      <c r="Q226" s="4"/>
      <c r="R226" s="17"/>
      <c r="S226" s="17"/>
      <c r="T226" s="17"/>
      <c r="U226" s="17"/>
      <c r="V226" s="17"/>
    </row>
    <row r="227" ht="14.25" customHeight="1">
      <c r="A227" s="13">
        <v>51001.0</v>
      </c>
      <c r="B227" s="13" t="s">
        <v>248</v>
      </c>
      <c r="C227" s="9">
        <v>575.0</v>
      </c>
      <c r="D227" s="9">
        <v>219.11111664772034</v>
      </c>
      <c r="E227" s="9">
        <v>2892.0</v>
      </c>
      <c r="F227" s="27">
        <f t="shared" si="1"/>
        <v>0.198824343</v>
      </c>
      <c r="G227" s="27">
        <f t="shared" si="2"/>
        <v>0.3810628116</v>
      </c>
      <c r="H227" s="27">
        <f t="shared" si="3"/>
        <v>0.07576456316</v>
      </c>
      <c r="I227" s="26"/>
      <c r="J227" s="26"/>
      <c r="K227" s="17"/>
      <c r="L227" s="17"/>
      <c r="M227" s="29"/>
      <c r="N227" s="29"/>
      <c r="O227" s="4"/>
      <c r="P227" s="4"/>
      <c r="Q227" s="4"/>
      <c r="R227" s="17"/>
      <c r="S227" s="17"/>
      <c r="T227" s="17"/>
      <c r="U227" s="17"/>
      <c r="V227" s="17"/>
    </row>
    <row r="228" ht="14.25" customHeight="1">
      <c r="A228" s="13">
        <v>51002.0</v>
      </c>
      <c r="B228" s="13" t="s">
        <v>249</v>
      </c>
      <c r="C228" s="9">
        <v>347.0</v>
      </c>
      <c r="D228" s="9">
        <v>135.7777813076973</v>
      </c>
      <c r="E228" s="9">
        <v>965.0</v>
      </c>
      <c r="F228" s="27">
        <f t="shared" si="1"/>
        <v>0.3595854922</v>
      </c>
      <c r="G228" s="27">
        <f t="shared" si="2"/>
        <v>0.391290436</v>
      </c>
      <c r="H228" s="27">
        <f t="shared" si="3"/>
        <v>0.140702364</v>
      </c>
      <c r="I228" s="26"/>
      <c r="J228" s="26"/>
      <c r="K228" s="17"/>
      <c r="L228" s="17"/>
      <c r="M228" s="29"/>
      <c r="N228" s="29"/>
      <c r="O228" s="4"/>
      <c r="P228" s="4"/>
      <c r="Q228" s="4"/>
      <c r="R228" s="17"/>
      <c r="S228" s="17"/>
      <c r="T228" s="17"/>
      <c r="U228" s="17"/>
      <c r="V228" s="17"/>
    </row>
    <row r="229" ht="14.25" customHeight="1">
      <c r="A229" s="13">
        <v>51003.0</v>
      </c>
      <c r="B229" s="13" t="s">
        <v>250</v>
      </c>
      <c r="C229" s="9">
        <v>532.0</v>
      </c>
      <c r="D229" s="9">
        <v>206.77778273820877</v>
      </c>
      <c r="E229" s="9">
        <v>1876.0</v>
      </c>
      <c r="F229" s="27">
        <f t="shared" si="1"/>
        <v>0.2835820896</v>
      </c>
      <c r="G229" s="27">
        <f t="shared" si="2"/>
        <v>0.3886800427</v>
      </c>
      <c r="H229" s="27">
        <f t="shared" si="3"/>
        <v>0.1102226987</v>
      </c>
      <c r="I229" s="26"/>
      <c r="J229" s="26"/>
      <c r="K229" s="17"/>
      <c r="L229" s="17"/>
      <c r="M229" s="29"/>
      <c r="N229" s="29"/>
      <c r="O229" s="4"/>
      <c r="P229" s="4"/>
      <c r="Q229" s="4"/>
      <c r="R229" s="17"/>
      <c r="S229" s="17"/>
      <c r="T229" s="17"/>
      <c r="U229" s="17"/>
      <c r="V229" s="17"/>
    </row>
    <row r="230" ht="14.25" customHeight="1">
      <c r="A230" s="13">
        <v>51101.0</v>
      </c>
      <c r="B230" s="13" t="s">
        <v>251</v>
      </c>
      <c r="C230" s="9">
        <v>2395.0</v>
      </c>
      <c r="D230" s="9">
        <v>885.555576980114</v>
      </c>
      <c r="E230" s="9">
        <v>16250.0</v>
      </c>
      <c r="F230" s="27">
        <f t="shared" si="1"/>
        <v>0.1473846154</v>
      </c>
      <c r="G230" s="27">
        <f t="shared" si="2"/>
        <v>0.3697518067</v>
      </c>
      <c r="H230" s="27">
        <f t="shared" si="3"/>
        <v>0.05449572781</v>
      </c>
      <c r="I230" s="26"/>
      <c r="J230" s="26"/>
      <c r="K230" s="17"/>
      <c r="L230" s="17"/>
      <c r="M230" s="29"/>
      <c r="N230" s="29"/>
      <c r="O230" s="4"/>
      <c r="P230" s="4"/>
      <c r="Q230" s="4"/>
      <c r="R230" s="17"/>
      <c r="S230" s="17"/>
      <c r="T230" s="17"/>
      <c r="U230" s="17"/>
      <c r="V230" s="17"/>
    </row>
    <row r="231" ht="14.25" customHeight="1">
      <c r="A231" s="13">
        <v>51102.0</v>
      </c>
      <c r="B231" s="13" t="s">
        <v>252</v>
      </c>
      <c r="C231" s="9">
        <v>2012.0</v>
      </c>
      <c r="D231" s="9">
        <v>752.7777966558933</v>
      </c>
      <c r="E231" s="9">
        <v>12686.0</v>
      </c>
      <c r="F231" s="27">
        <f t="shared" si="1"/>
        <v>0.1586000315</v>
      </c>
      <c r="G231" s="27">
        <f t="shared" si="2"/>
        <v>0.3741440341</v>
      </c>
      <c r="H231" s="27">
        <f t="shared" si="3"/>
        <v>0.05933925561</v>
      </c>
      <c r="I231" s="26"/>
      <c r="J231" s="26"/>
      <c r="K231" s="17"/>
      <c r="L231" s="17"/>
      <c r="M231" s="29"/>
      <c r="N231" s="29"/>
      <c r="O231" s="4"/>
      <c r="P231" s="4"/>
      <c r="Q231" s="4"/>
      <c r="R231" s="17"/>
      <c r="S231" s="17"/>
      <c r="T231" s="17"/>
      <c r="U231" s="17"/>
      <c r="V231" s="17"/>
    </row>
    <row r="232" ht="14.25" customHeight="1">
      <c r="A232" s="13">
        <v>51103.0</v>
      </c>
      <c r="B232" s="13" t="s">
        <v>253</v>
      </c>
      <c r="C232" s="9">
        <v>6484.0</v>
      </c>
      <c r="D232" s="9">
        <v>2613.8889535963535</v>
      </c>
      <c r="E232" s="9">
        <v>14324.0</v>
      </c>
      <c r="F232" s="27">
        <f t="shared" si="1"/>
        <v>0.4526668528</v>
      </c>
      <c r="G232" s="27">
        <f t="shared" si="2"/>
        <v>0.4031290798</v>
      </c>
      <c r="H232" s="27">
        <f t="shared" si="3"/>
        <v>0.1824831719</v>
      </c>
      <c r="I232" s="26"/>
      <c r="J232" s="26"/>
      <c r="K232" s="17"/>
      <c r="L232" s="17"/>
      <c r="M232" s="29"/>
      <c r="N232" s="29"/>
      <c r="O232" s="4"/>
      <c r="P232" s="4"/>
      <c r="Q232" s="4"/>
      <c r="R232" s="17"/>
      <c r="S232" s="17"/>
      <c r="T232" s="17"/>
      <c r="U232" s="17"/>
      <c r="V232" s="17"/>
    </row>
    <row r="233" ht="14.25" customHeight="1">
      <c r="A233" s="13">
        <v>51201.0</v>
      </c>
      <c r="B233" s="13" t="s">
        <v>254</v>
      </c>
      <c r="C233" s="9">
        <v>2803.0</v>
      </c>
      <c r="D233" s="9">
        <v>1004.8889147043228</v>
      </c>
      <c r="E233" s="9">
        <v>33838.0</v>
      </c>
      <c r="F233" s="27">
        <f t="shared" si="1"/>
        <v>0.082835865</v>
      </c>
      <c r="G233" s="27">
        <f t="shared" si="2"/>
        <v>0.3585047858</v>
      </c>
      <c r="H233" s="27">
        <f t="shared" si="3"/>
        <v>0.02969705404</v>
      </c>
      <c r="I233" s="26"/>
      <c r="J233" s="26"/>
      <c r="K233" s="17"/>
      <c r="L233" s="17"/>
      <c r="M233" s="29"/>
      <c r="N233" s="29"/>
      <c r="O233" s="4"/>
      <c r="P233" s="4"/>
      <c r="Q233" s="4"/>
      <c r="R233" s="17"/>
      <c r="S233" s="17"/>
      <c r="T233" s="17"/>
      <c r="U233" s="17"/>
      <c r="V233" s="17"/>
    </row>
    <row r="234" ht="14.25" customHeight="1">
      <c r="A234" s="13">
        <v>51202.0</v>
      </c>
      <c r="B234" s="13" t="s">
        <v>255</v>
      </c>
      <c r="C234" s="9">
        <v>1684.0</v>
      </c>
      <c r="D234" s="9">
        <v>613.6666817069054</v>
      </c>
      <c r="E234" s="9">
        <v>7789.0</v>
      </c>
      <c r="F234" s="27">
        <f t="shared" si="1"/>
        <v>0.2162023366</v>
      </c>
      <c r="G234" s="27">
        <f t="shared" si="2"/>
        <v>0.3644101435</v>
      </c>
      <c r="H234" s="27">
        <f t="shared" si="3"/>
        <v>0.07878632452</v>
      </c>
      <c r="I234" s="26"/>
      <c r="J234" s="26"/>
      <c r="K234" s="17"/>
      <c r="L234" s="17"/>
      <c r="M234" s="29"/>
      <c r="N234" s="29"/>
      <c r="O234" s="4"/>
      <c r="P234" s="4"/>
      <c r="Q234" s="4"/>
      <c r="R234" s="17"/>
      <c r="S234" s="17"/>
      <c r="T234" s="17"/>
      <c r="U234" s="17"/>
      <c r="V234" s="17"/>
    </row>
    <row r="235" ht="14.25" customHeight="1">
      <c r="A235" s="13">
        <v>51203.0</v>
      </c>
      <c r="B235" s="13" t="s">
        <v>256</v>
      </c>
      <c r="C235" s="9">
        <v>955.0</v>
      </c>
      <c r="D235" s="9">
        <v>353.0000085532665</v>
      </c>
      <c r="E235" s="9">
        <v>14463.0</v>
      </c>
      <c r="F235" s="27">
        <f t="shared" si="1"/>
        <v>0.06603056074</v>
      </c>
      <c r="G235" s="27">
        <f t="shared" si="2"/>
        <v>0.3696335168</v>
      </c>
      <c r="H235" s="27">
        <f t="shared" si="3"/>
        <v>0.02440710838</v>
      </c>
      <c r="I235" s="26"/>
      <c r="J235" s="26"/>
      <c r="K235" s="17"/>
      <c r="L235" s="17"/>
      <c r="M235" s="29"/>
      <c r="N235" s="29"/>
      <c r="O235" s="4"/>
      <c r="P235" s="4"/>
      <c r="Q235" s="4"/>
      <c r="R235" s="17"/>
      <c r="S235" s="17"/>
      <c r="T235" s="17"/>
      <c r="U235" s="17"/>
      <c r="V235" s="17"/>
    </row>
    <row r="236" ht="14.25" customHeight="1">
      <c r="A236" s="13">
        <v>51204.0</v>
      </c>
      <c r="B236" s="13" t="s">
        <v>257</v>
      </c>
      <c r="C236" s="9">
        <v>1389.0</v>
      </c>
      <c r="D236" s="9">
        <v>519.4444569647312</v>
      </c>
      <c r="E236" s="9">
        <v>5807.0</v>
      </c>
      <c r="F236" s="27">
        <f t="shared" si="1"/>
        <v>0.2391940761</v>
      </c>
      <c r="G236" s="27">
        <f t="shared" si="2"/>
        <v>0.3739700914</v>
      </c>
      <c r="H236" s="27">
        <f t="shared" si="3"/>
        <v>0.08945143051</v>
      </c>
      <c r="I236" s="26"/>
      <c r="J236" s="26"/>
      <c r="K236" s="17"/>
      <c r="L236" s="17"/>
      <c r="M236" s="29"/>
      <c r="N236" s="29"/>
      <c r="O236" s="4"/>
      <c r="P236" s="4"/>
      <c r="Q236" s="4"/>
      <c r="R236" s="17"/>
      <c r="S236" s="17"/>
      <c r="T236" s="17"/>
      <c r="U236" s="17"/>
      <c r="V236" s="17"/>
    </row>
    <row r="237" ht="14.25" customHeight="1">
      <c r="A237" s="13">
        <v>51301.0</v>
      </c>
      <c r="B237" s="13" t="s">
        <v>258</v>
      </c>
      <c r="C237" s="9">
        <v>995.0</v>
      </c>
      <c r="D237" s="9">
        <v>378.44445383548737</v>
      </c>
      <c r="E237" s="9">
        <v>3663.0</v>
      </c>
      <c r="F237" s="27">
        <f t="shared" si="1"/>
        <v>0.2716352716</v>
      </c>
      <c r="G237" s="27">
        <f t="shared" si="2"/>
        <v>0.3803461848</v>
      </c>
      <c r="H237" s="27">
        <f t="shared" si="3"/>
        <v>0.1033154392</v>
      </c>
      <c r="I237" s="26"/>
      <c r="J237" s="26"/>
      <c r="K237" s="17"/>
      <c r="L237" s="17"/>
      <c r="M237" s="29"/>
      <c r="N237" s="29"/>
      <c r="O237" s="4"/>
      <c r="P237" s="4"/>
      <c r="Q237" s="4"/>
      <c r="R237" s="17"/>
      <c r="S237" s="17"/>
      <c r="T237" s="17"/>
      <c r="U237" s="17"/>
      <c r="V237" s="17"/>
    </row>
    <row r="238" ht="14.25" customHeight="1">
      <c r="A238" s="13">
        <v>51302.0</v>
      </c>
      <c r="B238" s="13" t="s">
        <v>259</v>
      </c>
      <c r="C238" s="9">
        <v>1104.0</v>
      </c>
      <c r="D238" s="9">
        <v>423.6666768193245</v>
      </c>
      <c r="E238" s="9">
        <v>4424.0</v>
      </c>
      <c r="F238" s="27">
        <f t="shared" si="1"/>
        <v>0.2495479204</v>
      </c>
      <c r="G238" s="27">
        <f t="shared" si="2"/>
        <v>0.3837560478</v>
      </c>
      <c r="H238" s="27">
        <f t="shared" si="3"/>
        <v>0.09576552369</v>
      </c>
      <c r="I238" s="26"/>
      <c r="J238" s="26"/>
      <c r="K238" s="17"/>
      <c r="L238" s="17"/>
      <c r="M238" s="29"/>
      <c r="N238" s="29"/>
      <c r="O238" s="4"/>
      <c r="P238" s="4"/>
      <c r="Q238" s="4"/>
      <c r="R238" s="17"/>
      <c r="S238" s="17"/>
      <c r="T238" s="17"/>
      <c r="U238" s="17"/>
      <c r="V238" s="17"/>
    </row>
    <row r="239" ht="14.25" customHeight="1">
      <c r="A239" s="13">
        <v>51401.0</v>
      </c>
      <c r="B239" s="13" t="s">
        <v>260</v>
      </c>
      <c r="C239" s="9">
        <v>192.0</v>
      </c>
      <c r="D239" s="9">
        <v>67.22222399711609</v>
      </c>
      <c r="E239" s="9">
        <v>4049.0</v>
      </c>
      <c r="F239" s="27">
        <f t="shared" si="1"/>
        <v>0.04741911583</v>
      </c>
      <c r="G239" s="27">
        <f t="shared" si="2"/>
        <v>0.35011575</v>
      </c>
      <c r="H239" s="27">
        <f t="shared" si="3"/>
        <v>0.0166021793</v>
      </c>
      <c r="I239" s="26"/>
      <c r="J239" s="26"/>
      <c r="K239" s="17"/>
      <c r="L239" s="17"/>
      <c r="M239" s="29"/>
      <c r="N239" s="29"/>
      <c r="O239" s="4"/>
      <c r="P239" s="4"/>
      <c r="Q239" s="4"/>
      <c r="R239" s="17"/>
      <c r="S239" s="17"/>
      <c r="T239" s="17"/>
      <c r="U239" s="17"/>
      <c r="V239" s="17"/>
    </row>
    <row r="240" ht="14.25" customHeight="1">
      <c r="A240" s="13">
        <v>51402.0</v>
      </c>
      <c r="B240" s="13" t="s">
        <v>261</v>
      </c>
      <c r="C240" s="9">
        <v>250.0</v>
      </c>
      <c r="D240" s="9">
        <v>93.88889083266258</v>
      </c>
      <c r="E240" s="9">
        <v>1541.0</v>
      </c>
      <c r="F240" s="27">
        <f t="shared" si="1"/>
        <v>0.1622323167</v>
      </c>
      <c r="G240" s="27">
        <f t="shared" si="2"/>
        <v>0.3755555633</v>
      </c>
      <c r="H240" s="27">
        <f t="shared" si="3"/>
        <v>0.06092724908</v>
      </c>
      <c r="I240" s="26"/>
      <c r="J240" s="26"/>
      <c r="K240" s="17"/>
      <c r="L240" s="17"/>
      <c r="M240" s="29"/>
      <c r="N240" s="29"/>
      <c r="O240" s="4"/>
      <c r="P240" s="4"/>
      <c r="Q240" s="4"/>
      <c r="R240" s="17"/>
      <c r="S240" s="17"/>
      <c r="T240" s="17"/>
      <c r="U240" s="17"/>
      <c r="V240" s="17"/>
    </row>
    <row r="241" ht="14.25" customHeight="1">
      <c r="A241" s="13">
        <v>51501.0</v>
      </c>
      <c r="B241" s="13" t="s">
        <v>262</v>
      </c>
      <c r="C241" s="9">
        <v>2696.0</v>
      </c>
      <c r="D241" s="9">
        <v>1016.4444693922997</v>
      </c>
      <c r="E241" s="9">
        <v>48171.0</v>
      </c>
      <c r="F241" s="27">
        <f t="shared" si="1"/>
        <v>0.05596728322</v>
      </c>
      <c r="G241" s="27">
        <f t="shared" si="2"/>
        <v>0.3770194619</v>
      </c>
      <c r="H241" s="27">
        <f t="shared" si="3"/>
        <v>0.02110075501</v>
      </c>
      <c r="I241" s="26"/>
      <c r="J241" s="26"/>
      <c r="K241" s="17"/>
      <c r="L241" s="17"/>
      <c r="M241" s="29"/>
      <c r="N241" s="29"/>
      <c r="O241" s="4"/>
      <c r="P241" s="4"/>
      <c r="Q241" s="4"/>
      <c r="R241" s="17"/>
      <c r="S241" s="17"/>
      <c r="T241" s="17"/>
      <c r="U241" s="17"/>
      <c r="V241" s="17"/>
    </row>
    <row r="242" ht="14.25" customHeight="1">
      <c r="A242" s="13">
        <v>51601.0</v>
      </c>
      <c r="B242" s="13" t="s">
        <v>263</v>
      </c>
      <c r="C242" s="9">
        <v>139.0</v>
      </c>
      <c r="D242" s="9">
        <v>50.000001311302185</v>
      </c>
      <c r="E242" s="9">
        <v>2049.0</v>
      </c>
      <c r="F242" s="27">
        <f t="shared" si="1"/>
        <v>0.06783796974</v>
      </c>
      <c r="G242" s="27">
        <f t="shared" si="2"/>
        <v>0.3597122396</v>
      </c>
      <c r="H242" s="27">
        <f t="shared" si="3"/>
        <v>0.02440214803</v>
      </c>
      <c r="I242" s="26"/>
      <c r="J242" s="26"/>
      <c r="K242" s="17"/>
      <c r="L242" s="17"/>
      <c r="M242" s="29"/>
      <c r="N242" s="29"/>
      <c r="O242" s="4"/>
      <c r="P242" s="4"/>
      <c r="Q242" s="4"/>
      <c r="R242" s="17"/>
      <c r="S242" s="17"/>
      <c r="T242" s="17"/>
      <c r="U242" s="17"/>
      <c r="V242" s="17"/>
    </row>
    <row r="243" ht="14.25" customHeight="1">
      <c r="A243" s="13">
        <v>60101.0</v>
      </c>
      <c r="B243" s="13" t="s">
        <v>22</v>
      </c>
      <c r="C243" s="9">
        <v>6560.0</v>
      </c>
      <c r="D243" s="9">
        <v>2385.6667271852493</v>
      </c>
      <c r="E243" s="9">
        <v>233764.0</v>
      </c>
      <c r="F243" s="27">
        <f t="shared" si="1"/>
        <v>0.02806249037</v>
      </c>
      <c r="G243" s="27">
        <f t="shared" si="2"/>
        <v>0.3636687084</v>
      </c>
      <c r="H243" s="27">
        <f t="shared" si="3"/>
        <v>0.01020544963</v>
      </c>
      <c r="I243" s="26"/>
      <c r="J243" s="26"/>
      <c r="K243" s="17"/>
      <c r="L243" s="17"/>
      <c r="M243" s="29"/>
      <c r="N243" s="29"/>
      <c r="O243" s="4"/>
      <c r="P243" s="4"/>
      <c r="Q243" s="4"/>
      <c r="R243" s="17"/>
      <c r="S243" s="17"/>
      <c r="T243" s="17"/>
      <c r="U243" s="17"/>
      <c r="V243" s="17"/>
    </row>
    <row r="244" ht="14.25" customHeight="1">
      <c r="A244" s="13">
        <v>60201.0</v>
      </c>
      <c r="B244" s="13" t="s">
        <v>264</v>
      </c>
      <c r="C244" s="9">
        <v>1816.0</v>
      </c>
      <c r="D244" s="9">
        <v>690.4444618523121</v>
      </c>
      <c r="E244" s="9">
        <v>17599.0</v>
      </c>
      <c r="F244" s="27">
        <f t="shared" si="1"/>
        <v>0.1031876811</v>
      </c>
      <c r="G244" s="27">
        <f t="shared" si="2"/>
        <v>0.3802006949</v>
      </c>
      <c r="H244" s="27">
        <f t="shared" si="3"/>
        <v>0.03923202806</v>
      </c>
      <c r="I244" s="26"/>
      <c r="J244" s="26"/>
      <c r="K244" s="17"/>
      <c r="L244" s="17"/>
      <c r="M244" s="29"/>
      <c r="N244" s="29"/>
      <c r="O244" s="4"/>
      <c r="P244" s="4"/>
      <c r="Q244" s="4"/>
      <c r="R244" s="17"/>
      <c r="S244" s="17"/>
      <c r="T244" s="17"/>
      <c r="U244" s="17"/>
      <c r="V244" s="17"/>
    </row>
    <row r="245" ht="14.25" customHeight="1">
      <c r="A245" s="13">
        <v>60202.0</v>
      </c>
      <c r="B245" s="13" t="s">
        <v>265</v>
      </c>
      <c r="C245" s="9">
        <v>1077.0</v>
      </c>
      <c r="D245" s="9">
        <v>392.11112132668495</v>
      </c>
      <c r="E245" s="9">
        <v>36222.0</v>
      </c>
      <c r="F245" s="27">
        <f t="shared" si="1"/>
        <v>0.02973331125</v>
      </c>
      <c r="G245" s="27">
        <f t="shared" si="2"/>
        <v>0.3640771786</v>
      </c>
      <c r="H245" s="27">
        <f t="shared" si="3"/>
        <v>0.01082522007</v>
      </c>
      <c r="I245" s="26"/>
      <c r="J245" s="26"/>
      <c r="K245" s="17"/>
      <c r="L245" s="17"/>
      <c r="M245" s="29"/>
      <c r="N245" s="29"/>
      <c r="O245" s="4"/>
      <c r="P245" s="4"/>
      <c r="Q245" s="4"/>
      <c r="R245" s="17"/>
      <c r="S245" s="17"/>
      <c r="T245" s="17"/>
      <c r="U245" s="17"/>
      <c r="V245" s="17"/>
    </row>
    <row r="246" ht="14.25" customHeight="1">
      <c r="A246" s="13">
        <v>60301.0</v>
      </c>
      <c r="B246" s="13" t="s">
        <v>266</v>
      </c>
      <c r="C246" s="9">
        <v>4484.0</v>
      </c>
      <c r="D246" s="9">
        <v>1681.2222645282745</v>
      </c>
      <c r="E246" s="9">
        <v>95051.0</v>
      </c>
      <c r="F246" s="27">
        <f t="shared" si="1"/>
        <v>0.04717467465</v>
      </c>
      <c r="G246" s="27">
        <f t="shared" si="2"/>
        <v>0.3749380608</v>
      </c>
      <c r="H246" s="27">
        <f t="shared" si="3"/>
        <v>0.01768758103</v>
      </c>
      <c r="I246" s="26"/>
      <c r="J246" s="26"/>
      <c r="K246" s="17"/>
      <c r="L246" s="17"/>
      <c r="M246" s="29"/>
      <c r="N246" s="29"/>
      <c r="O246" s="4"/>
      <c r="P246" s="4"/>
      <c r="Q246" s="4"/>
      <c r="R246" s="17"/>
      <c r="S246" s="17"/>
      <c r="T246" s="17"/>
      <c r="U246" s="17"/>
      <c r="V246" s="17"/>
    </row>
    <row r="247" ht="14.25" customHeight="1">
      <c r="A247" s="13">
        <v>60302.0</v>
      </c>
      <c r="B247" s="13" t="s">
        <v>267</v>
      </c>
      <c r="C247" s="9">
        <v>751.0</v>
      </c>
      <c r="D247" s="9">
        <v>276.1111185848713</v>
      </c>
      <c r="E247" s="9">
        <v>15251.0</v>
      </c>
      <c r="F247" s="27">
        <f t="shared" si="1"/>
        <v>0.04924267261</v>
      </c>
      <c r="G247" s="27">
        <f t="shared" si="2"/>
        <v>0.3676579475</v>
      </c>
      <c r="H247" s="27">
        <f t="shared" si="3"/>
        <v>0.01810445994</v>
      </c>
      <c r="I247" s="26"/>
      <c r="J247" s="26"/>
      <c r="K247" s="17"/>
      <c r="L247" s="17"/>
      <c r="M247" s="29"/>
      <c r="N247" s="29"/>
      <c r="O247" s="4"/>
      <c r="P247" s="4"/>
      <c r="Q247" s="4"/>
      <c r="R247" s="17"/>
      <c r="S247" s="17"/>
      <c r="T247" s="17"/>
      <c r="U247" s="17"/>
      <c r="V247" s="17"/>
    </row>
    <row r="248" ht="14.25" customHeight="1">
      <c r="A248" s="13">
        <v>60303.0</v>
      </c>
      <c r="B248" s="13" t="s">
        <v>268</v>
      </c>
      <c r="C248" s="9">
        <v>2676.0</v>
      </c>
      <c r="D248" s="9">
        <v>1002.7778035402298</v>
      </c>
      <c r="E248" s="9">
        <v>44614.0</v>
      </c>
      <c r="F248" s="27">
        <f t="shared" si="1"/>
        <v>0.05998117183</v>
      </c>
      <c r="G248" s="27">
        <f t="shared" si="2"/>
        <v>0.3747301209</v>
      </c>
      <c r="H248" s="27">
        <f t="shared" si="3"/>
        <v>0.02247675177</v>
      </c>
      <c r="I248" s="26"/>
      <c r="J248" s="26"/>
      <c r="K248" s="17"/>
      <c r="L248" s="17"/>
      <c r="M248" s="29"/>
      <c r="N248" s="29"/>
      <c r="O248" s="4"/>
      <c r="P248" s="4"/>
      <c r="Q248" s="4"/>
      <c r="R248" s="17"/>
      <c r="S248" s="17"/>
      <c r="T248" s="17"/>
      <c r="U248" s="17"/>
      <c r="V248" s="17"/>
    </row>
    <row r="249" ht="14.25" customHeight="1">
      <c r="A249" s="13">
        <v>60401.0</v>
      </c>
      <c r="B249" s="13" t="s">
        <v>269</v>
      </c>
      <c r="C249" s="9">
        <v>1222.0</v>
      </c>
      <c r="D249" s="9">
        <v>451.2222333550453</v>
      </c>
      <c r="E249" s="9">
        <v>15858.0</v>
      </c>
      <c r="F249" s="27">
        <f t="shared" si="1"/>
        <v>0.07705889772</v>
      </c>
      <c r="G249" s="27">
        <f t="shared" si="2"/>
        <v>0.3692489635</v>
      </c>
      <c r="H249" s="27">
        <f t="shared" si="3"/>
        <v>0.02845391811</v>
      </c>
      <c r="I249" s="26"/>
      <c r="J249" s="26"/>
      <c r="K249" s="17"/>
      <c r="L249" s="17"/>
      <c r="M249" s="29"/>
      <c r="N249" s="29"/>
      <c r="O249" s="4"/>
      <c r="P249" s="4"/>
      <c r="Q249" s="4"/>
      <c r="R249" s="17"/>
      <c r="S249" s="17"/>
      <c r="T249" s="17"/>
      <c r="U249" s="17"/>
      <c r="V249" s="17"/>
    </row>
    <row r="250" ht="14.25" customHeight="1">
      <c r="A250" s="13">
        <v>60402.0</v>
      </c>
      <c r="B250" s="13" t="s">
        <v>270</v>
      </c>
      <c r="C250" s="9">
        <v>533.0</v>
      </c>
      <c r="D250" s="9">
        <v>202.33333784341812</v>
      </c>
      <c r="E250" s="9">
        <v>4726.0</v>
      </c>
      <c r="F250" s="27">
        <f t="shared" si="1"/>
        <v>0.1127803639</v>
      </c>
      <c r="G250" s="27">
        <f t="shared" si="2"/>
        <v>0.3796122661</v>
      </c>
      <c r="H250" s="27">
        <f t="shared" si="3"/>
        <v>0.04281280953</v>
      </c>
      <c r="I250" s="26"/>
      <c r="J250" s="26"/>
      <c r="K250" s="17"/>
      <c r="L250" s="17"/>
      <c r="M250" s="29"/>
      <c r="N250" s="29"/>
      <c r="O250" s="4"/>
      <c r="P250" s="4"/>
      <c r="Q250" s="4"/>
      <c r="R250" s="17"/>
      <c r="S250" s="17"/>
      <c r="T250" s="17"/>
      <c r="U250" s="17"/>
      <c r="V250" s="17"/>
    </row>
    <row r="251" ht="14.25" customHeight="1">
      <c r="A251" s="13">
        <v>60501.0</v>
      </c>
      <c r="B251" s="13" t="s">
        <v>271</v>
      </c>
      <c r="C251" s="9">
        <v>2815.0</v>
      </c>
      <c r="D251" s="9">
        <v>1077.888915926218</v>
      </c>
      <c r="E251" s="9">
        <v>30235.0</v>
      </c>
      <c r="F251" s="27">
        <f t="shared" si="1"/>
        <v>0.09310401852</v>
      </c>
      <c r="G251" s="27">
        <f t="shared" si="2"/>
        <v>0.3829090287</v>
      </c>
      <c r="H251" s="27">
        <f t="shared" si="3"/>
        <v>0.0356503693</v>
      </c>
      <c r="I251" s="26"/>
      <c r="J251" s="26"/>
      <c r="K251" s="17"/>
      <c r="L251" s="17"/>
      <c r="M251" s="29"/>
      <c r="N251" s="29"/>
      <c r="O251" s="4"/>
      <c r="P251" s="4"/>
      <c r="Q251" s="4"/>
      <c r="R251" s="17"/>
      <c r="S251" s="17"/>
      <c r="T251" s="17"/>
      <c r="U251" s="17"/>
      <c r="V251" s="17"/>
    </row>
    <row r="252" ht="14.25" customHeight="1">
      <c r="A252" s="13">
        <v>60502.0</v>
      </c>
      <c r="B252" s="13" t="s">
        <v>272</v>
      </c>
      <c r="C252" s="9">
        <v>585.0</v>
      </c>
      <c r="D252" s="9">
        <v>220.6666722893715</v>
      </c>
      <c r="E252" s="9">
        <v>9445.0</v>
      </c>
      <c r="F252" s="27">
        <f t="shared" si="1"/>
        <v>0.06193753309</v>
      </c>
      <c r="G252" s="27">
        <f t="shared" si="2"/>
        <v>0.3772079868</v>
      </c>
      <c r="H252" s="27">
        <f t="shared" si="3"/>
        <v>0.02336333216</v>
      </c>
      <c r="I252" s="26"/>
      <c r="J252" s="26"/>
      <c r="K252" s="17"/>
      <c r="L252" s="17"/>
      <c r="M252" s="29"/>
      <c r="N252" s="29"/>
      <c r="O252" s="4"/>
      <c r="P252" s="4"/>
      <c r="Q252" s="4"/>
      <c r="R252" s="17"/>
      <c r="S252" s="17"/>
      <c r="T252" s="17"/>
      <c r="U252" s="17"/>
      <c r="V252" s="17"/>
    </row>
    <row r="253" ht="14.25" customHeight="1">
      <c r="A253" s="13">
        <v>60601.0</v>
      </c>
      <c r="B253" s="13" t="s">
        <v>177</v>
      </c>
      <c r="C253" s="9">
        <v>2380.0</v>
      </c>
      <c r="D253" s="9">
        <v>914.4444667994976</v>
      </c>
      <c r="E253" s="9">
        <v>20490.0</v>
      </c>
      <c r="F253" s="27">
        <f t="shared" si="1"/>
        <v>0.1161542216</v>
      </c>
      <c r="G253" s="27">
        <f t="shared" si="2"/>
        <v>0.3842203642</v>
      </c>
      <c r="H253" s="27">
        <f t="shared" si="3"/>
        <v>0.04462881732</v>
      </c>
      <c r="I253" s="26"/>
      <c r="J253" s="26"/>
      <c r="K253" s="17"/>
      <c r="L253" s="17"/>
      <c r="M253" s="29"/>
      <c r="N253" s="29"/>
      <c r="O253" s="4"/>
      <c r="P253" s="4"/>
      <c r="Q253" s="4"/>
      <c r="R253" s="17"/>
      <c r="S253" s="17"/>
      <c r="T253" s="17"/>
      <c r="U253" s="17"/>
      <c r="V253" s="17"/>
    </row>
    <row r="254" ht="14.25" customHeight="1">
      <c r="A254" s="13">
        <v>70101.0</v>
      </c>
      <c r="B254" s="13" t="s">
        <v>273</v>
      </c>
      <c r="C254" s="9">
        <v>26459.0</v>
      </c>
      <c r="D254" s="9">
        <v>9380.666914254427</v>
      </c>
      <c r="E254" s="9">
        <v>1579717.0</v>
      </c>
      <c r="F254" s="27">
        <f t="shared" si="1"/>
        <v>0.01674920255</v>
      </c>
      <c r="G254" s="27">
        <f t="shared" si="2"/>
        <v>0.3545359581</v>
      </c>
      <c r="H254" s="27">
        <f t="shared" si="3"/>
        <v>0.005938194572</v>
      </c>
      <c r="I254" s="26"/>
      <c r="J254" s="26"/>
      <c r="K254" s="17"/>
      <c r="L254" s="17"/>
      <c r="M254" s="29"/>
      <c r="N254" s="29"/>
      <c r="O254" s="4"/>
      <c r="P254" s="4"/>
      <c r="Q254" s="4"/>
      <c r="R254" s="17"/>
      <c r="S254" s="17"/>
      <c r="T254" s="17"/>
      <c r="U254" s="17"/>
      <c r="V254" s="17"/>
    </row>
    <row r="255" ht="14.25" customHeight="1">
      <c r="A255" s="13">
        <v>70102.0</v>
      </c>
      <c r="B255" s="13" t="s">
        <v>274</v>
      </c>
      <c r="C255" s="9">
        <v>6386.0</v>
      </c>
      <c r="D255" s="9">
        <v>2292.333393663168</v>
      </c>
      <c r="E255" s="9">
        <v>105669.0</v>
      </c>
      <c r="F255" s="27">
        <f t="shared" si="1"/>
        <v>0.06043399673</v>
      </c>
      <c r="G255" s="27">
        <f t="shared" si="2"/>
        <v>0.3589623228</v>
      </c>
      <c r="H255" s="27">
        <f t="shared" si="3"/>
        <v>0.02169352784</v>
      </c>
      <c r="I255" s="26"/>
      <c r="J255" s="26"/>
      <c r="K255" s="17"/>
      <c r="L255" s="17"/>
      <c r="M255" s="29"/>
      <c r="N255" s="29"/>
      <c r="O255" s="4"/>
      <c r="P255" s="4"/>
      <c r="Q255" s="4"/>
      <c r="R255" s="17"/>
      <c r="S255" s="17"/>
      <c r="T255" s="17"/>
      <c r="U255" s="17"/>
      <c r="V255" s="17"/>
    </row>
    <row r="256" ht="14.25" customHeight="1">
      <c r="A256" s="13">
        <v>70103.0</v>
      </c>
      <c r="B256" s="13" t="s">
        <v>275</v>
      </c>
      <c r="C256" s="9">
        <v>831.0</v>
      </c>
      <c r="D256" s="9">
        <v>307.88889703154564</v>
      </c>
      <c r="E256" s="9">
        <v>22893.0</v>
      </c>
      <c r="F256" s="27">
        <f t="shared" si="1"/>
        <v>0.03629930546</v>
      </c>
      <c r="G256" s="27">
        <f t="shared" si="2"/>
        <v>0.3705040879</v>
      </c>
      <c r="H256" s="27">
        <f t="shared" si="3"/>
        <v>0.01344904106</v>
      </c>
      <c r="I256" s="26"/>
      <c r="J256" s="26"/>
      <c r="K256" s="17"/>
      <c r="L256" s="17"/>
      <c r="M256" s="29"/>
      <c r="N256" s="29"/>
      <c r="O256" s="4"/>
      <c r="P256" s="4"/>
      <c r="Q256" s="4"/>
      <c r="R256" s="17"/>
      <c r="S256" s="17"/>
      <c r="T256" s="17"/>
      <c r="U256" s="17"/>
      <c r="V256" s="17"/>
    </row>
    <row r="257" ht="14.25" customHeight="1">
      <c r="A257" s="13">
        <v>70104.0</v>
      </c>
      <c r="B257" s="13" t="s">
        <v>276</v>
      </c>
      <c r="C257" s="9">
        <v>4774.0</v>
      </c>
      <c r="D257" s="9">
        <v>1674.4444895386696</v>
      </c>
      <c r="E257" s="9">
        <v>146721.0</v>
      </c>
      <c r="F257" s="27">
        <f t="shared" si="1"/>
        <v>0.03253794617</v>
      </c>
      <c r="G257" s="27">
        <f t="shared" si="2"/>
        <v>0.350742457</v>
      </c>
      <c r="H257" s="27">
        <f t="shared" si="3"/>
        <v>0.01141243918</v>
      </c>
      <c r="I257" s="26"/>
      <c r="J257" s="26"/>
      <c r="K257" s="17"/>
      <c r="L257" s="17"/>
      <c r="M257" s="29"/>
      <c r="N257" s="29"/>
      <c r="O257" s="4"/>
      <c r="P257" s="4"/>
      <c r="Q257" s="4"/>
      <c r="R257" s="17"/>
      <c r="S257" s="17"/>
      <c r="T257" s="17"/>
      <c r="U257" s="17"/>
      <c r="V257" s="17"/>
    </row>
    <row r="258" ht="14.25" customHeight="1">
      <c r="A258" s="13">
        <v>70105.0</v>
      </c>
      <c r="B258" s="13" t="s">
        <v>277</v>
      </c>
      <c r="C258" s="9">
        <v>2787.0</v>
      </c>
      <c r="D258" s="9">
        <v>991.6666927039623</v>
      </c>
      <c r="E258" s="9">
        <v>54889.0</v>
      </c>
      <c r="F258" s="27">
        <f t="shared" si="1"/>
        <v>0.05077520086</v>
      </c>
      <c r="G258" s="27">
        <f t="shared" si="2"/>
        <v>0.3558186913</v>
      </c>
      <c r="H258" s="27">
        <f t="shared" si="3"/>
        <v>0.01806676552</v>
      </c>
      <c r="I258" s="26"/>
      <c r="J258" s="26"/>
      <c r="K258" s="17"/>
      <c r="L258" s="17"/>
      <c r="M258" s="29"/>
      <c r="N258" s="29"/>
      <c r="O258" s="4"/>
      <c r="P258" s="4"/>
      <c r="Q258" s="4"/>
      <c r="R258" s="17"/>
      <c r="S258" s="17"/>
      <c r="T258" s="17"/>
      <c r="U258" s="17"/>
      <c r="V258" s="17"/>
    </row>
    <row r="259" ht="14.25" customHeight="1">
      <c r="A259" s="13">
        <v>70201.0</v>
      </c>
      <c r="B259" s="13" t="s">
        <v>278</v>
      </c>
      <c r="C259" s="9">
        <v>6997.0</v>
      </c>
      <c r="D259" s="9">
        <v>2499.333396613598</v>
      </c>
      <c r="E259" s="9">
        <v>149129.0</v>
      </c>
      <c r="F259" s="27">
        <f t="shared" si="1"/>
        <v>0.0469191103</v>
      </c>
      <c r="G259" s="27">
        <f t="shared" si="2"/>
        <v>0.3572007141</v>
      </c>
      <c r="H259" s="27">
        <f t="shared" si="3"/>
        <v>0.0167595397</v>
      </c>
      <c r="I259" s="26"/>
      <c r="J259" s="26"/>
      <c r="K259" s="17"/>
      <c r="L259" s="17"/>
      <c r="M259" s="29"/>
      <c r="N259" s="29"/>
      <c r="O259" s="4"/>
      <c r="P259" s="4"/>
      <c r="Q259" s="4"/>
      <c r="R259" s="17"/>
      <c r="S259" s="17"/>
      <c r="T259" s="17"/>
      <c r="U259" s="17"/>
      <c r="V259" s="17"/>
    </row>
    <row r="260" ht="14.25" customHeight="1">
      <c r="A260" s="13">
        <v>70202.0</v>
      </c>
      <c r="B260" s="13" t="s">
        <v>279</v>
      </c>
      <c r="C260" s="9">
        <v>380.0</v>
      </c>
      <c r="D260" s="9">
        <v>133.11111450195312</v>
      </c>
      <c r="E260" s="9">
        <v>10390.0</v>
      </c>
      <c r="F260" s="27">
        <f t="shared" si="1"/>
        <v>0.03657362849</v>
      </c>
      <c r="G260" s="27">
        <f t="shared" si="2"/>
        <v>0.3502924066</v>
      </c>
      <c r="H260" s="27">
        <f t="shared" si="3"/>
        <v>0.01281146434</v>
      </c>
      <c r="I260" s="26"/>
      <c r="J260" s="26"/>
      <c r="K260" s="17"/>
      <c r="L260" s="17"/>
      <c r="M260" s="29"/>
      <c r="N260" s="29"/>
      <c r="O260" s="4"/>
      <c r="P260" s="4"/>
      <c r="Q260" s="4"/>
      <c r="R260" s="17"/>
      <c r="S260" s="17"/>
      <c r="T260" s="17"/>
      <c r="U260" s="17"/>
      <c r="V260" s="17"/>
    </row>
    <row r="261" ht="14.25" customHeight="1">
      <c r="A261" s="13">
        <v>70301.0</v>
      </c>
      <c r="B261" s="13" t="s">
        <v>280</v>
      </c>
      <c r="C261" s="9">
        <v>8642.0</v>
      </c>
      <c r="D261" s="9">
        <v>3247.8889699578285</v>
      </c>
      <c r="E261" s="9">
        <v>65442.0</v>
      </c>
      <c r="F261" s="27">
        <f t="shared" si="1"/>
        <v>0.1320558663</v>
      </c>
      <c r="G261" s="27">
        <f t="shared" si="2"/>
        <v>0.3758260784</v>
      </c>
      <c r="H261" s="27">
        <f t="shared" si="3"/>
        <v>0.04963003835</v>
      </c>
      <c r="I261" s="26"/>
      <c r="J261" s="26"/>
      <c r="K261" s="17"/>
      <c r="L261" s="17"/>
      <c r="M261" s="29"/>
      <c r="N261" s="29"/>
      <c r="O261" s="4"/>
      <c r="P261" s="4"/>
      <c r="Q261" s="4"/>
      <c r="R261" s="17"/>
      <c r="S261" s="17"/>
      <c r="T261" s="17"/>
      <c r="U261" s="17"/>
      <c r="V261" s="17"/>
    </row>
    <row r="262" ht="14.25" customHeight="1">
      <c r="A262" s="13">
        <v>70302.0</v>
      </c>
      <c r="B262" s="13" t="s">
        <v>281</v>
      </c>
      <c r="C262" s="9">
        <v>2424.0</v>
      </c>
      <c r="D262" s="9">
        <v>912.4444675147533</v>
      </c>
      <c r="E262" s="9">
        <v>15143.0</v>
      </c>
      <c r="F262" s="27">
        <f t="shared" si="1"/>
        <v>0.1600739616</v>
      </c>
      <c r="G262" s="27">
        <f t="shared" si="2"/>
        <v>0.3764209849</v>
      </c>
      <c r="H262" s="27">
        <f t="shared" si="3"/>
        <v>0.06025519828</v>
      </c>
      <c r="I262" s="26"/>
      <c r="J262" s="26"/>
      <c r="K262" s="17"/>
      <c r="L262" s="17"/>
      <c r="M262" s="29"/>
      <c r="N262" s="29"/>
      <c r="O262" s="4"/>
      <c r="P262" s="4"/>
      <c r="Q262" s="4"/>
      <c r="R262" s="17"/>
      <c r="S262" s="17"/>
      <c r="T262" s="17"/>
      <c r="U262" s="17"/>
      <c r="V262" s="17"/>
    </row>
    <row r="263" ht="14.25" customHeight="1">
      <c r="A263" s="13">
        <v>70303.0</v>
      </c>
      <c r="B263" s="13" t="s">
        <v>282</v>
      </c>
      <c r="C263" s="9">
        <v>1525.0</v>
      </c>
      <c r="D263" s="9">
        <v>549.1111257970333</v>
      </c>
      <c r="E263" s="9">
        <v>8634.0</v>
      </c>
      <c r="F263" s="27">
        <f t="shared" si="1"/>
        <v>0.1766272875</v>
      </c>
      <c r="G263" s="27">
        <f t="shared" si="2"/>
        <v>0.3600728694</v>
      </c>
      <c r="H263" s="27">
        <f t="shared" si="3"/>
        <v>0.06359869421</v>
      </c>
      <c r="I263" s="26"/>
      <c r="J263" s="26"/>
      <c r="K263" s="17"/>
      <c r="L263" s="17"/>
      <c r="M263" s="29"/>
      <c r="N263" s="29"/>
      <c r="O263" s="4"/>
      <c r="P263" s="4"/>
      <c r="Q263" s="4"/>
      <c r="R263" s="17"/>
      <c r="S263" s="17"/>
      <c r="T263" s="17"/>
      <c r="U263" s="17"/>
      <c r="V263" s="17"/>
    </row>
    <row r="264" ht="14.25" customHeight="1">
      <c r="A264" s="13">
        <v>70401.0</v>
      </c>
      <c r="B264" s="13" t="s">
        <v>283</v>
      </c>
      <c r="C264" s="9">
        <v>738.0</v>
      </c>
      <c r="D264" s="9">
        <v>271.6666736006737</v>
      </c>
      <c r="E264" s="9">
        <v>12988.0</v>
      </c>
      <c r="F264" s="27">
        <f t="shared" si="1"/>
        <v>0.05682168155</v>
      </c>
      <c r="G264" s="27">
        <f t="shared" si="2"/>
        <v>0.3681120238</v>
      </c>
      <c r="H264" s="27">
        <f t="shared" si="3"/>
        <v>0.02091674419</v>
      </c>
      <c r="I264" s="26"/>
      <c r="J264" s="26"/>
      <c r="K264" s="17"/>
      <c r="L264" s="17"/>
      <c r="M264" s="29"/>
      <c r="N264" s="29"/>
      <c r="O264" s="4"/>
      <c r="P264" s="4"/>
      <c r="Q264" s="4"/>
      <c r="R264" s="17"/>
      <c r="S264" s="17"/>
      <c r="T264" s="17"/>
      <c r="U264" s="17"/>
      <c r="V264" s="17"/>
    </row>
    <row r="265" ht="14.25" customHeight="1">
      <c r="A265" s="13">
        <v>70402.0</v>
      </c>
      <c r="B265" s="13" t="s">
        <v>284</v>
      </c>
      <c r="C265" s="9">
        <v>1373.0</v>
      </c>
      <c r="D265" s="9">
        <v>508.6666790544987</v>
      </c>
      <c r="E265" s="9">
        <v>18693.0</v>
      </c>
      <c r="F265" s="27">
        <f t="shared" si="1"/>
        <v>0.07344995453</v>
      </c>
      <c r="G265" s="27">
        <f t="shared" si="2"/>
        <v>0.3704782804</v>
      </c>
      <c r="H265" s="27">
        <f t="shared" si="3"/>
        <v>0.02721161285</v>
      </c>
      <c r="I265" s="26"/>
      <c r="J265" s="26"/>
      <c r="K265" s="17"/>
      <c r="L265" s="17"/>
      <c r="M265" s="29"/>
      <c r="N265" s="29"/>
      <c r="O265" s="4"/>
      <c r="P265" s="4"/>
      <c r="Q265" s="4"/>
      <c r="R265" s="17"/>
      <c r="S265" s="17"/>
      <c r="T265" s="17"/>
      <c r="U265" s="17"/>
      <c r="V265" s="17"/>
    </row>
    <row r="266" ht="14.25" customHeight="1">
      <c r="A266" s="13">
        <v>70403.0</v>
      </c>
      <c r="B266" s="13" t="s">
        <v>285</v>
      </c>
      <c r="C266" s="9">
        <v>7813.0</v>
      </c>
      <c r="D266" s="9">
        <v>2907.6667363643646</v>
      </c>
      <c r="E266" s="9">
        <v>56648.0</v>
      </c>
      <c r="F266" s="27">
        <f t="shared" si="1"/>
        <v>0.1379219037</v>
      </c>
      <c r="G266" s="27">
        <f t="shared" si="2"/>
        <v>0.3721575242</v>
      </c>
      <c r="H266" s="27">
        <f t="shared" si="3"/>
        <v>0.0513286742</v>
      </c>
      <c r="I266" s="26"/>
      <c r="J266" s="26"/>
      <c r="K266" s="17"/>
      <c r="L266" s="17"/>
      <c r="M266" s="29"/>
      <c r="N266" s="29"/>
      <c r="O266" s="4"/>
      <c r="P266" s="4"/>
      <c r="Q266" s="4"/>
      <c r="R266" s="17"/>
      <c r="S266" s="17"/>
      <c r="T266" s="17"/>
      <c r="U266" s="17"/>
      <c r="V266" s="17"/>
    </row>
    <row r="267" ht="14.25" customHeight="1">
      <c r="A267" s="13">
        <v>70404.0</v>
      </c>
      <c r="B267" s="13" t="s">
        <v>286</v>
      </c>
      <c r="C267" s="9">
        <v>773.0</v>
      </c>
      <c r="D267" s="9">
        <v>286.2222295999527</v>
      </c>
      <c r="E267" s="9">
        <v>10135.0</v>
      </c>
      <c r="F267" s="27">
        <f t="shared" si="1"/>
        <v>0.07627035027</v>
      </c>
      <c r="G267" s="27">
        <f t="shared" si="2"/>
        <v>0.3702745532</v>
      </c>
      <c r="H267" s="27">
        <f t="shared" si="3"/>
        <v>0.02824096987</v>
      </c>
      <c r="I267" s="26"/>
      <c r="J267" s="26"/>
      <c r="K267" s="17"/>
      <c r="L267" s="17"/>
      <c r="M267" s="29"/>
      <c r="N267" s="29"/>
      <c r="O267" s="4"/>
      <c r="P267" s="4"/>
      <c r="Q267" s="4"/>
      <c r="R267" s="17"/>
      <c r="S267" s="17"/>
      <c r="T267" s="17"/>
      <c r="U267" s="17"/>
      <c r="V267" s="17"/>
    </row>
    <row r="268" ht="14.25" customHeight="1">
      <c r="A268" s="13">
        <v>70501.0</v>
      </c>
      <c r="B268" s="13" t="s">
        <v>287</v>
      </c>
      <c r="C268" s="9">
        <v>6952.0</v>
      </c>
      <c r="D268" s="9">
        <v>2501.555619060993</v>
      </c>
      <c r="E268" s="9">
        <v>40340.0</v>
      </c>
      <c r="F268" s="27">
        <f t="shared" si="1"/>
        <v>0.1723351512</v>
      </c>
      <c r="G268" s="27">
        <f t="shared" si="2"/>
        <v>0.3598325114</v>
      </c>
      <c r="H268" s="27">
        <f t="shared" si="3"/>
        <v>0.06201179026</v>
      </c>
      <c r="I268" s="26"/>
      <c r="J268" s="26"/>
      <c r="K268" s="17"/>
      <c r="L268" s="17"/>
      <c r="M268" s="29"/>
      <c r="N268" s="29"/>
      <c r="O268" s="4"/>
      <c r="P268" s="4"/>
      <c r="Q268" s="4"/>
      <c r="R268" s="17"/>
      <c r="S268" s="17"/>
      <c r="T268" s="17"/>
      <c r="U268" s="17"/>
      <c r="V268" s="17"/>
    </row>
    <row r="269" ht="14.25" customHeight="1">
      <c r="A269" s="13">
        <v>70502.0</v>
      </c>
      <c r="B269" s="13" t="s">
        <v>288</v>
      </c>
      <c r="C269" s="9">
        <v>5808.0</v>
      </c>
      <c r="D269" s="9">
        <v>2054.8889430463314</v>
      </c>
      <c r="E269" s="9">
        <v>52704.0</v>
      </c>
      <c r="F269" s="27">
        <f t="shared" si="1"/>
        <v>0.1102003643</v>
      </c>
      <c r="G269" s="27">
        <f t="shared" si="2"/>
        <v>0.3538031927</v>
      </c>
      <c r="H269" s="27">
        <f t="shared" si="3"/>
        <v>0.03898924072</v>
      </c>
      <c r="I269" s="26"/>
      <c r="J269" s="26"/>
      <c r="K269" s="17"/>
      <c r="L269" s="17"/>
      <c r="M269" s="29"/>
      <c r="N269" s="29"/>
      <c r="O269" s="4"/>
      <c r="P269" s="4"/>
      <c r="Q269" s="4"/>
      <c r="R269" s="17"/>
      <c r="S269" s="17"/>
      <c r="T269" s="17"/>
      <c r="U269" s="17"/>
      <c r="V269" s="17"/>
    </row>
    <row r="270" ht="14.25" customHeight="1">
      <c r="A270" s="13">
        <v>70503.0</v>
      </c>
      <c r="B270" s="13" t="s">
        <v>289</v>
      </c>
      <c r="C270" s="9">
        <v>1025.0</v>
      </c>
      <c r="D270" s="9">
        <v>376.88889849185944</v>
      </c>
      <c r="E270" s="9">
        <v>17679.0</v>
      </c>
      <c r="F270" s="27">
        <f t="shared" si="1"/>
        <v>0.05797839244</v>
      </c>
      <c r="G270" s="27">
        <f t="shared" si="2"/>
        <v>0.3676964863</v>
      </c>
      <c r="H270" s="27">
        <f t="shared" si="3"/>
        <v>0.02131845118</v>
      </c>
      <c r="I270" s="26"/>
      <c r="J270" s="26"/>
      <c r="K270" s="17"/>
      <c r="L270" s="17"/>
      <c r="M270" s="29"/>
      <c r="N270" s="29"/>
      <c r="O270" s="4"/>
      <c r="P270" s="4"/>
      <c r="Q270" s="4"/>
      <c r="R270" s="17"/>
      <c r="S270" s="17"/>
      <c r="T270" s="17"/>
      <c r="U270" s="17"/>
      <c r="V270" s="17"/>
    </row>
    <row r="271" ht="14.25" customHeight="1">
      <c r="A271" s="13">
        <v>70601.0</v>
      </c>
      <c r="B271" s="13" t="s">
        <v>290</v>
      </c>
      <c r="C271" s="9">
        <v>719.0</v>
      </c>
      <c r="D271" s="9">
        <v>264.3333405852318</v>
      </c>
      <c r="E271" s="9">
        <v>20472.0</v>
      </c>
      <c r="F271" s="27">
        <f t="shared" si="1"/>
        <v>0.03512114107</v>
      </c>
      <c r="G271" s="27">
        <f t="shared" si="2"/>
        <v>0.3676402512</v>
      </c>
      <c r="H271" s="27">
        <f t="shared" si="3"/>
        <v>0.01291194512</v>
      </c>
      <c r="I271" s="26"/>
      <c r="J271" s="26"/>
      <c r="K271" s="17"/>
      <c r="L271" s="17"/>
      <c r="M271" s="29"/>
      <c r="N271" s="29"/>
      <c r="O271" s="4"/>
      <c r="P271" s="4"/>
      <c r="Q271" s="4"/>
      <c r="R271" s="17"/>
      <c r="S271" s="17"/>
      <c r="T271" s="17"/>
      <c r="U271" s="17"/>
      <c r="V271" s="17"/>
    </row>
    <row r="272" ht="14.25" customHeight="1">
      <c r="A272" s="13">
        <v>70602.0</v>
      </c>
      <c r="B272" s="13" t="s">
        <v>291</v>
      </c>
      <c r="C272" s="9">
        <v>1410.0</v>
      </c>
      <c r="D272" s="9">
        <v>508.2222352921963</v>
      </c>
      <c r="E272" s="9">
        <v>17714.0</v>
      </c>
      <c r="F272" s="27">
        <f t="shared" si="1"/>
        <v>0.07959805803</v>
      </c>
      <c r="G272" s="27">
        <f t="shared" si="2"/>
        <v>0.3604413016</v>
      </c>
      <c r="H272" s="27">
        <f t="shared" si="3"/>
        <v>0.02869042764</v>
      </c>
      <c r="I272" s="26"/>
      <c r="J272" s="26"/>
      <c r="K272" s="17"/>
      <c r="L272" s="17"/>
      <c r="M272" s="29"/>
      <c r="N272" s="29"/>
      <c r="O272" s="4"/>
      <c r="P272" s="4"/>
      <c r="Q272" s="4"/>
      <c r="R272" s="17"/>
      <c r="S272" s="17"/>
      <c r="T272" s="17"/>
      <c r="U272" s="17"/>
      <c r="V272" s="17"/>
    </row>
    <row r="273" ht="14.25" customHeight="1">
      <c r="A273" s="13">
        <v>70603.0</v>
      </c>
      <c r="B273" s="13" t="s">
        <v>292</v>
      </c>
      <c r="C273" s="9">
        <v>342.0</v>
      </c>
      <c r="D273" s="9">
        <v>120.00000330805779</v>
      </c>
      <c r="E273" s="9">
        <v>5961.0</v>
      </c>
      <c r="F273" s="27">
        <f t="shared" si="1"/>
        <v>0.05737292401</v>
      </c>
      <c r="G273" s="27">
        <f t="shared" si="2"/>
        <v>0.3508772027</v>
      </c>
      <c r="H273" s="27">
        <f t="shared" si="3"/>
        <v>0.02013085108</v>
      </c>
      <c r="I273" s="26"/>
      <c r="J273" s="26"/>
      <c r="K273" s="17"/>
      <c r="L273" s="17"/>
      <c r="M273" s="29"/>
      <c r="N273" s="29"/>
      <c r="O273" s="4"/>
      <c r="P273" s="4"/>
      <c r="Q273" s="4"/>
      <c r="R273" s="17"/>
      <c r="S273" s="17"/>
      <c r="T273" s="17"/>
      <c r="U273" s="17"/>
      <c r="V273" s="17"/>
    </row>
    <row r="274" ht="14.25" customHeight="1">
      <c r="A274" s="13">
        <v>70701.0</v>
      </c>
      <c r="B274" s="13" t="s">
        <v>293</v>
      </c>
      <c r="C274" s="9">
        <v>352.0</v>
      </c>
      <c r="D274" s="9">
        <v>135.77778154611588</v>
      </c>
      <c r="E274" s="9">
        <v>5756.0</v>
      </c>
      <c r="F274" s="27">
        <f t="shared" si="1"/>
        <v>0.06115357887</v>
      </c>
      <c r="G274" s="27">
        <f t="shared" si="2"/>
        <v>0.3857323339</v>
      </c>
      <c r="H274" s="27">
        <f t="shared" si="3"/>
        <v>0.02358891271</v>
      </c>
      <c r="I274" s="26"/>
      <c r="J274" s="26"/>
      <c r="K274" s="17"/>
      <c r="L274" s="17"/>
      <c r="M274" s="29"/>
      <c r="N274" s="29"/>
      <c r="O274" s="4"/>
      <c r="P274" s="4"/>
      <c r="Q274" s="4"/>
      <c r="R274" s="17"/>
      <c r="S274" s="17"/>
      <c r="T274" s="17"/>
      <c r="U274" s="17"/>
      <c r="V274" s="17"/>
    </row>
    <row r="275" ht="14.25" customHeight="1">
      <c r="A275" s="13">
        <v>70702.0</v>
      </c>
      <c r="B275" s="13" t="s">
        <v>294</v>
      </c>
      <c r="C275" s="9">
        <v>5717.0</v>
      </c>
      <c r="D275" s="9">
        <v>2102.1111636161804</v>
      </c>
      <c r="E275" s="9">
        <v>37894.0</v>
      </c>
      <c r="F275" s="27">
        <f t="shared" si="1"/>
        <v>0.1508682113</v>
      </c>
      <c r="G275" s="27">
        <f t="shared" si="2"/>
        <v>0.3676947986</v>
      </c>
      <c r="H275" s="27">
        <f t="shared" si="3"/>
        <v>0.05547345658</v>
      </c>
      <c r="I275" s="26"/>
      <c r="J275" s="26"/>
      <c r="K275" s="17"/>
      <c r="L275" s="17"/>
      <c r="M275" s="29"/>
      <c r="N275" s="29"/>
      <c r="O275" s="4"/>
      <c r="P275" s="4"/>
      <c r="Q275" s="4"/>
      <c r="R275" s="17"/>
      <c r="S275" s="17"/>
      <c r="T275" s="17"/>
      <c r="U275" s="17"/>
      <c r="V275" s="17"/>
    </row>
    <row r="276" ht="14.25" customHeight="1">
      <c r="A276" s="13">
        <v>70703.0</v>
      </c>
      <c r="B276" s="13" t="s">
        <v>295</v>
      </c>
      <c r="C276" s="9">
        <v>3729.0</v>
      </c>
      <c r="D276" s="9">
        <v>1351.1111455857754</v>
      </c>
      <c r="E276" s="9">
        <v>31657.0</v>
      </c>
      <c r="F276" s="27">
        <f t="shared" si="1"/>
        <v>0.1177938529</v>
      </c>
      <c r="G276" s="27">
        <f t="shared" si="2"/>
        <v>0.3623253273</v>
      </c>
      <c r="H276" s="27">
        <f t="shared" si="3"/>
        <v>0.04267969629</v>
      </c>
      <c r="I276" s="26"/>
      <c r="J276" s="26"/>
      <c r="K276" s="17"/>
      <c r="L276" s="17"/>
      <c r="M276" s="29"/>
      <c r="N276" s="29"/>
      <c r="O276" s="4"/>
      <c r="P276" s="4"/>
      <c r="Q276" s="4"/>
      <c r="R276" s="17"/>
      <c r="S276" s="17"/>
      <c r="T276" s="17"/>
      <c r="U276" s="17"/>
      <c r="V276" s="17"/>
    </row>
    <row r="277" ht="14.25" customHeight="1">
      <c r="A277" s="13">
        <v>70704.0</v>
      </c>
      <c r="B277" s="13" t="s">
        <v>296</v>
      </c>
      <c r="C277" s="9">
        <v>309.0</v>
      </c>
      <c r="D277" s="9">
        <v>113.88889193534851</v>
      </c>
      <c r="E277" s="9">
        <v>5019.0</v>
      </c>
      <c r="F277" s="27">
        <f t="shared" si="1"/>
        <v>0.06156604901</v>
      </c>
      <c r="G277" s="27">
        <f t="shared" si="2"/>
        <v>0.3685724658</v>
      </c>
      <c r="H277" s="27">
        <f t="shared" si="3"/>
        <v>0.0226915505</v>
      </c>
      <c r="I277" s="26"/>
      <c r="J277" s="26"/>
      <c r="K277" s="17"/>
      <c r="L277" s="17"/>
      <c r="M277" s="29"/>
      <c r="N277" s="29"/>
      <c r="O277" s="4"/>
      <c r="P277" s="4"/>
      <c r="Q277" s="4"/>
      <c r="R277" s="17"/>
      <c r="S277" s="17"/>
      <c r="T277" s="17"/>
      <c r="U277" s="17"/>
      <c r="V277" s="17"/>
    </row>
    <row r="278" ht="14.25" customHeight="1">
      <c r="A278" s="13">
        <v>70705.0</v>
      </c>
      <c r="B278" s="13" t="s">
        <v>297</v>
      </c>
      <c r="C278" s="9">
        <v>1466.0</v>
      </c>
      <c r="D278" s="9">
        <v>559.6666799783707</v>
      </c>
      <c r="E278" s="9">
        <v>14251.0</v>
      </c>
      <c r="F278" s="27">
        <f t="shared" si="1"/>
        <v>0.102869974</v>
      </c>
      <c r="G278" s="27">
        <f t="shared" si="2"/>
        <v>0.3817644475</v>
      </c>
      <c r="H278" s="27">
        <f t="shared" si="3"/>
        <v>0.0392720988</v>
      </c>
      <c r="I278" s="26"/>
      <c r="J278" s="26"/>
      <c r="K278" s="17"/>
      <c r="L278" s="17"/>
      <c r="M278" s="29"/>
      <c r="N278" s="29"/>
      <c r="O278" s="4"/>
      <c r="P278" s="4"/>
      <c r="Q278" s="4"/>
      <c r="R278" s="17"/>
      <c r="S278" s="17"/>
      <c r="T278" s="17"/>
      <c r="U278" s="17"/>
      <c r="V278" s="17"/>
    </row>
    <row r="279" ht="14.25" customHeight="1">
      <c r="A279" s="13">
        <v>70706.0</v>
      </c>
      <c r="B279" s="13" t="s">
        <v>298</v>
      </c>
      <c r="C279" s="9">
        <v>1092.0</v>
      </c>
      <c r="D279" s="9">
        <v>398.5555662512779</v>
      </c>
      <c r="E279" s="9">
        <v>31518.0</v>
      </c>
      <c r="F279" s="27">
        <f t="shared" si="1"/>
        <v>0.03464686846</v>
      </c>
      <c r="G279" s="27">
        <f t="shared" si="2"/>
        <v>0.3649776248</v>
      </c>
      <c r="H279" s="27">
        <f t="shared" si="3"/>
        <v>0.01264533175</v>
      </c>
      <c r="I279" s="26"/>
      <c r="J279" s="26"/>
      <c r="K279" s="17"/>
      <c r="L279" s="17"/>
      <c r="M279" s="29"/>
      <c r="N279" s="29"/>
      <c r="O279" s="4"/>
      <c r="P279" s="4"/>
      <c r="Q279" s="4"/>
      <c r="R279" s="17"/>
      <c r="S279" s="17"/>
      <c r="T279" s="17"/>
      <c r="U279" s="17"/>
      <c r="V279" s="17"/>
    </row>
    <row r="280" ht="14.25" customHeight="1">
      <c r="A280" s="13">
        <v>70707.0</v>
      </c>
      <c r="B280" s="13" t="s">
        <v>299</v>
      </c>
      <c r="C280" s="9">
        <v>538.0</v>
      </c>
      <c r="D280" s="9">
        <v>198.66667166352272</v>
      </c>
      <c r="E280" s="9">
        <v>5274.0</v>
      </c>
      <c r="F280" s="27">
        <f t="shared" si="1"/>
        <v>0.1020098597</v>
      </c>
      <c r="G280" s="27">
        <f t="shared" si="2"/>
        <v>0.3692689064</v>
      </c>
      <c r="H280" s="27">
        <f t="shared" si="3"/>
        <v>0.03766906933</v>
      </c>
      <c r="I280" s="26"/>
      <c r="J280" s="26"/>
      <c r="K280" s="17"/>
      <c r="L280" s="17"/>
      <c r="M280" s="29"/>
      <c r="N280" s="29"/>
      <c r="O280" s="4"/>
      <c r="P280" s="4"/>
      <c r="Q280" s="4"/>
      <c r="R280" s="17"/>
      <c r="S280" s="17"/>
      <c r="T280" s="17"/>
      <c r="U280" s="17"/>
      <c r="V280" s="17"/>
    </row>
    <row r="281" ht="14.25" customHeight="1">
      <c r="A281" s="13">
        <v>70801.0</v>
      </c>
      <c r="B281" s="13" t="s">
        <v>300</v>
      </c>
      <c r="C281" s="9">
        <v>698.0</v>
      </c>
      <c r="D281" s="9">
        <v>256.4444508254528</v>
      </c>
      <c r="E281" s="9">
        <v>16842.0</v>
      </c>
      <c r="F281" s="27">
        <f t="shared" si="1"/>
        <v>0.04144400903</v>
      </c>
      <c r="G281" s="27">
        <f t="shared" si="2"/>
        <v>0.3673989267</v>
      </c>
      <c r="H281" s="27">
        <f t="shared" si="3"/>
        <v>0.01522648443</v>
      </c>
      <c r="I281" s="26"/>
      <c r="J281" s="26"/>
      <c r="K281" s="17"/>
      <c r="L281" s="17"/>
      <c r="M281" s="29"/>
      <c r="N281" s="29"/>
      <c r="O281" s="4"/>
      <c r="P281" s="4"/>
      <c r="Q281" s="4"/>
      <c r="R281" s="17"/>
      <c r="S281" s="17"/>
      <c r="T281" s="17"/>
      <c r="U281" s="17"/>
      <c r="V281" s="17"/>
    </row>
    <row r="282" ht="14.25" customHeight="1">
      <c r="A282" s="13">
        <v>70802.0</v>
      </c>
      <c r="B282" s="13" t="s">
        <v>301</v>
      </c>
      <c r="C282" s="9">
        <v>38.0</v>
      </c>
      <c r="D282" s="9">
        <v>13.333333671092987</v>
      </c>
      <c r="E282" s="9">
        <v>2356.0</v>
      </c>
      <c r="F282" s="27">
        <f t="shared" si="1"/>
        <v>0.01612903226</v>
      </c>
      <c r="G282" s="27">
        <f t="shared" si="2"/>
        <v>0.3508772019</v>
      </c>
      <c r="H282" s="27">
        <f t="shared" si="3"/>
        <v>0.005659309708</v>
      </c>
      <c r="I282" s="26"/>
      <c r="J282" s="26"/>
      <c r="K282" s="17"/>
      <c r="L282" s="17"/>
      <c r="M282" s="29"/>
      <c r="N282" s="29"/>
      <c r="O282" s="4"/>
      <c r="P282" s="4"/>
      <c r="Q282" s="4"/>
      <c r="R282" s="17"/>
      <c r="S282" s="17"/>
      <c r="T282" s="17"/>
      <c r="U282" s="17"/>
      <c r="V282" s="17"/>
    </row>
    <row r="283" ht="14.25" customHeight="1">
      <c r="A283" s="13">
        <v>70803.0</v>
      </c>
      <c r="B283" s="13" t="s">
        <v>302</v>
      </c>
      <c r="C283" s="9">
        <v>214.0</v>
      </c>
      <c r="D283" s="9">
        <v>76.22222417593002</v>
      </c>
      <c r="E283" s="9">
        <v>2757.0</v>
      </c>
      <c r="F283" s="27">
        <f t="shared" si="1"/>
        <v>0.0776206021</v>
      </c>
      <c r="G283" s="27">
        <f t="shared" si="2"/>
        <v>0.3561786176</v>
      </c>
      <c r="H283" s="27">
        <f t="shared" si="3"/>
        <v>0.02764679876</v>
      </c>
      <c r="I283" s="26"/>
      <c r="J283" s="26"/>
      <c r="K283" s="17"/>
      <c r="L283" s="17"/>
      <c r="M283" s="29"/>
      <c r="N283" s="29"/>
      <c r="O283" s="4"/>
      <c r="P283" s="4"/>
      <c r="Q283" s="4"/>
      <c r="R283" s="17"/>
      <c r="S283" s="17"/>
      <c r="T283" s="17"/>
      <c r="U283" s="17"/>
      <c r="V283" s="17"/>
    </row>
    <row r="284" ht="14.25" customHeight="1">
      <c r="A284" s="13">
        <v>70804.0</v>
      </c>
      <c r="B284" s="13" t="s">
        <v>303</v>
      </c>
      <c r="C284" s="9">
        <v>299.0</v>
      </c>
      <c r="D284" s="9">
        <v>111.55555817484856</v>
      </c>
      <c r="E284" s="9">
        <v>1765.0</v>
      </c>
      <c r="F284" s="27">
        <f t="shared" si="1"/>
        <v>0.1694050992</v>
      </c>
      <c r="G284" s="27">
        <f t="shared" si="2"/>
        <v>0.3730955123</v>
      </c>
      <c r="H284" s="27">
        <f t="shared" si="3"/>
        <v>0.06320428225</v>
      </c>
      <c r="I284" s="26"/>
      <c r="J284" s="26"/>
      <c r="K284" s="17"/>
      <c r="L284" s="17"/>
      <c r="M284" s="29"/>
      <c r="N284" s="29"/>
      <c r="O284" s="4"/>
      <c r="P284" s="4"/>
      <c r="Q284" s="4"/>
      <c r="R284" s="17"/>
      <c r="S284" s="17"/>
      <c r="T284" s="17"/>
      <c r="U284" s="17"/>
      <c r="V284" s="17"/>
    </row>
    <row r="285" ht="14.25" customHeight="1">
      <c r="A285" s="13">
        <v>70805.0</v>
      </c>
      <c r="B285" s="13" t="s">
        <v>304</v>
      </c>
      <c r="C285" s="9">
        <v>157.0</v>
      </c>
      <c r="D285" s="9">
        <v>55.22222363948822</v>
      </c>
      <c r="E285" s="9">
        <v>2009.0</v>
      </c>
      <c r="F285" s="27">
        <f t="shared" si="1"/>
        <v>0.0781483325</v>
      </c>
      <c r="G285" s="27">
        <f t="shared" si="2"/>
        <v>0.3517339085</v>
      </c>
      <c r="H285" s="27">
        <f t="shared" si="3"/>
        <v>0.02748741844</v>
      </c>
      <c r="I285" s="26"/>
      <c r="J285" s="26"/>
      <c r="K285" s="17"/>
      <c r="L285" s="17"/>
      <c r="M285" s="29"/>
      <c r="N285" s="29"/>
      <c r="O285" s="4"/>
      <c r="P285" s="4"/>
      <c r="Q285" s="4"/>
      <c r="R285" s="17"/>
      <c r="S285" s="17"/>
      <c r="T285" s="17"/>
      <c r="U285" s="17"/>
      <c r="V285" s="17"/>
    </row>
    <row r="286" ht="14.25" customHeight="1">
      <c r="A286" s="13">
        <v>70901.0</v>
      </c>
      <c r="B286" s="13" t="s">
        <v>305</v>
      </c>
      <c r="C286" s="9">
        <v>856.0</v>
      </c>
      <c r="D286" s="9">
        <v>317.00000762939453</v>
      </c>
      <c r="E286" s="9">
        <v>11494.0</v>
      </c>
      <c r="F286" s="27">
        <f t="shared" si="1"/>
        <v>0.07447363842</v>
      </c>
      <c r="G286" s="27">
        <f t="shared" si="2"/>
        <v>0.3703271117</v>
      </c>
      <c r="H286" s="27">
        <f t="shared" si="3"/>
        <v>0.02757960742</v>
      </c>
      <c r="I286" s="26"/>
      <c r="J286" s="26"/>
      <c r="K286" s="17"/>
      <c r="L286" s="17"/>
      <c r="M286" s="29"/>
      <c r="N286" s="29"/>
      <c r="O286" s="4"/>
      <c r="P286" s="4"/>
      <c r="Q286" s="4"/>
      <c r="R286" s="17"/>
      <c r="S286" s="17"/>
      <c r="T286" s="17"/>
      <c r="U286" s="17"/>
      <c r="V286" s="17"/>
    </row>
    <row r="287" ht="14.25" customHeight="1">
      <c r="A287" s="13">
        <v>70902.0</v>
      </c>
      <c r="B287" s="13" t="s">
        <v>306</v>
      </c>
      <c r="C287" s="9">
        <v>695.0</v>
      </c>
      <c r="D287" s="9">
        <v>256.66667357087135</v>
      </c>
      <c r="E287" s="9">
        <v>9606.0</v>
      </c>
      <c r="F287" s="27">
        <f t="shared" si="1"/>
        <v>0.0723506142</v>
      </c>
      <c r="G287" s="27">
        <f t="shared" si="2"/>
        <v>0.3693045663</v>
      </c>
      <c r="H287" s="27">
        <f t="shared" si="3"/>
        <v>0.0267194122</v>
      </c>
      <c r="I287" s="26"/>
      <c r="J287" s="26"/>
      <c r="K287" s="17"/>
      <c r="L287" s="17"/>
      <c r="M287" s="29"/>
      <c r="N287" s="29"/>
      <c r="O287" s="4"/>
      <c r="P287" s="4"/>
      <c r="Q287" s="4"/>
      <c r="R287" s="17"/>
      <c r="S287" s="17"/>
      <c r="T287" s="17"/>
      <c r="U287" s="17"/>
      <c r="V287" s="17"/>
    </row>
    <row r="288" ht="14.25" customHeight="1">
      <c r="A288" s="13">
        <v>70903.0</v>
      </c>
      <c r="B288" s="13" t="s">
        <v>307</v>
      </c>
      <c r="C288" s="9">
        <v>1385.0</v>
      </c>
      <c r="D288" s="9">
        <v>523.6666795909405</v>
      </c>
      <c r="E288" s="9">
        <v>12663.0</v>
      </c>
      <c r="F288" s="27">
        <f t="shared" si="1"/>
        <v>0.1093737661</v>
      </c>
      <c r="G288" s="27">
        <f t="shared" si="2"/>
        <v>0.3780986856</v>
      </c>
      <c r="H288" s="27">
        <f t="shared" si="3"/>
        <v>0.0413540772</v>
      </c>
      <c r="I288" s="26"/>
      <c r="J288" s="26"/>
      <c r="K288" s="17"/>
      <c r="L288" s="17"/>
      <c r="M288" s="29"/>
      <c r="N288" s="29"/>
      <c r="O288" s="4"/>
      <c r="P288" s="4"/>
      <c r="Q288" s="4"/>
      <c r="R288" s="17"/>
      <c r="S288" s="17"/>
      <c r="T288" s="17"/>
      <c r="U288" s="17"/>
      <c r="V288" s="17"/>
    </row>
    <row r="289" ht="14.25" customHeight="1">
      <c r="A289" s="13">
        <v>70904.0</v>
      </c>
      <c r="B289" s="13" t="s">
        <v>308</v>
      </c>
      <c r="C289" s="9">
        <v>229.0</v>
      </c>
      <c r="D289" s="9">
        <v>84.44444668292999</v>
      </c>
      <c r="E289" s="9">
        <v>3060.0</v>
      </c>
      <c r="F289" s="27">
        <f t="shared" si="1"/>
        <v>0.07483660131</v>
      </c>
      <c r="G289" s="27">
        <f t="shared" si="2"/>
        <v>0.3687530423</v>
      </c>
      <c r="H289" s="27">
        <f t="shared" si="3"/>
        <v>0.02759622441</v>
      </c>
      <c r="I289" s="26"/>
      <c r="J289" s="26"/>
      <c r="K289" s="17"/>
      <c r="L289" s="17"/>
      <c r="M289" s="29"/>
      <c r="N289" s="29"/>
      <c r="O289" s="4"/>
      <c r="P289" s="4"/>
      <c r="Q289" s="4"/>
      <c r="R289" s="17"/>
      <c r="S289" s="17"/>
      <c r="T289" s="17"/>
      <c r="U289" s="17"/>
      <c r="V289" s="17"/>
    </row>
    <row r="290" ht="14.25" customHeight="1">
      <c r="A290" s="13">
        <v>71001.0</v>
      </c>
      <c r="B290" s="13" t="s">
        <v>309</v>
      </c>
      <c r="C290" s="9">
        <v>5252.0</v>
      </c>
      <c r="D290" s="9">
        <v>1870.8889371156693</v>
      </c>
      <c r="E290" s="9">
        <v>122625.0</v>
      </c>
      <c r="F290" s="27">
        <f t="shared" si="1"/>
        <v>0.04282976555</v>
      </c>
      <c r="G290" s="27">
        <f t="shared" si="2"/>
        <v>0.3562240931</v>
      </c>
      <c r="H290" s="27">
        <f t="shared" si="3"/>
        <v>0.01525699439</v>
      </c>
      <c r="I290" s="26"/>
      <c r="J290" s="26"/>
      <c r="K290" s="17"/>
      <c r="L290" s="17"/>
      <c r="M290" s="29"/>
      <c r="N290" s="29"/>
      <c r="O290" s="4"/>
      <c r="P290" s="4"/>
      <c r="Q290" s="4"/>
      <c r="R290" s="17"/>
      <c r="S290" s="17"/>
      <c r="T290" s="17"/>
      <c r="U290" s="17"/>
      <c r="V290" s="17"/>
    </row>
    <row r="291" ht="14.25" customHeight="1">
      <c r="A291" s="13">
        <v>71002.0</v>
      </c>
      <c r="B291" s="13" t="s">
        <v>310</v>
      </c>
      <c r="C291" s="9">
        <v>1247.0</v>
      </c>
      <c r="D291" s="9">
        <v>447.2222333550453</v>
      </c>
      <c r="E291" s="9">
        <v>16476.0</v>
      </c>
      <c r="F291" s="27">
        <f t="shared" si="1"/>
        <v>0.07568584608</v>
      </c>
      <c r="G291" s="27">
        <f t="shared" si="2"/>
        <v>0.3586385191</v>
      </c>
      <c r="H291" s="27">
        <f t="shared" si="3"/>
        <v>0.02714385976</v>
      </c>
      <c r="I291" s="26"/>
      <c r="J291" s="26"/>
      <c r="K291" s="17"/>
      <c r="L291" s="17"/>
      <c r="M291" s="29"/>
      <c r="N291" s="29"/>
      <c r="O291" s="4"/>
      <c r="P291" s="4"/>
      <c r="Q291" s="4"/>
      <c r="R291" s="17"/>
      <c r="S291" s="17"/>
      <c r="T291" s="17"/>
      <c r="U291" s="17"/>
      <c r="V291" s="17"/>
    </row>
    <row r="292" ht="14.25" customHeight="1">
      <c r="A292" s="13">
        <v>71003.0</v>
      </c>
      <c r="B292" s="13" t="s">
        <v>311</v>
      </c>
      <c r="C292" s="9">
        <v>1261.0</v>
      </c>
      <c r="D292" s="9">
        <v>453.8889012336731</v>
      </c>
      <c r="E292" s="9">
        <v>22936.0</v>
      </c>
      <c r="F292" s="27">
        <f t="shared" si="1"/>
        <v>0.0549790722</v>
      </c>
      <c r="G292" s="27">
        <f t="shared" si="2"/>
        <v>0.3599436172</v>
      </c>
      <c r="H292" s="27">
        <f t="shared" si="3"/>
        <v>0.01978936612</v>
      </c>
      <c r="I292" s="26"/>
      <c r="J292" s="26"/>
      <c r="K292" s="17"/>
      <c r="L292" s="17"/>
      <c r="M292" s="29"/>
      <c r="N292" s="29"/>
      <c r="O292" s="4"/>
      <c r="P292" s="4"/>
      <c r="Q292" s="4"/>
      <c r="R292" s="17"/>
      <c r="S292" s="17"/>
      <c r="T292" s="17"/>
      <c r="U292" s="17"/>
      <c r="V292" s="17"/>
    </row>
    <row r="293" ht="14.25" customHeight="1">
      <c r="A293" s="13">
        <v>71004.0</v>
      </c>
      <c r="B293" s="13" t="s">
        <v>312</v>
      </c>
      <c r="C293" s="9">
        <v>1011.0</v>
      </c>
      <c r="D293" s="9">
        <v>376.1111212670803</v>
      </c>
      <c r="E293" s="9">
        <v>12690.0</v>
      </c>
      <c r="F293" s="27">
        <f t="shared" si="1"/>
        <v>0.07966903073</v>
      </c>
      <c r="G293" s="27">
        <f t="shared" si="2"/>
        <v>0.3720189132</v>
      </c>
      <c r="H293" s="27">
        <f t="shared" si="3"/>
        <v>0.02963838623</v>
      </c>
      <c r="I293" s="26"/>
      <c r="J293" s="26"/>
      <c r="K293" s="17"/>
      <c r="L293" s="17"/>
      <c r="M293" s="29"/>
      <c r="N293" s="29"/>
      <c r="O293" s="4"/>
      <c r="P293" s="4"/>
      <c r="Q293" s="4"/>
      <c r="R293" s="17"/>
      <c r="S293" s="17"/>
      <c r="T293" s="17"/>
      <c r="U293" s="17"/>
      <c r="V293" s="17"/>
    </row>
    <row r="294" ht="14.25" customHeight="1">
      <c r="A294" s="13">
        <v>71005.0</v>
      </c>
      <c r="B294" s="13" t="s">
        <v>238</v>
      </c>
      <c r="C294" s="9">
        <v>812.0</v>
      </c>
      <c r="D294" s="9">
        <v>291.11111825704575</v>
      </c>
      <c r="E294" s="9">
        <v>13347.0</v>
      </c>
      <c r="F294" s="27">
        <f t="shared" si="1"/>
        <v>0.06083764142</v>
      </c>
      <c r="G294" s="27">
        <f t="shared" si="2"/>
        <v>0.3585112294</v>
      </c>
      <c r="H294" s="27">
        <f t="shared" si="3"/>
        <v>0.02181097762</v>
      </c>
      <c r="I294" s="26"/>
      <c r="J294" s="26"/>
      <c r="K294" s="17"/>
      <c r="L294" s="17"/>
      <c r="M294" s="29"/>
      <c r="N294" s="29"/>
      <c r="O294" s="4"/>
      <c r="P294" s="4"/>
      <c r="Q294" s="4"/>
      <c r="R294" s="17"/>
      <c r="S294" s="17"/>
      <c r="T294" s="17"/>
      <c r="U294" s="17"/>
      <c r="V294" s="17"/>
    </row>
    <row r="295" ht="14.25" customHeight="1">
      <c r="A295" s="13">
        <v>71101.0</v>
      </c>
      <c r="B295" s="13" t="s">
        <v>313</v>
      </c>
      <c r="C295" s="9">
        <v>4698.0</v>
      </c>
      <c r="D295" s="9">
        <v>1746.3333771824837</v>
      </c>
      <c r="E295" s="9">
        <v>29521.0</v>
      </c>
      <c r="F295" s="27">
        <f t="shared" si="1"/>
        <v>0.1591409505</v>
      </c>
      <c r="G295" s="27">
        <f t="shared" si="2"/>
        <v>0.3717184711</v>
      </c>
      <c r="H295" s="27">
        <f t="shared" si="3"/>
        <v>0.05915563081</v>
      </c>
      <c r="I295" s="26"/>
      <c r="J295" s="26"/>
      <c r="K295" s="17"/>
      <c r="L295" s="17"/>
      <c r="M295" s="29"/>
      <c r="N295" s="29"/>
      <c r="O295" s="4"/>
      <c r="P295" s="4"/>
      <c r="Q295" s="4"/>
      <c r="R295" s="17"/>
      <c r="S295" s="17"/>
      <c r="T295" s="17"/>
      <c r="U295" s="17"/>
      <c r="V295" s="17"/>
    </row>
    <row r="296" ht="14.25" customHeight="1">
      <c r="A296" s="13">
        <v>71102.0</v>
      </c>
      <c r="B296" s="13" t="s">
        <v>314</v>
      </c>
      <c r="C296" s="9">
        <v>1475.0</v>
      </c>
      <c r="D296" s="9">
        <v>555.7777917385101</v>
      </c>
      <c r="E296" s="9">
        <v>14280.0</v>
      </c>
      <c r="F296" s="27">
        <f t="shared" si="1"/>
        <v>0.1032913165</v>
      </c>
      <c r="G296" s="27">
        <f t="shared" si="2"/>
        <v>0.3767985029</v>
      </c>
      <c r="H296" s="27">
        <f t="shared" si="3"/>
        <v>0.03892001343</v>
      </c>
      <c r="I296" s="26"/>
      <c r="J296" s="26"/>
      <c r="K296" s="17"/>
      <c r="L296" s="17"/>
      <c r="M296" s="29"/>
      <c r="N296" s="29"/>
      <c r="O296" s="4"/>
      <c r="P296" s="4"/>
      <c r="Q296" s="4"/>
      <c r="R296" s="17"/>
      <c r="S296" s="17"/>
      <c r="T296" s="17"/>
      <c r="U296" s="17"/>
      <c r="V296" s="17"/>
    </row>
    <row r="297" ht="14.25" customHeight="1">
      <c r="A297" s="13">
        <v>71103.0</v>
      </c>
      <c r="B297" s="13" t="s">
        <v>315</v>
      </c>
      <c r="C297" s="9">
        <v>855.0</v>
      </c>
      <c r="D297" s="9">
        <v>308.7777861356735</v>
      </c>
      <c r="E297" s="9">
        <v>8395.0</v>
      </c>
      <c r="F297" s="27">
        <f t="shared" si="1"/>
        <v>0.1018463371</v>
      </c>
      <c r="G297" s="27">
        <f t="shared" si="2"/>
        <v>0.3611436095</v>
      </c>
      <c r="H297" s="27">
        <f t="shared" si="3"/>
        <v>0.0367811538</v>
      </c>
      <c r="I297" s="26"/>
      <c r="J297" s="26"/>
      <c r="K297" s="17"/>
      <c r="L297" s="17"/>
      <c r="M297" s="29"/>
      <c r="N297" s="29"/>
      <c r="O297" s="4"/>
      <c r="P297" s="4"/>
      <c r="Q297" s="4"/>
      <c r="R297" s="17"/>
      <c r="S297" s="17"/>
      <c r="T297" s="17"/>
      <c r="U297" s="17"/>
      <c r="V297" s="17"/>
    </row>
    <row r="298" ht="14.25" customHeight="1">
      <c r="A298" s="13">
        <v>71104.0</v>
      </c>
      <c r="B298" s="13" t="s">
        <v>316</v>
      </c>
      <c r="C298" s="9">
        <v>2513.0</v>
      </c>
      <c r="D298" s="9">
        <v>900.6666897237301</v>
      </c>
      <c r="E298" s="9">
        <v>42792.0</v>
      </c>
      <c r="F298" s="27">
        <f t="shared" si="1"/>
        <v>0.05872593008</v>
      </c>
      <c r="G298" s="27">
        <f t="shared" si="2"/>
        <v>0.3584029804</v>
      </c>
      <c r="H298" s="27">
        <f t="shared" si="3"/>
        <v>0.02104754837</v>
      </c>
      <c r="I298" s="26"/>
      <c r="J298" s="26"/>
      <c r="K298" s="17"/>
      <c r="L298" s="17"/>
      <c r="M298" s="29"/>
      <c r="N298" s="29"/>
      <c r="O298" s="4"/>
      <c r="P298" s="4"/>
      <c r="Q298" s="4"/>
      <c r="R298" s="17"/>
      <c r="S298" s="17"/>
      <c r="T298" s="17"/>
      <c r="U298" s="17"/>
      <c r="V298" s="17"/>
    </row>
    <row r="299" ht="14.25" customHeight="1">
      <c r="A299" s="13">
        <v>71105.0</v>
      </c>
      <c r="B299" s="13" t="s">
        <v>317</v>
      </c>
      <c r="C299" s="9">
        <v>443.0</v>
      </c>
      <c r="D299" s="9">
        <v>155.5555595755577</v>
      </c>
      <c r="E299" s="9">
        <v>6287.0</v>
      </c>
      <c r="F299" s="27">
        <f t="shared" si="1"/>
        <v>0.07046285987</v>
      </c>
      <c r="G299" s="27">
        <f t="shared" si="2"/>
        <v>0.351141218</v>
      </c>
      <c r="H299" s="27">
        <f t="shared" si="3"/>
        <v>0.02474241444</v>
      </c>
      <c r="I299" s="26"/>
      <c r="J299" s="26"/>
      <c r="K299" s="17"/>
      <c r="L299" s="17"/>
      <c r="M299" s="29"/>
      <c r="N299" s="29"/>
      <c r="O299" s="4"/>
      <c r="P299" s="4"/>
      <c r="Q299" s="4"/>
      <c r="R299" s="17"/>
      <c r="S299" s="17"/>
      <c r="T299" s="17"/>
      <c r="U299" s="17"/>
      <c r="V299" s="17"/>
    </row>
    <row r="300" ht="14.25" customHeight="1">
      <c r="A300" s="13">
        <v>71106.0</v>
      </c>
      <c r="B300" s="13" t="s">
        <v>318</v>
      </c>
      <c r="C300" s="9">
        <v>1323.0</v>
      </c>
      <c r="D300" s="9">
        <v>479.55556803941727</v>
      </c>
      <c r="E300" s="9">
        <v>24082.0</v>
      </c>
      <c r="F300" s="27">
        <f t="shared" si="1"/>
        <v>0.05493729757</v>
      </c>
      <c r="G300" s="27">
        <f t="shared" si="2"/>
        <v>0.362475864</v>
      </c>
      <c r="H300" s="27">
        <f t="shared" si="3"/>
        <v>0.0199134444</v>
      </c>
      <c r="I300" s="26"/>
      <c r="J300" s="26"/>
      <c r="K300" s="17"/>
      <c r="L300" s="17"/>
      <c r="M300" s="29"/>
      <c r="N300" s="29"/>
      <c r="O300" s="4"/>
      <c r="P300" s="4"/>
      <c r="Q300" s="4"/>
      <c r="R300" s="17"/>
      <c r="S300" s="17"/>
      <c r="T300" s="17"/>
      <c r="U300" s="17"/>
      <c r="V300" s="17"/>
    </row>
    <row r="301" ht="14.25" customHeight="1">
      <c r="A301" s="13">
        <v>71201.0</v>
      </c>
      <c r="B301" s="13" t="s">
        <v>319</v>
      </c>
      <c r="C301" s="9">
        <v>2003.0</v>
      </c>
      <c r="D301" s="9">
        <v>742.5555748939514</v>
      </c>
      <c r="E301" s="9">
        <v>14882.0</v>
      </c>
      <c r="F301" s="27">
        <f t="shared" si="1"/>
        <v>0.1345921247</v>
      </c>
      <c r="G301" s="27">
        <f t="shared" si="2"/>
        <v>0.3707217049</v>
      </c>
      <c r="H301" s="27">
        <f t="shared" si="3"/>
        <v>0.04989622194</v>
      </c>
      <c r="I301" s="26"/>
      <c r="J301" s="26"/>
      <c r="K301" s="17"/>
      <c r="L301" s="17"/>
      <c r="M301" s="29"/>
      <c r="N301" s="29"/>
      <c r="O301" s="4"/>
      <c r="P301" s="4"/>
      <c r="Q301" s="4"/>
      <c r="R301" s="17"/>
      <c r="S301" s="17"/>
      <c r="T301" s="17"/>
      <c r="U301" s="17"/>
      <c r="V301" s="17"/>
    </row>
    <row r="302" ht="14.25" customHeight="1">
      <c r="A302" s="13">
        <v>71301.0</v>
      </c>
      <c r="B302" s="13" t="s">
        <v>320</v>
      </c>
      <c r="C302" s="9">
        <v>1692.0</v>
      </c>
      <c r="D302" s="9">
        <v>624.0000159442425</v>
      </c>
      <c r="E302" s="9">
        <v>17019.0</v>
      </c>
      <c r="F302" s="27">
        <f t="shared" si="1"/>
        <v>0.0994182972</v>
      </c>
      <c r="G302" s="27">
        <f t="shared" si="2"/>
        <v>0.3687943357</v>
      </c>
      <c r="H302" s="27">
        <f t="shared" si="3"/>
        <v>0.03666490487</v>
      </c>
      <c r="I302" s="26"/>
      <c r="J302" s="26"/>
      <c r="K302" s="17"/>
      <c r="L302" s="17"/>
      <c r="M302" s="29"/>
      <c r="N302" s="29"/>
      <c r="O302" s="4"/>
      <c r="P302" s="4"/>
      <c r="Q302" s="4"/>
      <c r="R302" s="17"/>
      <c r="S302" s="17"/>
      <c r="T302" s="17"/>
      <c r="U302" s="17"/>
      <c r="V302" s="17"/>
    </row>
    <row r="303" ht="14.25" customHeight="1">
      <c r="A303" s="13">
        <v>71302.0</v>
      </c>
      <c r="B303" s="13" t="s">
        <v>321</v>
      </c>
      <c r="C303" s="9">
        <v>414.0</v>
      </c>
      <c r="D303" s="9">
        <v>151.55555906891823</v>
      </c>
      <c r="E303" s="9">
        <v>5958.0</v>
      </c>
      <c r="F303" s="27">
        <f t="shared" si="1"/>
        <v>0.06948640483</v>
      </c>
      <c r="G303" s="27">
        <f t="shared" si="2"/>
        <v>0.3660762296</v>
      </c>
      <c r="H303" s="27">
        <f t="shared" si="3"/>
        <v>0.02543732109</v>
      </c>
      <c r="I303" s="26"/>
      <c r="J303" s="26"/>
      <c r="K303" s="17"/>
      <c r="L303" s="17"/>
      <c r="M303" s="29"/>
      <c r="N303" s="29"/>
      <c r="O303" s="4"/>
      <c r="P303" s="4"/>
      <c r="Q303" s="4"/>
      <c r="R303" s="17"/>
      <c r="S303" s="17"/>
      <c r="T303" s="17"/>
      <c r="U303" s="17"/>
      <c r="V303" s="17"/>
    </row>
    <row r="304" ht="14.25" customHeight="1">
      <c r="A304" s="13">
        <v>71401.0</v>
      </c>
      <c r="B304" s="13" t="s">
        <v>322</v>
      </c>
      <c r="C304" s="9">
        <v>769.0</v>
      </c>
      <c r="D304" s="9">
        <v>274.55556240677834</v>
      </c>
      <c r="E304" s="9">
        <v>16244.0</v>
      </c>
      <c r="F304" s="27">
        <f t="shared" si="1"/>
        <v>0.04734055651</v>
      </c>
      <c r="G304" s="27">
        <f t="shared" si="2"/>
        <v>0.3570293399</v>
      </c>
      <c r="H304" s="27">
        <f t="shared" si="3"/>
        <v>0.01690196764</v>
      </c>
      <c r="I304" s="26"/>
      <c r="J304" s="26"/>
      <c r="K304" s="17"/>
      <c r="L304" s="17"/>
      <c r="M304" s="29"/>
      <c r="N304" s="29"/>
      <c r="O304" s="4"/>
      <c r="P304" s="4"/>
      <c r="Q304" s="4"/>
      <c r="R304" s="17"/>
      <c r="S304" s="17"/>
      <c r="T304" s="17"/>
      <c r="U304" s="17"/>
      <c r="V304" s="17"/>
    </row>
    <row r="305" ht="14.25" customHeight="1">
      <c r="A305" s="13">
        <v>71402.0</v>
      </c>
      <c r="B305" s="13" t="s">
        <v>323</v>
      </c>
      <c r="C305" s="9">
        <v>939.0</v>
      </c>
      <c r="D305" s="9">
        <v>335.11111956834793</v>
      </c>
      <c r="E305" s="9">
        <v>17178.0</v>
      </c>
      <c r="F305" s="27">
        <f t="shared" si="1"/>
        <v>0.05466294097</v>
      </c>
      <c r="G305" s="27">
        <f t="shared" si="2"/>
        <v>0.3568808515</v>
      </c>
      <c r="H305" s="27">
        <f t="shared" si="3"/>
        <v>0.01950815692</v>
      </c>
      <c r="I305" s="26"/>
      <c r="J305" s="26"/>
      <c r="K305" s="17"/>
      <c r="L305" s="17"/>
      <c r="M305" s="29"/>
      <c r="N305" s="29"/>
      <c r="O305" s="4"/>
      <c r="P305" s="4"/>
      <c r="Q305" s="4"/>
      <c r="R305" s="17"/>
      <c r="S305" s="17"/>
      <c r="T305" s="17"/>
      <c r="U305" s="17"/>
      <c r="V305" s="17"/>
    </row>
    <row r="306" ht="14.25" customHeight="1">
      <c r="A306" s="13">
        <v>71403.0</v>
      </c>
      <c r="B306" s="13" t="s">
        <v>324</v>
      </c>
      <c r="C306" s="9">
        <v>913.0</v>
      </c>
      <c r="D306" s="9">
        <v>341.11112025380135</v>
      </c>
      <c r="E306" s="9">
        <v>8512.0</v>
      </c>
      <c r="F306" s="27">
        <f t="shared" si="1"/>
        <v>0.1072603383</v>
      </c>
      <c r="G306" s="27">
        <f t="shared" si="2"/>
        <v>0.3736156848</v>
      </c>
      <c r="H306" s="27">
        <f t="shared" si="3"/>
        <v>0.04007414477</v>
      </c>
      <c r="I306" s="26"/>
      <c r="J306" s="26"/>
      <c r="K306" s="17"/>
      <c r="L306" s="17"/>
      <c r="M306" s="29"/>
      <c r="N306" s="29"/>
      <c r="O306" s="4"/>
      <c r="P306" s="4"/>
      <c r="Q306" s="4"/>
      <c r="R306" s="17"/>
      <c r="S306" s="17"/>
      <c r="T306" s="17"/>
      <c r="U306" s="17"/>
      <c r="V306" s="17"/>
    </row>
    <row r="307" ht="14.25" customHeight="1">
      <c r="A307" s="13">
        <v>71501.0</v>
      </c>
      <c r="B307" s="13" t="s">
        <v>325</v>
      </c>
      <c r="C307" s="9">
        <v>6764.0</v>
      </c>
      <c r="D307" s="9">
        <v>2578.111176043749</v>
      </c>
      <c r="E307" s="9">
        <v>33714.0</v>
      </c>
      <c r="F307" s="27">
        <f t="shared" si="1"/>
        <v>0.2006288189</v>
      </c>
      <c r="G307" s="27">
        <f t="shared" si="2"/>
        <v>0.3811518593</v>
      </c>
      <c r="H307" s="27">
        <f t="shared" si="3"/>
        <v>0.07647004734</v>
      </c>
      <c r="I307" s="26"/>
      <c r="J307" s="26"/>
      <c r="K307" s="17"/>
      <c r="L307" s="17"/>
      <c r="M307" s="29"/>
      <c r="N307" s="29"/>
      <c r="O307" s="4"/>
      <c r="P307" s="4"/>
      <c r="Q307" s="4"/>
      <c r="R307" s="17"/>
      <c r="S307" s="17"/>
      <c r="T307" s="17"/>
      <c r="U307" s="17"/>
      <c r="V307" s="17"/>
    </row>
    <row r="308" ht="14.25" customHeight="1">
      <c r="A308" s="13">
        <v>71502.0</v>
      </c>
      <c r="B308" s="13" t="s">
        <v>326</v>
      </c>
      <c r="C308" s="9">
        <v>887.0</v>
      </c>
      <c r="D308" s="9">
        <v>328.8888968527317</v>
      </c>
      <c r="E308" s="9">
        <v>6387.0</v>
      </c>
      <c r="F308" s="27">
        <f t="shared" si="1"/>
        <v>0.1388758416</v>
      </c>
      <c r="G308" s="27">
        <f t="shared" si="2"/>
        <v>0.3707879333</v>
      </c>
      <c r="H308" s="27">
        <f t="shared" si="3"/>
        <v>0.05149348628</v>
      </c>
      <c r="I308" s="26"/>
      <c r="J308" s="26"/>
      <c r="K308" s="17"/>
      <c r="L308" s="17"/>
      <c r="M308" s="29"/>
      <c r="N308" s="29"/>
      <c r="O308" s="4"/>
      <c r="P308" s="4"/>
      <c r="Q308" s="4"/>
      <c r="R308" s="17"/>
      <c r="S308" s="17"/>
      <c r="T308" s="17"/>
      <c r="U308" s="17"/>
      <c r="V308" s="17"/>
    </row>
    <row r="309" ht="14.25" customHeight="1">
      <c r="A309" s="13">
        <v>71503.0</v>
      </c>
      <c r="B309" s="13" t="s">
        <v>272</v>
      </c>
      <c r="C309" s="9">
        <v>2413.0</v>
      </c>
      <c r="D309" s="9">
        <v>894.7777999043465</v>
      </c>
      <c r="E309" s="9">
        <v>16870.0</v>
      </c>
      <c r="F309" s="27">
        <f t="shared" si="1"/>
        <v>0.1430349733</v>
      </c>
      <c r="G309" s="27">
        <f t="shared" si="2"/>
        <v>0.3708154993</v>
      </c>
      <c r="H309" s="27">
        <f t="shared" si="3"/>
        <v>0.05303958506</v>
      </c>
      <c r="I309" s="26"/>
      <c r="J309" s="26"/>
      <c r="K309" s="17"/>
      <c r="L309" s="17"/>
      <c r="M309" s="29"/>
      <c r="N309" s="29"/>
      <c r="O309" s="4"/>
      <c r="P309" s="4"/>
      <c r="Q309" s="4"/>
      <c r="R309" s="17"/>
      <c r="S309" s="17"/>
      <c r="T309" s="17"/>
      <c r="U309" s="17"/>
      <c r="V309" s="17"/>
    </row>
    <row r="310" ht="14.25" customHeight="1">
      <c r="A310" s="13">
        <v>80101.0</v>
      </c>
      <c r="B310" s="13" t="s">
        <v>327</v>
      </c>
      <c r="C310" s="9">
        <v>11923.0</v>
      </c>
      <c r="D310" s="9">
        <v>4305.777887940407</v>
      </c>
      <c r="E310" s="9">
        <v>123795.0</v>
      </c>
      <c r="F310" s="27">
        <f t="shared" si="1"/>
        <v>0.09631245204</v>
      </c>
      <c r="G310" s="27">
        <f t="shared" si="2"/>
        <v>0.3611320882</v>
      </c>
      <c r="H310" s="27">
        <f t="shared" si="3"/>
        <v>0.03478151693</v>
      </c>
      <c r="I310" s="26"/>
      <c r="J310" s="26"/>
      <c r="K310" s="17"/>
      <c r="L310" s="17"/>
      <c r="M310" s="29"/>
      <c r="N310" s="29"/>
      <c r="O310" s="4"/>
      <c r="P310" s="4"/>
      <c r="Q310" s="4"/>
      <c r="R310" s="17"/>
      <c r="S310" s="17"/>
      <c r="T310" s="17"/>
      <c r="U310" s="17"/>
      <c r="V310" s="17"/>
    </row>
    <row r="311" ht="14.25" customHeight="1">
      <c r="A311" s="13">
        <v>80102.0</v>
      </c>
      <c r="B311" s="13" t="s">
        <v>314</v>
      </c>
      <c r="C311" s="9">
        <v>1569.0</v>
      </c>
      <c r="D311" s="9">
        <v>579.5555691719055</v>
      </c>
      <c r="E311" s="9">
        <v>7752.0</v>
      </c>
      <c r="F311" s="27">
        <f t="shared" si="1"/>
        <v>0.2023993808</v>
      </c>
      <c r="G311" s="27">
        <f t="shared" si="2"/>
        <v>0.3693789478</v>
      </c>
      <c r="H311" s="27">
        <f t="shared" si="3"/>
        <v>0.07476207033</v>
      </c>
      <c r="I311" s="26"/>
      <c r="J311" s="26"/>
      <c r="K311" s="17"/>
      <c r="L311" s="17"/>
      <c r="M311" s="29"/>
      <c r="N311" s="29"/>
      <c r="O311" s="4"/>
      <c r="P311" s="4"/>
      <c r="Q311" s="4"/>
      <c r="R311" s="17"/>
      <c r="S311" s="17"/>
      <c r="T311" s="17"/>
      <c r="U311" s="17"/>
      <c r="V311" s="17"/>
    </row>
    <row r="312" ht="14.25" customHeight="1">
      <c r="A312" s="13">
        <v>80201.0</v>
      </c>
      <c r="B312" s="13" t="s">
        <v>328</v>
      </c>
      <c r="C312" s="9">
        <v>26834.0</v>
      </c>
      <c r="D312" s="9">
        <v>9947.444695323706</v>
      </c>
      <c r="E312" s="9">
        <v>107816.0</v>
      </c>
      <c r="F312" s="27">
        <f t="shared" si="1"/>
        <v>0.2488869927</v>
      </c>
      <c r="G312" s="27">
        <f t="shared" si="2"/>
        <v>0.3707030147</v>
      </c>
      <c r="H312" s="27">
        <f t="shared" si="3"/>
        <v>0.09226315849</v>
      </c>
      <c r="I312" s="26"/>
      <c r="J312" s="26"/>
      <c r="K312" s="17"/>
      <c r="L312" s="17"/>
      <c r="M312" s="29"/>
      <c r="N312" s="29"/>
      <c r="O312" s="4"/>
      <c r="P312" s="4"/>
      <c r="Q312" s="4"/>
      <c r="R312" s="17"/>
      <c r="S312" s="17"/>
      <c r="T312" s="17"/>
      <c r="U312" s="17"/>
      <c r="V312" s="17"/>
    </row>
    <row r="313" ht="14.25" customHeight="1">
      <c r="A313" s="13">
        <v>80202.0</v>
      </c>
      <c r="B313" s="13" t="s">
        <v>329</v>
      </c>
      <c r="C313" s="9">
        <v>4189.0</v>
      </c>
      <c r="D313" s="9">
        <v>1517.6667053103447</v>
      </c>
      <c r="E313" s="9">
        <v>40130.0</v>
      </c>
      <c r="F313" s="27">
        <f t="shared" si="1"/>
        <v>0.1043857463</v>
      </c>
      <c r="G313" s="27">
        <f t="shared" si="2"/>
        <v>0.3622980915</v>
      </c>
      <c r="H313" s="27">
        <f t="shared" si="3"/>
        <v>0.03781875667</v>
      </c>
      <c r="I313" s="26"/>
      <c r="J313" s="26"/>
      <c r="K313" s="17"/>
      <c r="L313" s="17"/>
      <c r="M313" s="29"/>
      <c r="N313" s="29"/>
      <c r="O313" s="4"/>
      <c r="P313" s="4"/>
      <c r="Q313" s="4"/>
      <c r="R313" s="17"/>
      <c r="S313" s="17"/>
      <c r="T313" s="17"/>
      <c r="U313" s="17"/>
      <c r="V313" s="17"/>
    </row>
    <row r="314" ht="14.25" customHeight="1">
      <c r="A314" s="13">
        <v>80301.0</v>
      </c>
      <c r="B314" s="13" t="s">
        <v>330</v>
      </c>
      <c r="C314" s="9">
        <v>2475.0</v>
      </c>
      <c r="D314" s="9">
        <v>917.0000235438347</v>
      </c>
      <c r="E314" s="9">
        <v>11284.0</v>
      </c>
      <c r="F314" s="27">
        <f t="shared" si="1"/>
        <v>0.2193371145</v>
      </c>
      <c r="G314" s="27">
        <f t="shared" si="2"/>
        <v>0.37050506</v>
      </c>
      <c r="H314" s="27">
        <f t="shared" si="3"/>
        <v>0.08126551077</v>
      </c>
      <c r="I314" s="26"/>
      <c r="J314" s="26"/>
      <c r="K314" s="17"/>
      <c r="L314" s="17"/>
      <c r="M314" s="29"/>
      <c r="N314" s="29"/>
      <c r="O314" s="4"/>
      <c r="P314" s="4"/>
      <c r="Q314" s="4"/>
      <c r="R314" s="17"/>
      <c r="S314" s="17"/>
      <c r="T314" s="17"/>
      <c r="U314" s="17"/>
      <c r="V314" s="17"/>
    </row>
    <row r="315" ht="14.25" customHeight="1">
      <c r="A315" s="13">
        <v>80302.0</v>
      </c>
      <c r="B315" s="13" t="s">
        <v>331</v>
      </c>
      <c r="C315" s="9">
        <v>15965.0</v>
      </c>
      <c r="D315" s="9">
        <v>7327.111303776503</v>
      </c>
      <c r="E315" s="9">
        <v>45378.0</v>
      </c>
      <c r="F315" s="27">
        <f t="shared" si="1"/>
        <v>0.351822469</v>
      </c>
      <c r="G315" s="27">
        <f t="shared" si="2"/>
        <v>0.4589484061</v>
      </c>
      <c r="H315" s="27">
        <f t="shared" si="3"/>
        <v>0.1614683614</v>
      </c>
      <c r="I315" s="26"/>
      <c r="J315" s="26"/>
      <c r="K315" s="17"/>
      <c r="L315" s="17"/>
      <c r="M315" s="29"/>
      <c r="N315" s="29"/>
      <c r="O315" s="4"/>
      <c r="P315" s="4"/>
      <c r="Q315" s="4"/>
      <c r="R315" s="17"/>
      <c r="S315" s="17"/>
      <c r="T315" s="17"/>
      <c r="U315" s="17"/>
      <c r="V315" s="17"/>
    </row>
    <row r="316" ht="14.25" customHeight="1">
      <c r="A316" s="13">
        <v>80303.0</v>
      </c>
      <c r="B316" s="13" t="s">
        <v>291</v>
      </c>
      <c r="C316" s="9">
        <v>1236.0</v>
      </c>
      <c r="D316" s="9">
        <v>466.0000118613243</v>
      </c>
      <c r="E316" s="9">
        <v>10953.0</v>
      </c>
      <c r="F316" s="27">
        <f t="shared" si="1"/>
        <v>0.1128457957</v>
      </c>
      <c r="G316" s="27">
        <f t="shared" si="2"/>
        <v>0.3770226633</v>
      </c>
      <c r="H316" s="27">
        <f t="shared" si="3"/>
        <v>0.04254542243</v>
      </c>
      <c r="I316" s="26"/>
      <c r="J316" s="26"/>
      <c r="K316" s="17"/>
      <c r="L316" s="17"/>
      <c r="M316" s="29"/>
      <c r="N316" s="29"/>
      <c r="O316" s="4"/>
      <c r="P316" s="4"/>
      <c r="Q316" s="4"/>
      <c r="R316" s="17"/>
      <c r="S316" s="17"/>
      <c r="T316" s="17"/>
      <c r="U316" s="17"/>
      <c r="V316" s="17"/>
    </row>
    <row r="317" ht="14.25" customHeight="1">
      <c r="A317" s="13">
        <v>80304.0</v>
      </c>
      <c r="B317" s="13" t="s">
        <v>332</v>
      </c>
      <c r="C317" s="9">
        <v>3004.0</v>
      </c>
      <c r="D317" s="9">
        <v>1201.0000304579735</v>
      </c>
      <c r="E317" s="9">
        <v>20456.0</v>
      </c>
      <c r="F317" s="27">
        <f t="shared" si="1"/>
        <v>0.1468517794</v>
      </c>
      <c r="G317" s="27">
        <f t="shared" si="2"/>
        <v>0.3998002765</v>
      </c>
      <c r="H317" s="27">
        <f t="shared" si="3"/>
        <v>0.05871138201</v>
      </c>
      <c r="I317" s="26"/>
      <c r="J317" s="26"/>
      <c r="K317" s="17"/>
      <c r="L317" s="17"/>
      <c r="M317" s="29"/>
      <c r="N317" s="29"/>
      <c r="O317" s="4"/>
      <c r="P317" s="4"/>
      <c r="Q317" s="4"/>
      <c r="R317" s="17"/>
      <c r="S317" s="17"/>
      <c r="T317" s="17"/>
      <c r="U317" s="17"/>
      <c r="V317" s="17"/>
    </row>
    <row r="318" ht="14.25" customHeight="1">
      <c r="A318" s="13">
        <v>80401.0</v>
      </c>
      <c r="B318" s="13" t="s">
        <v>333</v>
      </c>
      <c r="C318" s="9">
        <v>3720.0</v>
      </c>
      <c r="D318" s="9">
        <v>1756.1111541688442</v>
      </c>
      <c r="E318" s="9">
        <v>17897.0</v>
      </c>
      <c r="F318" s="27">
        <f t="shared" si="1"/>
        <v>0.2078560653</v>
      </c>
      <c r="G318" s="27">
        <f t="shared" si="2"/>
        <v>0.4720728909</v>
      </c>
      <c r="H318" s="27">
        <f t="shared" si="3"/>
        <v>0.09812321362</v>
      </c>
      <c r="I318" s="26"/>
      <c r="J318" s="26"/>
      <c r="K318" s="17"/>
      <c r="L318" s="17"/>
      <c r="M318" s="29"/>
      <c r="N318" s="29"/>
      <c r="O318" s="4"/>
      <c r="P318" s="4"/>
      <c r="Q318" s="4"/>
      <c r="R318" s="17"/>
      <c r="S318" s="17"/>
      <c r="T318" s="17"/>
      <c r="U318" s="17"/>
      <c r="V318" s="17"/>
    </row>
    <row r="319" ht="14.25" customHeight="1">
      <c r="A319" s="13">
        <v>80402.0</v>
      </c>
      <c r="B319" s="13" t="s">
        <v>334</v>
      </c>
      <c r="C319" s="9">
        <v>1894.0</v>
      </c>
      <c r="D319" s="9">
        <v>727.2222405970097</v>
      </c>
      <c r="E319" s="9">
        <v>7810.0</v>
      </c>
      <c r="F319" s="27">
        <f t="shared" si="1"/>
        <v>0.2425096031</v>
      </c>
      <c r="G319" s="27">
        <f t="shared" si="2"/>
        <v>0.3839610563</v>
      </c>
      <c r="H319" s="27">
        <f t="shared" si="3"/>
        <v>0.09311424335</v>
      </c>
      <c r="I319" s="26"/>
      <c r="J319" s="26"/>
      <c r="K319" s="17"/>
      <c r="L319" s="17"/>
      <c r="M319" s="29"/>
      <c r="N319" s="29"/>
      <c r="O319" s="4"/>
      <c r="P319" s="4"/>
      <c r="Q319" s="4"/>
      <c r="R319" s="17"/>
      <c r="S319" s="17"/>
      <c r="T319" s="17"/>
      <c r="U319" s="17"/>
      <c r="V319" s="17"/>
    </row>
    <row r="320" ht="14.25" customHeight="1">
      <c r="A320" s="13">
        <v>80501.0</v>
      </c>
      <c r="B320" s="13" t="s">
        <v>280</v>
      </c>
      <c r="C320" s="9">
        <v>4077.0</v>
      </c>
      <c r="D320" s="9">
        <v>1761.0000484883785</v>
      </c>
      <c r="E320" s="9">
        <v>21072.0</v>
      </c>
      <c r="F320" s="27">
        <f t="shared" si="1"/>
        <v>0.1934794989</v>
      </c>
      <c r="G320" s="27">
        <f t="shared" si="2"/>
        <v>0.4319352584</v>
      </c>
      <c r="H320" s="27">
        <f t="shared" si="3"/>
        <v>0.08357061734</v>
      </c>
      <c r="I320" s="26"/>
      <c r="J320" s="26"/>
      <c r="K320" s="17"/>
      <c r="L320" s="17"/>
      <c r="M320" s="29"/>
      <c r="N320" s="29"/>
      <c r="O320" s="4"/>
      <c r="P320" s="4"/>
      <c r="Q320" s="4"/>
      <c r="R320" s="17"/>
      <c r="S320" s="17"/>
      <c r="T320" s="17"/>
      <c r="U320" s="17"/>
      <c r="V320" s="17"/>
    </row>
    <row r="321" ht="14.25" customHeight="1">
      <c r="A321" s="13">
        <v>80601.0</v>
      </c>
      <c r="B321" s="13" t="s">
        <v>335</v>
      </c>
      <c r="C321" s="9">
        <v>1092.0</v>
      </c>
      <c r="D321" s="9">
        <v>457.11112251877785</v>
      </c>
      <c r="E321" s="9">
        <v>4241.0</v>
      </c>
      <c r="F321" s="27">
        <f t="shared" si="1"/>
        <v>0.2574864419</v>
      </c>
      <c r="G321" s="27">
        <f t="shared" si="2"/>
        <v>0.418599929</v>
      </c>
      <c r="H321" s="27">
        <f t="shared" si="3"/>
        <v>0.1077838063</v>
      </c>
      <c r="I321" s="26"/>
      <c r="J321" s="26"/>
      <c r="K321" s="17"/>
      <c r="L321" s="17"/>
      <c r="M321" s="29"/>
      <c r="N321" s="29"/>
      <c r="O321" s="4"/>
      <c r="P321" s="4"/>
      <c r="Q321" s="4"/>
      <c r="R321" s="17"/>
      <c r="S321" s="17"/>
      <c r="T321" s="17"/>
      <c r="U321" s="17"/>
      <c r="V321" s="17"/>
    </row>
    <row r="322" ht="14.25" customHeight="1">
      <c r="A322" s="13">
        <v>80602.0</v>
      </c>
      <c r="B322" s="13" t="s">
        <v>336</v>
      </c>
      <c r="C322" s="9">
        <v>2349.0</v>
      </c>
      <c r="D322" s="9">
        <v>866.0000220537186</v>
      </c>
      <c r="E322" s="9">
        <v>14987.0</v>
      </c>
      <c r="F322" s="27">
        <f t="shared" si="1"/>
        <v>0.1567358377</v>
      </c>
      <c r="G322" s="27">
        <f t="shared" si="2"/>
        <v>0.3686675275</v>
      </c>
      <c r="H322" s="27">
        <f t="shared" si="3"/>
        <v>0.05778341376</v>
      </c>
      <c r="I322" s="26"/>
      <c r="J322" s="26"/>
      <c r="K322" s="17"/>
      <c r="L322" s="17"/>
      <c r="M322" s="29"/>
      <c r="N322" s="29"/>
      <c r="O322" s="4"/>
      <c r="P322" s="4"/>
      <c r="Q322" s="4"/>
      <c r="R322" s="17"/>
      <c r="S322" s="17"/>
      <c r="T322" s="17"/>
      <c r="U322" s="17"/>
      <c r="V322" s="17"/>
    </row>
    <row r="323" ht="14.25" customHeight="1">
      <c r="A323" s="13">
        <v>80701.0</v>
      </c>
      <c r="B323" s="13" t="s">
        <v>337</v>
      </c>
      <c r="C323" s="9">
        <v>874.0</v>
      </c>
      <c r="D323" s="9">
        <v>323.55556347966194</v>
      </c>
      <c r="E323" s="9">
        <v>6322.0</v>
      </c>
      <c r="F323" s="27">
        <f t="shared" si="1"/>
        <v>0.1382473901</v>
      </c>
      <c r="G323" s="27">
        <f t="shared" si="2"/>
        <v>0.3702008735</v>
      </c>
      <c r="H323" s="27">
        <f t="shared" si="3"/>
        <v>0.05117930457</v>
      </c>
      <c r="I323" s="26"/>
      <c r="J323" s="26"/>
      <c r="K323" s="17"/>
      <c r="L323" s="17"/>
      <c r="M323" s="29"/>
      <c r="N323" s="29"/>
      <c r="O323" s="4"/>
      <c r="P323" s="4"/>
      <c r="Q323" s="4"/>
      <c r="R323" s="17"/>
      <c r="S323" s="17"/>
      <c r="T323" s="17"/>
      <c r="U323" s="17"/>
      <c r="V323" s="17"/>
    </row>
    <row r="324" ht="14.25" customHeight="1">
      <c r="A324" s="13">
        <v>80702.0</v>
      </c>
      <c r="B324" s="13" t="s">
        <v>315</v>
      </c>
      <c r="C324" s="9">
        <v>734.0</v>
      </c>
      <c r="D324" s="9">
        <v>277.2222288250923</v>
      </c>
      <c r="E324" s="9">
        <v>5354.0</v>
      </c>
      <c r="F324" s="27">
        <f t="shared" si="1"/>
        <v>0.1370937617</v>
      </c>
      <c r="G324" s="27">
        <f t="shared" si="2"/>
        <v>0.3776869603</v>
      </c>
      <c r="H324" s="27">
        <f t="shared" si="3"/>
        <v>0.05177852612</v>
      </c>
      <c r="I324" s="26"/>
      <c r="J324" s="26"/>
      <c r="K324" s="17"/>
      <c r="L324" s="17"/>
      <c r="M324" s="29"/>
      <c r="N324" s="29"/>
      <c r="O324" s="4"/>
      <c r="P324" s="4"/>
      <c r="Q324" s="4"/>
      <c r="R324" s="17"/>
      <c r="S324" s="17"/>
      <c r="T324" s="17"/>
      <c r="U324" s="17"/>
      <c r="V324" s="17"/>
    </row>
    <row r="325" ht="14.25" customHeight="1">
      <c r="A325" s="13">
        <v>80703.0</v>
      </c>
      <c r="B325" s="13" t="s">
        <v>338</v>
      </c>
      <c r="C325" s="9">
        <v>103.0</v>
      </c>
      <c r="D325" s="9">
        <v>40.555556654930115</v>
      </c>
      <c r="E325" s="9">
        <v>1079.0</v>
      </c>
      <c r="F325" s="27">
        <f t="shared" si="1"/>
        <v>0.09545875811</v>
      </c>
      <c r="G325" s="27">
        <f t="shared" si="2"/>
        <v>0.3937432685</v>
      </c>
      <c r="H325" s="27">
        <f t="shared" si="3"/>
        <v>0.03758624342</v>
      </c>
      <c r="I325" s="26"/>
      <c r="J325" s="26"/>
      <c r="K325" s="17"/>
      <c r="L325" s="17"/>
      <c r="M325" s="29"/>
      <c r="N325" s="29"/>
      <c r="O325" s="4"/>
      <c r="P325" s="4"/>
      <c r="Q325" s="4"/>
      <c r="R325" s="17"/>
      <c r="S325" s="17"/>
      <c r="T325" s="17"/>
      <c r="U325" s="17"/>
      <c r="V325" s="17"/>
    </row>
    <row r="326" ht="14.25" customHeight="1">
      <c r="A326" s="13">
        <v>80801.0</v>
      </c>
      <c r="B326" s="13" t="s">
        <v>339</v>
      </c>
      <c r="C326" s="9">
        <v>2083.0</v>
      </c>
      <c r="D326" s="9">
        <v>760.7777972817421</v>
      </c>
      <c r="E326" s="9">
        <v>12567.0</v>
      </c>
      <c r="F326" s="27">
        <f t="shared" si="1"/>
        <v>0.1657515716</v>
      </c>
      <c r="G326" s="27">
        <f t="shared" si="2"/>
        <v>0.3652317798</v>
      </c>
      <c r="H326" s="27">
        <f t="shared" si="3"/>
        <v>0.06053774149</v>
      </c>
      <c r="I326" s="26"/>
      <c r="J326" s="26"/>
      <c r="K326" s="17"/>
      <c r="L326" s="17"/>
      <c r="M326" s="29"/>
      <c r="N326" s="29"/>
      <c r="O326" s="4"/>
      <c r="P326" s="4"/>
      <c r="Q326" s="4"/>
      <c r="R326" s="17"/>
      <c r="S326" s="17"/>
      <c r="T326" s="17"/>
      <c r="U326" s="17"/>
      <c r="V326" s="17"/>
    </row>
    <row r="327" ht="14.25" customHeight="1">
      <c r="A327" s="13">
        <v>80802.0</v>
      </c>
      <c r="B327" s="13" t="s">
        <v>340</v>
      </c>
      <c r="C327" s="9">
        <v>1217.0</v>
      </c>
      <c r="D327" s="9">
        <v>446.1111225783825</v>
      </c>
      <c r="E327" s="9">
        <v>7162.0</v>
      </c>
      <c r="F327" s="27">
        <f t="shared" si="1"/>
        <v>0.1699246021</v>
      </c>
      <c r="G327" s="27">
        <f t="shared" si="2"/>
        <v>0.366566247</v>
      </c>
      <c r="H327" s="27">
        <f t="shared" si="3"/>
        <v>0.06228862365</v>
      </c>
      <c r="I327" s="26"/>
      <c r="J327" s="26"/>
      <c r="K327" s="17"/>
      <c r="L327" s="17"/>
      <c r="M327" s="29"/>
      <c r="N327" s="29"/>
      <c r="O327" s="4"/>
      <c r="P327" s="4"/>
      <c r="Q327" s="4"/>
      <c r="R327" s="17"/>
      <c r="S327" s="17"/>
      <c r="T327" s="17"/>
      <c r="U327" s="17"/>
      <c r="V327" s="17"/>
    </row>
    <row r="328" ht="14.25" customHeight="1">
      <c r="A328" s="13">
        <v>80803.0</v>
      </c>
      <c r="B328" s="13" t="s">
        <v>341</v>
      </c>
      <c r="C328" s="9">
        <v>593.0</v>
      </c>
      <c r="D328" s="9">
        <v>222.44445019960403</v>
      </c>
      <c r="E328" s="9">
        <v>4593.0</v>
      </c>
      <c r="F328" s="27">
        <f t="shared" si="1"/>
        <v>0.1291095145</v>
      </c>
      <c r="G328" s="27">
        <f t="shared" si="2"/>
        <v>0.3751171167</v>
      </c>
      <c r="H328" s="27">
        <f t="shared" si="3"/>
        <v>0.04843118881</v>
      </c>
      <c r="I328" s="26"/>
      <c r="J328" s="26"/>
      <c r="K328" s="17"/>
      <c r="L328" s="17"/>
      <c r="M328" s="29"/>
      <c r="N328" s="29"/>
      <c r="O328" s="4"/>
      <c r="P328" s="4"/>
      <c r="Q328" s="4"/>
      <c r="R328" s="17"/>
      <c r="S328" s="17"/>
      <c r="T328" s="17"/>
      <c r="U328" s="17"/>
      <c r="V328" s="17"/>
    </row>
    <row r="329" ht="14.25" customHeight="1">
      <c r="A329" s="13">
        <v>80901.0</v>
      </c>
      <c r="B329" s="13" t="s">
        <v>342</v>
      </c>
      <c r="C329" s="9">
        <v>1298.0</v>
      </c>
      <c r="D329" s="9">
        <v>662.4444624781609</v>
      </c>
      <c r="E329" s="9">
        <v>3943.0</v>
      </c>
      <c r="F329" s="27">
        <f t="shared" si="1"/>
        <v>0.3291909713</v>
      </c>
      <c r="G329" s="27">
        <f t="shared" si="2"/>
        <v>0.5103578293</v>
      </c>
      <c r="H329" s="27">
        <f t="shared" si="3"/>
        <v>0.1680051896</v>
      </c>
      <c r="I329" s="26"/>
      <c r="J329" s="26"/>
      <c r="K329" s="17"/>
      <c r="L329" s="17"/>
      <c r="M329" s="29"/>
      <c r="N329" s="29"/>
      <c r="O329" s="4"/>
      <c r="P329" s="4"/>
      <c r="Q329" s="4"/>
      <c r="R329" s="17"/>
      <c r="S329" s="17"/>
      <c r="T329" s="17"/>
      <c r="U329" s="17"/>
      <c r="V329" s="17"/>
    </row>
    <row r="330" ht="14.25" customHeight="1">
      <c r="A330" s="13">
        <v>90101.0</v>
      </c>
      <c r="B330" s="13" t="s">
        <v>343</v>
      </c>
      <c r="C330" s="9">
        <v>2763.0</v>
      </c>
      <c r="D330" s="9">
        <v>997.5555809438229</v>
      </c>
      <c r="E330" s="9">
        <v>51908.0</v>
      </c>
      <c r="F330" s="27">
        <f t="shared" si="1"/>
        <v>0.0532287894</v>
      </c>
      <c r="G330" s="27">
        <f t="shared" si="2"/>
        <v>0.3610407459</v>
      </c>
      <c r="H330" s="27">
        <f t="shared" si="3"/>
        <v>0.01921776183</v>
      </c>
      <c r="I330" s="26"/>
      <c r="J330" s="26"/>
      <c r="K330" s="17"/>
      <c r="L330" s="17"/>
      <c r="M330" s="29"/>
      <c r="N330" s="29"/>
      <c r="O330" s="4"/>
      <c r="P330" s="4"/>
      <c r="Q330" s="4"/>
      <c r="R330" s="17"/>
      <c r="S330" s="17"/>
      <c r="T330" s="17"/>
      <c r="U330" s="17"/>
      <c r="V330" s="17"/>
    </row>
    <row r="331" ht="14.25" customHeight="1">
      <c r="A331" s="13">
        <v>90102.0</v>
      </c>
      <c r="B331" s="13" t="s">
        <v>344</v>
      </c>
      <c r="C331" s="9">
        <v>876.0</v>
      </c>
      <c r="D331" s="9">
        <v>323.4444523155689</v>
      </c>
      <c r="E331" s="9">
        <v>9096.0</v>
      </c>
      <c r="F331" s="27">
        <f t="shared" si="1"/>
        <v>0.0963060686</v>
      </c>
      <c r="G331" s="27">
        <f t="shared" si="2"/>
        <v>0.3692288268</v>
      </c>
      <c r="H331" s="27">
        <f t="shared" si="3"/>
        <v>0.03555897673</v>
      </c>
      <c r="I331" s="26"/>
      <c r="J331" s="26"/>
      <c r="K331" s="17"/>
      <c r="L331" s="17"/>
      <c r="M331" s="29"/>
      <c r="N331" s="29"/>
      <c r="O331" s="4"/>
      <c r="P331" s="4"/>
      <c r="Q331" s="4"/>
      <c r="R331" s="17"/>
      <c r="S331" s="17"/>
      <c r="T331" s="17"/>
      <c r="U331" s="17"/>
      <c r="V331" s="17"/>
    </row>
    <row r="332" ht="14.25" customHeight="1">
      <c r="A332" s="13">
        <v>90103.0</v>
      </c>
      <c r="B332" s="13" t="s">
        <v>345</v>
      </c>
      <c r="C332" s="9">
        <v>322.0</v>
      </c>
      <c r="D332" s="9">
        <v>117.77778089046478</v>
      </c>
      <c r="E332" s="9">
        <v>2338.0</v>
      </c>
      <c r="F332" s="27">
        <f t="shared" si="1"/>
        <v>0.1377245509</v>
      </c>
      <c r="G332" s="27">
        <f t="shared" si="2"/>
        <v>0.3657695059</v>
      </c>
      <c r="H332" s="27">
        <f t="shared" si="3"/>
        <v>0.05037544093</v>
      </c>
      <c r="I332" s="26"/>
      <c r="J332" s="26"/>
      <c r="K332" s="17"/>
      <c r="L332" s="17"/>
      <c r="M332" s="29"/>
      <c r="N332" s="29"/>
      <c r="O332" s="4"/>
      <c r="P332" s="4"/>
      <c r="Q332" s="4"/>
      <c r="R332" s="17"/>
      <c r="S332" s="17"/>
      <c r="T332" s="17"/>
      <c r="U332" s="17"/>
      <c r="V332" s="17"/>
    </row>
    <row r="333" ht="14.25" customHeight="1">
      <c r="A333" s="13">
        <v>90104.0</v>
      </c>
      <c r="B333" s="13" t="s">
        <v>346</v>
      </c>
      <c r="C333" s="9">
        <v>471.0</v>
      </c>
      <c r="D333" s="9">
        <v>182.6666712462902</v>
      </c>
      <c r="E333" s="9">
        <v>3421.0</v>
      </c>
      <c r="F333" s="27">
        <f t="shared" si="1"/>
        <v>0.1376790412</v>
      </c>
      <c r="G333" s="27">
        <f t="shared" si="2"/>
        <v>0.3878273275</v>
      </c>
      <c r="H333" s="27">
        <f t="shared" si="3"/>
        <v>0.05339569461</v>
      </c>
      <c r="I333" s="26"/>
      <c r="J333" s="26"/>
      <c r="K333" s="17"/>
      <c r="L333" s="17"/>
      <c r="M333" s="29"/>
      <c r="N333" s="29"/>
      <c r="O333" s="4"/>
      <c r="P333" s="4"/>
      <c r="Q333" s="4"/>
      <c r="R333" s="17"/>
      <c r="S333" s="17"/>
      <c r="T333" s="17"/>
      <c r="U333" s="17"/>
      <c r="V333" s="17"/>
    </row>
    <row r="334" ht="14.25" customHeight="1">
      <c r="A334" s="13">
        <v>90201.0</v>
      </c>
      <c r="B334" s="13" t="s">
        <v>347</v>
      </c>
      <c r="C334" s="9">
        <v>978.0</v>
      </c>
      <c r="D334" s="9">
        <v>366.66667580604553</v>
      </c>
      <c r="E334" s="9">
        <v>6870.0</v>
      </c>
      <c r="F334" s="27">
        <f t="shared" si="1"/>
        <v>0.1423580786</v>
      </c>
      <c r="G334" s="27">
        <f t="shared" si="2"/>
        <v>0.3749148014</v>
      </c>
      <c r="H334" s="27">
        <f t="shared" si="3"/>
        <v>0.05337215077</v>
      </c>
      <c r="I334" s="26"/>
      <c r="J334" s="26"/>
      <c r="K334" s="17"/>
      <c r="L334" s="17"/>
      <c r="M334" s="29"/>
      <c r="N334" s="29"/>
      <c r="O334" s="4"/>
      <c r="P334" s="4"/>
      <c r="Q334" s="4"/>
      <c r="R334" s="17"/>
      <c r="S334" s="17"/>
      <c r="T334" s="17"/>
      <c r="U334" s="17"/>
      <c r="V334" s="17"/>
    </row>
    <row r="335" ht="14.25" customHeight="1">
      <c r="A335" s="13">
        <v>90202.0</v>
      </c>
      <c r="B335" s="13" t="s">
        <v>238</v>
      </c>
      <c r="C335" s="9">
        <v>1486.0</v>
      </c>
      <c r="D335" s="9">
        <v>574.4444583654404</v>
      </c>
      <c r="E335" s="9">
        <v>3248.0</v>
      </c>
      <c r="F335" s="27">
        <f t="shared" si="1"/>
        <v>0.4575123153</v>
      </c>
      <c r="G335" s="27">
        <f t="shared" si="2"/>
        <v>0.3865709679</v>
      </c>
      <c r="H335" s="27">
        <f t="shared" si="3"/>
        <v>0.1768609786</v>
      </c>
      <c r="I335" s="26"/>
      <c r="J335" s="26"/>
      <c r="K335" s="17"/>
      <c r="L335" s="17"/>
      <c r="M335" s="29"/>
      <c r="N335" s="29"/>
      <c r="O335" s="4"/>
      <c r="P335" s="4"/>
      <c r="Q335" s="4"/>
      <c r="R335" s="17"/>
      <c r="S335" s="17"/>
      <c r="T335" s="17"/>
      <c r="U335" s="17"/>
      <c r="V335" s="17"/>
    </row>
    <row r="336" ht="14.25" customHeight="1">
      <c r="A336" s="13">
        <v>90203.0</v>
      </c>
      <c r="B336" s="13" t="s">
        <v>348</v>
      </c>
      <c r="C336" s="9">
        <v>1006.0</v>
      </c>
      <c r="D336" s="9">
        <v>380.22223207354546</v>
      </c>
      <c r="E336" s="9">
        <v>7993.0</v>
      </c>
      <c r="F336" s="27">
        <f t="shared" si="1"/>
        <v>0.1258601276</v>
      </c>
      <c r="G336" s="27">
        <f t="shared" si="2"/>
        <v>0.377954505</v>
      </c>
      <c r="H336" s="27">
        <f t="shared" si="3"/>
        <v>0.04756940224</v>
      </c>
      <c r="I336" s="26"/>
      <c r="J336" s="26"/>
      <c r="K336" s="17"/>
      <c r="L336" s="17"/>
      <c r="M336" s="29"/>
      <c r="N336" s="29"/>
      <c r="O336" s="4"/>
      <c r="P336" s="4"/>
      <c r="Q336" s="4"/>
      <c r="R336" s="17"/>
      <c r="S336" s="17"/>
      <c r="T336" s="17"/>
      <c r="U336" s="17"/>
      <c r="V336" s="17"/>
    </row>
    <row r="337" ht="14.25" customHeight="1">
      <c r="A337" s="13">
        <v>90301.0</v>
      </c>
      <c r="B337" s="13" t="s">
        <v>349</v>
      </c>
      <c r="C337" s="9">
        <v>2434.0</v>
      </c>
      <c r="D337" s="9">
        <v>918.7778006792068</v>
      </c>
      <c r="E337" s="9">
        <v>11760.0</v>
      </c>
      <c r="F337" s="27">
        <f t="shared" si="1"/>
        <v>0.2069727891</v>
      </c>
      <c r="G337" s="27">
        <f t="shared" si="2"/>
        <v>0.3774764999</v>
      </c>
      <c r="H337" s="27">
        <f t="shared" si="3"/>
        <v>0.078127364</v>
      </c>
      <c r="I337" s="26"/>
      <c r="J337" s="26"/>
      <c r="K337" s="17"/>
      <c r="L337" s="17"/>
      <c r="M337" s="29"/>
      <c r="N337" s="29"/>
      <c r="O337" s="4"/>
      <c r="P337" s="4"/>
      <c r="Q337" s="4"/>
      <c r="R337" s="17"/>
      <c r="S337" s="17"/>
      <c r="T337" s="17"/>
      <c r="U337" s="17"/>
      <c r="V337" s="17"/>
    </row>
    <row r="338" ht="14.25" customHeight="1">
      <c r="A338" s="13">
        <v>90302.0</v>
      </c>
      <c r="B338" s="13" t="s">
        <v>271</v>
      </c>
      <c r="C338" s="9">
        <v>1553.0</v>
      </c>
      <c r="D338" s="9">
        <v>591.0000143349171</v>
      </c>
      <c r="E338" s="9">
        <v>9602.0</v>
      </c>
      <c r="F338" s="27">
        <f t="shared" si="1"/>
        <v>0.1617371381</v>
      </c>
      <c r="G338" s="27">
        <f t="shared" si="2"/>
        <v>0.3805537761</v>
      </c>
      <c r="H338" s="27">
        <f t="shared" si="3"/>
        <v>0.06154967864</v>
      </c>
      <c r="I338" s="26"/>
      <c r="J338" s="26"/>
      <c r="K338" s="17"/>
      <c r="L338" s="17"/>
      <c r="M338" s="29"/>
      <c r="N338" s="29"/>
      <c r="O338" s="4"/>
      <c r="P338" s="4"/>
      <c r="Q338" s="4"/>
      <c r="R338" s="17"/>
      <c r="S338" s="17"/>
      <c r="T338" s="17"/>
      <c r="U338" s="17"/>
      <c r="V338" s="17"/>
    </row>
    <row r="339" ht="14.25" customHeight="1">
      <c r="A339" s="13">
        <v>90303.0</v>
      </c>
      <c r="B339" s="13" t="s">
        <v>350</v>
      </c>
      <c r="C339" s="9">
        <v>2836.0</v>
      </c>
      <c r="D339" s="9">
        <v>1079.5555831193924</v>
      </c>
      <c r="E339" s="9">
        <v>10247.0</v>
      </c>
      <c r="F339" s="27">
        <f t="shared" si="1"/>
        <v>0.2767639309</v>
      </c>
      <c r="G339" s="27">
        <f t="shared" si="2"/>
        <v>0.3806613481</v>
      </c>
      <c r="H339" s="27">
        <f t="shared" si="3"/>
        <v>0.105353331</v>
      </c>
      <c r="I339" s="26"/>
      <c r="J339" s="26"/>
      <c r="K339" s="17"/>
      <c r="L339" s="17"/>
      <c r="M339" s="29"/>
      <c r="N339" s="29"/>
      <c r="O339" s="4"/>
      <c r="P339" s="4"/>
      <c r="Q339" s="4"/>
      <c r="R339" s="17"/>
      <c r="S339" s="17"/>
      <c r="T339" s="17"/>
      <c r="U339" s="17"/>
      <c r="V339" s="17"/>
    </row>
    <row r="340" ht="14.25" customHeight="1">
      <c r="A340" s="13">
        <v>90401.0</v>
      </c>
      <c r="B340" s="13" t="s">
        <v>291</v>
      </c>
      <c r="C340" s="9">
        <v>304.0</v>
      </c>
      <c r="D340" s="9">
        <v>116.66666972637177</v>
      </c>
      <c r="E340" s="9">
        <v>2827.0</v>
      </c>
      <c r="F340" s="27">
        <f t="shared" si="1"/>
        <v>0.1075344889</v>
      </c>
      <c r="G340" s="27">
        <f t="shared" si="2"/>
        <v>0.3837719399</v>
      </c>
      <c r="H340" s="27">
        <f t="shared" si="3"/>
        <v>0.04126871939</v>
      </c>
      <c r="I340" s="26"/>
      <c r="J340" s="26"/>
      <c r="K340" s="17"/>
      <c r="L340" s="17"/>
      <c r="M340" s="29"/>
      <c r="N340" s="29"/>
      <c r="O340" s="4"/>
      <c r="P340" s="4"/>
      <c r="Q340" s="4"/>
      <c r="R340" s="17"/>
      <c r="S340" s="17"/>
      <c r="T340" s="17"/>
      <c r="U340" s="17"/>
      <c r="V340" s="17"/>
    </row>
    <row r="341" ht="14.25" customHeight="1">
      <c r="A341" s="13">
        <v>90402.0</v>
      </c>
      <c r="B341" s="13" t="s">
        <v>351</v>
      </c>
      <c r="C341" s="9">
        <v>719.0</v>
      </c>
      <c r="D341" s="9">
        <v>267.0000059604645</v>
      </c>
      <c r="E341" s="9">
        <v>2545.0</v>
      </c>
      <c r="F341" s="27">
        <f t="shared" si="1"/>
        <v>0.2825147348</v>
      </c>
      <c r="G341" s="27">
        <f t="shared" si="2"/>
        <v>0.3713491043</v>
      </c>
      <c r="H341" s="27">
        <f t="shared" si="3"/>
        <v>0.1049115937</v>
      </c>
      <c r="I341" s="26"/>
      <c r="J341" s="26"/>
      <c r="K341" s="17"/>
      <c r="L341" s="17"/>
      <c r="M341" s="29"/>
      <c r="N341" s="29"/>
      <c r="O341" s="4"/>
      <c r="P341" s="4"/>
      <c r="Q341" s="4"/>
      <c r="R341" s="17"/>
      <c r="S341" s="17"/>
      <c r="T341" s="17"/>
      <c r="U341" s="17"/>
      <c r="V341" s="17"/>
    </row>
    <row r="342" ht="14.25" customHeight="1">
      <c r="A342" s="13">
        <v>90501.0</v>
      </c>
      <c r="B342" s="13" t="s">
        <v>352</v>
      </c>
      <c r="C342" s="9">
        <v>272.0</v>
      </c>
      <c r="D342" s="9">
        <v>101.00000259280205</v>
      </c>
      <c r="E342" s="9">
        <v>1572.0</v>
      </c>
      <c r="F342" s="27">
        <f t="shared" si="1"/>
        <v>0.1730279898</v>
      </c>
      <c r="G342" s="27">
        <f t="shared" si="2"/>
        <v>0.3713235389</v>
      </c>
      <c r="H342" s="27">
        <f t="shared" si="3"/>
        <v>0.06424936552</v>
      </c>
      <c r="I342" s="26"/>
      <c r="J342" s="26"/>
      <c r="K342" s="17"/>
      <c r="L342" s="17"/>
      <c r="M342" s="29"/>
      <c r="N342" s="29"/>
      <c r="O342" s="4"/>
      <c r="P342" s="4"/>
      <c r="Q342" s="4"/>
      <c r="R342" s="17"/>
      <c r="S342" s="17"/>
      <c r="T342" s="17"/>
      <c r="U342" s="17"/>
      <c r="V342" s="17"/>
    </row>
    <row r="343" ht="14.25" customHeight="1">
      <c r="A343" s="13">
        <v>90502.0</v>
      </c>
      <c r="B343" s="13" t="s">
        <v>353</v>
      </c>
      <c r="C343" s="9">
        <v>387.0</v>
      </c>
      <c r="D343" s="9">
        <v>139.88889238238335</v>
      </c>
      <c r="E343" s="9">
        <v>2485.0</v>
      </c>
      <c r="F343" s="27">
        <f t="shared" si="1"/>
        <v>0.1557344064</v>
      </c>
      <c r="G343" s="27">
        <f t="shared" si="2"/>
        <v>0.3614700062</v>
      </c>
      <c r="H343" s="27">
        <f t="shared" si="3"/>
        <v>0.05629331685</v>
      </c>
      <c r="I343" s="26"/>
      <c r="J343" s="26"/>
      <c r="K343" s="17"/>
      <c r="L343" s="17"/>
      <c r="M343" s="29"/>
      <c r="N343" s="29"/>
      <c r="O343" s="4"/>
      <c r="P343" s="4"/>
      <c r="Q343" s="4"/>
      <c r="R343" s="17"/>
      <c r="S343" s="17"/>
      <c r="T343" s="17"/>
      <c r="U343" s="17"/>
      <c r="V343" s="17"/>
    </row>
    <row r="344" ht="14.25" customHeight="1">
      <c r="A344" s="13">
        <v>90503.0</v>
      </c>
      <c r="B344" s="13" t="s">
        <v>354</v>
      </c>
      <c r="C344" s="9">
        <v>465.0</v>
      </c>
      <c r="D344" s="9">
        <v>179.88889372348785</v>
      </c>
      <c r="E344" s="9">
        <v>2282.0</v>
      </c>
      <c r="F344" s="27">
        <f t="shared" si="1"/>
        <v>0.203768624</v>
      </c>
      <c r="G344" s="27">
        <f t="shared" si="2"/>
        <v>0.386857836</v>
      </c>
      <c r="H344" s="27">
        <f t="shared" si="3"/>
        <v>0.07882948892</v>
      </c>
      <c r="I344" s="26"/>
      <c r="J344" s="26"/>
      <c r="K344" s="17"/>
      <c r="L344" s="17"/>
      <c r="M344" s="29"/>
      <c r="N344" s="29"/>
      <c r="O344" s="4"/>
      <c r="P344" s="4"/>
      <c r="Q344" s="4"/>
      <c r="R344" s="17"/>
      <c r="S344" s="17"/>
      <c r="T344" s="17"/>
      <c r="U344" s="17"/>
      <c r="V344" s="17"/>
    </row>
    <row r="345" ht="14.25" customHeight="1">
      <c r="A345" s="13">
        <v>10.0</v>
      </c>
      <c r="B345" s="13" t="s">
        <v>30</v>
      </c>
      <c r="C345" s="10">
        <f t="shared" ref="C345:E345" si="7">SUM(C246:C248)</f>
        <v>7911</v>
      </c>
      <c r="D345" s="10">
        <f t="shared" si="7"/>
        <v>2960.111187</v>
      </c>
      <c r="E345" s="10">
        <f t="shared" si="7"/>
        <v>154916</v>
      </c>
      <c r="F345" s="27">
        <f t="shared" si="1"/>
        <v>0.05106638436</v>
      </c>
      <c r="G345" s="27">
        <f t="shared" si="2"/>
        <v>0.3741766132</v>
      </c>
      <c r="H345" s="27">
        <f t="shared" si="3"/>
        <v>0.01910784675</v>
      </c>
      <c r="I345" s="26"/>
      <c r="J345" s="26"/>
      <c r="K345" s="17"/>
      <c r="L345" s="17"/>
      <c r="M345" s="29"/>
      <c r="N345" s="29"/>
      <c r="O345" s="4"/>
      <c r="P345" s="4"/>
      <c r="Q345" s="4"/>
      <c r="R345" s="17"/>
      <c r="S345" s="17"/>
      <c r="T345" s="17"/>
      <c r="U345" s="17"/>
      <c r="V345" s="17"/>
    </row>
    <row r="346" ht="14.25" customHeight="1">
      <c r="A346" s="13">
        <v>11.0</v>
      </c>
      <c r="B346" s="13" t="s">
        <v>32</v>
      </c>
      <c r="C346" s="10">
        <f t="shared" ref="C346:E346" si="8">SUM(C2:C344)</f>
        <v>977584</v>
      </c>
      <c r="D346" s="10">
        <f t="shared" si="8"/>
        <v>368902.4537</v>
      </c>
      <c r="E346" s="10">
        <f t="shared" si="8"/>
        <v>11134130</v>
      </c>
      <c r="F346" s="27">
        <f t="shared" si="1"/>
        <v>0.08780066337</v>
      </c>
      <c r="G346" s="27">
        <f t="shared" si="2"/>
        <v>0.3773613866</v>
      </c>
      <c r="H346" s="27">
        <f t="shared" si="3"/>
        <v>0.03313258007</v>
      </c>
      <c r="I346" s="26"/>
      <c r="J346" s="26"/>
      <c r="K346" s="17"/>
      <c r="L346" s="17"/>
      <c r="M346" s="29"/>
      <c r="N346" s="29"/>
      <c r="O346" s="4"/>
      <c r="P346" s="4"/>
      <c r="Q346" s="4"/>
      <c r="R346" s="17"/>
      <c r="S346" s="17"/>
      <c r="T346" s="17"/>
      <c r="U346" s="17"/>
      <c r="V346" s="17"/>
    </row>
    <row r="347" ht="14.25" customHeight="1">
      <c r="C347" s="29"/>
      <c r="D347" s="30"/>
      <c r="E347" s="29"/>
      <c r="F347" s="4"/>
      <c r="G347" s="4"/>
      <c r="H347" s="4"/>
      <c r="I347" s="26"/>
      <c r="J347" s="26"/>
      <c r="K347" s="17"/>
      <c r="L347" s="17"/>
      <c r="M347" s="29"/>
      <c r="N347" s="29"/>
      <c r="O347" s="4"/>
      <c r="P347" s="4"/>
      <c r="Q347" s="4"/>
      <c r="R347" s="17"/>
      <c r="S347" s="17"/>
      <c r="T347" s="17"/>
      <c r="U347" s="17"/>
      <c r="V347" s="17"/>
    </row>
    <row r="348" ht="14.25" customHeight="1">
      <c r="C348" s="29"/>
      <c r="D348" s="30"/>
      <c r="E348" s="29"/>
      <c r="F348" s="4"/>
      <c r="G348" s="4"/>
      <c r="H348" s="4"/>
      <c r="I348" s="26"/>
      <c r="J348" s="26"/>
      <c r="K348" s="17"/>
      <c r="L348" s="17"/>
      <c r="M348" s="29"/>
      <c r="N348" s="29"/>
      <c r="O348" s="4"/>
      <c r="P348" s="4"/>
      <c r="Q348" s="4"/>
      <c r="R348" s="17"/>
      <c r="S348" s="17"/>
      <c r="T348" s="17"/>
      <c r="U348" s="17"/>
      <c r="V348" s="17"/>
    </row>
    <row r="349" ht="14.25" customHeight="1">
      <c r="C349" s="29"/>
      <c r="D349" s="30"/>
      <c r="E349" s="29"/>
      <c r="F349" s="4"/>
      <c r="G349" s="4"/>
      <c r="H349" s="4"/>
      <c r="I349" s="26"/>
      <c r="J349" s="26"/>
      <c r="K349" s="17"/>
      <c r="L349" s="17"/>
      <c r="M349" s="29"/>
      <c r="N349" s="29"/>
      <c r="O349" s="4"/>
      <c r="P349" s="4"/>
      <c r="Q349" s="4"/>
      <c r="R349" s="17"/>
      <c r="S349" s="17"/>
      <c r="T349" s="17"/>
      <c r="U349" s="17"/>
      <c r="V349" s="17"/>
    </row>
    <row r="350" ht="14.25" customHeight="1">
      <c r="C350" s="29"/>
      <c r="D350" s="30"/>
      <c r="E350" s="29"/>
      <c r="F350" s="4"/>
      <c r="G350" s="4"/>
      <c r="H350" s="4"/>
      <c r="I350" s="26"/>
      <c r="J350" s="26"/>
      <c r="K350" s="17"/>
      <c r="L350" s="17"/>
      <c r="M350" s="29"/>
      <c r="N350" s="29"/>
      <c r="O350" s="4"/>
      <c r="P350" s="4"/>
      <c r="Q350" s="4"/>
      <c r="R350" s="17"/>
      <c r="S350" s="17"/>
      <c r="T350" s="17"/>
      <c r="U350" s="17"/>
      <c r="V350" s="17"/>
    </row>
    <row r="351" ht="14.25" customHeight="1">
      <c r="C351" s="29"/>
      <c r="D351" s="30"/>
      <c r="E351" s="29"/>
      <c r="F351" s="4"/>
      <c r="G351" s="4"/>
      <c r="H351" s="4"/>
      <c r="I351" s="26"/>
      <c r="J351" s="26"/>
      <c r="K351" s="17"/>
      <c r="L351" s="17"/>
      <c r="M351" s="29"/>
      <c r="N351" s="29"/>
      <c r="O351" s="4"/>
      <c r="P351" s="4"/>
      <c r="Q351" s="4"/>
      <c r="R351" s="17"/>
      <c r="S351" s="17"/>
      <c r="T351" s="17"/>
      <c r="U351" s="17"/>
      <c r="V351" s="17"/>
    </row>
    <row r="352" ht="14.25" customHeight="1">
      <c r="C352" s="29"/>
      <c r="D352" s="30"/>
      <c r="E352" s="29"/>
      <c r="F352" s="4"/>
      <c r="G352" s="4"/>
      <c r="H352" s="4"/>
      <c r="I352" s="26"/>
      <c r="J352" s="26"/>
      <c r="K352" s="17"/>
      <c r="L352" s="17"/>
      <c r="M352" s="29"/>
      <c r="N352" s="29"/>
      <c r="O352" s="4"/>
      <c r="P352" s="4"/>
      <c r="Q352" s="4"/>
      <c r="R352" s="17"/>
      <c r="S352" s="17"/>
      <c r="T352" s="17"/>
      <c r="U352" s="17"/>
      <c r="V352" s="17"/>
    </row>
    <row r="353" ht="14.25" customHeight="1">
      <c r="C353" s="29"/>
      <c r="D353" s="30"/>
      <c r="E353" s="29"/>
      <c r="F353" s="4"/>
      <c r="G353" s="4"/>
      <c r="H353" s="4"/>
      <c r="I353" s="26"/>
      <c r="J353" s="26"/>
      <c r="K353" s="17"/>
      <c r="L353" s="17"/>
      <c r="M353" s="29"/>
      <c r="N353" s="29"/>
      <c r="O353" s="4"/>
      <c r="P353" s="4"/>
      <c r="Q353" s="4"/>
      <c r="R353" s="17"/>
      <c r="S353" s="17"/>
      <c r="T353" s="17"/>
      <c r="U353" s="17"/>
      <c r="V353" s="17"/>
    </row>
    <row r="354" ht="14.25" customHeight="1">
      <c r="C354" s="29"/>
      <c r="D354" s="30"/>
      <c r="E354" s="29"/>
      <c r="F354" s="4"/>
      <c r="G354" s="4"/>
      <c r="H354" s="4"/>
      <c r="I354" s="26"/>
      <c r="J354" s="26"/>
      <c r="K354" s="17"/>
      <c r="L354" s="17"/>
      <c r="M354" s="29"/>
      <c r="N354" s="29"/>
      <c r="O354" s="4"/>
      <c r="P354" s="4"/>
      <c r="Q354" s="4"/>
      <c r="R354" s="17"/>
      <c r="S354" s="17"/>
      <c r="T354" s="17"/>
      <c r="U354" s="17"/>
      <c r="V354" s="17"/>
    </row>
    <row r="355" ht="14.25" customHeight="1">
      <c r="C355" s="29"/>
      <c r="D355" s="30"/>
      <c r="E355" s="29"/>
      <c r="F355" s="4"/>
      <c r="G355" s="4"/>
      <c r="H355" s="4"/>
      <c r="I355" s="26"/>
      <c r="J355" s="26"/>
      <c r="K355" s="17"/>
      <c r="L355" s="17"/>
      <c r="M355" s="29"/>
      <c r="N355" s="29"/>
      <c r="O355" s="4"/>
      <c r="P355" s="4"/>
      <c r="Q355" s="4"/>
      <c r="R355" s="17"/>
      <c r="S355" s="17"/>
      <c r="T355" s="17"/>
      <c r="U355" s="17"/>
      <c r="V355" s="17"/>
    </row>
    <row r="356" ht="14.25" customHeight="1">
      <c r="C356" s="29"/>
      <c r="D356" s="30"/>
      <c r="E356" s="29"/>
      <c r="F356" s="4"/>
      <c r="G356" s="4"/>
      <c r="H356" s="4"/>
      <c r="I356" s="26"/>
      <c r="J356" s="26"/>
      <c r="K356" s="17"/>
      <c r="L356" s="17"/>
      <c r="M356" s="29"/>
      <c r="N356" s="29"/>
      <c r="O356" s="4"/>
      <c r="P356" s="4"/>
      <c r="Q356" s="4"/>
      <c r="R356" s="17"/>
      <c r="S356" s="17"/>
      <c r="T356" s="17"/>
      <c r="U356" s="17"/>
      <c r="V356" s="17"/>
    </row>
    <row r="357" ht="14.25" customHeight="1">
      <c r="C357" s="29"/>
      <c r="D357" s="30"/>
      <c r="E357" s="29"/>
      <c r="F357" s="4"/>
      <c r="G357" s="4"/>
      <c r="H357" s="4"/>
      <c r="I357" s="26"/>
      <c r="J357" s="26"/>
      <c r="K357" s="17"/>
      <c r="L357" s="17"/>
      <c r="M357" s="29"/>
      <c r="N357" s="29"/>
      <c r="O357" s="4"/>
      <c r="P357" s="4"/>
      <c r="Q357" s="4"/>
      <c r="R357" s="17"/>
      <c r="S357" s="17"/>
      <c r="T357" s="17"/>
      <c r="U357" s="17"/>
      <c r="V357" s="17"/>
    </row>
    <row r="358" ht="14.25" customHeight="1">
      <c r="C358" s="29"/>
      <c r="D358" s="30"/>
      <c r="E358" s="29"/>
      <c r="F358" s="4"/>
      <c r="G358" s="4"/>
      <c r="H358" s="4"/>
      <c r="I358" s="26"/>
      <c r="J358" s="26"/>
      <c r="K358" s="17"/>
      <c r="L358" s="17"/>
      <c r="M358" s="29"/>
      <c r="N358" s="29"/>
      <c r="O358" s="4"/>
      <c r="P358" s="4"/>
      <c r="Q358" s="4"/>
      <c r="R358" s="17"/>
      <c r="S358" s="17"/>
      <c r="T358" s="17"/>
      <c r="U358" s="17"/>
      <c r="V358" s="17"/>
    </row>
    <row r="359" ht="14.25" customHeight="1">
      <c r="C359" s="29"/>
      <c r="D359" s="30"/>
      <c r="E359" s="29"/>
      <c r="F359" s="4"/>
      <c r="G359" s="4"/>
      <c r="H359" s="4"/>
      <c r="I359" s="26"/>
      <c r="J359" s="26"/>
      <c r="K359" s="17"/>
      <c r="L359" s="17"/>
      <c r="M359" s="29"/>
      <c r="N359" s="29"/>
      <c r="O359" s="4"/>
      <c r="P359" s="4"/>
      <c r="Q359" s="4"/>
      <c r="R359" s="17"/>
      <c r="S359" s="17"/>
      <c r="T359" s="17"/>
      <c r="U359" s="17"/>
      <c r="V359" s="17"/>
    </row>
    <row r="360" ht="14.25" customHeight="1">
      <c r="C360" s="29"/>
      <c r="D360" s="30"/>
      <c r="E360" s="29"/>
      <c r="F360" s="4"/>
      <c r="G360" s="4"/>
      <c r="H360" s="4"/>
      <c r="I360" s="26"/>
      <c r="J360" s="26"/>
      <c r="K360" s="17"/>
      <c r="L360" s="17"/>
      <c r="M360" s="29"/>
      <c r="N360" s="29"/>
      <c r="O360" s="4"/>
      <c r="P360" s="4"/>
      <c r="Q360" s="4"/>
      <c r="R360" s="17"/>
      <c r="S360" s="17"/>
      <c r="T360" s="17"/>
      <c r="U360" s="17"/>
      <c r="V360" s="17"/>
    </row>
    <row r="361" ht="14.25" customHeight="1">
      <c r="C361" s="29"/>
      <c r="D361" s="30"/>
      <c r="E361" s="29"/>
      <c r="F361" s="4"/>
      <c r="G361" s="4"/>
      <c r="H361" s="4"/>
      <c r="I361" s="26"/>
      <c r="J361" s="26"/>
      <c r="K361" s="17"/>
      <c r="L361" s="17"/>
      <c r="M361" s="29"/>
      <c r="N361" s="29"/>
      <c r="O361" s="4"/>
      <c r="P361" s="4"/>
      <c r="Q361" s="4"/>
      <c r="R361" s="17"/>
      <c r="S361" s="17"/>
      <c r="T361" s="17"/>
      <c r="U361" s="17"/>
      <c r="V361" s="17"/>
    </row>
    <row r="362" ht="14.25" customHeight="1">
      <c r="C362" s="29"/>
      <c r="D362" s="30"/>
      <c r="E362" s="29"/>
      <c r="F362" s="4"/>
      <c r="G362" s="4"/>
      <c r="H362" s="4"/>
      <c r="I362" s="26"/>
      <c r="J362" s="26"/>
      <c r="K362" s="17"/>
      <c r="L362" s="17"/>
      <c r="M362" s="29"/>
      <c r="N362" s="29"/>
      <c r="O362" s="4"/>
      <c r="P362" s="4"/>
      <c r="Q362" s="4"/>
      <c r="R362" s="17"/>
      <c r="S362" s="17"/>
      <c r="T362" s="17"/>
      <c r="U362" s="17"/>
      <c r="V362" s="17"/>
    </row>
    <row r="363" ht="14.25" customHeight="1">
      <c r="C363" s="29"/>
      <c r="D363" s="30"/>
      <c r="E363" s="29"/>
      <c r="F363" s="4"/>
      <c r="G363" s="4"/>
      <c r="H363" s="4"/>
      <c r="I363" s="26"/>
      <c r="J363" s="26"/>
      <c r="K363" s="17"/>
      <c r="L363" s="17"/>
      <c r="M363" s="29"/>
      <c r="N363" s="29"/>
      <c r="O363" s="4"/>
      <c r="P363" s="4"/>
      <c r="Q363" s="4"/>
      <c r="R363" s="17"/>
      <c r="S363" s="17"/>
      <c r="T363" s="17"/>
      <c r="U363" s="17"/>
      <c r="V363" s="17"/>
    </row>
    <row r="364" ht="14.25" customHeight="1">
      <c r="C364" s="29"/>
      <c r="D364" s="30"/>
      <c r="E364" s="29"/>
      <c r="F364" s="4"/>
      <c r="G364" s="4"/>
      <c r="H364" s="4"/>
      <c r="I364" s="26"/>
      <c r="J364" s="26"/>
      <c r="K364" s="17"/>
      <c r="L364" s="17"/>
      <c r="M364" s="29"/>
      <c r="N364" s="29"/>
      <c r="O364" s="4"/>
      <c r="P364" s="4"/>
      <c r="Q364" s="4"/>
      <c r="R364" s="17"/>
      <c r="S364" s="17"/>
      <c r="T364" s="17"/>
      <c r="U364" s="17"/>
      <c r="V364" s="17"/>
    </row>
    <row r="365" ht="14.25" customHeight="1">
      <c r="C365" s="29"/>
      <c r="D365" s="30"/>
      <c r="E365" s="29"/>
      <c r="F365" s="4"/>
      <c r="G365" s="4"/>
      <c r="H365" s="4"/>
      <c r="I365" s="26"/>
      <c r="J365" s="26"/>
      <c r="K365" s="17"/>
      <c r="L365" s="17"/>
      <c r="M365" s="29"/>
      <c r="N365" s="29"/>
      <c r="O365" s="4"/>
      <c r="P365" s="4"/>
      <c r="Q365" s="4"/>
      <c r="R365" s="17"/>
      <c r="S365" s="17"/>
      <c r="T365" s="17"/>
      <c r="U365" s="17"/>
      <c r="V365" s="17"/>
    </row>
    <row r="366" ht="14.25" customHeight="1">
      <c r="C366" s="29"/>
      <c r="D366" s="30"/>
      <c r="E366" s="29"/>
      <c r="F366" s="4"/>
      <c r="G366" s="4"/>
      <c r="H366" s="4"/>
      <c r="I366" s="26"/>
      <c r="J366" s="26"/>
      <c r="K366" s="17"/>
      <c r="L366" s="17"/>
      <c r="M366" s="29"/>
      <c r="N366" s="29"/>
      <c r="O366" s="4"/>
      <c r="P366" s="4"/>
      <c r="Q366" s="4"/>
      <c r="R366" s="17"/>
      <c r="S366" s="17"/>
      <c r="T366" s="17"/>
      <c r="U366" s="17"/>
      <c r="V366" s="17"/>
    </row>
    <row r="367" ht="14.25" customHeight="1">
      <c r="C367" s="29"/>
      <c r="D367" s="30"/>
      <c r="E367" s="29"/>
      <c r="F367" s="4"/>
      <c r="G367" s="4"/>
      <c r="H367" s="4"/>
      <c r="I367" s="26"/>
      <c r="J367" s="26"/>
      <c r="K367" s="17"/>
      <c r="L367" s="17"/>
      <c r="M367" s="29"/>
      <c r="N367" s="29"/>
      <c r="O367" s="4"/>
      <c r="P367" s="4"/>
      <c r="Q367" s="4"/>
      <c r="R367" s="17"/>
      <c r="S367" s="17"/>
      <c r="T367" s="17"/>
      <c r="U367" s="17"/>
      <c r="V367" s="17"/>
    </row>
    <row r="368" ht="14.25" customHeight="1">
      <c r="C368" s="29"/>
      <c r="D368" s="30"/>
      <c r="E368" s="29"/>
      <c r="F368" s="4"/>
      <c r="G368" s="4"/>
      <c r="H368" s="4"/>
      <c r="I368" s="26"/>
      <c r="J368" s="26"/>
      <c r="K368" s="17"/>
      <c r="L368" s="17"/>
      <c r="M368" s="29"/>
      <c r="N368" s="29"/>
      <c r="O368" s="4"/>
      <c r="P368" s="4"/>
      <c r="Q368" s="4"/>
      <c r="R368" s="17"/>
      <c r="S368" s="17"/>
      <c r="T368" s="17"/>
      <c r="U368" s="17"/>
      <c r="V368" s="17"/>
    </row>
    <row r="369" ht="14.25" customHeight="1">
      <c r="C369" s="29"/>
      <c r="D369" s="30"/>
      <c r="E369" s="29"/>
      <c r="F369" s="4"/>
      <c r="G369" s="4"/>
      <c r="H369" s="4"/>
      <c r="I369" s="26"/>
      <c r="J369" s="26"/>
      <c r="K369" s="17"/>
      <c r="L369" s="17"/>
      <c r="M369" s="29"/>
      <c r="N369" s="29"/>
      <c r="O369" s="4"/>
      <c r="P369" s="4"/>
      <c r="Q369" s="4"/>
      <c r="R369" s="17"/>
      <c r="S369" s="17"/>
      <c r="T369" s="17"/>
      <c r="U369" s="17"/>
      <c r="V369" s="17"/>
    </row>
    <row r="370" ht="14.25" customHeight="1">
      <c r="C370" s="29"/>
      <c r="D370" s="30"/>
      <c r="E370" s="29"/>
      <c r="F370" s="4"/>
      <c r="G370" s="4"/>
      <c r="H370" s="4"/>
      <c r="I370" s="26"/>
      <c r="J370" s="26"/>
      <c r="K370" s="17"/>
      <c r="L370" s="17"/>
      <c r="M370" s="29"/>
      <c r="N370" s="29"/>
      <c r="O370" s="4"/>
      <c r="P370" s="4"/>
      <c r="Q370" s="4"/>
      <c r="R370" s="17"/>
      <c r="S370" s="17"/>
      <c r="T370" s="17"/>
      <c r="U370" s="17"/>
      <c r="V370" s="17"/>
    </row>
    <row r="371" ht="14.25" customHeight="1">
      <c r="C371" s="29"/>
      <c r="D371" s="30"/>
      <c r="E371" s="29"/>
      <c r="F371" s="4"/>
      <c r="G371" s="4"/>
      <c r="H371" s="4"/>
      <c r="I371" s="26"/>
      <c r="J371" s="26"/>
      <c r="K371" s="17"/>
      <c r="L371" s="17"/>
      <c r="M371" s="29"/>
      <c r="N371" s="29"/>
      <c r="O371" s="4"/>
      <c r="P371" s="4"/>
      <c r="Q371" s="4"/>
      <c r="R371" s="17"/>
      <c r="S371" s="17"/>
      <c r="T371" s="17"/>
      <c r="U371" s="17"/>
      <c r="V371" s="17"/>
    </row>
    <row r="372" ht="14.25" customHeight="1">
      <c r="C372" s="29"/>
      <c r="D372" s="30"/>
      <c r="E372" s="29"/>
      <c r="F372" s="4"/>
      <c r="G372" s="4"/>
      <c r="H372" s="4"/>
      <c r="I372" s="26"/>
      <c r="J372" s="26"/>
      <c r="K372" s="17"/>
      <c r="L372" s="17"/>
      <c r="M372" s="29"/>
      <c r="N372" s="29"/>
      <c r="O372" s="4"/>
      <c r="P372" s="4"/>
      <c r="Q372" s="4"/>
      <c r="R372" s="17"/>
      <c r="S372" s="17"/>
      <c r="T372" s="17"/>
      <c r="U372" s="17"/>
      <c r="V372" s="17"/>
    </row>
    <row r="373" ht="14.25" customHeight="1">
      <c r="C373" s="29"/>
      <c r="D373" s="30"/>
      <c r="E373" s="29"/>
      <c r="F373" s="4"/>
      <c r="G373" s="4"/>
      <c r="H373" s="4"/>
      <c r="I373" s="26"/>
      <c r="J373" s="26"/>
      <c r="K373" s="17"/>
      <c r="L373" s="17"/>
      <c r="M373" s="29"/>
      <c r="N373" s="29"/>
      <c r="O373" s="4"/>
      <c r="P373" s="4"/>
      <c r="Q373" s="4"/>
      <c r="R373" s="17"/>
      <c r="S373" s="17"/>
      <c r="T373" s="17"/>
      <c r="U373" s="17"/>
      <c r="V373" s="17"/>
    </row>
    <row r="374" ht="14.25" customHeight="1">
      <c r="C374" s="29"/>
      <c r="D374" s="30"/>
      <c r="E374" s="29"/>
      <c r="F374" s="4"/>
      <c r="G374" s="4"/>
      <c r="H374" s="4"/>
      <c r="I374" s="26"/>
      <c r="J374" s="26"/>
      <c r="K374" s="17"/>
      <c r="L374" s="17"/>
      <c r="M374" s="29"/>
      <c r="N374" s="29"/>
      <c r="O374" s="4"/>
      <c r="P374" s="4"/>
      <c r="Q374" s="4"/>
      <c r="R374" s="17"/>
      <c r="S374" s="17"/>
      <c r="T374" s="17"/>
      <c r="U374" s="17"/>
      <c r="V374" s="17"/>
    </row>
    <row r="375" ht="14.25" customHeight="1">
      <c r="C375" s="29"/>
      <c r="D375" s="30"/>
      <c r="E375" s="29"/>
      <c r="F375" s="4"/>
      <c r="G375" s="4"/>
      <c r="H375" s="4"/>
      <c r="I375" s="26"/>
      <c r="J375" s="26"/>
      <c r="K375" s="17"/>
      <c r="L375" s="17"/>
      <c r="M375" s="29"/>
      <c r="N375" s="29"/>
      <c r="O375" s="4"/>
      <c r="P375" s="4"/>
      <c r="Q375" s="4"/>
      <c r="R375" s="17"/>
      <c r="S375" s="17"/>
      <c r="T375" s="17"/>
      <c r="U375" s="17"/>
      <c r="V375" s="17"/>
    </row>
    <row r="376" ht="14.25" customHeight="1">
      <c r="C376" s="29"/>
      <c r="D376" s="30"/>
      <c r="E376" s="29"/>
      <c r="F376" s="4"/>
      <c r="G376" s="4"/>
      <c r="H376" s="4"/>
      <c r="I376" s="26"/>
      <c r="J376" s="26"/>
      <c r="K376" s="17"/>
      <c r="L376" s="17"/>
      <c r="M376" s="29"/>
      <c r="N376" s="29"/>
      <c r="O376" s="4"/>
      <c r="P376" s="4"/>
      <c r="Q376" s="4"/>
      <c r="R376" s="17"/>
      <c r="S376" s="17"/>
      <c r="T376" s="17"/>
      <c r="U376" s="17"/>
      <c r="V376" s="17"/>
    </row>
    <row r="377" ht="14.25" customHeight="1">
      <c r="C377" s="29"/>
      <c r="D377" s="30"/>
      <c r="E377" s="29"/>
      <c r="F377" s="4"/>
      <c r="G377" s="4"/>
      <c r="H377" s="4"/>
      <c r="I377" s="26"/>
      <c r="J377" s="26"/>
      <c r="K377" s="17"/>
      <c r="L377" s="17"/>
      <c r="M377" s="29"/>
      <c r="N377" s="29"/>
      <c r="O377" s="4"/>
      <c r="P377" s="4"/>
      <c r="Q377" s="4"/>
      <c r="R377" s="17"/>
      <c r="S377" s="17"/>
      <c r="T377" s="17"/>
      <c r="U377" s="17"/>
      <c r="V377" s="17"/>
    </row>
    <row r="378" ht="14.25" customHeight="1">
      <c r="C378" s="29"/>
      <c r="D378" s="30"/>
      <c r="E378" s="29"/>
      <c r="F378" s="4"/>
      <c r="G378" s="4"/>
      <c r="H378" s="4"/>
      <c r="I378" s="26"/>
      <c r="J378" s="26"/>
      <c r="K378" s="17"/>
      <c r="L378" s="17"/>
      <c r="M378" s="29"/>
      <c r="N378" s="29"/>
      <c r="O378" s="4"/>
      <c r="P378" s="4"/>
      <c r="Q378" s="4"/>
      <c r="R378" s="17"/>
      <c r="S378" s="17"/>
      <c r="T378" s="17"/>
      <c r="U378" s="17"/>
      <c r="V378" s="17"/>
    </row>
    <row r="379" ht="14.25" customHeight="1">
      <c r="C379" s="29"/>
      <c r="D379" s="30"/>
      <c r="E379" s="29"/>
      <c r="F379" s="4"/>
      <c r="G379" s="4"/>
      <c r="H379" s="4"/>
      <c r="I379" s="26"/>
      <c r="J379" s="26"/>
      <c r="K379" s="17"/>
      <c r="L379" s="17"/>
      <c r="M379" s="29"/>
      <c r="N379" s="29"/>
      <c r="O379" s="4"/>
      <c r="P379" s="4"/>
      <c r="Q379" s="4"/>
      <c r="R379" s="17"/>
      <c r="S379" s="17"/>
      <c r="T379" s="17"/>
      <c r="U379" s="17"/>
      <c r="V379" s="17"/>
    </row>
    <row r="380" ht="14.25" customHeight="1">
      <c r="C380" s="29"/>
      <c r="D380" s="30"/>
      <c r="E380" s="29"/>
      <c r="F380" s="4"/>
      <c r="G380" s="4"/>
      <c r="H380" s="4"/>
      <c r="I380" s="26"/>
      <c r="J380" s="26"/>
      <c r="K380" s="17"/>
      <c r="L380" s="17"/>
      <c r="M380" s="29"/>
      <c r="N380" s="29"/>
      <c r="O380" s="4"/>
      <c r="P380" s="4"/>
      <c r="Q380" s="4"/>
      <c r="R380" s="17"/>
      <c r="S380" s="17"/>
      <c r="T380" s="17"/>
      <c r="U380" s="17"/>
      <c r="V380" s="17"/>
    </row>
    <row r="381" ht="14.25" customHeight="1">
      <c r="C381" s="29"/>
      <c r="D381" s="30"/>
      <c r="E381" s="29"/>
      <c r="F381" s="4"/>
      <c r="G381" s="4"/>
      <c r="H381" s="4"/>
      <c r="I381" s="26"/>
      <c r="J381" s="26"/>
      <c r="K381" s="17"/>
      <c r="L381" s="17"/>
      <c r="M381" s="29"/>
      <c r="N381" s="29"/>
      <c r="O381" s="4"/>
      <c r="P381" s="4"/>
      <c r="Q381" s="4"/>
      <c r="R381" s="17"/>
      <c r="S381" s="17"/>
      <c r="T381" s="17"/>
      <c r="U381" s="17"/>
      <c r="V381" s="17"/>
    </row>
    <row r="382" ht="14.25" customHeight="1">
      <c r="C382" s="29"/>
      <c r="D382" s="30"/>
      <c r="E382" s="29"/>
      <c r="F382" s="4"/>
      <c r="G382" s="4"/>
      <c r="H382" s="4"/>
      <c r="I382" s="26"/>
      <c r="J382" s="26"/>
      <c r="K382" s="17"/>
      <c r="L382" s="17"/>
      <c r="M382" s="29"/>
      <c r="N382" s="29"/>
      <c r="O382" s="4"/>
      <c r="P382" s="4"/>
      <c r="Q382" s="4"/>
      <c r="R382" s="17"/>
      <c r="S382" s="17"/>
      <c r="T382" s="17"/>
      <c r="U382" s="17"/>
      <c r="V382" s="17"/>
    </row>
    <row r="383" ht="14.25" customHeight="1">
      <c r="C383" s="29"/>
      <c r="D383" s="30"/>
      <c r="E383" s="29"/>
      <c r="F383" s="4"/>
      <c r="G383" s="4"/>
      <c r="H383" s="4"/>
      <c r="I383" s="26"/>
      <c r="J383" s="26"/>
      <c r="K383" s="17"/>
      <c r="L383" s="17"/>
      <c r="M383" s="29"/>
      <c r="N383" s="29"/>
      <c r="O383" s="4"/>
      <c r="P383" s="4"/>
      <c r="Q383" s="4"/>
      <c r="R383" s="17"/>
      <c r="S383" s="17"/>
      <c r="T383" s="17"/>
      <c r="U383" s="17"/>
      <c r="V383" s="17"/>
    </row>
    <row r="384" ht="14.25" customHeight="1">
      <c r="C384" s="29"/>
      <c r="D384" s="30"/>
      <c r="E384" s="29"/>
      <c r="F384" s="4"/>
      <c r="G384" s="4"/>
      <c r="H384" s="4"/>
      <c r="I384" s="26"/>
      <c r="J384" s="26"/>
      <c r="K384" s="17"/>
      <c r="L384" s="17"/>
      <c r="M384" s="29"/>
      <c r="N384" s="29"/>
      <c r="O384" s="4"/>
      <c r="P384" s="4"/>
      <c r="Q384" s="4"/>
      <c r="R384" s="17"/>
      <c r="S384" s="17"/>
      <c r="T384" s="17"/>
      <c r="U384" s="17"/>
      <c r="V384" s="17"/>
    </row>
    <row r="385" ht="14.25" customHeight="1">
      <c r="C385" s="29"/>
      <c r="D385" s="30"/>
      <c r="E385" s="29"/>
      <c r="F385" s="4"/>
      <c r="G385" s="4"/>
      <c r="H385" s="4"/>
      <c r="I385" s="26"/>
      <c r="J385" s="26"/>
      <c r="K385" s="17"/>
      <c r="L385" s="17"/>
      <c r="M385" s="29"/>
      <c r="N385" s="29"/>
      <c r="O385" s="4"/>
      <c r="P385" s="4"/>
      <c r="Q385" s="4"/>
      <c r="R385" s="17"/>
      <c r="S385" s="17"/>
      <c r="T385" s="17"/>
      <c r="U385" s="17"/>
      <c r="V385" s="17"/>
    </row>
    <row r="386" ht="14.25" customHeight="1">
      <c r="C386" s="29"/>
      <c r="D386" s="30"/>
      <c r="E386" s="29"/>
      <c r="F386" s="4"/>
      <c r="G386" s="4"/>
      <c r="H386" s="4"/>
      <c r="I386" s="26"/>
      <c r="J386" s="26"/>
      <c r="K386" s="17"/>
      <c r="L386" s="17"/>
      <c r="M386" s="29"/>
      <c r="N386" s="29"/>
      <c r="O386" s="4"/>
      <c r="P386" s="4"/>
      <c r="Q386" s="4"/>
      <c r="R386" s="17"/>
      <c r="S386" s="17"/>
      <c r="T386" s="17"/>
      <c r="U386" s="17"/>
      <c r="V386" s="17"/>
    </row>
    <row r="387" ht="14.25" customHeight="1">
      <c r="C387" s="29"/>
      <c r="D387" s="30"/>
      <c r="E387" s="29"/>
      <c r="F387" s="4"/>
      <c r="G387" s="4"/>
      <c r="H387" s="4"/>
      <c r="I387" s="26"/>
      <c r="J387" s="26"/>
      <c r="K387" s="17"/>
      <c r="L387" s="17"/>
      <c r="M387" s="29"/>
      <c r="N387" s="29"/>
      <c r="O387" s="4"/>
      <c r="P387" s="4"/>
      <c r="Q387" s="4"/>
      <c r="R387" s="17"/>
      <c r="S387" s="17"/>
      <c r="T387" s="17"/>
      <c r="U387" s="17"/>
      <c r="V387" s="17"/>
    </row>
    <row r="388" ht="14.25" customHeight="1">
      <c r="C388" s="29"/>
      <c r="D388" s="30"/>
      <c r="E388" s="29"/>
      <c r="F388" s="4"/>
      <c r="G388" s="4"/>
      <c r="H388" s="4"/>
      <c r="I388" s="26"/>
      <c r="J388" s="26"/>
      <c r="K388" s="17"/>
      <c r="L388" s="17"/>
      <c r="M388" s="29"/>
      <c r="N388" s="29"/>
      <c r="O388" s="4"/>
      <c r="P388" s="4"/>
      <c r="Q388" s="4"/>
      <c r="R388" s="17"/>
      <c r="S388" s="17"/>
      <c r="T388" s="17"/>
      <c r="U388" s="17"/>
      <c r="V388" s="17"/>
    </row>
    <row r="389" ht="14.25" customHeight="1">
      <c r="C389" s="29"/>
      <c r="D389" s="30"/>
      <c r="E389" s="29"/>
      <c r="F389" s="4"/>
      <c r="G389" s="4"/>
      <c r="H389" s="4"/>
      <c r="I389" s="26"/>
      <c r="J389" s="26"/>
      <c r="K389" s="17"/>
      <c r="L389" s="17"/>
      <c r="M389" s="29"/>
      <c r="N389" s="29"/>
      <c r="O389" s="4"/>
      <c r="P389" s="4"/>
      <c r="Q389" s="4"/>
      <c r="R389" s="17"/>
      <c r="S389" s="17"/>
      <c r="T389" s="17"/>
      <c r="U389" s="17"/>
      <c r="V389" s="17"/>
    </row>
    <row r="390" ht="14.25" customHeight="1">
      <c r="C390" s="29"/>
      <c r="D390" s="30"/>
      <c r="E390" s="29"/>
      <c r="F390" s="4"/>
      <c r="G390" s="4"/>
      <c r="H390" s="4"/>
      <c r="I390" s="26"/>
      <c r="J390" s="26"/>
      <c r="K390" s="17"/>
      <c r="L390" s="17"/>
      <c r="M390" s="29"/>
      <c r="N390" s="29"/>
      <c r="O390" s="4"/>
      <c r="P390" s="4"/>
      <c r="Q390" s="4"/>
      <c r="R390" s="17"/>
      <c r="S390" s="17"/>
      <c r="T390" s="17"/>
      <c r="U390" s="17"/>
      <c r="V390" s="17"/>
    </row>
    <row r="391" ht="14.25" customHeight="1">
      <c r="C391" s="29"/>
      <c r="D391" s="30"/>
      <c r="E391" s="29"/>
      <c r="F391" s="4"/>
      <c r="G391" s="4"/>
      <c r="H391" s="4"/>
      <c r="I391" s="26"/>
      <c r="J391" s="26"/>
      <c r="K391" s="17"/>
      <c r="L391" s="17"/>
      <c r="M391" s="29"/>
      <c r="N391" s="29"/>
      <c r="O391" s="4"/>
      <c r="P391" s="4"/>
      <c r="Q391" s="4"/>
      <c r="R391" s="17"/>
      <c r="S391" s="17"/>
      <c r="T391" s="17"/>
      <c r="U391" s="17"/>
      <c r="V391" s="17"/>
    </row>
    <row r="392" ht="14.25" customHeight="1">
      <c r="C392" s="29"/>
      <c r="D392" s="30"/>
      <c r="E392" s="29"/>
      <c r="F392" s="4"/>
      <c r="G392" s="4"/>
      <c r="H392" s="4"/>
      <c r="I392" s="26"/>
      <c r="J392" s="26"/>
      <c r="K392" s="17"/>
      <c r="L392" s="17"/>
      <c r="M392" s="29"/>
      <c r="N392" s="29"/>
      <c r="O392" s="4"/>
      <c r="P392" s="4"/>
      <c r="Q392" s="4"/>
      <c r="R392" s="17"/>
      <c r="S392" s="17"/>
      <c r="T392" s="17"/>
      <c r="U392" s="17"/>
      <c r="V392" s="17"/>
    </row>
    <row r="393" ht="14.25" customHeight="1">
      <c r="C393" s="29"/>
      <c r="D393" s="30"/>
      <c r="E393" s="29"/>
      <c r="F393" s="4"/>
      <c r="G393" s="4"/>
      <c r="H393" s="4"/>
      <c r="I393" s="26"/>
      <c r="J393" s="26"/>
      <c r="K393" s="17"/>
      <c r="L393" s="17"/>
      <c r="M393" s="29"/>
      <c r="N393" s="29"/>
      <c r="O393" s="4"/>
      <c r="P393" s="4"/>
      <c r="Q393" s="4"/>
      <c r="R393" s="17"/>
      <c r="S393" s="17"/>
      <c r="T393" s="17"/>
      <c r="U393" s="17"/>
      <c r="V393" s="17"/>
    </row>
    <row r="394" ht="14.25" customHeight="1">
      <c r="C394" s="29"/>
      <c r="D394" s="30"/>
      <c r="E394" s="29"/>
      <c r="F394" s="4"/>
      <c r="G394" s="4"/>
      <c r="H394" s="4"/>
      <c r="I394" s="26"/>
      <c r="J394" s="26"/>
      <c r="K394" s="17"/>
      <c r="L394" s="17"/>
      <c r="M394" s="29"/>
      <c r="N394" s="29"/>
      <c r="O394" s="4"/>
      <c r="P394" s="4"/>
      <c r="Q394" s="4"/>
      <c r="R394" s="17"/>
      <c r="S394" s="17"/>
      <c r="T394" s="17"/>
      <c r="U394" s="17"/>
      <c r="V394" s="17"/>
    </row>
    <row r="395" ht="14.25" customHeight="1">
      <c r="C395" s="29"/>
      <c r="D395" s="30"/>
      <c r="E395" s="29"/>
      <c r="F395" s="4"/>
      <c r="G395" s="4"/>
      <c r="H395" s="4"/>
      <c r="I395" s="26"/>
      <c r="J395" s="26"/>
      <c r="K395" s="17"/>
      <c r="L395" s="17"/>
      <c r="M395" s="29"/>
      <c r="N395" s="29"/>
      <c r="O395" s="4"/>
      <c r="P395" s="4"/>
      <c r="Q395" s="4"/>
      <c r="R395" s="17"/>
      <c r="S395" s="17"/>
      <c r="T395" s="17"/>
      <c r="U395" s="17"/>
      <c r="V395" s="17"/>
    </row>
    <row r="396" ht="14.25" customHeight="1">
      <c r="C396" s="29"/>
      <c r="D396" s="30"/>
      <c r="E396" s="29"/>
      <c r="F396" s="4"/>
      <c r="G396" s="4"/>
      <c r="H396" s="4"/>
      <c r="I396" s="26"/>
      <c r="J396" s="26"/>
      <c r="K396" s="17"/>
      <c r="L396" s="17"/>
      <c r="M396" s="29"/>
      <c r="N396" s="29"/>
      <c r="O396" s="4"/>
      <c r="P396" s="4"/>
      <c r="Q396" s="4"/>
      <c r="R396" s="17"/>
      <c r="S396" s="17"/>
      <c r="T396" s="17"/>
      <c r="U396" s="17"/>
      <c r="V396" s="17"/>
    </row>
    <row r="397" ht="14.25" customHeight="1">
      <c r="C397" s="29"/>
      <c r="D397" s="30"/>
      <c r="E397" s="29"/>
      <c r="F397" s="4"/>
      <c r="G397" s="4"/>
      <c r="H397" s="4"/>
      <c r="I397" s="26"/>
      <c r="J397" s="26"/>
      <c r="K397" s="17"/>
      <c r="L397" s="17"/>
      <c r="M397" s="29"/>
      <c r="N397" s="29"/>
      <c r="O397" s="4"/>
      <c r="P397" s="4"/>
      <c r="Q397" s="4"/>
      <c r="R397" s="17"/>
      <c r="S397" s="17"/>
      <c r="T397" s="17"/>
      <c r="U397" s="17"/>
      <c r="V397" s="17"/>
    </row>
    <row r="398" ht="14.25" customHeight="1">
      <c r="C398" s="29"/>
      <c r="D398" s="30"/>
      <c r="E398" s="29"/>
      <c r="F398" s="4"/>
      <c r="G398" s="4"/>
      <c r="H398" s="4"/>
      <c r="I398" s="26"/>
      <c r="J398" s="26"/>
      <c r="K398" s="17"/>
      <c r="L398" s="17"/>
      <c r="M398" s="29"/>
      <c r="N398" s="29"/>
      <c r="O398" s="4"/>
      <c r="P398" s="4"/>
      <c r="Q398" s="4"/>
      <c r="R398" s="17"/>
      <c r="S398" s="17"/>
      <c r="T398" s="17"/>
      <c r="U398" s="17"/>
      <c r="V398" s="17"/>
    </row>
    <row r="399" ht="14.25" customHeight="1">
      <c r="C399" s="29"/>
      <c r="D399" s="30"/>
      <c r="E399" s="29"/>
      <c r="F399" s="4"/>
      <c r="G399" s="4"/>
      <c r="H399" s="4"/>
      <c r="I399" s="26"/>
      <c r="J399" s="26"/>
      <c r="K399" s="17"/>
      <c r="L399" s="17"/>
      <c r="M399" s="29"/>
      <c r="N399" s="29"/>
      <c r="O399" s="4"/>
      <c r="P399" s="4"/>
      <c r="Q399" s="4"/>
      <c r="R399" s="17"/>
      <c r="S399" s="17"/>
      <c r="T399" s="17"/>
      <c r="U399" s="17"/>
      <c r="V399" s="17"/>
    </row>
    <row r="400" ht="14.25" customHeight="1">
      <c r="C400" s="29"/>
      <c r="D400" s="30"/>
      <c r="E400" s="29"/>
      <c r="F400" s="4"/>
      <c r="G400" s="4"/>
      <c r="H400" s="4"/>
      <c r="I400" s="26"/>
      <c r="J400" s="26"/>
      <c r="K400" s="17"/>
      <c r="L400" s="17"/>
      <c r="M400" s="29"/>
      <c r="N400" s="29"/>
      <c r="O400" s="4"/>
      <c r="P400" s="4"/>
      <c r="Q400" s="4"/>
      <c r="R400" s="17"/>
      <c r="S400" s="17"/>
      <c r="T400" s="17"/>
      <c r="U400" s="17"/>
      <c r="V400" s="17"/>
    </row>
    <row r="401" ht="14.25" customHeight="1">
      <c r="C401" s="29"/>
      <c r="D401" s="30"/>
      <c r="E401" s="29"/>
      <c r="F401" s="4"/>
      <c r="G401" s="4"/>
      <c r="H401" s="4"/>
      <c r="I401" s="26"/>
      <c r="J401" s="26"/>
      <c r="K401" s="17"/>
      <c r="L401" s="17"/>
      <c r="M401" s="29"/>
      <c r="N401" s="29"/>
      <c r="O401" s="4"/>
      <c r="P401" s="4"/>
      <c r="Q401" s="4"/>
      <c r="R401" s="17"/>
      <c r="S401" s="17"/>
      <c r="T401" s="17"/>
      <c r="U401" s="17"/>
      <c r="V401" s="17"/>
    </row>
    <row r="402" ht="14.25" customHeight="1">
      <c r="C402" s="29"/>
      <c r="D402" s="30"/>
      <c r="E402" s="29"/>
      <c r="F402" s="4"/>
      <c r="G402" s="4"/>
      <c r="H402" s="4"/>
      <c r="I402" s="26"/>
      <c r="J402" s="26"/>
      <c r="K402" s="17"/>
      <c r="L402" s="17"/>
      <c r="M402" s="29"/>
      <c r="N402" s="29"/>
      <c r="O402" s="4"/>
      <c r="P402" s="4"/>
      <c r="Q402" s="4"/>
      <c r="R402" s="17"/>
      <c r="S402" s="17"/>
      <c r="T402" s="17"/>
      <c r="U402" s="17"/>
      <c r="V402" s="17"/>
    </row>
    <row r="403" ht="14.25" customHeight="1">
      <c r="C403" s="29"/>
      <c r="D403" s="30"/>
      <c r="E403" s="29"/>
      <c r="F403" s="4"/>
      <c r="G403" s="4"/>
      <c r="H403" s="4"/>
      <c r="I403" s="26"/>
      <c r="J403" s="26"/>
      <c r="K403" s="17"/>
      <c r="L403" s="17"/>
      <c r="M403" s="29"/>
      <c r="N403" s="29"/>
      <c r="O403" s="4"/>
      <c r="P403" s="4"/>
      <c r="Q403" s="4"/>
      <c r="R403" s="17"/>
      <c r="S403" s="17"/>
      <c r="T403" s="17"/>
      <c r="U403" s="17"/>
      <c r="V403" s="17"/>
    </row>
    <row r="404" ht="14.25" customHeight="1">
      <c r="C404" s="29"/>
      <c r="D404" s="30"/>
      <c r="E404" s="29"/>
      <c r="F404" s="4"/>
      <c r="G404" s="4"/>
      <c r="H404" s="4"/>
      <c r="I404" s="26"/>
      <c r="J404" s="26"/>
      <c r="K404" s="17"/>
      <c r="L404" s="17"/>
      <c r="M404" s="29"/>
      <c r="N404" s="29"/>
      <c r="O404" s="4"/>
      <c r="P404" s="4"/>
      <c r="Q404" s="4"/>
      <c r="R404" s="17"/>
      <c r="S404" s="17"/>
      <c r="T404" s="17"/>
      <c r="U404" s="17"/>
      <c r="V404" s="17"/>
    </row>
    <row r="405" ht="14.25" customHeight="1">
      <c r="C405" s="29"/>
      <c r="D405" s="30"/>
      <c r="E405" s="29"/>
      <c r="F405" s="4"/>
      <c r="G405" s="4"/>
      <c r="H405" s="4"/>
      <c r="I405" s="26"/>
      <c r="J405" s="26"/>
      <c r="K405" s="17"/>
      <c r="L405" s="17"/>
      <c r="M405" s="29"/>
      <c r="N405" s="29"/>
      <c r="O405" s="4"/>
      <c r="P405" s="4"/>
      <c r="Q405" s="4"/>
      <c r="R405" s="17"/>
      <c r="S405" s="17"/>
      <c r="T405" s="17"/>
      <c r="U405" s="17"/>
      <c r="V405" s="17"/>
    </row>
    <row r="406" ht="14.25" customHeight="1">
      <c r="C406" s="29"/>
      <c r="D406" s="30"/>
      <c r="E406" s="29"/>
      <c r="F406" s="4"/>
      <c r="G406" s="4"/>
      <c r="H406" s="4"/>
      <c r="I406" s="26"/>
      <c r="J406" s="26"/>
      <c r="K406" s="17"/>
      <c r="L406" s="17"/>
      <c r="M406" s="29"/>
      <c r="N406" s="29"/>
      <c r="O406" s="4"/>
      <c r="P406" s="4"/>
      <c r="Q406" s="4"/>
      <c r="R406" s="17"/>
      <c r="S406" s="17"/>
      <c r="T406" s="17"/>
      <c r="U406" s="17"/>
      <c r="V406" s="17"/>
    </row>
    <row r="407" ht="14.25" customHeight="1">
      <c r="C407" s="29"/>
      <c r="D407" s="30"/>
      <c r="E407" s="29"/>
      <c r="F407" s="4"/>
      <c r="G407" s="4"/>
      <c r="H407" s="4"/>
      <c r="I407" s="26"/>
      <c r="J407" s="26"/>
      <c r="K407" s="17"/>
      <c r="L407" s="17"/>
      <c r="M407" s="29"/>
      <c r="N407" s="29"/>
      <c r="O407" s="4"/>
      <c r="P407" s="4"/>
      <c r="Q407" s="4"/>
      <c r="R407" s="17"/>
      <c r="S407" s="17"/>
      <c r="T407" s="17"/>
      <c r="U407" s="17"/>
      <c r="V407" s="17"/>
    </row>
    <row r="408" ht="14.25" customHeight="1">
      <c r="C408" s="29"/>
      <c r="D408" s="30"/>
      <c r="E408" s="29"/>
      <c r="F408" s="4"/>
      <c r="G408" s="4"/>
      <c r="H408" s="4"/>
      <c r="I408" s="26"/>
      <c r="J408" s="26"/>
      <c r="K408" s="17"/>
      <c r="L408" s="17"/>
      <c r="M408" s="29"/>
      <c r="N408" s="29"/>
      <c r="O408" s="4"/>
      <c r="P408" s="4"/>
      <c r="Q408" s="4"/>
      <c r="R408" s="17"/>
      <c r="S408" s="17"/>
      <c r="T408" s="17"/>
      <c r="U408" s="17"/>
      <c r="V408" s="17"/>
    </row>
    <row r="409" ht="14.25" customHeight="1">
      <c r="C409" s="29"/>
      <c r="D409" s="30"/>
      <c r="E409" s="29"/>
      <c r="F409" s="4"/>
      <c r="G409" s="4"/>
      <c r="H409" s="4"/>
      <c r="I409" s="26"/>
      <c r="J409" s="26"/>
      <c r="K409" s="17"/>
      <c r="L409" s="17"/>
      <c r="M409" s="29"/>
      <c r="N409" s="29"/>
      <c r="O409" s="4"/>
      <c r="P409" s="4"/>
      <c r="Q409" s="4"/>
      <c r="R409" s="17"/>
      <c r="S409" s="17"/>
      <c r="T409" s="17"/>
      <c r="U409" s="17"/>
      <c r="V409" s="17"/>
    </row>
    <row r="410" ht="14.25" customHeight="1">
      <c r="C410" s="29"/>
      <c r="D410" s="30"/>
      <c r="E410" s="29"/>
      <c r="F410" s="4"/>
      <c r="G410" s="4"/>
      <c r="H410" s="4"/>
      <c r="I410" s="26"/>
      <c r="J410" s="26"/>
      <c r="K410" s="17"/>
      <c r="L410" s="17"/>
      <c r="M410" s="29"/>
      <c r="N410" s="29"/>
      <c r="O410" s="4"/>
      <c r="P410" s="4"/>
      <c r="Q410" s="4"/>
      <c r="R410" s="17"/>
      <c r="S410" s="17"/>
      <c r="T410" s="17"/>
      <c r="U410" s="17"/>
      <c r="V410" s="17"/>
    </row>
    <row r="411" ht="14.25" customHeight="1">
      <c r="C411" s="29"/>
      <c r="D411" s="30"/>
      <c r="E411" s="29"/>
      <c r="F411" s="4"/>
      <c r="G411" s="4"/>
      <c r="H411" s="4"/>
      <c r="I411" s="26"/>
      <c r="J411" s="26"/>
      <c r="K411" s="17"/>
      <c r="L411" s="17"/>
      <c r="M411" s="29"/>
      <c r="N411" s="29"/>
      <c r="O411" s="4"/>
      <c r="P411" s="4"/>
      <c r="Q411" s="4"/>
      <c r="R411" s="17"/>
      <c r="S411" s="17"/>
      <c r="T411" s="17"/>
      <c r="U411" s="17"/>
      <c r="V411" s="17"/>
    </row>
    <row r="412" ht="14.25" customHeight="1">
      <c r="C412" s="29"/>
      <c r="D412" s="30"/>
      <c r="E412" s="29"/>
      <c r="F412" s="4"/>
      <c r="G412" s="4"/>
      <c r="H412" s="4"/>
      <c r="I412" s="26"/>
      <c r="J412" s="26"/>
      <c r="K412" s="17"/>
      <c r="L412" s="17"/>
      <c r="M412" s="29"/>
      <c r="N412" s="29"/>
      <c r="O412" s="4"/>
      <c r="P412" s="4"/>
      <c r="Q412" s="4"/>
      <c r="R412" s="17"/>
      <c r="S412" s="17"/>
      <c r="T412" s="17"/>
      <c r="U412" s="17"/>
      <c r="V412" s="17"/>
    </row>
    <row r="413" ht="14.25" customHeight="1">
      <c r="C413" s="29"/>
      <c r="D413" s="30"/>
      <c r="E413" s="29"/>
      <c r="F413" s="4"/>
      <c r="G413" s="4"/>
      <c r="H413" s="4"/>
      <c r="I413" s="26"/>
      <c r="J413" s="26"/>
      <c r="K413" s="17"/>
      <c r="L413" s="17"/>
      <c r="M413" s="29"/>
      <c r="N413" s="29"/>
      <c r="O413" s="4"/>
      <c r="P413" s="4"/>
      <c r="Q413" s="4"/>
      <c r="R413" s="17"/>
      <c r="S413" s="17"/>
      <c r="T413" s="17"/>
      <c r="U413" s="17"/>
      <c r="V413" s="17"/>
    </row>
    <row r="414" ht="14.25" customHeight="1">
      <c r="C414" s="29"/>
      <c r="D414" s="30"/>
      <c r="E414" s="29"/>
      <c r="F414" s="4"/>
      <c r="G414" s="4"/>
      <c r="H414" s="4"/>
      <c r="I414" s="26"/>
      <c r="J414" s="26"/>
      <c r="K414" s="17"/>
      <c r="L414" s="17"/>
      <c r="M414" s="29"/>
      <c r="N414" s="29"/>
      <c r="O414" s="4"/>
      <c r="P414" s="4"/>
      <c r="Q414" s="4"/>
      <c r="R414" s="17"/>
      <c r="S414" s="17"/>
      <c r="T414" s="17"/>
      <c r="U414" s="17"/>
      <c r="V414" s="17"/>
    </row>
    <row r="415" ht="14.25" customHeight="1">
      <c r="C415" s="29"/>
      <c r="D415" s="30"/>
      <c r="E415" s="29"/>
      <c r="F415" s="4"/>
      <c r="G415" s="4"/>
      <c r="H415" s="4"/>
      <c r="I415" s="26"/>
      <c r="J415" s="26"/>
      <c r="K415" s="17"/>
      <c r="L415" s="17"/>
      <c r="M415" s="29"/>
      <c r="N415" s="29"/>
      <c r="O415" s="4"/>
      <c r="P415" s="4"/>
      <c r="Q415" s="4"/>
      <c r="R415" s="17"/>
      <c r="S415" s="17"/>
      <c r="T415" s="17"/>
      <c r="U415" s="17"/>
      <c r="V415" s="17"/>
    </row>
    <row r="416" ht="14.25" customHeight="1">
      <c r="C416" s="29"/>
      <c r="D416" s="30"/>
      <c r="E416" s="29"/>
      <c r="F416" s="4"/>
      <c r="G416" s="4"/>
      <c r="H416" s="4"/>
      <c r="I416" s="26"/>
      <c r="J416" s="26"/>
      <c r="K416" s="17"/>
      <c r="L416" s="17"/>
      <c r="M416" s="29"/>
      <c r="N416" s="29"/>
      <c r="O416" s="4"/>
      <c r="P416" s="4"/>
      <c r="Q416" s="4"/>
      <c r="R416" s="17"/>
      <c r="S416" s="17"/>
      <c r="T416" s="17"/>
      <c r="U416" s="17"/>
      <c r="V416" s="17"/>
    </row>
    <row r="417" ht="14.25" customHeight="1">
      <c r="C417" s="29"/>
      <c r="D417" s="30"/>
      <c r="E417" s="29"/>
      <c r="F417" s="4"/>
      <c r="G417" s="4"/>
      <c r="H417" s="4"/>
      <c r="I417" s="26"/>
      <c r="J417" s="26"/>
      <c r="K417" s="17"/>
      <c r="L417" s="17"/>
      <c r="M417" s="29"/>
      <c r="N417" s="29"/>
      <c r="O417" s="4"/>
      <c r="P417" s="4"/>
      <c r="Q417" s="4"/>
      <c r="R417" s="17"/>
      <c r="S417" s="17"/>
      <c r="T417" s="17"/>
      <c r="U417" s="17"/>
      <c r="V417" s="17"/>
    </row>
    <row r="418" ht="14.25" customHeight="1">
      <c r="C418" s="29"/>
      <c r="D418" s="30"/>
      <c r="E418" s="29"/>
      <c r="F418" s="4"/>
      <c r="G418" s="4"/>
      <c r="H418" s="4"/>
      <c r="I418" s="26"/>
      <c r="J418" s="26"/>
      <c r="K418" s="17"/>
      <c r="L418" s="17"/>
      <c r="M418" s="29"/>
      <c r="N418" s="29"/>
      <c r="O418" s="4"/>
      <c r="P418" s="4"/>
      <c r="Q418" s="4"/>
      <c r="R418" s="17"/>
      <c r="S418" s="17"/>
      <c r="T418" s="17"/>
      <c r="U418" s="17"/>
      <c r="V418" s="17"/>
    </row>
    <row r="419" ht="14.25" customHeight="1">
      <c r="C419" s="29"/>
      <c r="D419" s="30"/>
      <c r="E419" s="29"/>
      <c r="F419" s="4"/>
      <c r="G419" s="4"/>
      <c r="H419" s="4"/>
      <c r="I419" s="26"/>
      <c r="J419" s="26"/>
      <c r="K419" s="17"/>
      <c r="L419" s="17"/>
      <c r="M419" s="29"/>
      <c r="N419" s="29"/>
      <c r="O419" s="4"/>
      <c r="P419" s="4"/>
      <c r="Q419" s="4"/>
      <c r="R419" s="17"/>
      <c r="S419" s="17"/>
      <c r="T419" s="17"/>
      <c r="U419" s="17"/>
      <c r="V419" s="17"/>
    </row>
    <row r="420" ht="14.25" customHeight="1">
      <c r="C420" s="29"/>
      <c r="D420" s="30"/>
      <c r="E420" s="29"/>
      <c r="F420" s="4"/>
      <c r="G420" s="4"/>
      <c r="H420" s="4"/>
      <c r="I420" s="26"/>
      <c r="J420" s="26"/>
      <c r="K420" s="17"/>
      <c r="L420" s="17"/>
      <c r="M420" s="29"/>
      <c r="N420" s="29"/>
      <c r="O420" s="4"/>
      <c r="P420" s="4"/>
      <c r="Q420" s="4"/>
      <c r="R420" s="17"/>
      <c r="S420" s="17"/>
      <c r="T420" s="17"/>
      <c r="U420" s="17"/>
      <c r="V420" s="17"/>
    </row>
    <row r="421" ht="14.25" customHeight="1">
      <c r="C421" s="29"/>
      <c r="D421" s="30"/>
      <c r="E421" s="29"/>
      <c r="F421" s="4"/>
      <c r="G421" s="4"/>
      <c r="H421" s="4"/>
      <c r="I421" s="26"/>
      <c r="J421" s="26"/>
      <c r="K421" s="17"/>
      <c r="L421" s="17"/>
      <c r="M421" s="29"/>
      <c r="N421" s="29"/>
      <c r="O421" s="4"/>
      <c r="P421" s="4"/>
      <c r="Q421" s="4"/>
      <c r="R421" s="17"/>
      <c r="S421" s="17"/>
      <c r="T421" s="17"/>
      <c r="U421" s="17"/>
      <c r="V421" s="17"/>
    </row>
    <row r="422" ht="14.25" customHeight="1">
      <c r="C422" s="29"/>
      <c r="D422" s="30"/>
      <c r="E422" s="29"/>
      <c r="F422" s="4"/>
      <c r="G422" s="4"/>
      <c r="H422" s="4"/>
      <c r="I422" s="26"/>
      <c r="J422" s="26"/>
      <c r="K422" s="17"/>
      <c r="L422" s="17"/>
      <c r="M422" s="29"/>
      <c r="N422" s="29"/>
      <c r="O422" s="4"/>
      <c r="P422" s="4"/>
      <c r="Q422" s="4"/>
      <c r="R422" s="17"/>
      <c r="S422" s="17"/>
      <c r="T422" s="17"/>
      <c r="U422" s="17"/>
      <c r="V422" s="17"/>
    </row>
    <row r="423" ht="14.25" customHeight="1">
      <c r="C423" s="29"/>
      <c r="D423" s="30"/>
      <c r="E423" s="29"/>
      <c r="F423" s="4"/>
      <c r="G423" s="4"/>
      <c r="H423" s="4"/>
      <c r="I423" s="26"/>
      <c r="J423" s="26"/>
      <c r="K423" s="17"/>
      <c r="L423" s="17"/>
      <c r="M423" s="29"/>
      <c r="N423" s="29"/>
      <c r="O423" s="4"/>
      <c r="P423" s="4"/>
      <c r="Q423" s="4"/>
      <c r="R423" s="17"/>
      <c r="S423" s="17"/>
      <c r="T423" s="17"/>
      <c r="U423" s="17"/>
      <c r="V423" s="17"/>
    </row>
    <row r="424" ht="14.25" customHeight="1">
      <c r="C424" s="29"/>
      <c r="D424" s="30"/>
      <c r="E424" s="29"/>
      <c r="F424" s="4"/>
      <c r="G424" s="4"/>
      <c r="H424" s="4"/>
      <c r="I424" s="26"/>
      <c r="J424" s="26"/>
      <c r="K424" s="17"/>
      <c r="L424" s="17"/>
      <c r="M424" s="29"/>
      <c r="N424" s="29"/>
      <c r="O424" s="4"/>
      <c r="P424" s="4"/>
      <c r="Q424" s="4"/>
      <c r="R424" s="17"/>
      <c r="S424" s="17"/>
      <c r="T424" s="17"/>
      <c r="U424" s="17"/>
      <c r="V424" s="17"/>
    </row>
    <row r="425" ht="14.25" customHeight="1">
      <c r="C425" s="29"/>
      <c r="D425" s="30"/>
      <c r="E425" s="29"/>
      <c r="F425" s="4"/>
      <c r="G425" s="4"/>
      <c r="H425" s="4"/>
      <c r="I425" s="26"/>
      <c r="J425" s="26"/>
      <c r="K425" s="17"/>
      <c r="L425" s="17"/>
      <c r="M425" s="29"/>
      <c r="N425" s="29"/>
      <c r="O425" s="4"/>
      <c r="P425" s="4"/>
      <c r="Q425" s="4"/>
      <c r="R425" s="17"/>
      <c r="S425" s="17"/>
      <c r="T425" s="17"/>
      <c r="U425" s="17"/>
      <c r="V425" s="17"/>
    </row>
    <row r="426" ht="14.25" customHeight="1">
      <c r="C426" s="29"/>
      <c r="D426" s="30"/>
      <c r="E426" s="29"/>
      <c r="F426" s="4"/>
      <c r="G426" s="4"/>
      <c r="H426" s="4"/>
      <c r="I426" s="26"/>
      <c r="J426" s="26"/>
      <c r="K426" s="17"/>
      <c r="L426" s="17"/>
      <c r="M426" s="29"/>
      <c r="N426" s="29"/>
      <c r="O426" s="4"/>
      <c r="P426" s="4"/>
      <c r="Q426" s="4"/>
      <c r="R426" s="17"/>
      <c r="S426" s="17"/>
      <c r="T426" s="17"/>
      <c r="U426" s="17"/>
      <c r="V426" s="17"/>
    </row>
    <row r="427" ht="14.25" customHeight="1">
      <c r="C427" s="29"/>
      <c r="D427" s="30"/>
      <c r="E427" s="29"/>
      <c r="F427" s="4"/>
      <c r="G427" s="4"/>
      <c r="H427" s="4"/>
      <c r="I427" s="26"/>
      <c r="J427" s="26"/>
      <c r="K427" s="17"/>
      <c r="L427" s="17"/>
      <c r="M427" s="29"/>
      <c r="N427" s="29"/>
      <c r="O427" s="4"/>
      <c r="P427" s="4"/>
      <c r="Q427" s="4"/>
      <c r="R427" s="17"/>
      <c r="S427" s="17"/>
      <c r="T427" s="17"/>
      <c r="U427" s="17"/>
      <c r="V427" s="17"/>
    </row>
    <row r="428" ht="14.25" customHeight="1">
      <c r="C428" s="29"/>
      <c r="D428" s="30"/>
      <c r="E428" s="29"/>
      <c r="F428" s="4"/>
      <c r="G428" s="4"/>
      <c r="H428" s="4"/>
      <c r="I428" s="26"/>
      <c r="J428" s="26"/>
      <c r="K428" s="17"/>
      <c r="L428" s="17"/>
      <c r="M428" s="29"/>
      <c r="N428" s="29"/>
      <c r="O428" s="4"/>
      <c r="P428" s="4"/>
      <c r="Q428" s="4"/>
      <c r="R428" s="17"/>
      <c r="S428" s="17"/>
      <c r="T428" s="17"/>
      <c r="U428" s="17"/>
      <c r="V428" s="17"/>
    </row>
    <row r="429" ht="14.25" customHeight="1">
      <c r="C429" s="29"/>
      <c r="D429" s="30"/>
      <c r="E429" s="29"/>
      <c r="F429" s="4"/>
      <c r="G429" s="4"/>
      <c r="H429" s="4"/>
      <c r="I429" s="26"/>
      <c r="J429" s="26"/>
      <c r="K429" s="17"/>
      <c r="L429" s="17"/>
      <c r="M429" s="29"/>
      <c r="N429" s="29"/>
      <c r="O429" s="4"/>
      <c r="P429" s="4"/>
      <c r="Q429" s="4"/>
      <c r="R429" s="17"/>
      <c r="S429" s="17"/>
      <c r="T429" s="17"/>
      <c r="U429" s="17"/>
      <c r="V429" s="17"/>
    </row>
    <row r="430" ht="14.25" customHeight="1">
      <c r="C430" s="29"/>
      <c r="D430" s="30"/>
      <c r="E430" s="29"/>
      <c r="F430" s="4"/>
      <c r="G430" s="4"/>
      <c r="H430" s="4"/>
      <c r="I430" s="26"/>
      <c r="J430" s="26"/>
      <c r="K430" s="17"/>
      <c r="L430" s="17"/>
      <c r="M430" s="29"/>
      <c r="N430" s="29"/>
      <c r="O430" s="4"/>
      <c r="P430" s="4"/>
      <c r="Q430" s="4"/>
      <c r="R430" s="17"/>
      <c r="S430" s="17"/>
      <c r="T430" s="17"/>
      <c r="U430" s="17"/>
      <c r="V430" s="17"/>
    </row>
    <row r="431" ht="14.25" customHeight="1">
      <c r="C431" s="29"/>
      <c r="D431" s="30"/>
      <c r="E431" s="29"/>
      <c r="F431" s="4"/>
      <c r="G431" s="4"/>
      <c r="H431" s="4"/>
      <c r="I431" s="26"/>
      <c r="J431" s="26"/>
      <c r="K431" s="17"/>
      <c r="L431" s="17"/>
      <c r="M431" s="29"/>
      <c r="N431" s="29"/>
      <c r="O431" s="4"/>
      <c r="P431" s="4"/>
      <c r="Q431" s="4"/>
      <c r="R431" s="17"/>
      <c r="S431" s="17"/>
      <c r="T431" s="17"/>
      <c r="U431" s="17"/>
      <c r="V431" s="17"/>
    </row>
    <row r="432" ht="14.25" customHeight="1">
      <c r="C432" s="29"/>
      <c r="D432" s="30"/>
      <c r="E432" s="29"/>
      <c r="F432" s="4"/>
      <c r="G432" s="4"/>
      <c r="H432" s="4"/>
      <c r="I432" s="26"/>
      <c r="J432" s="26"/>
      <c r="K432" s="17"/>
      <c r="L432" s="17"/>
      <c r="M432" s="29"/>
      <c r="N432" s="29"/>
      <c r="O432" s="4"/>
      <c r="P432" s="4"/>
      <c r="Q432" s="4"/>
      <c r="R432" s="17"/>
      <c r="S432" s="17"/>
      <c r="T432" s="17"/>
      <c r="U432" s="17"/>
      <c r="V432" s="17"/>
    </row>
    <row r="433" ht="14.25" customHeight="1">
      <c r="C433" s="29"/>
      <c r="D433" s="30"/>
      <c r="E433" s="29"/>
      <c r="F433" s="4"/>
      <c r="G433" s="4"/>
      <c r="H433" s="4"/>
      <c r="I433" s="26"/>
      <c r="J433" s="26"/>
      <c r="K433" s="17"/>
      <c r="L433" s="17"/>
      <c r="M433" s="29"/>
      <c r="N433" s="29"/>
      <c r="O433" s="4"/>
      <c r="P433" s="4"/>
      <c r="Q433" s="4"/>
      <c r="R433" s="17"/>
      <c r="S433" s="17"/>
      <c r="T433" s="17"/>
      <c r="U433" s="17"/>
      <c r="V433" s="17"/>
    </row>
    <row r="434" ht="14.25" customHeight="1">
      <c r="C434" s="29"/>
      <c r="D434" s="30"/>
      <c r="E434" s="29"/>
      <c r="F434" s="4"/>
      <c r="G434" s="4"/>
      <c r="H434" s="4"/>
      <c r="I434" s="26"/>
      <c r="J434" s="26"/>
      <c r="K434" s="17"/>
      <c r="L434" s="17"/>
      <c r="M434" s="29"/>
      <c r="N434" s="29"/>
      <c r="O434" s="4"/>
      <c r="P434" s="4"/>
      <c r="Q434" s="4"/>
      <c r="R434" s="17"/>
      <c r="S434" s="17"/>
      <c r="T434" s="17"/>
      <c r="U434" s="17"/>
      <c r="V434" s="17"/>
    </row>
    <row r="435" ht="14.25" customHeight="1">
      <c r="C435" s="29"/>
      <c r="D435" s="30"/>
      <c r="E435" s="29"/>
      <c r="F435" s="4"/>
      <c r="G435" s="4"/>
      <c r="H435" s="4"/>
      <c r="I435" s="26"/>
      <c r="J435" s="26"/>
      <c r="K435" s="17"/>
      <c r="L435" s="17"/>
      <c r="M435" s="29"/>
      <c r="N435" s="29"/>
      <c r="O435" s="4"/>
      <c r="P435" s="4"/>
      <c r="Q435" s="4"/>
      <c r="R435" s="17"/>
      <c r="S435" s="17"/>
      <c r="T435" s="17"/>
      <c r="U435" s="17"/>
      <c r="V435" s="17"/>
    </row>
    <row r="436" ht="14.25" customHeight="1">
      <c r="C436" s="29"/>
      <c r="D436" s="30"/>
      <c r="E436" s="29"/>
      <c r="F436" s="4"/>
      <c r="G436" s="4"/>
      <c r="H436" s="4"/>
      <c r="I436" s="26"/>
      <c r="J436" s="26"/>
      <c r="K436" s="17"/>
      <c r="L436" s="17"/>
      <c r="M436" s="29"/>
      <c r="N436" s="29"/>
      <c r="O436" s="4"/>
      <c r="P436" s="4"/>
      <c r="Q436" s="4"/>
      <c r="R436" s="17"/>
      <c r="S436" s="17"/>
      <c r="T436" s="17"/>
      <c r="U436" s="17"/>
      <c r="V436" s="17"/>
    </row>
    <row r="437" ht="14.25" customHeight="1">
      <c r="C437" s="29"/>
      <c r="D437" s="30"/>
      <c r="E437" s="29"/>
      <c r="F437" s="4"/>
      <c r="G437" s="4"/>
      <c r="H437" s="4"/>
      <c r="I437" s="26"/>
      <c r="J437" s="26"/>
      <c r="K437" s="17"/>
      <c r="L437" s="17"/>
      <c r="M437" s="29"/>
      <c r="N437" s="29"/>
      <c r="O437" s="4"/>
      <c r="P437" s="4"/>
      <c r="Q437" s="4"/>
      <c r="R437" s="17"/>
      <c r="S437" s="17"/>
      <c r="T437" s="17"/>
      <c r="U437" s="17"/>
      <c r="V437" s="17"/>
    </row>
    <row r="438" ht="14.25" customHeight="1">
      <c r="C438" s="29"/>
      <c r="D438" s="30"/>
      <c r="E438" s="29"/>
      <c r="F438" s="4"/>
      <c r="G438" s="4"/>
      <c r="H438" s="4"/>
      <c r="I438" s="26"/>
      <c r="J438" s="26"/>
      <c r="K438" s="17"/>
      <c r="L438" s="17"/>
      <c r="M438" s="29"/>
      <c r="N438" s="29"/>
      <c r="O438" s="4"/>
      <c r="P438" s="4"/>
      <c r="Q438" s="4"/>
      <c r="R438" s="17"/>
      <c r="S438" s="17"/>
      <c r="T438" s="17"/>
      <c r="U438" s="17"/>
      <c r="V438" s="17"/>
    </row>
    <row r="439" ht="14.25" customHeight="1">
      <c r="C439" s="29"/>
      <c r="D439" s="30"/>
      <c r="E439" s="29"/>
      <c r="F439" s="4"/>
      <c r="G439" s="4"/>
      <c r="H439" s="4"/>
      <c r="I439" s="26"/>
      <c r="J439" s="26"/>
      <c r="K439" s="17"/>
      <c r="L439" s="17"/>
      <c r="M439" s="29"/>
      <c r="N439" s="29"/>
      <c r="O439" s="4"/>
      <c r="P439" s="4"/>
      <c r="Q439" s="4"/>
      <c r="R439" s="17"/>
      <c r="S439" s="17"/>
      <c r="T439" s="17"/>
      <c r="U439" s="17"/>
      <c r="V439" s="17"/>
    </row>
    <row r="440" ht="14.25" customHeight="1">
      <c r="C440" s="29"/>
      <c r="D440" s="30"/>
      <c r="E440" s="29"/>
      <c r="F440" s="4"/>
      <c r="G440" s="4"/>
      <c r="H440" s="4"/>
      <c r="I440" s="26"/>
      <c r="J440" s="26"/>
      <c r="K440" s="17"/>
      <c r="L440" s="17"/>
      <c r="M440" s="29"/>
      <c r="N440" s="29"/>
      <c r="O440" s="4"/>
      <c r="P440" s="4"/>
      <c r="Q440" s="4"/>
      <c r="R440" s="17"/>
      <c r="S440" s="17"/>
      <c r="T440" s="17"/>
      <c r="U440" s="17"/>
      <c r="V440" s="17"/>
    </row>
    <row r="441" ht="14.25" customHeight="1">
      <c r="C441" s="29"/>
      <c r="D441" s="30"/>
      <c r="E441" s="29"/>
      <c r="F441" s="4"/>
      <c r="G441" s="4"/>
      <c r="H441" s="4"/>
      <c r="I441" s="26"/>
      <c r="J441" s="26"/>
      <c r="K441" s="17"/>
      <c r="L441" s="17"/>
      <c r="M441" s="29"/>
      <c r="N441" s="29"/>
      <c r="O441" s="4"/>
      <c r="P441" s="4"/>
      <c r="Q441" s="4"/>
      <c r="R441" s="17"/>
      <c r="S441" s="17"/>
      <c r="T441" s="17"/>
      <c r="U441" s="17"/>
      <c r="V441" s="17"/>
    </row>
    <row r="442" ht="14.25" customHeight="1">
      <c r="C442" s="29"/>
      <c r="D442" s="30"/>
      <c r="E442" s="29"/>
      <c r="F442" s="4"/>
      <c r="G442" s="4"/>
      <c r="H442" s="4"/>
      <c r="I442" s="26"/>
      <c r="J442" s="26"/>
      <c r="K442" s="17"/>
      <c r="L442" s="17"/>
      <c r="M442" s="29"/>
      <c r="N442" s="29"/>
      <c r="O442" s="4"/>
      <c r="P442" s="4"/>
      <c r="Q442" s="4"/>
      <c r="R442" s="17"/>
      <c r="S442" s="17"/>
      <c r="T442" s="17"/>
      <c r="U442" s="17"/>
      <c r="V442" s="17"/>
    </row>
    <row r="443" ht="14.25" customHeight="1">
      <c r="C443" s="29"/>
      <c r="D443" s="30"/>
      <c r="E443" s="29"/>
      <c r="F443" s="4"/>
      <c r="G443" s="4"/>
      <c r="H443" s="4"/>
      <c r="I443" s="26"/>
      <c r="J443" s="26"/>
      <c r="K443" s="17"/>
      <c r="L443" s="17"/>
      <c r="M443" s="29"/>
      <c r="N443" s="29"/>
      <c r="O443" s="4"/>
      <c r="P443" s="4"/>
      <c r="Q443" s="4"/>
      <c r="R443" s="17"/>
      <c r="S443" s="17"/>
      <c r="T443" s="17"/>
      <c r="U443" s="17"/>
      <c r="V443" s="17"/>
    </row>
    <row r="444" ht="14.25" customHeight="1">
      <c r="C444" s="29"/>
      <c r="D444" s="30"/>
      <c r="E444" s="29"/>
      <c r="F444" s="4"/>
      <c r="G444" s="4"/>
      <c r="H444" s="4"/>
      <c r="I444" s="26"/>
      <c r="J444" s="26"/>
      <c r="K444" s="17"/>
      <c r="L444" s="17"/>
      <c r="M444" s="29"/>
      <c r="N444" s="29"/>
      <c r="O444" s="4"/>
      <c r="P444" s="4"/>
      <c r="Q444" s="4"/>
      <c r="R444" s="17"/>
      <c r="S444" s="17"/>
      <c r="T444" s="17"/>
      <c r="U444" s="17"/>
      <c r="V444" s="17"/>
    </row>
    <row r="445" ht="14.25" customHeight="1">
      <c r="C445" s="29"/>
      <c r="D445" s="30"/>
      <c r="E445" s="29"/>
      <c r="F445" s="4"/>
      <c r="G445" s="4"/>
      <c r="H445" s="4"/>
      <c r="I445" s="26"/>
      <c r="J445" s="26"/>
      <c r="K445" s="17"/>
      <c r="L445" s="17"/>
      <c r="M445" s="29"/>
      <c r="N445" s="29"/>
      <c r="O445" s="4"/>
      <c r="P445" s="4"/>
      <c r="Q445" s="4"/>
      <c r="R445" s="17"/>
      <c r="S445" s="17"/>
      <c r="T445" s="17"/>
      <c r="U445" s="17"/>
      <c r="V445" s="17"/>
    </row>
    <row r="446" ht="14.25" customHeight="1">
      <c r="C446" s="29"/>
      <c r="D446" s="30"/>
      <c r="E446" s="29"/>
      <c r="F446" s="4"/>
      <c r="G446" s="4"/>
      <c r="H446" s="4"/>
      <c r="I446" s="26"/>
      <c r="J446" s="26"/>
      <c r="K446" s="17"/>
      <c r="L446" s="17"/>
      <c r="M446" s="29"/>
      <c r="N446" s="29"/>
      <c r="O446" s="4"/>
      <c r="P446" s="4"/>
      <c r="Q446" s="4"/>
      <c r="R446" s="17"/>
      <c r="S446" s="17"/>
      <c r="T446" s="17"/>
      <c r="U446" s="17"/>
      <c r="V446" s="17"/>
    </row>
    <row r="447" ht="14.25" customHeight="1">
      <c r="C447" s="29"/>
      <c r="D447" s="30"/>
      <c r="E447" s="29"/>
      <c r="F447" s="4"/>
      <c r="G447" s="4"/>
      <c r="H447" s="4"/>
      <c r="I447" s="26"/>
      <c r="J447" s="26"/>
      <c r="K447" s="17"/>
      <c r="L447" s="17"/>
      <c r="M447" s="29"/>
      <c r="N447" s="29"/>
      <c r="O447" s="4"/>
      <c r="P447" s="4"/>
      <c r="Q447" s="4"/>
      <c r="R447" s="17"/>
      <c r="S447" s="17"/>
      <c r="T447" s="17"/>
      <c r="U447" s="17"/>
      <c r="V447" s="17"/>
    </row>
    <row r="448" ht="14.25" customHeight="1">
      <c r="C448" s="29"/>
      <c r="D448" s="30"/>
      <c r="E448" s="29"/>
      <c r="F448" s="4"/>
      <c r="G448" s="4"/>
      <c r="H448" s="4"/>
      <c r="I448" s="26"/>
      <c r="J448" s="26"/>
      <c r="K448" s="17"/>
      <c r="L448" s="17"/>
      <c r="M448" s="29"/>
      <c r="N448" s="29"/>
      <c r="O448" s="4"/>
      <c r="P448" s="4"/>
      <c r="Q448" s="4"/>
      <c r="R448" s="17"/>
      <c r="S448" s="17"/>
      <c r="T448" s="17"/>
      <c r="U448" s="17"/>
      <c r="V448" s="17"/>
    </row>
    <row r="449" ht="14.25" customHeight="1">
      <c r="C449" s="29"/>
      <c r="D449" s="30"/>
      <c r="E449" s="29"/>
      <c r="F449" s="4"/>
      <c r="G449" s="4"/>
      <c r="H449" s="4"/>
      <c r="I449" s="26"/>
      <c r="J449" s="26"/>
      <c r="K449" s="17"/>
      <c r="L449" s="17"/>
      <c r="M449" s="29"/>
      <c r="N449" s="29"/>
      <c r="O449" s="4"/>
      <c r="P449" s="4"/>
      <c r="Q449" s="4"/>
      <c r="R449" s="17"/>
      <c r="S449" s="17"/>
      <c r="T449" s="17"/>
      <c r="U449" s="17"/>
      <c r="V449" s="17"/>
    </row>
    <row r="450" ht="14.25" customHeight="1">
      <c r="C450" s="29"/>
      <c r="D450" s="30"/>
      <c r="E450" s="29"/>
      <c r="F450" s="4"/>
      <c r="G450" s="4"/>
      <c r="H450" s="4"/>
      <c r="I450" s="26"/>
      <c r="J450" s="26"/>
      <c r="K450" s="17"/>
      <c r="L450" s="17"/>
      <c r="M450" s="29"/>
      <c r="N450" s="29"/>
      <c r="O450" s="4"/>
      <c r="P450" s="4"/>
      <c r="Q450" s="4"/>
      <c r="R450" s="17"/>
      <c r="S450" s="17"/>
      <c r="T450" s="17"/>
      <c r="U450" s="17"/>
      <c r="V450" s="17"/>
    </row>
    <row r="451" ht="14.25" customHeight="1">
      <c r="C451" s="29"/>
      <c r="D451" s="30"/>
      <c r="E451" s="29"/>
      <c r="F451" s="4"/>
      <c r="G451" s="4"/>
      <c r="H451" s="4"/>
      <c r="I451" s="26"/>
      <c r="J451" s="26"/>
      <c r="K451" s="17"/>
      <c r="L451" s="17"/>
      <c r="M451" s="29"/>
      <c r="N451" s="29"/>
      <c r="O451" s="4"/>
      <c r="P451" s="4"/>
      <c r="Q451" s="4"/>
      <c r="R451" s="17"/>
      <c r="S451" s="17"/>
      <c r="T451" s="17"/>
      <c r="U451" s="17"/>
      <c r="V451" s="17"/>
    </row>
    <row r="452" ht="14.25" customHeight="1">
      <c r="C452" s="29"/>
      <c r="D452" s="30"/>
      <c r="E452" s="29"/>
      <c r="F452" s="4"/>
      <c r="G452" s="4"/>
      <c r="H452" s="4"/>
      <c r="I452" s="26"/>
      <c r="J452" s="26"/>
      <c r="K452" s="17"/>
      <c r="L452" s="17"/>
      <c r="M452" s="29"/>
      <c r="N452" s="29"/>
      <c r="O452" s="4"/>
      <c r="P452" s="4"/>
      <c r="Q452" s="4"/>
      <c r="R452" s="17"/>
      <c r="S452" s="17"/>
      <c r="T452" s="17"/>
      <c r="U452" s="17"/>
      <c r="V452" s="17"/>
    </row>
    <row r="453" ht="14.25" customHeight="1">
      <c r="C453" s="29"/>
      <c r="D453" s="30"/>
      <c r="E453" s="29"/>
      <c r="F453" s="4"/>
      <c r="G453" s="4"/>
      <c r="H453" s="4"/>
      <c r="I453" s="26"/>
      <c r="J453" s="26"/>
      <c r="K453" s="17"/>
      <c r="L453" s="17"/>
      <c r="M453" s="29"/>
      <c r="N453" s="29"/>
      <c r="O453" s="4"/>
      <c r="P453" s="4"/>
      <c r="Q453" s="4"/>
      <c r="R453" s="17"/>
      <c r="S453" s="17"/>
      <c r="T453" s="17"/>
      <c r="U453" s="17"/>
      <c r="V453" s="17"/>
    </row>
    <row r="454" ht="14.25" customHeight="1">
      <c r="C454" s="29"/>
      <c r="D454" s="30"/>
      <c r="E454" s="29"/>
      <c r="F454" s="4"/>
      <c r="G454" s="4"/>
      <c r="H454" s="4"/>
      <c r="I454" s="26"/>
      <c r="J454" s="26"/>
      <c r="K454" s="17"/>
      <c r="L454" s="17"/>
      <c r="M454" s="29"/>
      <c r="N454" s="29"/>
      <c r="O454" s="4"/>
      <c r="P454" s="4"/>
      <c r="Q454" s="4"/>
      <c r="R454" s="17"/>
      <c r="S454" s="17"/>
      <c r="T454" s="17"/>
      <c r="U454" s="17"/>
      <c r="V454" s="17"/>
    </row>
    <row r="455" ht="14.25" customHeight="1">
      <c r="C455" s="29"/>
      <c r="D455" s="30"/>
      <c r="E455" s="29"/>
      <c r="F455" s="4"/>
      <c r="G455" s="4"/>
      <c r="H455" s="4"/>
      <c r="I455" s="26"/>
      <c r="J455" s="26"/>
      <c r="K455" s="17"/>
      <c r="L455" s="17"/>
      <c r="M455" s="29"/>
      <c r="N455" s="29"/>
      <c r="O455" s="4"/>
      <c r="P455" s="4"/>
      <c r="Q455" s="4"/>
      <c r="R455" s="17"/>
      <c r="S455" s="17"/>
      <c r="T455" s="17"/>
      <c r="U455" s="17"/>
      <c r="V455" s="17"/>
    </row>
    <row r="456" ht="14.25" customHeight="1">
      <c r="C456" s="29"/>
      <c r="D456" s="30"/>
      <c r="E456" s="29"/>
      <c r="F456" s="4"/>
      <c r="G456" s="4"/>
      <c r="H456" s="4"/>
      <c r="I456" s="26"/>
      <c r="J456" s="26"/>
      <c r="K456" s="17"/>
      <c r="L456" s="17"/>
      <c r="M456" s="29"/>
      <c r="N456" s="29"/>
      <c r="O456" s="4"/>
      <c r="P456" s="4"/>
      <c r="Q456" s="4"/>
      <c r="R456" s="17"/>
      <c r="S456" s="17"/>
      <c r="T456" s="17"/>
      <c r="U456" s="17"/>
      <c r="V456" s="17"/>
    </row>
    <row r="457" ht="14.25" customHeight="1">
      <c r="C457" s="29"/>
      <c r="D457" s="30"/>
      <c r="E457" s="29"/>
      <c r="F457" s="4"/>
      <c r="G457" s="4"/>
      <c r="H457" s="4"/>
      <c r="I457" s="26"/>
      <c r="J457" s="26"/>
      <c r="K457" s="17"/>
      <c r="L457" s="17"/>
      <c r="M457" s="29"/>
      <c r="N457" s="29"/>
      <c r="O457" s="4"/>
      <c r="P457" s="4"/>
      <c r="Q457" s="4"/>
      <c r="R457" s="17"/>
      <c r="S457" s="17"/>
      <c r="T457" s="17"/>
      <c r="U457" s="17"/>
      <c r="V457" s="17"/>
    </row>
    <row r="458" ht="14.25" customHeight="1">
      <c r="C458" s="29"/>
      <c r="D458" s="30"/>
      <c r="E458" s="29"/>
      <c r="F458" s="4"/>
      <c r="G458" s="4"/>
      <c r="H458" s="4"/>
      <c r="I458" s="26"/>
      <c r="J458" s="26"/>
      <c r="K458" s="17"/>
      <c r="L458" s="17"/>
      <c r="M458" s="29"/>
      <c r="N458" s="29"/>
      <c r="O458" s="4"/>
      <c r="P458" s="4"/>
      <c r="Q458" s="4"/>
      <c r="R458" s="17"/>
      <c r="S458" s="17"/>
      <c r="T458" s="17"/>
      <c r="U458" s="17"/>
      <c r="V458" s="17"/>
    </row>
    <row r="459" ht="14.25" customHeight="1">
      <c r="C459" s="29"/>
      <c r="D459" s="30"/>
      <c r="E459" s="29"/>
      <c r="F459" s="4"/>
      <c r="G459" s="4"/>
      <c r="H459" s="4"/>
      <c r="I459" s="26"/>
      <c r="J459" s="26"/>
      <c r="K459" s="17"/>
      <c r="L459" s="17"/>
      <c r="M459" s="29"/>
      <c r="N459" s="29"/>
      <c r="O459" s="4"/>
      <c r="P459" s="4"/>
      <c r="Q459" s="4"/>
      <c r="R459" s="17"/>
      <c r="S459" s="17"/>
      <c r="T459" s="17"/>
      <c r="U459" s="17"/>
      <c r="V459" s="17"/>
    </row>
    <row r="460" ht="14.25" customHeight="1">
      <c r="C460" s="29"/>
      <c r="D460" s="30"/>
      <c r="E460" s="29"/>
      <c r="F460" s="4"/>
      <c r="G460" s="4"/>
      <c r="H460" s="4"/>
      <c r="I460" s="26"/>
      <c r="J460" s="26"/>
      <c r="K460" s="17"/>
      <c r="L460" s="17"/>
      <c r="M460" s="29"/>
      <c r="N460" s="29"/>
      <c r="O460" s="4"/>
      <c r="P460" s="4"/>
      <c r="Q460" s="4"/>
      <c r="R460" s="17"/>
      <c r="S460" s="17"/>
      <c r="T460" s="17"/>
      <c r="U460" s="17"/>
      <c r="V460" s="17"/>
    </row>
    <row r="461" ht="14.25" customHeight="1">
      <c r="C461" s="29"/>
      <c r="D461" s="30"/>
      <c r="E461" s="29"/>
      <c r="F461" s="4"/>
      <c r="G461" s="4"/>
      <c r="H461" s="4"/>
      <c r="I461" s="26"/>
      <c r="J461" s="26"/>
      <c r="K461" s="17"/>
      <c r="L461" s="17"/>
      <c r="M461" s="29"/>
      <c r="N461" s="29"/>
      <c r="O461" s="4"/>
      <c r="P461" s="4"/>
      <c r="Q461" s="4"/>
      <c r="R461" s="17"/>
      <c r="S461" s="17"/>
      <c r="T461" s="17"/>
      <c r="U461" s="17"/>
      <c r="V461" s="17"/>
    </row>
    <row r="462" ht="14.25" customHeight="1">
      <c r="C462" s="29"/>
      <c r="D462" s="30"/>
      <c r="E462" s="29"/>
      <c r="F462" s="4"/>
      <c r="G462" s="4"/>
      <c r="H462" s="4"/>
      <c r="I462" s="26"/>
      <c r="J462" s="26"/>
      <c r="K462" s="17"/>
      <c r="L462" s="17"/>
      <c r="M462" s="29"/>
      <c r="N462" s="29"/>
      <c r="O462" s="4"/>
      <c r="P462" s="4"/>
      <c r="Q462" s="4"/>
      <c r="R462" s="17"/>
      <c r="S462" s="17"/>
      <c r="T462" s="17"/>
      <c r="U462" s="17"/>
      <c r="V462" s="17"/>
    </row>
    <row r="463" ht="14.25" customHeight="1">
      <c r="C463" s="29"/>
      <c r="D463" s="30"/>
      <c r="E463" s="29"/>
      <c r="F463" s="4"/>
      <c r="G463" s="4"/>
      <c r="H463" s="4"/>
      <c r="I463" s="26"/>
      <c r="J463" s="26"/>
      <c r="K463" s="17"/>
      <c r="L463" s="17"/>
      <c r="M463" s="29"/>
      <c r="N463" s="29"/>
      <c r="O463" s="4"/>
      <c r="P463" s="4"/>
      <c r="Q463" s="4"/>
      <c r="R463" s="17"/>
      <c r="S463" s="17"/>
      <c r="T463" s="17"/>
      <c r="U463" s="17"/>
      <c r="V463" s="17"/>
    </row>
    <row r="464" ht="14.25" customHeight="1">
      <c r="C464" s="29"/>
      <c r="D464" s="30"/>
      <c r="E464" s="29"/>
      <c r="F464" s="4"/>
      <c r="G464" s="4"/>
      <c r="H464" s="4"/>
      <c r="I464" s="26"/>
      <c r="J464" s="26"/>
      <c r="K464" s="17"/>
      <c r="L464" s="17"/>
      <c r="M464" s="29"/>
      <c r="N464" s="29"/>
      <c r="O464" s="4"/>
      <c r="P464" s="4"/>
      <c r="Q464" s="4"/>
      <c r="R464" s="17"/>
      <c r="S464" s="17"/>
      <c r="T464" s="17"/>
      <c r="U464" s="17"/>
      <c r="V464" s="17"/>
    </row>
    <row r="465" ht="14.25" customHeight="1">
      <c r="C465" s="29"/>
      <c r="D465" s="30"/>
      <c r="E465" s="29"/>
      <c r="F465" s="4"/>
      <c r="G465" s="4"/>
      <c r="H465" s="4"/>
      <c r="I465" s="26"/>
      <c r="J465" s="26"/>
      <c r="K465" s="17"/>
      <c r="L465" s="17"/>
      <c r="M465" s="29"/>
      <c r="N465" s="29"/>
      <c r="O465" s="4"/>
      <c r="P465" s="4"/>
      <c r="Q465" s="4"/>
      <c r="R465" s="17"/>
      <c r="S465" s="17"/>
      <c r="T465" s="17"/>
      <c r="U465" s="17"/>
      <c r="V465" s="17"/>
    </row>
    <row r="466" ht="14.25" customHeight="1">
      <c r="C466" s="29"/>
      <c r="D466" s="30"/>
      <c r="E466" s="29"/>
      <c r="F466" s="4"/>
      <c r="G466" s="4"/>
      <c r="H466" s="4"/>
      <c r="I466" s="26"/>
      <c r="J466" s="26"/>
      <c r="K466" s="17"/>
      <c r="L466" s="17"/>
      <c r="M466" s="29"/>
      <c r="N466" s="29"/>
      <c r="O466" s="4"/>
      <c r="P466" s="4"/>
      <c r="Q466" s="4"/>
      <c r="R466" s="17"/>
      <c r="S466" s="17"/>
      <c r="T466" s="17"/>
      <c r="U466" s="17"/>
      <c r="V466" s="17"/>
    </row>
    <row r="467" ht="14.25" customHeight="1">
      <c r="C467" s="29"/>
      <c r="D467" s="30"/>
      <c r="E467" s="29"/>
      <c r="F467" s="4"/>
      <c r="G467" s="4"/>
      <c r="H467" s="4"/>
      <c r="I467" s="26"/>
      <c r="J467" s="26"/>
      <c r="K467" s="17"/>
      <c r="L467" s="17"/>
      <c r="M467" s="29"/>
      <c r="N467" s="29"/>
      <c r="O467" s="4"/>
      <c r="P467" s="4"/>
      <c r="Q467" s="4"/>
      <c r="R467" s="17"/>
      <c r="S467" s="17"/>
      <c r="T467" s="17"/>
      <c r="U467" s="17"/>
      <c r="V467" s="17"/>
    </row>
    <row r="468" ht="14.25" customHeight="1">
      <c r="C468" s="29"/>
      <c r="D468" s="30"/>
      <c r="E468" s="29"/>
      <c r="F468" s="4"/>
      <c r="G468" s="4"/>
      <c r="H468" s="4"/>
      <c r="I468" s="26"/>
      <c r="J468" s="26"/>
      <c r="K468" s="17"/>
      <c r="L468" s="17"/>
      <c r="M468" s="29"/>
      <c r="N468" s="29"/>
      <c r="O468" s="4"/>
      <c r="P468" s="4"/>
      <c r="Q468" s="4"/>
      <c r="R468" s="17"/>
      <c r="S468" s="17"/>
      <c r="T468" s="17"/>
      <c r="U468" s="17"/>
      <c r="V468" s="17"/>
    </row>
    <row r="469" ht="14.25" customHeight="1">
      <c r="C469" s="29"/>
      <c r="D469" s="30"/>
      <c r="E469" s="29"/>
      <c r="F469" s="4"/>
      <c r="G469" s="4"/>
      <c r="H469" s="4"/>
      <c r="I469" s="26"/>
      <c r="J469" s="26"/>
      <c r="K469" s="17"/>
      <c r="L469" s="17"/>
      <c r="M469" s="29"/>
      <c r="N469" s="29"/>
      <c r="O469" s="4"/>
      <c r="P469" s="4"/>
      <c r="Q469" s="4"/>
      <c r="R469" s="17"/>
      <c r="S469" s="17"/>
      <c r="T469" s="17"/>
      <c r="U469" s="17"/>
      <c r="V469" s="17"/>
    </row>
    <row r="470" ht="14.25" customHeight="1">
      <c r="C470" s="29"/>
      <c r="D470" s="30"/>
      <c r="E470" s="29"/>
      <c r="F470" s="4"/>
      <c r="G470" s="4"/>
      <c r="H470" s="4"/>
      <c r="I470" s="26"/>
      <c r="J470" s="26"/>
      <c r="K470" s="17"/>
      <c r="L470" s="17"/>
      <c r="M470" s="29"/>
      <c r="N470" s="29"/>
      <c r="O470" s="4"/>
      <c r="P470" s="4"/>
      <c r="Q470" s="4"/>
      <c r="R470" s="17"/>
      <c r="S470" s="17"/>
      <c r="T470" s="17"/>
      <c r="U470" s="17"/>
      <c r="V470" s="17"/>
    </row>
    <row r="471" ht="14.25" customHeight="1">
      <c r="C471" s="29"/>
      <c r="D471" s="30"/>
      <c r="E471" s="29"/>
      <c r="F471" s="4"/>
      <c r="G471" s="4"/>
      <c r="H471" s="4"/>
      <c r="I471" s="26"/>
      <c r="J471" s="26"/>
      <c r="K471" s="17"/>
      <c r="L471" s="17"/>
      <c r="M471" s="29"/>
      <c r="N471" s="29"/>
      <c r="O471" s="4"/>
      <c r="P471" s="4"/>
      <c r="Q471" s="4"/>
      <c r="R471" s="17"/>
      <c r="S471" s="17"/>
      <c r="T471" s="17"/>
      <c r="U471" s="17"/>
      <c r="V471" s="17"/>
    </row>
    <row r="472" ht="14.25" customHeight="1">
      <c r="C472" s="29"/>
      <c r="D472" s="30"/>
      <c r="E472" s="29"/>
      <c r="F472" s="4"/>
      <c r="G472" s="4"/>
      <c r="H472" s="4"/>
      <c r="I472" s="26"/>
      <c r="J472" s="26"/>
      <c r="K472" s="17"/>
      <c r="L472" s="17"/>
      <c r="M472" s="29"/>
      <c r="N472" s="29"/>
      <c r="O472" s="4"/>
      <c r="P472" s="4"/>
      <c r="Q472" s="4"/>
      <c r="R472" s="17"/>
      <c r="S472" s="17"/>
      <c r="T472" s="17"/>
      <c r="U472" s="17"/>
      <c r="V472" s="17"/>
    </row>
    <row r="473" ht="14.25" customHeight="1">
      <c r="C473" s="29"/>
      <c r="D473" s="30"/>
      <c r="E473" s="29"/>
      <c r="F473" s="4"/>
      <c r="G473" s="4"/>
      <c r="H473" s="4"/>
      <c r="I473" s="26"/>
      <c r="J473" s="26"/>
      <c r="K473" s="17"/>
      <c r="L473" s="17"/>
      <c r="M473" s="29"/>
      <c r="N473" s="29"/>
      <c r="O473" s="4"/>
      <c r="P473" s="4"/>
      <c r="Q473" s="4"/>
      <c r="R473" s="17"/>
      <c r="S473" s="17"/>
      <c r="T473" s="17"/>
      <c r="U473" s="17"/>
      <c r="V473" s="17"/>
    </row>
    <row r="474" ht="14.25" customHeight="1">
      <c r="C474" s="29"/>
      <c r="D474" s="30"/>
      <c r="E474" s="29"/>
      <c r="F474" s="4"/>
      <c r="G474" s="4"/>
      <c r="H474" s="4"/>
      <c r="I474" s="26"/>
      <c r="J474" s="26"/>
      <c r="K474" s="17"/>
      <c r="L474" s="17"/>
      <c r="M474" s="29"/>
      <c r="N474" s="29"/>
      <c r="O474" s="4"/>
      <c r="P474" s="4"/>
      <c r="Q474" s="4"/>
      <c r="R474" s="17"/>
      <c r="S474" s="17"/>
      <c r="T474" s="17"/>
      <c r="U474" s="17"/>
      <c r="V474" s="17"/>
    </row>
    <row r="475" ht="14.25" customHeight="1">
      <c r="C475" s="29"/>
      <c r="D475" s="30"/>
      <c r="E475" s="29"/>
      <c r="F475" s="4"/>
      <c r="G475" s="4"/>
      <c r="H475" s="4"/>
      <c r="I475" s="26"/>
      <c r="J475" s="26"/>
      <c r="K475" s="17"/>
      <c r="L475" s="17"/>
      <c r="M475" s="29"/>
      <c r="N475" s="29"/>
      <c r="O475" s="4"/>
      <c r="P475" s="4"/>
      <c r="Q475" s="4"/>
      <c r="R475" s="17"/>
      <c r="S475" s="17"/>
      <c r="T475" s="17"/>
      <c r="U475" s="17"/>
      <c r="V475" s="17"/>
    </row>
    <row r="476" ht="14.25" customHeight="1">
      <c r="C476" s="29"/>
      <c r="D476" s="30"/>
      <c r="E476" s="29"/>
      <c r="F476" s="4"/>
      <c r="G476" s="4"/>
      <c r="H476" s="4"/>
      <c r="I476" s="26"/>
      <c r="J476" s="26"/>
      <c r="K476" s="17"/>
      <c r="L476" s="17"/>
      <c r="M476" s="29"/>
      <c r="N476" s="29"/>
      <c r="O476" s="4"/>
      <c r="P476" s="4"/>
      <c r="Q476" s="4"/>
      <c r="R476" s="17"/>
      <c r="S476" s="17"/>
      <c r="T476" s="17"/>
      <c r="U476" s="17"/>
      <c r="V476" s="17"/>
    </row>
    <row r="477" ht="14.25" customHeight="1">
      <c r="C477" s="29"/>
      <c r="D477" s="30"/>
      <c r="E477" s="29"/>
      <c r="F477" s="4"/>
      <c r="G477" s="4"/>
      <c r="H477" s="4"/>
      <c r="I477" s="26"/>
      <c r="J477" s="26"/>
      <c r="K477" s="17"/>
      <c r="L477" s="17"/>
      <c r="M477" s="29"/>
      <c r="N477" s="29"/>
      <c r="O477" s="4"/>
      <c r="P477" s="4"/>
      <c r="Q477" s="4"/>
      <c r="R477" s="17"/>
      <c r="S477" s="17"/>
      <c r="T477" s="17"/>
      <c r="U477" s="17"/>
      <c r="V477" s="17"/>
    </row>
    <row r="478" ht="14.25" customHeight="1">
      <c r="C478" s="29"/>
      <c r="D478" s="30"/>
      <c r="E478" s="29"/>
      <c r="F478" s="4"/>
      <c r="G478" s="4"/>
      <c r="H478" s="4"/>
      <c r="I478" s="26"/>
      <c r="J478" s="26"/>
      <c r="K478" s="17"/>
      <c r="L478" s="17"/>
      <c r="M478" s="29"/>
      <c r="N478" s="29"/>
      <c r="O478" s="4"/>
      <c r="P478" s="4"/>
      <c r="Q478" s="4"/>
      <c r="R478" s="17"/>
      <c r="S478" s="17"/>
      <c r="T478" s="17"/>
      <c r="U478" s="17"/>
      <c r="V478" s="17"/>
    </row>
    <row r="479" ht="14.25" customHeight="1">
      <c r="C479" s="29"/>
      <c r="D479" s="30"/>
      <c r="E479" s="29"/>
      <c r="F479" s="4"/>
      <c r="G479" s="4"/>
      <c r="H479" s="4"/>
      <c r="I479" s="26"/>
      <c r="J479" s="26"/>
      <c r="K479" s="17"/>
      <c r="L479" s="17"/>
      <c r="M479" s="29"/>
      <c r="N479" s="29"/>
      <c r="O479" s="4"/>
      <c r="P479" s="4"/>
      <c r="Q479" s="4"/>
      <c r="R479" s="17"/>
      <c r="S479" s="17"/>
      <c r="T479" s="17"/>
      <c r="U479" s="17"/>
      <c r="V479" s="17"/>
    </row>
    <row r="480" ht="14.25" customHeight="1">
      <c r="C480" s="29"/>
      <c r="D480" s="30"/>
      <c r="E480" s="29"/>
      <c r="F480" s="4"/>
      <c r="G480" s="4"/>
      <c r="H480" s="4"/>
      <c r="I480" s="26"/>
      <c r="J480" s="26"/>
      <c r="K480" s="17"/>
      <c r="L480" s="17"/>
      <c r="M480" s="29"/>
      <c r="N480" s="29"/>
      <c r="O480" s="4"/>
      <c r="P480" s="4"/>
      <c r="Q480" s="4"/>
      <c r="R480" s="17"/>
      <c r="S480" s="17"/>
      <c r="T480" s="17"/>
      <c r="U480" s="17"/>
      <c r="V480" s="17"/>
    </row>
    <row r="481" ht="14.25" customHeight="1">
      <c r="C481" s="29"/>
      <c r="D481" s="30"/>
      <c r="E481" s="29"/>
      <c r="F481" s="4"/>
      <c r="G481" s="4"/>
      <c r="H481" s="4"/>
      <c r="I481" s="26"/>
      <c r="J481" s="26"/>
      <c r="K481" s="17"/>
      <c r="L481" s="17"/>
      <c r="M481" s="29"/>
      <c r="N481" s="29"/>
      <c r="O481" s="4"/>
      <c r="P481" s="4"/>
      <c r="Q481" s="4"/>
      <c r="R481" s="17"/>
      <c r="S481" s="17"/>
      <c r="T481" s="17"/>
      <c r="U481" s="17"/>
      <c r="V481" s="17"/>
    </row>
    <row r="482" ht="14.25" customHeight="1">
      <c r="C482" s="29"/>
      <c r="D482" s="30"/>
      <c r="E482" s="29"/>
      <c r="F482" s="4"/>
      <c r="G482" s="4"/>
      <c r="H482" s="4"/>
      <c r="I482" s="26"/>
      <c r="J482" s="26"/>
      <c r="K482" s="17"/>
      <c r="L482" s="17"/>
      <c r="M482" s="29"/>
      <c r="N482" s="29"/>
      <c r="O482" s="4"/>
      <c r="P482" s="4"/>
      <c r="Q482" s="4"/>
      <c r="R482" s="17"/>
      <c r="S482" s="17"/>
      <c r="T482" s="17"/>
      <c r="U482" s="17"/>
      <c r="V482" s="17"/>
    </row>
    <row r="483" ht="14.25" customHeight="1">
      <c r="C483" s="29"/>
      <c r="D483" s="30"/>
      <c r="E483" s="29"/>
      <c r="F483" s="4"/>
      <c r="G483" s="4"/>
      <c r="H483" s="4"/>
      <c r="I483" s="26"/>
      <c r="J483" s="26"/>
      <c r="K483" s="17"/>
      <c r="L483" s="17"/>
      <c r="M483" s="29"/>
      <c r="N483" s="29"/>
      <c r="O483" s="4"/>
      <c r="P483" s="4"/>
      <c r="Q483" s="4"/>
      <c r="R483" s="17"/>
      <c r="S483" s="17"/>
      <c r="T483" s="17"/>
      <c r="U483" s="17"/>
      <c r="V483" s="17"/>
    </row>
    <row r="484" ht="14.25" customHeight="1">
      <c r="C484" s="29"/>
      <c r="D484" s="30"/>
      <c r="E484" s="29"/>
      <c r="F484" s="4"/>
      <c r="G484" s="4"/>
      <c r="H484" s="4"/>
      <c r="I484" s="26"/>
      <c r="J484" s="26"/>
      <c r="K484" s="17"/>
      <c r="L484" s="17"/>
      <c r="M484" s="29"/>
      <c r="N484" s="29"/>
      <c r="O484" s="4"/>
      <c r="P484" s="4"/>
      <c r="Q484" s="4"/>
      <c r="R484" s="17"/>
      <c r="S484" s="17"/>
      <c r="T484" s="17"/>
      <c r="U484" s="17"/>
      <c r="V484" s="17"/>
    </row>
    <row r="485" ht="14.25" customHeight="1">
      <c r="C485" s="29"/>
      <c r="D485" s="30"/>
      <c r="E485" s="29"/>
      <c r="F485" s="4"/>
      <c r="G485" s="4"/>
      <c r="H485" s="4"/>
      <c r="I485" s="26"/>
      <c r="J485" s="26"/>
      <c r="K485" s="17"/>
      <c r="L485" s="17"/>
      <c r="M485" s="29"/>
      <c r="N485" s="29"/>
      <c r="O485" s="4"/>
      <c r="P485" s="4"/>
      <c r="Q485" s="4"/>
      <c r="R485" s="17"/>
      <c r="S485" s="17"/>
      <c r="T485" s="17"/>
      <c r="U485" s="17"/>
      <c r="V485" s="17"/>
    </row>
    <row r="486" ht="14.25" customHeight="1">
      <c r="C486" s="29"/>
      <c r="D486" s="30"/>
      <c r="E486" s="29"/>
      <c r="F486" s="4"/>
      <c r="G486" s="4"/>
      <c r="H486" s="4"/>
      <c r="I486" s="26"/>
      <c r="J486" s="26"/>
      <c r="K486" s="17"/>
      <c r="L486" s="17"/>
      <c r="M486" s="29"/>
      <c r="N486" s="29"/>
      <c r="O486" s="4"/>
      <c r="P486" s="4"/>
      <c r="Q486" s="4"/>
      <c r="R486" s="17"/>
      <c r="S486" s="17"/>
      <c r="T486" s="17"/>
      <c r="U486" s="17"/>
      <c r="V486" s="17"/>
    </row>
    <row r="487" ht="14.25" customHeight="1">
      <c r="C487" s="29"/>
      <c r="D487" s="30"/>
      <c r="E487" s="29"/>
      <c r="F487" s="4"/>
      <c r="G487" s="4"/>
      <c r="H487" s="4"/>
      <c r="I487" s="26"/>
      <c r="J487" s="26"/>
      <c r="K487" s="17"/>
      <c r="L487" s="17"/>
      <c r="M487" s="29"/>
      <c r="N487" s="29"/>
      <c r="O487" s="4"/>
      <c r="P487" s="4"/>
      <c r="Q487" s="4"/>
      <c r="R487" s="17"/>
      <c r="S487" s="17"/>
      <c r="T487" s="17"/>
      <c r="U487" s="17"/>
      <c r="V487" s="17"/>
    </row>
    <row r="488" ht="14.25" customHeight="1">
      <c r="C488" s="29"/>
      <c r="D488" s="30"/>
      <c r="E488" s="29"/>
      <c r="F488" s="4"/>
      <c r="G488" s="4"/>
      <c r="H488" s="4"/>
      <c r="I488" s="26"/>
      <c r="J488" s="26"/>
      <c r="K488" s="17"/>
      <c r="L488" s="17"/>
      <c r="M488" s="29"/>
      <c r="N488" s="29"/>
      <c r="O488" s="4"/>
      <c r="P488" s="4"/>
      <c r="Q488" s="4"/>
      <c r="R488" s="17"/>
      <c r="S488" s="17"/>
      <c r="T488" s="17"/>
      <c r="U488" s="17"/>
      <c r="V488" s="17"/>
    </row>
    <row r="489" ht="14.25" customHeight="1">
      <c r="C489" s="29"/>
      <c r="D489" s="30"/>
      <c r="E489" s="29"/>
      <c r="F489" s="4"/>
      <c r="G489" s="4"/>
      <c r="H489" s="4"/>
      <c r="I489" s="26"/>
      <c r="J489" s="26"/>
      <c r="K489" s="17"/>
      <c r="L489" s="17"/>
      <c r="M489" s="29"/>
      <c r="N489" s="29"/>
      <c r="O489" s="4"/>
      <c r="P489" s="4"/>
      <c r="Q489" s="4"/>
      <c r="R489" s="17"/>
      <c r="S489" s="17"/>
      <c r="T489" s="17"/>
      <c r="U489" s="17"/>
      <c r="V489" s="17"/>
    </row>
    <row r="490" ht="14.25" customHeight="1">
      <c r="C490" s="29"/>
      <c r="D490" s="30"/>
      <c r="E490" s="29"/>
      <c r="F490" s="4"/>
      <c r="G490" s="4"/>
      <c r="H490" s="4"/>
      <c r="I490" s="26"/>
      <c r="J490" s="26"/>
      <c r="K490" s="17"/>
      <c r="L490" s="17"/>
      <c r="M490" s="29"/>
      <c r="N490" s="29"/>
      <c r="O490" s="4"/>
      <c r="P490" s="4"/>
      <c r="Q490" s="4"/>
      <c r="R490" s="17"/>
      <c r="S490" s="17"/>
      <c r="T490" s="17"/>
      <c r="U490" s="17"/>
      <c r="V490" s="17"/>
    </row>
    <row r="491" ht="14.25" customHeight="1">
      <c r="C491" s="29"/>
      <c r="D491" s="30"/>
      <c r="E491" s="29"/>
      <c r="F491" s="4"/>
      <c r="G491" s="4"/>
      <c r="H491" s="4"/>
      <c r="I491" s="26"/>
      <c r="J491" s="26"/>
      <c r="K491" s="17"/>
      <c r="L491" s="17"/>
      <c r="M491" s="29"/>
      <c r="N491" s="29"/>
      <c r="O491" s="4"/>
      <c r="P491" s="4"/>
      <c r="Q491" s="4"/>
      <c r="R491" s="17"/>
      <c r="S491" s="17"/>
      <c r="T491" s="17"/>
      <c r="U491" s="17"/>
      <c r="V491" s="17"/>
    </row>
    <row r="492" ht="14.25" customHeight="1">
      <c r="C492" s="29"/>
      <c r="D492" s="30"/>
      <c r="E492" s="29"/>
      <c r="F492" s="4"/>
      <c r="G492" s="4"/>
      <c r="H492" s="4"/>
      <c r="I492" s="26"/>
      <c r="J492" s="26"/>
      <c r="K492" s="17"/>
      <c r="L492" s="17"/>
      <c r="M492" s="29"/>
      <c r="N492" s="29"/>
      <c r="O492" s="4"/>
      <c r="P492" s="4"/>
      <c r="Q492" s="4"/>
      <c r="R492" s="17"/>
      <c r="S492" s="17"/>
      <c r="T492" s="17"/>
      <c r="U492" s="17"/>
      <c r="V492" s="17"/>
    </row>
    <row r="493" ht="14.25" customHeight="1">
      <c r="C493" s="29"/>
      <c r="D493" s="30"/>
      <c r="E493" s="29"/>
      <c r="F493" s="4"/>
      <c r="G493" s="4"/>
      <c r="H493" s="4"/>
      <c r="I493" s="26"/>
      <c r="J493" s="26"/>
      <c r="K493" s="17"/>
      <c r="L493" s="17"/>
      <c r="M493" s="29"/>
      <c r="N493" s="29"/>
      <c r="O493" s="4"/>
      <c r="P493" s="4"/>
      <c r="Q493" s="4"/>
      <c r="R493" s="17"/>
      <c r="S493" s="17"/>
      <c r="T493" s="17"/>
      <c r="U493" s="17"/>
      <c r="V493" s="17"/>
    </row>
    <row r="494" ht="14.25" customHeight="1">
      <c r="C494" s="29"/>
      <c r="D494" s="30"/>
      <c r="E494" s="29"/>
      <c r="F494" s="4"/>
      <c r="G494" s="4"/>
      <c r="H494" s="4"/>
      <c r="I494" s="26"/>
      <c r="J494" s="26"/>
      <c r="K494" s="17"/>
      <c r="L494" s="17"/>
      <c r="M494" s="29"/>
      <c r="N494" s="29"/>
      <c r="O494" s="4"/>
      <c r="P494" s="4"/>
      <c r="Q494" s="4"/>
      <c r="R494" s="17"/>
      <c r="S494" s="17"/>
      <c r="T494" s="17"/>
      <c r="U494" s="17"/>
      <c r="V494" s="17"/>
    </row>
    <row r="495" ht="14.25" customHeight="1">
      <c r="C495" s="29"/>
      <c r="D495" s="30"/>
      <c r="E495" s="29"/>
      <c r="F495" s="4"/>
      <c r="G495" s="4"/>
      <c r="H495" s="4"/>
      <c r="I495" s="26"/>
      <c r="J495" s="26"/>
      <c r="K495" s="17"/>
      <c r="L495" s="17"/>
      <c r="M495" s="29"/>
      <c r="N495" s="29"/>
      <c r="O495" s="4"/>
      <c r="P495" s="4"/>
      <c r="Q495" s="4"/>
      <c r="R495" s="17"/>
      <c r="S495" s="17"/>
      <c r="T495" s="17"/>
      <c r="U495" s="17"/>
      <c r="V495" s="17"/>
    </row>
    <row r="496" ht="14.25" customHeight="1">
      <c r="C496" s="29"/>
      <c r="D496" s="30"/>
      <c r="E496" s="29"/>
      <c r="F496" s="4"/>
      <c r="G496" s="4"/>
      <c r="H496" s="4"/>
      <c r="I496" s="26"/>
      <c r="J496" s="26"/>
      <c r="K496" s="17"/>
      <c r="L496" s="17"/>
      <c r="M496" s="29"/>
      <c r="N496" s="29"/>
      <c r="O496" s="4"/>
      <c r="P496" s="4"/>
      <c r="Q496" s="4"/>
      <c r="R496" s="17"/>
      <c r="S496" s="17"/>
      <c r="T496" s="17"/>
      <c r="U496" s="17"/>
      <c r="V496" s="17"/>
    </row>
    <row r="497" ht="14.25" customHeight="1">
      <c r="C497" s="29"/>
      <c r="D497" s="30"/>
      <c r="E497" s="29"/>
      <c r="F497" s="4"/>
      <c r="G497" s="4"/>
      <c r="H497" s="4"/>
      <c r="I497" s="26"/>
      <c r="J497" s="26"/>
      <c r="K497" s="17"/>
      <c r="L497" s="17"/>
      <c r="M497" s="29"/>
      <c r="N497" s="29"/>
      <c r="O497" s="4"/>
      <c r="P497" s="4"/>
      <c r="Q497" s="4"/>
      <c r="R497" s="17"/>
      <c r="S497" s="17"/>
      <c r="T497" s="17"/>
      <c r="U497" s="17"/>
      <c r="V497" s="17"/>
    </row>
    <row r="498" ht="14.25" customHeight="1">
      <c r="C498" s="29"/>
      <c r="D498" s="30"/>
      <c r="E498" s="29"/>
      <c r="F498" s="4"/>
      <c r="G498" s="4"/>
      <c r="H498" s="4"/>
      <c r="I498" s="26"/>
      <c r="J498" s="26"/>
      <c r="K498" s="17"/>
      <c r="L498" s="17"/>
      <c r="M498" s="29"/>
      <c r="N498" s="29"/>
      <c r="O498" s="4"/>
      <c r="P498" s="4"/>
      <c r="Q498" s="4"/>
      <c r="R498" s="17"/>
      <c r="S498" s="17"/>
      <c r="T498" s="17"/>
      <c r="U498" s="17"/>
      <c r="V498" s="17"/>
    </row>
    <row r="499" ht="14.25" customHeight="1">
      <c r="C499" s="29"/>
      <c r="D499" s="30"/>
      <c r="E499" s="29"/>
      <c r="F499" s="4"/>
      <c r="G499" s="4"/>
      <c r="H499" s="4"/>
      <c r="I499" s="26"/>
      <c r="J499" s="26"/>
      <c r="K499" s="17"/>
      <c r="L499" s="17"/>
      <c r="M499" s="29"/>
      <c r="N499" s="29"/>
      <c r="O499" s="4"/>
      <c r="P499" s="4"/>
      <c r="Q499" s="4"/>
      <c r="R499" s="17"/>
      <c r="S499" s="17"/>
      <c r="T499" s="17"/>
      <c r="U499" s="17"/>
      <c r="V499" s="17"/>
    </row>
    <row r="500" ht="14.25" customHeight="1">
      <c r="C500" s="29"/>
      <c r="D500" s="30"/>
      <c r="E500" s="29"/>
      <c r="F500" s="4"/>
      <c r="G500" s="4"/>
      <c r="H500" s="4"/>
      <c r="I500" s="26"/>
      <c r="J500" s="26"/>
      <c r="K500" s="17"/>
      <c r="L500" s="17"/>
      <c r="M500" s="29"/>
      <c r="N500" s="29"/>
      <c r="O500" s="4"/>
      <c r="P500" s="4"/>
      <c r="Q500" s="4"/>
      <c r="R500" s="17"/>
      <c r="S500" s="17"/>
      <c r="T500" s="17"/>
      <c r="U500" s="17"/>
      <c r="V500" s="17"/>
    </row>
    <row r="501" ht="14.25" customHeight="1">
      <c r="C501" s="29"/>
      <c r="D501" s="30"/>
      <c r="E501" s="29"/>
      <c r="F501" s="4"/>
      <c r="G501" s="4"/>
      <c r="H501" s="4"/>
      <c r="I501" s="26"/>
      <c r="J501" s="26"/>
      <c r="K501" s="17"/>
      <c r="L501" s="17"/>
      <c r="M501" s="29"/>
      <c r="N501" s="29"/>
      <c r="O501" s="4"/>
      <c r="P501" s="4"/>
      <c r="Q501" s="4"/>
      <c r="R501" s="17"/>
      <c r="S501" s="17"/>
      <c r="T501" s="17"/>
      <c r="U501" s="17"/>
      <c r="V501" s="17"/>
    </row>
    <row r="502" ht="14.25" customHeight="1">
      <c r="C502" s="29"/>
      <c r="D502" s="30"/>
      <c r="E502" s="29"/>
      <c r="F502" s="4"/>
      <c r="G502" s="4"/>
      <c r="H502" s="4"/>
      <c r="I502" s="26"/>
      <c r="J502" s="26"/>
      <c r="K502" s="17"/>
      <c r="L502" s="17"/>
      <c r="M502" s="29"/>
      <c r="N502" s="29"/>
      <c r="O502" s="4"/>
      <c r="P502" s="4"/>
      <c r="Q502" s="4"/>
      <c r="R502" s="17"/>
      <c r="S502" s="17"/>
      <c r="T502" s="17"/>
      <c r="U502" s="17"/>
      <c r="V502" s="17"/>
    </row>
    <row r="503" ht="14.25" customHeight="1">
      <c r="C503" s="29"/>
      <c r="D503" s="30"/>
      <c r="E503" s="29"/>
      <c r="F503" s="4"/>
      <c r="G503" s="4"/>
      <c r="H503" s="4"/>
      <c r="I503" s="26"/>
      <c r="J503" s="26"/>
      <c r="K503" s="17"/>
      <c r="L503" s="17"/>
      <c r="M503" s="29"/>
      <c r="N503" s="29"/>
      <c r="O503" s="4"/>
      <c r="P503" s="4"/>
      <c r="Q503" s="4"/>
      <c r="R503" s="17"/>
      <c r="S503" s="17"/>
      <c r="T503" s="17"/>
      <c r="U503" s="17"/>
      <c r="V503" s="17"/>
    </row>
    <row r="504" ht="14.25" customHeight="1">
      <c r="C504" s="29"/>
      <c r="D504" s="30"/>
      <c r="E504" s="29"/>
      <c r="F504" s="4"/>
      <c r="G504" s="4"/>
      <c r="H504" s="4"/>
      <c r="I504" s="26"/>
      <c r="J504" s="26"/>
      <c r="K504" s="17"/>
      <c r="L504" s="17"/>
      <c r="M504" s="29"/>
      <c r="N504" s="29"/>
      <c r="O504" s="4"/>
      <c r="P504" s="4"/>
      <c r="Q504" s="4"/>
      <c r="R504" s="17"/>
      <c r="S504" s="17"/>
      <c r="T504" s="17"/>
      <c r="U504" s="17"/>
      <c r="V504" s="17"/>
    </row>
    <row r="505" ht="14.25" customHeight="1">
      <c r="C505" s="29"/>
      <c r="D505" s="30"/>
      <c r="E505" s="29"/>
      <c r="F505" s="4"/>
      <c r="G505" s="4"/>
      <c r="H505" s="4"/>
      <c r="I505" s="26"/>
      <c r="J505" s="26"/>
      <c r="K505" s="17"/>
      <c r="L505" s="17"/>
      <c r="M505" s="29"/>
      <c r="N505" s="29"/>
      <c r="O505" s="4"/>
      <c r="P505" s="4"/>
      <c r="Q505" s="4"/>
      <c r="R505" s="17"/>
      <c r="S505" s="17"/>
      <c r="T505" s="17"/>
      <c r="U505" s="17"/>
      <c r="V505" s="17"/>
    </row>
    <row r="506" ht="14.25" customHeight="1">
      <c r="C506" s="29"/>
      <c r="D506" s="30"/>
      <c r="E506" s="29"/>
      <c r="F506" s="4"/>
      <c r="G506" s="4"/>
      <c r="H506" s="4"/>
      <c r="I506" s="26"/>
      <c r="J506" s="26"/>
      <c r="K506" s="17"/>
      <c r="L506" s="17"/>
      <c r="M506" s="29"/>
      <c r="N506" s="29"/>
      <c r="O506" s="4"/>
      <c r="P506" s="4"/>
      <c r="Q506" s="4"/>
      <c r="R506" s="17"/>
      <c r="S506" s="17"/>
      <c r="T506" s="17"/>
      <c r="U506" s="17"/>
      <c r="V506" s="17"/>
    </row>
    <row r="507" ht="14.25" customHeight="1">
      <c r="C507" s="29"/>
      <c r="D507" s="30"/>
      <c r="E507" s="29"/>
      <c r="F507" s="4"/>
      <c r="G507" s="4"/>
      <c r="H507" s="4"/>
      <c r="I507" s="26"/>
      <c r="J507" s="26"/>
      <c r="K507" s="17"/>
      <c r="L507" s="17"/>
      <c r="M507" s="29"/>
      <c r="N507" s="29"/>
      <c r="O507" s="4"/>
      <c r="P507" s="4"/>
      <c r="Q507" s="4"/>
      <c r="R507" s="17"/>
      <c r="S507" s="17"/>
      <c r="T507" s="17"/>
      <c r="U507" s="17"/>
      <c r="V507" s="17"/>
    </row>
    <row r="508" ht="14.25" customHeight="1">
      <c r="C508" s="29"/>
      <c r="D508" s="30"/>
      <c r="E508" s="29"/>
      <c r="F508" s="4"/>
      <c r="G508" s="4"/>
      <c r="H508" s="4"/>
      <c r="I508" s="26"/>
      <c r="J508" s="26"/>
      <c r="K508" s="17"/>
      <c r="L508" s="17"/>
      <c r="M508" s="29"/>
      <c r="N508" s="29"/>
      <c r="O508" s="4"/>
      <c r="P508" s="4"/>
      <c r="Q508" s="4"/>
      <c r="R508" s="17"/>
      <c r="S508" s="17"/>
      <c r="T508" s="17"/>
      <c r="U508" s="17"/>
      <c r="V508" s="17"/>
    </row>
    <row r="509" ht="14.25" customHeight="1">
      <c r="C509" s="29"/>
      <c r="D509" s="30"/>
      <c r="E509" s="29"/>
      <c r="F509" s="4"/>
      <c r="G509" s="4"/>
      <c r="H509" s="4"/>
      <c r="I509" s="26"/>
      <c r="J509" s="26"/>
      <c r="K509" s="17"/>
      <c r="L509" s="17"/>
      <c r="M509" s="29"/>
      <c r="N509" s="29"/>
      <c r="O509" s="4"/>
      <c r="P509" s="4"/>
      <c r="Q509" s="4"/>
      <c r="R509" s="17"/>
      <c r="S509" s="17"/>
      <c r="T509" s="17"/>
      <c r="U509" s="17"/>
      <c r="V509" s="17"/>
    </row>
    <row r="510" ht="14.25" customHeight="1">
      <c r="C510" s="29"/>
      <c r="D510" s="30"/>
      <c r="E510" s="29"/>
      <c r="F510" s="4"/>
      <c r="G510" s="4"/>
      <c r="H510" s="4"/>
      <c r="I510" s="26"/>
      <c r="J510" s="26"/>
      <c r="K510" s="17"/>
      <c r="L510" s="17"/>
      <c r="M510" s="29"/>
      <c r="N510" s="29"/>
      <c r="O510" s="4"/>
      <c r="P510" s="4"/>
      <c r="Q510" s="4"/>
      <c r="R510" s="17"/>
      <c r="S510" s="17"/>
      <c r="T510" s="17"/>
      <c r="U510" s="17"/>
      <c r="V510" s="17"/>
    </row>
    <row r="511" ht="14.25" customHeight="1">
      <c r="C511" s="29"/>
      <c r="D511" s="30"/>
      <c r="E511" s="29"/>
      <c r="F511" s="4"/>
      <c r="G511" s="4"/>
      <c r="H511" s="4"/>
      <c r="I511" s="26"/>
      <c r="J511" s="26"/>
      <c r="K511" s="17"/>
      <c r="L511" s="17"/>
      <c r="M511" s="29"/>
      <c r="N511" s="29"/>
      <c r="O511" s="4"/>
      <c r="P511" s="4"/>
      <c r="Q511" s="4"/>
      <c r="R511" s="17"/>
      <c r="S511" s="17"/>
      <c r="T511" s="17"/>
      <c r="U511" s="17"/>
      <c r="V511" s="17"/>
    </row>
    <row r="512" ht="14.25" customHeight="1">
      <c r="C512" s="29"/>
      <c r="D512" s="30"/>
      <c r="E512" s="29"/>
      <c r="F512" s="4"/>
      <c r="G512" s="4"/>
      <c r="H512" s="4"/>
      <c r="I512" s="26"/>
      <c r="J512" s="26"/>
      <c r="K512" s="17"/>
      <c r="L512" s="17"/>
      <c r="M512" s="29"/>
      <c r="N512" s="29"/>
      <c r="O512" s="4"/>
      <c r="P512" s="4"/>
      <c r="Q512" s="4"/>
      <c r="R512" s="17"/>
      <c r="S512" s="17"/>
      <c r="T512" s="17"/>
      <c r="U512" s="17"/>
      <c r="V512" s="17"/>
    </row>
    <row r="513" ht="14.25" customHeight="1">
      <c r="C513" s="29"/>
      <c r="D513" s="30"/>
      <c r="E513" s="29"/>
      <c r="F513" s="4"/>
      <c r="G513" s="4"/>
      <c r="H513" s="4"/>
      <c r="I513" s="26"/>
      <c r="J513" s="26"/>
      <c r="K513" s="17"/>
      <c r="L513" s="17"/>
      <c r="M513" s="29"/>
      <c r="N513" s="29"/>
      <c r="O513" s="4"/>
      <c r="P513" s="4"/>
      <c r="Q513" s="4"/>
      <c r="R513" s="17"/>
      <c r="S513" s="17"/>
      <c r="T513" s="17"/>
      <c r="U513" s="17"/>
      <c r="V513" s="17"/>
    </row>
    <row r="514" ht="14.25" customHeight="1">
      <c r="C514" s="29"/>
      <c r="D514" s="30"/>
      <c r="E514" s="29"/>
      <c r="F514" s="4"/>
      <c r="G514" s="4"/>
      <c r="H514" s="4"/>
      <c r="I514" s="26"/>
      <c r="J514" s="26"/>
      <c r="K514" s="17"/>
      <c r="L514" s="17"/>
      <c r="M514" s="29"/>
      <c r="N514" s="29"/>
      <c r="O514" s="4"/>
      <c r="P514" s="4"/>
      <c r="Q514" s="4"/>
      <c r="R514" s="17"/>
      <c r="S514" s="17"/>
      <c r="T514" s="17"/>
      <c r="U514" s="17"/>
      <c r="V514" s="17"/>
    </row>
    <row r="515" ht="14.25" customHeight="1">
      <c r="C515" s="29"/>
      <c r="D515" s="30"/>
      <c r="E515" s="29"/>
      <c r="F515" s="4"/>
      <c r="G515" s="4"/>
      <c r="H515" s="4"/>
      <c r="I515" s="26"/>
      <c r="J515" s="26"/>
      <c r="K515" s="17"/>
      <c r="L515" s="17"/>
      <c r="M515" s="29"/>
      <c r="N515" s="29"/>
      <c r="O515" s="4"/>
      <c r="P515" s="4"/>
      <c r="Q515" s="4"/>
      <c r="R515" s="17"/>
      <c r="S515" s="17"/>
      <c r="T515" s="17"/>
      <c r="U515" s="17"/>
      <c r="V515" s="17"/>
    </row>
    <row r="516" ht="14.25" customHeight="1">
      <c r="C516" s="29"/>
      <c r="D516" s="30"/>
      <c r="E516" s="29"/>
      <c r="F516" s="4"/>
      <c r="G516" s="4"/>
      <c r="H516" s="4"/>
      <c r="I516" s="26"/>
      <c r="J516" s="26"/>
      <c r="K516" s="17"/>
      <c r="L516" s="17"/>
      <c r="M516" s="29"/>
      <c r="N516" s="29"/>
      <c r="O516" s="4"/>
      <c r="P516" s="4"/>
      <c r="Q516" s="4"/>
      <c r="R516" s="17"/>
      <c r="S516" s="17"/>
      <c r="T516" s="17"/>
      <c r="U516" s="17"/>
      <c r="V516" s="17"/>
    </row>
    <row r="517" ht="14.25" customHeight="1">
      <c r="C517" s="29"/>
      <c r="D517" s="30"/>
      <c r="E517" s="29"/>
      <c r="F517" s="4"/>
      <c r="G517" s="4"/>
      <c r="H517" s="4"/>
      <c r="I517" s="26"/>
      <c r="J517" s="26"/>
      <c r="K517" s="17"/>
      <c r="L517" s="17"/>
      <c r="M517" s="29"/>
      <c r="N517" s="29"/>
      <c r="O517" s="4"/>
      <c r="P517" s="4"/>
      <c r="Q517" s="4"/>
      <c r="R517" s="17"/>
      <c r="S517" s="17"/>
      <c r="T517" s="17"/>
      <c r="U517" s="17"/>
      <c r="V517" s="17"/>
    </row>
    <row r="518" ht="14.25" customHeight="1">
      <c r="C518" s="29"/>
      <c r="D518" s="30"/>
      <c r="E518" s="29"/>
      <c r="F518" s="4"/>
      <c r="G518" s="4"/>
      <c r="H518" s="4"/>
      <c r="I518" s="26"/>
      <c r="J518" s="26"/>
      <c r="K518" s="17"/>
      <c r="L518" s="17"/>
      <c r="M518" s="29"/>
      <c r="N518" s="29"/>
      <c r="O518" s="4"/>
      <c r="P518" s="4"/>
      <c r="Q518" s="4"/>
      <c r="R518" s="17"/>
      <c r="S518" s="17"/>
      <c r="T518" s="17"/>
      <c r="U518" s="17"/>
      <c r="V518" s="17"/>
    </row>
    <row r="519" ht="14.25" customHeight="1">
      <c r="C519" s="29"/>
      <c r="D519" s="30"/>
      <c r="E519" s="29"/>
      <c r="F519" s="4"/>
      <c r="G519" s="4"/>
      <c r="H519" s="4"/>
      <c r="I519" s="26"/>
      <c r="J519" s="26"/>
      <c r="K519" s="17"/>
      <c r="L519" s="17"/>
      <c r="M519" s="29"/>
      <c r="N519" s="29"/>
      <c r="O519" s="4"/>
      <c r="P519" s="4"/>
      <c r="Q519" s="4"/>
      <c r="R519" s="17"/>
      <c r="S519" s="17"/>
      <c r="T519" s="17"/>
      <c r="U519" s="17"/>
      <c r="V519" s="17"/>
    </row>
    <row r="520" ht="14.25" customHeight="1">
      <c r="C520" s="29"/>
      <c r="D520" s="30"/>
      <c r="E520" s="29"/>
      <c r="F520" s="4"/>
      <c r="G520" s="4"/>
      <c r="H520" s="4"/>
      <c r="I520" s="26"/>
      <c r="J520" s="26"/>
      <c r="K520" s="17"/>
      <c r="L520" s="17"/>
      <c r="M520" s="29"/>
      <c r="N520" s="29"/>
      <c r="O520" s="4"/>
      <c r="P520" s="4"/>
      <c r="Q520" s="4"/>
      <c r="R520" s="17"/>
      <c r="S520" s="17"/>
      <c r="T520" s="17"/>
      <c r="U520" s="17"/>
      <c r="V520" s="17"/>
    </row>
    <row r="521" ht="14.25" customHeight="1">
      <c r="C521" s="29"/>
      <c r="D521" s="30"/>
      <c r="E521" s="29"/>
      <c r="F521" s="4"/>
      <c r="G521" s="4"/>
      <c r="H521" s="4"/>
      <c r="I521" s="26"/>
      <c r="J521" s="26"/>
      <c r="K521" s="17"/>
      <c r="L521" s="17"/>
      <c r="M521" s="29"/>
      <c r="N521" s="29"/>
      <c r="O521" s="4"/>
      <c r="P521" s="4"/>
      <c r="Q521" s="4"/>
      <c r="R521" s="17"/>
      <c r="S521" s="17"/>
      <c r="T521" s="17"/>
      <c r="U521" s="17"/>
      <c r="V521" s="17"/>
    </row>
    <row r="522" ht="14.25" customHeight="1">
      <c r="C522" s="29"/>
      <c r="D522" s="30"/>
      <c r="E522" s="29"/>
      <c r="F522" s="4"/>
      <c r="G522" s="4"/>
      <c r="H522" s="4"/>
      <c r="I522" s="26"/>
      <c r="J522" s="26"/>
      <c r="K522" s="17"/>
      <c r="L522" s="17"/>
      <c r="M522" s="29"/>
      <c r="N522" s="29"/>
      <c r="O522" s="4"/>
      <c r="P522" s="4"/>
      <c r="Q522" s="4"/>
      <c r="R522" s="17"/>
      <c r="S522" s="17"/>
      <c r="T522" s="17"/>
      <c r="U522" s="17"/>
      <c r="V522" s="17"/>
    </row>
    <row r="523" ht="14.25" customHeight="1">
      <c r="C523" s="29"/>
      <c r="D523" s="30"/>
      <c r="E523" s="29"/>
      <c r="F523" s="4"/>
      <c r="G523" s="4"/>
      <c r="H523" s="4"/>
      <c r="I523" s="26"/>
      <c r="J523" s="26"/>
      <c r="K523" s="17"/>
      <c r="L523" s="17"/>
      <c r="M523" s="29"/>
      <c r="N523" s="29"/>
      <c r="O523" s="4"/>
      <c r="P523" s="4"/>
      <c r="Q523" s="4"/>
      <c r="R523" s="17"/>
      <c r="S523" s="17"/>
      <c r="T523" s="17"/>
      <c r="U523" s="17"/>
      <c r="V523" s="17"/>
    </row>
    <row r="524" ht="14.25" customHeight="1">
      <c r="C524" s="29"/>
      <c r="D524" s="30"/>
      <c r="E524" s="29"/>
      <c r="F524" s="4"/>
      <c r="G524" s="4"/>
      <c r="H524" s="4"/>
      <c r="I524" s="26"/>
      <c r="J524" s="26"/>
      <c r="K524" s="17"/>
      <c r="L524" s="17"/>
      <c r="M524" s="29"/>
      <c r="N524" s="29"/>
      <c r="O524" s="4"/>
      <c r="P524" s="4"/>
      <c r="Q524" s="4"/>
      <c r="R524" s="17"/>
      <c r="S524" s="17"/>
      <c r="T524" s="17"/>
      <c r="U524" s="17"/>
      <c r="V524" s="17"/>
    </row>
    <row r="525" ht="14.25" customHeight="1">
      <c r="C525" s="29"/>
      <c r="D525" s="30"/>
      <c r="E525" s="29"/>
      <c r="F525" s="4"/>
      <c r="G525" s="4"/>
      <c r="H525" s="4"/>
      <c r="I525" s="26"/>
      <c r="J525" s="26"/>
      <c r="K525" s="17"/>
      <c r="L525" s="17"/>
      <c r="M525" s="29"/>
      <c r="N525" s="29"/>
      <c r="O525" s="4"/>
      <c r="P525" s="4"/>
      <c r="Q525" s="4"/>
      <c r="R525" s="17"/>
      <c r="S525" s="17"/>
      <c r="T525" s="17"/>
      <c r="U525" s="17"/>
      <c r="V525" s="17"/>
    </row>
    <row r="526" ht="14.25" customHeight="1">
      <c r="C526" s="29"/>
      <c r="D526" s="30"/>
      <c r="E526" s="29"/>
      <c r="F526" s="4"/>
      <c r="G526" s="4"/>
      <c r="H526" s="4"/>
      <c r="I526" s="26"/>
      <c r="J526" s="26"/>
      <c r="K526" s="17"/>
      <c r="L526" s="17"/>
      <c r="M526" s="29"/>
      <c r="N526" s="29"/>
      <c r="O526" s="4"/>
      <c r="P526" s="4"/>
      <c r="Q526" s="4"/>
      <c r="R526" s="17"/>
      <c r="S526" s="17"/>
      <c r="T526" s="17"/>
      <c r="U526" s="17"/>
      <c r="V526" s="17"/>
    </row>
    <row r="527" ht="14.25" customHeight="1">
      <c r="C527" s="29"/>
      <c r="D527" s="30"/>
      <c r="E527" s="29"/>
      <c r="F527" s="4"/>
      <c r="G527" s="4"/>
      <c r="H527" s="4"/>
      <c r="I527" s="26"/>
      <c r="J527" s="26"/>
      <c r="K527" s="17"/>
      <c r="L527" s="17"/>
      <c r="M527" s="29"/>
      <c r="N527" s="29"/>
      <c r="O527" s="4"/>
      <c r="P527" s="4"/>
      <c r="Q527" s="4"/>
      <c r="R527" s="17"/>
      <c r="S527" s="17"/>
      <c r="T527" s="17"/>
      <c r="U527" s="17"/>
      <c r="V527" s="17"/>
    </row>
    <row r="528" ht="14.25" customHeight="1">
      <c r="C528" s="29"/>
      <c r="D528" s="30"/>
      <c r="E528" s="29"/>
      <c r="F528" s="4"/>
      <c r="G528" s="4"/>
      <c r="H528" s="4"/>
      <c r="I528" s="26"/>
      <c r="J528" s="26"/>
      <c r="K528" s="17"/>
      <c r="L528" s="17"/>
      <c r="M528" s="29"/>
      <c r="N528" s="29"/>
      <c r="O528" s="4"/>
      <c r="P528" s="4"/>
      <c r="Q528" s="4"/>
      <c r="R528" s="17"/>
      <c r="S528" s="17"/>
      <c r="T528" s="17"/>
      <c r="U528" s="17"/>
      <c r="V528" s="17"/>
    </row>
    <row r="529" ht="14.25" customHeight="1">
      <c r="C529" s="29"/>
      <c r="D529" s="30"/>
      <c r="E529" s="29"/>
      <c r="F529" s="4"/>
      <c r="G529" s="4"/>
      <c r="H529" s="4"/>
      <c r="I529" s="26"/>
      <c r="J529" s="26"/>
      <c r="K529" s="17"/>
      <c r="L529" s="17"/>
      <c r="M529" s="29"/>
      <c r="N529" s="29"/>
      <c r="O529" s="4"/>
      <c r="P529" s="4"/>
      <c r="Q529" s="4"/>
      <c r="R529" s="17"/>
      <c r="S529" s="17"/>
      <c r="T529" s="17"/>
      <c r="U529" s="17"/>
      <c r="V529" s="17"/>
    </row>
    <row r="530" ht="14.25" customHeight="1">
      <c r="C530" s="29"/>
      <c r="D530" s="30"/>
      <c r="E530" s="29"/>
      <c r="F530" s="4"/>
      <c r="G530" s="4"/>
      <c r="H530" s="4"/>
      <c r="I530" s="26"/>
      <c r="J530" s="26"/>
      <c r="K530" s="17"/>
      <c r="L530" s="17"/>
      <c r="M530" s="29"/>
      <c r="N530" s="29"/>
      <c r="O530" s="4"/>
      <c r="P530" s="4"/>
      <c r="Q530" s="4"/>
      <c r="R530" s="17"/>
      <c r="S530" s="17"/>
      <c r="T530" s="17"/>
      <c r="U530" s="17"/>
      <c r="V530" s="17"/>
    </row>
    <row r="531" ht="14.25" customHeight="1">
      <c r="C531" s="29"/>
      <c r="D531" s="30"/>
      <c r="E531" s="29"/>
      <c r="F531" s="4"/>
      <c r="G531" s="4"/>
      <c r="H531" s="4"/>
      <c r="I531" s="26"/>
      <c r="J531" s="26"/>
      <c r="K531" s="17"/>
      <c r="L531" s="17"/>
      <c r="M531" s="29"/>
      <c r="N531" s="29"/>
      <c r="O531" s="4"/>
      <c r="P531" s="4"/>
      <c r="Q531" s="4"/>
      <c r="R531" s="17"/>
      <c r="S531" s="17"/>
      <c r="T531" s="17"/>
      <c r="U531" s="17"/>
      <c r="V531" s="17"/>
    </row>
    <row r="532" ht="14.25" customHeight="1">
      <c r="C532" s="29"/>
      <c r="D532" s="30"/>
      <c r="E532" s="29"/>
      <c r="F532" s="4"/>
      <c r="G532" s="4"/>
      <c r="H532" s="4"/>
      <c r="I532" s="26"/>
      <c r="J532" s="26"/>
      <c r="K532" s="17"/>
      <c r="L532" s="17"/>
      <c r="M532" s="29"/>
      <c r="N532" s="29"/>
      <c r="O532" s="4"/>
      <c r="P532" s="4"/>
      <c r="Q532" s="4"/>
      <c r="R532" s="17"/>
      <c r="S532" s="17"/>
      <c r="T532" s="17"/>
      <c r="U532" s="17"/>
      <c r="V532" s="17"/>
    </row>
    <row r="533" ht="14.25" customHeight="1">
      <c r="C533" s="29"/>
      <c r="D533" s="30"/>
      <c r="E533" s="29"/>
      <c r="F533" s="4"/>
      <c r="G533" s="4"/>
      <c r="H533" s="4"/>
      <c r="I533" s="26"/>
      <c r="J533" s="26"/>
      <c r="K533" s="17"/>
      <c r="L533" s="17"/>
      <c r="M533" s="29"/>
      <c r="N533" s="29"/>
      <c r="O533" s="4"/>
      <c r="P533" s="4"/>
      <c r="Q533" s="4"/>
      <c r="R533" s="17"/>
      <c r="S533" s="17"/>
      <c r="T533" s="17"/>
      <c r="U533" s="17"/>
      <c r="V533" s="17"/>
    </row>
    <row r="534" ht="14.25" customHeight="1">
      <c r="C534" s="29"/>
      <c r="D534" s="30"/>
      <c r="E534" s="29"/>
      <c r="F534" s="4"/>
      <c r="G534" s="4"/>
      <c r="H534" s="4"/>
      <c r="I534" s="26"/>
      <c r="J534" s="26"/>
      <c r="K534" s="17"/>
      <c r="L534" s="17"/>
      <c r="M534" s="29"/>
      <c r="N534" s="29"/>
      <c r="O534" s="4"/>
      <c r="P534" s="4"/>
      <c r="Q534" s="4"/>
      <c r="R534" s="17"/>
      <c r="S534" s="17"/>
      <c r="T534" s="17"/>
      <c r="U534" s="17"/>
      <c r="V534" s="17"/>
    </row>
    <row r="535" ht="14.25" customHeight="1">
      <c r="C535" s="29"/>
      <c r="D535" s="30"/>
      <c r="E535" s="29"/>
      <c r="F535" s="4"/>
      <c r="G535" s="4"/>
      <c r="H535" s="4"/>
      <c r="I535" s="26"/>
      <c r="J535" s="26"/>
      <c r="K535" s="17"/>
      <c r="L535" s="17"/>
      <c r="M535" s="29"/>
      <c r="N535" s="29"/>
      <c r="O535" s="4"/>
      <c r="P535" s="4"/>
      <c r="Q535" s="4"/>
      <c r="R535" s="17"/>
      <c r="S535" s="17"/>
      <c r="T535" s="17"/>
      <c r="U535" s="17"/>
      <c r="V535" s="17"/>
    </row>
    <row r="536" ht="14.25" customHeight="1">
      <c r="C536" s="29"/>
      <c r="D536" s="30"/>
      <c r="E536" s="29"/>
      <c r="F536" s="4"/>
      <c r="G536" s="4"/>
      <c r="H536" s="4"/>
      <c r="I536" s="26"/>
      <c r="J536" s="26"/>
      <c r="K536" s="17"/>
      <c r="L536" s="17"/>
      <c r="M536" s="29"/>
      <c r="N536" s="29"/>
      <c r="O536" s="4"/>
      <c r="P536" s="4"/>
      <c r="Q536" s="4"/>
      <c r="R536" s="17"/>
      <c r="S536" s="17"/>
      <c r="T536" s="17"/>
      <c r="U536" s="17"/>
      <c r="V536" s="17"/>
    </row>
    <row r="537" ht="14.25" customHeight="1">
      <c r="C537" s="29"/>
      <c r="D537" s="30"/>
      <c r="E537" s="29"/>
      <c r="F537" s="4"/>
      <c r="G537" s="4"/>
      <c r="H537" s="4"/>
      <c r="I537" s="26"/>
      <c r="J537" s="26"/>
      <c r="K537" s="17"/>
      <c r="L537" s="17"/>
      <c r="M537" s="29"/>
      <c r="N537" s="29"/>
      <c r="O537" s="4"/>
      <c r="P537" s="4"/>
      <c r="Q537" s="4"/>
      <c r="R537" s="17"/>
      <c r="S537" s="17"/>
      <c r="T537" s="17"/>
      <c r="U537" s="17"/>
      <c r="V537" s="17"/>
    </row>
    <row r="538" ht="14.25" customHeight="1">
      <c r="C538" s="29"/>
      <c r="D538" s="30"/>
      <c r="E538" s="29"/>
      <c r="F538" s="4"/>
      <c r="G538" s="4"/>
      <c r="H538" s="4"/>
      <c r="I538" s="26"/>
      <c r="J538" s="26"/>
      <c r="K538" s="17"/>
      <c r="L538" s="17"/>
      <c r="M538" s="29"/>
      <c r="N538" s="29"/>
      <c r="O538" s="4"/>
      <c r="P538" s="4"/>
      <c r="Q538" s="4"/>
      <c r="R538" s="17"/>
      <c r="S538" s="17"/>
      <c r="T538" s="17"/>
      <c r="U538" s="17"/>
      <c r="V538" s="17"/>
    </row>
    <row r="539" ht="14.25" customHeight="1">
      <c r="C539" s="29"/>
      <c r="D539" s="30"/>
      <c r="E539" s="29"/>
      <c r="F539" s="4"/>
      <c r="G539" s="4"/>
      <c r="H539" s="4"/>
      <c r="I539" s="26"/>
      <c r="J539" s="26"/>
      <c r="K539" s="17"/>
      <c r="L539" s="17"/>
      <c r="M539" s="29"/>
      <c r="N539" s="29"/>
      <c r="O539" s="4"/>
      <c r="P539" s="4"/>
      <c r="Q539" s="4"/>
      <c r="R539" s="17"/>
      <c r="S539" s="17"/>
      <c r="T539" s="17"/>
      <c r="U539" s="17"/>
      <c r="V539" s="17"/>
    </row>
    <row r="540" ht="14.25" customHeight="1">
      <c r="C540" s="29"/>
      <c r="D540" s="30"/>
      <c r="E540" s="29"/>
      <c r="F540" s="4"/>
      <c r="G540" s="4"/>
      <c r="H540" s="4"/>
      <c r="I540" s="26"/>
      <c r="J540" s="26"/>
      <c r="K540" s="17"/>
      <c r="L540" s="17"/>
      <c r="M540" s="29"/>
      <c r="N540" s="29"/>
      <c r="O540" s="4"/>
      <c r="P540" s="4"/>
      <c r="Q540" s="4"/>
      <c r="R540" s="17"/>
      <c r="S540" s="17"/>
      <c r="T540" s="17"/>
      <c r="U540" s="17"/>
      <c r="V540" s="17"/>
    </row>
    <row r="541" ht="14.25" customHeight="1">
      <c r="C541" s="29"/>
      <c r="D541" s="30"/>
      <c r="E541" s="29"/>
      <c r="F541" s="4"/>
      <c r="G541" s="4"/>
      <c r="H541" s="4"/>
      <c r="I541" s="26"/>
      <c r="J541" s="26"/>
      <c r="K541" s="17"/>
      <c r="L541" s="17"/>
      <c r="M541" s="29"/>
      <c r="N541" s="29"/>
      <c r="O541" s="4"/>
      <c r="P541" s="4"/>
      <c r="Q541" s="4"/>
      <c r="R541" s="17"/>
      <c r="S541" s="17"/>
      <c r="T541" s="17"/>
      <c r="U541" s="17"/>
      <c r="V541" s="17"/>
    </row>
    <row r="542" ht="14.25" customHeight="1">
      <c r="C542" s="29"/>
      <c r="D542" s="30"/>
      <c r="E542" s="29"/>
      <c r="F542" s="4"/>
      <c r="G542" s="4"/>
      <c r="H542" s="4"/>
      <c r="I542" s="26"/>
      <c r="J542" s="26"/>
      <c r="K542" s="17"/>
      <c r="L542" s="17"/>
      <c r="M542" s="29"/>
      <c r="N542" s="29"/>
      <c r="O542" s="4"/>
      <c r="P542" s="4"/>
      <c r="Q542" s="4"/>
      <c r="R542" s="17"/>
      <c r="S542" s="17"/>
      <c r="T542" s="17"/>
      <c r="U542" s="17"/>
      <c r="V542" s="17"/>
    </row>
    <row r="543" ht="14.25" customHeight="1">
      <c r="C543" s="29"/>
      <c r="D543" s="30"/>
      <c r="E543" s="29"/>
      <c r="F543" s="4"/>
      <c r="G543" s="4"/>
      <c r="H543" s="4"/>
      <c r="I543" s="26"/>
      <c r="J543" s="26"/>
      <c r="K543" s="17"/>
      <c r="L543" s="17"/>
      <c r="M543" s="29"/>
      <c r="N543" s="29"/>
      <c r="O543" s="4"/>
      <c r="P543" s="4"/>
      <c r="Q543" s="4"/>
      <c r="R543" s="17"/>
      <c r="S543" s="17"/>
      <c r="T543" s="17"/>
      <c r="U543" s="17"/>
      <c r="V543" s="17"/>
    </row>
    <row r="544" ht="14.25" customHeight="1">
      <c r="C544" s="29"/>
      <c r="D544" s="30"/>
      <c r="E544" s="29"/>
      <c r="F544" s="4"/>
      <c r="G544" s="4"/>
      <c r="H544" s="4"/>
      <c r="I544" s="26"/>
      <c r="J544" s="26"/>
      <c r="K544" s="17"/>
      <c r="L544" s="17"/>
      <c r="M544" s="29"/>
      <c r="N544" s="29"/>
      <c r="O544" s="4"/>
      <c r="P544" s="4"/>
      <c r="Q544" s="4"/>
      <c r="R544" s="17"/>
      <c r="S544" s="17"/>
      <c r="T544" s="17"/>
      <c r="U544" s="17"/>
      <c r="V544" s="17"/>
    </row>
    <row r="545" ht="14.25" customHeight="1">
      <c r="C545" s="29"/>
      <c r="D545" s="30"/>
      <c r="E545" s="29"/>
      <c r="F545" s="4"/>
      <c r="G545" s="4"/>
      <c r="H545" s="4"/>
      <c r="I545" s="26"/>
      <c r="J545" s="26"/>
      <c r="K545" s="17"/>
      <c r="L545" s="17"/>
      <c r="M545" s="29"/>
      <c r="N545" s="29"/>
      <c r="O545" s="4"/>
      <c r="P545" s="4"/>
      <c r="Q545" s="4"/>
      <c r="R545" s="17"/>
      <c r="S545" s="17"/>
      <c r="T545" s="17"/>
      <c r="U545" s="17"/>
      <c r="V545" s="17"/>
    </row>
    <row r="546" ht="14.25" customHeight="1">
      <c r="C546" s="29"/>
      <c r="D546" s="30"/>
      <c r="E546" s="29"/>
      <c r="F546" s="4"/>
      <c r="G546" s="4"/>
      <c r="H546" s="4"/>
      <c r="I546" s="26"/>
      <c r="J546" s="26"/>
      <c r="K546" s="17"/>
      <c r="L546" s="17"/>
      <c r="M546" s="29"/>
      <c r="N546" s="29"/>
      <c r="O546" s="4"/>
      <c r="P546" s="4"/>
      <c r="Q546" s="4"/>
      <c r="R546" s="17"/>
      <c r="S546" s="17"/>
      <c r="T546" s="17"/>
      <c r="U546" s="17"/>
      <c r="V546" s="17"/>
    </row>
    <row r="547" ht="14.25" customHeight="1">
      <c r="C547" s="29"/>
      <c r="D547" s="30"/>
      <c r="E547" s="29"/>
      <c r="F547" s="4"/>
      <c r="G547" s="4"/>
      <c r="H547" s="4"/>
      <c r="I547" s="26"/>
      <c r="J547" s="26"/>
      <c r="K547" s="17"/>
      <c r="L547" s="17"/>
      <c r="M547" s="29"/>
      <c r="N547" s="29"/>
      <c r="O547" s="4"/>
      <c r="P547" s="4"/>
      <c r="Q547" s="4"/>
      <c r="R547" s="17"/>
      <c r="S547" s="17"/>
      <c r="T547" s="17"/>
      <c r="U547" s="17"/>
      <c r="V547" s="17"/>
    </row>
    <row r="548" ht="14.25" customHeight="1">
      <c r="C548" s="29"/>
      <c r="D548" s="30"/>
      <c r="E548" s="29"/>
      <c r="F548" s="4"/>
      <c r="G548" s="4"/>
      <c r="H548" s="4"/>
      <c r="I548" s="26"/>
      <c r="J548" s="26"/>
      <c r="K548" s="17"/>
      <c r="L548" s="17"/>
      <c r="M548" s="29"/>
      <c r="N548" s="29"/>
      <c r="O548" s="4"/>
      <c r="P548" s="4"/>
      <c r="Q548" s="4"/>
      <c r="R548" s="17"/>
      <c r="S548" s="17"/>
      <c r="T548" s="17"/>
      <c r="U548" s="17"/>
      <c r="V548" s="17"/>
    </row>
    <row r="549" ht="14.25" customHeight="1">
      <c r="C549" s="29"/>
      <c r="D549" s="30"/>
      <c r="E549" s="29"/>
      <c r="F549" s="4"/>
      <c r="G549" s="4"/>
      <c r="H549" s="4"/>
      <c r="I549" s="26"/>
      <c r="J549" s="26"/>
      <c r="K549" s="17"/>
      <c r="L549" s="17"/>
      <c r="M549" s="29"/>
      <c r="N549" s="29"/>
      <c r="O549" s="4"/>
      <c r="P549" s="4"/>
      <c r="Q549" s="4"/>
      <c r="R549" s="17"/>
      <c r="S549" s="17"/>
      <c r="T549" s="17"/>
      <c r="U549" s="17"/>
      <c r="V549" s="17"/>
    </row>
    <row r="550" ht="14.25" customHeight="1">
      <c r="C550" s="29"/>
      <c r="D550" s="30"/>
      <c r="E550" s="29"/>
      <c r="F550" s="4"/>
      <c r="G550" s="4"/>
      <c r="H550" s="4"/>
      <c r="I550" s="26"/>
      <c r="J550" s="26"/>
      <c r="K550" s="17"/>
      <c r="L550" s="17"/>
      <c r="M550" s="29"/>
      <c r="N550" s="29"/>
      <c r="O550" s="4"/>
      <c r="P550" s="4"/>
      <c r="Q550" s="4"/>
      <c r="R550" s="17"/>
      <c r="S550" s="17"/>
      <c r="T550" s="17"/>
      <c r="U550" s="17"/>
      <c r="V550" s="17"/>
    </row>
    <row r="551" ht="14.25" customHeight="1">
      <c r="C551" s="29"/>
      <c r="D551" s="30"/>
      <c r="E551" s="29"/>
      <c r="F551" s="4"/>
      <c r="G551" s="4"/>
      <c r="H551" s="4"/>
      <c r="I551" s="26"/>
      <c r="J551" s="26"/>
      <c r="K551" s="17"/>
      <c r="L551" s="17"/>
      <c r="M551" s="29"/>
      <c r="N551" s="29"/>
      <c r="O551" s="4"/>
      <c r="P551" s="4"/>
      <c r="Q551" s="4"/>
      <c r="R551" s="17"/>
      <c r="S551" s="17"/>
      <c r="T551" s="17"/>
      <c r="U551" s="17"/>
      <c r="V551" s="17"/>
    </row>
    <row r="552" ht="14.25" customHeight="1">
      <c r="C552" s="29"/>
      <c r="D552" s="30"/>
      <c r="E552" s="29"/>
      <c r="F552" s="4"/>
      <c r="G552" s="4"/>
      <c r="H552" s="4"/>
      <c r="I552" s="26"/>
      <c r="J552" s="26"/>
      <c r="K552" s="17"/>
      <c r="L552" s="17"/>
      <c r="M552" s="29"/>
      <c r="N552" s="29"/>
      <c r="O552" s="4"/>
      <c r="P552" s="4"/>
      <c r="Q552" s="4"/>
      <c r="R552" s="17"/>
      <c r="S552" s="17"/>
      <c r="T552" s="17"/>
      <c r="U552" s="17"/>
      <c r="V552" s="17"/>
    </row>
    <row r="553" ht="14.25" customHeight="1">
      <c r="C553" s="29"/>
      <c r="D553" s="30"/>
      <c r="E553" s="29"/>
      <c r="F553" s="4"/>
      <c r="G553" s="4"/>
      <c r="H553" s="4"/>
      <c r="I553" s="26"/>
      <c r="J553" s="26"/>
      <c r="K553" s="17"/>
      <c r="L553" s="17"/>
      <c r="M553" s="29"/>
      <c r="N553" s="29"/>
      <c r="O553" s="4"/>
      <c r="P553" s="4"/>
      <c r="Q553" s="4"/>
      <c r="R553" s="17"/>
      <c r="S553" s="17"/>
      <c r="T553" s="17"/>
      <c r="U553" s="17"/>
      <c r="V553" s="17"/>
    </row>
    <row r="554" ht="14.25" customHeight="1">
      <c r="C554" s="29"/>
      <c r="D554" s="30"/>
      <c r="E554" s="29"/>
      <c r="F554" s="4"/>
      <c r="G554" s="4"/>
      <c r="H554" s="4"/>
      <c r="I554" s="26"/>
      <c r="J554" s="26"/>
      <c r="K554" s="17"/>
      <c r="L554" s="17"/>
      <c r="M554" s="29"/>
      <c r="N554" s="29"/>
      <c r="O554" s="4"/>
      <c r="P554" s="4"/>
      <c r="Q554" s="4"/>
      <c r="R554" s="17"/>
      <c r="S554" s="17"/>
      <c r="T554" s="17"/>
      <c r="U554" s="17"/>
      <c r="V554" s="17"/>
    </row>
    <row r="555" ht="14.25" customHeight="1">
      <c r="C555" s="29"/>
      <c r="D555" s="30"/>
      <c r="E555" s="29"/>
      <c r="F555" s="4"/>
      <c r="G555" s="4"/>
      <c r="H555" s="4"/>
      <c r="I555" s="26"/>
      <c r="J555" s="26"/>
      <c r="K555" s="17"/>
      <c r="L555" s="17"/>
      <c r="M555" s="29"/>
      <c r="N555" s="29"/>
      <c r="O555" s="4"/>
      <c r="P555" s="4"/>
      <c r="Q555" s="4"/>
      <c r="R555" s="17"/>
      <c r="S555" s="17"/>
      <c r="T555" s="17"/>
      <c r="U555" s="17"/>
      <c r="V555" s="17"/>
    </row>
    <row r="556" ht="14.25" customHeight="1">
      <c r="C556" s="29"/>
      <c r="D556" s="30"/>
      <c r="E556" s="29"/>
      <c r="F556" s="4"/>
      <c r="G556" s="4"/>
      <c r="H556" s="4"/>
      <c r="I556" s="26"/>
      <c r="J556" s="26"/>
      <c r="K556" s="17"/>
      <c r="L556" s="17"/>
      <c r="M556" s="29"/>
      <c r="N556" s="29"/>
      <c r="O556" s="4"/>
      <c r="P556" s="4"/>
      <c r="Q556" s="4"/>
      <c r="R556" s="17"/>
      <c r="S556" s="17"/>
      <c r="T556" s="17"/>
      <c r="U556" s="17"/>
      <c r="V556" s="17"/>
    </row>
    <row r="557" ht="14.25" customHeight="1">
      <c r="C557" s="29"/>
      <c r="D557" s="30"/>
      <c r="E557" s="29"/>
      <c r="F557" s="4"/>
      <c r="G557" s="4"/>
      <c r="H557" s="4"/>
      <c r="I557" s="26"/>
      <c r="J557" s="26"/>
      <c r="K557" s="17"/>
      <c r="L557" s="17"/>
      <c r="M557" s="29"/>
      <c r="N557" s="29"/>
      <c r="O557" s="4"/>
      <c r="P557" s="4"/>
      <c r="Q557" s="4"/>
      <c r="R557" s="17"/>
      <c r="S557" s="17"/>
      <c r="T557" s="17"/>
      <c r="U557" s="17"/>
      <c r="V557" s="17"/>
    </row>
    <row r="558" ht="14.25" customHeight="1">
      <c r="C558" s="29"/>
      <c r="D558" s="30"/>
      <c r="E558" s="29"/>
      <c r="F558" s="4"/>
      <c r="G558" s="4"/>
      <c r="H558" s="4"/>
      <c r="I558" s="26"/>
      <c r="J558" s="26"/>
      <c r="K558" s="17"/>
      <c r="L558" s="17"/>
      <c r="M558" s="29"/>
      <c r="N558" s="29"/>
      <c r="O558" s="4"/>
      <c r="P558" s="4"/>
      <c r="Q558" s="4"/>
      <c r="R558" s="17"/>
      <c r="S558" s="17"/>
      <c r="T558" s="17"/>
      <c r="U558" s="17"/>
      <c r="V558" s="17"/>
    </row>
    <row r="559" ht="14.25" customHeight="1">
      <c r="C559" s="29"/>
      <c r="D559" s="30"/>
      <c r="E559" s="29"/>
      <c r="F559" s="4"/>
      <c r="G559" s="4"/>
      <c r="H559" s="4"/>
      <c r="I559" s="26"/>
      <c r="J559" s="26"/>
      <c r="K559" s="17"/>
      <c r="L559" s="17"/>
      <c r="M559" s="29"/>
      <c r="N559" s="29"/>
      <c r="O559" s="4"/>
      <c r="P559" s="4"/>
      <c r="Q559" s="4"/>
      <c r="R559" s="17"/>
      <c r="S559" s="17"/>
      <c r="T559" s="17"/>
      <c r="U559" s="17"/>
      <c r="V559" s="17"/>
    </row>
    <row r="560" ht="14.25" customHeight="1">
      <c r="C560" s="29"/>
      <c r="D560" s="30"/>
      <c r="E560" s="29"/>
      <c r="F560" s="4"/>
      <c r="G560" s="4"/>
      <c r="H560" s="4"/>
      <c r="I560" s="26"/>
      <c r="J560" s="26"/>
      <c r="K560" s="17"/>
      <c r="L560" s="17"/>
      <c r="M560" s="29"/>
      <c r="N560" s="29"/>
      <c r="O560" s="4"/>
      <c r="P560" s="4"/>
      <c r="Q560" s="4"/>
      <c r="R560" s="17"/>
      <c r="S560" s="17"/>
      <c r="T560" s="17"/>
      <c r="U560" s="17"/>
      <c r="V560" s="17"/>
    </row>
    <row r="561" ht="14.25" customHeight="1">
      <c r="C561" s="29"/>
      <c r="D561" s="30"/>
      <c r="E561" s="29"/>
      <c r="F561" s="4"/>
      <c r="G561" s="4"/>
      <c r="H561" s="4"/>
      <c r="I561" s="26"/>
      <c r="J561" s="26"/>
      <c r="K561" s="17"/>
      <c r="L561" s="17"/>
      <c r="M561" s="29"/>
      <c r="N561" s="29"/>
      <c r="O561" s="4"/>
      <c r="P561" s="4"/>
      <c r="Q561" s="4"/>
      <c r="R561" s="17"/>
      <c r="S561" s="17"/>
      <c r="T561" s="17"/>
      <c r="U561" s="17"/>
      <c r="V561" s="17"/>
    </row>
    <row r="562" ht="14.25" customHeight="1">
      <c r="C562" s="29"/>
      <c r="D562" s="30"/>
      <c r="E562" s="29"/>
      <c r="F562" s="4"/>
      <c r="G562" s="4"/>
      <c r="H562" s="4"/>
      <c r="I562" s="26"/>
      <c r="J562" s="26"/>
      <c r="K562" s="17"/>
      <c r="L562" s="17"/>
      <c r="M562" s="29"/>
      <c r="N562" s="29"/>
      <c r="O562" s="4"/>
      <c r="P562" s="4"/>
      <c r="Q562" s="4"/>
      <c r="R562" s="17"/>
      <c r="S562" s="17"/>
      <c r="T562" s="17"/>
      <c r="U562" s="17"/>
      <c r="V562" s="17"/>
    </row>
    <row r="563" ht="14.25" customHeight="1">
      <c r="C563" s="29"/>
      <c r="D563" s="30"/>
      <c r="E563" s="29"/>
      <c r="F563" s="4"/>
      <c r="G563" s="4"/>
      <c r="H563" s="4"/>
      <c r="I563" s="26"/>
      <c r="J563" s="26"/>
      <c r="K563" s="17"/>
      <c r="L563" s="17"/>
      <c r="M563" s="29"/>
      <c r="N563" s="29"/>
      <c r="O563" s="4"/>
      <c r="P563" s="4"/>
      <c r="Q563" s="4"/>
      <c r="R563" s="17"/>
      <c r="S563" s="17"/>
      <c r="T563" s="17"/>
      <c r="U563" s="17"/>
      <c r="V563" s="17"/>
    </row>
    <row r="564" ht="14.25" customHeight="1">
      <c r="C564" s="29"/>
      <c r="D564" s="30"/>
      <c r="E564" s="29"/>
      <c r="F564" s="4"/>
      <c r="G564" s="4"/>
      <c r="H564" s="4"/>
      <c r="I564" s="26"/>
      <c r="J564" s="26"/>
      <c r="K564" s="17"/>
      <c r="L564" s="17"/>
      <c r="M564" s="29"/>
      <c r="N564" s="29"/>
      <c r="O564" s="4"/>
      <c r="P564" s="4"/>
      <c r="Q564" s="4"/>
      <c r="R564" s="17"/>
      <c r="S564" s="17"/>
      <c r="T564" s="17"/>
      <c r="U564" s="17"/>
      <c r="V564" s="17"/>
    </row>
    <row r="565" ht="14.25" customHeight="1">
      <c r="C565" s="29"/>
      <c r="D565" s="30"/>
      <c r="E565" s="29"/>
      <c r="F565" s="4"/>
      <c r="G565" s="4"/>
      <c r="H565" s="4"/>
      <c r="I565" s="26"/>
      <c r="J565" s="26"/>
      <c r="K565" s="17"/>
      <c r="L565" s="17"/>
      <c r="M565" s="29"/>
      <c r="N565" s="29"/>
      <c r="O565" s="4"/>
      <c r="P565" s="4"/>
      <c r="Q565" s="4"/>
      <c r="R565" s="17"/>
      <c r="S565" s="17"/>
      <c r="T565" s="17"/>
      <c r="U565" s="17"/>
      <c r="V565" s="17"/>
    </row>
    <row r="566" ht="14.25" customHeight="1">
      <c r="C566" s="29"/>
      <c r="D566" s="30"/>
      <c r="E566" s="29"/>
      <c r="F566" s="4"/>
      <c r="G566" s="4"/>
      <c r="H566" s="4"/>
      <c r="I566" s="26"/>
      <c r="J566" s="26"/>
      <c r="K566" s="17"/>
      <c r="L566" s="17"/>
      <c r="M566" s="29"/>
      <c r="N566" s="29"/>
      <c r="O566" s="4"/>
      <c r="P566" s="4"/>
      <c r="Q566" s="4"/>
      <c r="R566" s="17"/>
      <c r="S566" s="17"/>
      <c r="T566" s="17"/>
      <c r="U566" s="17"/>
      <c r="V566" s="17"/>
    </row>
    <row r="567" ht="14.25" customHeight="1">
      <c r="C567" s="29"/>
      <c r="D567" s="30"/>
      <c r="E567" s="29"/>
      <c r="F567" s="4"/>
      <c r="G567" s="4"/>
      <c r="H567" s="4"/>
      <c r="I567" s="26"/>
      <c r="J567" s="26"/>
      <c r="K567" s="17"/>
      <c r="L567" s="17"/>
      <c r="M567" s="29"/>
      <c r="N567" s="29"/>
      <c r="O567" s="4"/>
      <c r="P567" s="4"/>
      <c r="Q567" s="4"/>
      <c r="R567" s="17"/>
      <c r="S567" s="17"/>
      <c r="T567" s="17"/>
      <c r="U567" s="17"/>
      <c r="V567" s="17"/>
    </row>
    <row r="568" ht="14.25" customHeight="1">
      <c r="C568" s="29"/>
      <c r="D568" s="30"/>
      <c r="E568" s="29"/>
      <c r="F568" s="4"/>
      <c r="G568" s="4"/>
      <c r="H568" s="4"/>
      <c r="I568" s="26"/>
      <c r="J568" s="26"/>
      <c r="K568" s="17"/>
      <c r="L568" s="17"/>
      <c r="M568" s="29"/>
      <c r="N568" s="29"/>
      <c r="O568" s="4"/>
      <c r="P568" s="4"/>
      <c r="Q568" s="4"/>
      <c r="R568" s="17"/>
      <c r="S568" s="17"/>
      <c r="T568" s="17"/>
      <c r="U568" s="17"/>
      <c r="V568" s="17"/>
    </row>
    <row r="569" ht="14.25" customHeight="1">
      <c r="C569" s="29"/>
      <c r="D569" s="30"/>
      <c r="E569" s="29"/>
      <c r="F569" s="4"/>
      <c r="G569" s="4"/>
      <c r="H569" s="4"/>
      <c r="I569" s="26"/>
      <c r="J569" s="26"/>
      <c r="K569" s="17"/>
      <c r="L569" s="17"/>
      <c r="M569" s="29"/>
      <c r="N569" s="29"/>
      <c r="O569" s="4"/>
      <c r="P569" s="4"/>
      <c r="Q569" s="4"/>
      <c r="R569" s="17"/>
      <c r="S569" s="17"/>
      <c r="T569" s="17"/>
      <c r="U569" s="17"/>
      <c r="V569" s="17"/>
    </row>
    <row r="570" ht="14.25" customHeight="1">
      <c r="C570" s="29"/>
      <c r="D570" s="30"/>
      <c r="E570" s="29"/>
      <c r="F570" s="4"/>
      <c r="G570" s="4"/>
      <c r="H570" s="4"/>
      <c r="I570" s="26"/>
      <c r="J570" s="26"/>
      <c r="K570" s="17"/>
      <c r="L570" s="17"/>
      <c r="M570" s="29"/>
      <c r="N570" s="29"/>
      <c r="O570" s="4"/>
      <c r="P570" s="4"/>
      <c r="Q570" s="4"/>
      <c r="R570" s="17"/>
      <c r="S570" s="17"/>
      <c r="T570" s="17"/>
      <c r="U570" s="17"/>
      <c r="V570" s="17"/>
    </row>
    <row r="571" ht="14.25" customHeight="1">
      <c r="C571" s="29"/>
      <c r="D571" s="30"/>
      <c r="E571" s="29"/>
      <c r="F571" s="4"/>
      <c r="G571" s="4"/>
      <c r="H571" s="4"/>
      <c r="I571" s="26"/>
      <c r="J571" s="26"/>
      <c r="K571" s="17"/>
      <c r="L571" s="17"/>
      <c r="M571" s="29"/>
      <c r="N571" s="29"/>
      <c r="O571" s="4"/>
      <c r="P571" s="4"/>
      <c r="Q571" s="4"/>
      <c r="R571" s="17"/>
      <c r="S571" s="17"/>
      <c r="T571" s="17"/>
      <c r="U571" s="17"/>
      <c r="V571" s="17"/>
    </row>
    <row r="572" ht="14.25" customHeight="1">
      <c r="C572" s="29"/>
      <c r="D572" s="30"/>
      <c r="E572" s="29"/>
      <c r="F572" s="4"/>
      <c r="G572" s="4"/>
      <c r="H572" s="4"/>
      <c r="I572" s="26"/>
      <c r="J572" s="26"/>
      <c r="K572" s="17"/>
      <c r="L572" s="17"/>
      <c r="M572" s="29"/>
      <c r="N572" s="29"/>
      <c r="O572" s="4"/>
      <c r="P572" s="4"/>
      <c r="Q572" s="4"/>
      <c r="R572" s="17"/>
      <c r="S572" s="17"/>
      <c r="T572" s="17"/>
      <c r="U572" s="17"/>
      <c r="V572" s="17"/>
    </row>
    <row r="573" ht="14.25" customHeight="1">
      <c r="C573" s="29"/>
      <c r="D573" s="30"/>
      <c r="E573" s="29"/>
      <c r="F573" s="4"/>
      <c r="G573" s="4"/>
      <c r="H573" s="4"/>
      <c r="I573" s="26"/>
      <c r="J573" s="26"/>
      <c r="K573" s="17"/>
      <c r="L573" s="17"/>
      <c r="M573" s="29"/>
      <c r="N573" s="29"/>
      <c r="O573" s="4"/>
      <c r="P573" s="4"/>
      <c r="Q573" s="4"/>
      <c r="R573" s="17"/>
      <c r="S573" s="17"/>
      <c r="T573" s="17"/>
      <c r="U573" s="17"/>
      <c r="V573" s="17"/>
    </row>
    <row r="574" ht="14.25" customHeight="1">
      <c r="C574" s="29"/>
      <c r="D574" s="30"/>
      <c r="E574" s="29"/>
      <c r="F574" s="4"/>
      <c r="G574" s="4"/>
      <c r="H574" s="4"/>
      <c r="I574" s="26"/>
      <c r="J574" s="26"/>
      <c r="K574" s="17"/>
      <c r="L574" s="17"/>
      <c r="M574" s="29"/>
      <c r="N574" s="29"/>
      <c r="O574" s="4"/>
      <c r="P574" s="4"/>
      <c r="Q574" s="4"/>
      <c r="R574" s="17"/>
      <c r="S574" s="17"/>
      <c r="T574" s="17"/>
      <c r="U574" s="17"/>
      <c r="V574" s="17"/>
    </row>
    <row r="575" ht="14.25" customHeight="1">
      <c r="C575" s="29"/>
      <c r="D575" s="30"/>
      <c r="E575" s="29"/>
      <c r="F575" s="4"/>
      <c r="G575" s="4"/>
      <c r="H575" s="4"/>
      <c r="I575" s="26"/>
      <c r="J575" s="26"/>
      <c r="K575" s="17"/>
      <c r="L575" s="17"/>
      <c r="M575" s="29"/>
      <c r="N575" s="29"/>
      <c r="O575" s="4"/>
      <c r="P575" s="4"/>
      <c r="Q575" s="4"/>
      <c r="R575" s="17"/>
      <c r="S575" s="17"/>
      <c r="T575" s="17"/>
      <c r="U575" s="17"/>
      <c r="V575" s="17"/>
    </row>
    <row r="576" ht="14.25" customHeight="1">
      <c r="C576" s="29"/>
      <c r="D576" s="30"/>
      <c r="E576" s="29"/>
      <c r="F576" s="4"/>
      <c r="G576" s="4"/>
      <c r="H576" s="4"/>
      <c r="I576" s="26"/>
      <c r="J576" s="26"/>
      <c r="K576" s="17"/>
      <c r="L576" s="17"/>
      <c r="M576" s="29"/>
      <c r="N576" s="29"/>
      <c r="O576" s="4"/>
      <c r="P576" s="4"/>
      <c r="Q576" s="4"/>
      <c r="R576" s="17"/>
      <c r="S576" s="17"/>
      <c r="T576" s="17"/>
      <c r="U576" s="17"/>
      <c r="V576" s="17"/>
    </row>
    <row r="577" ht="14.25" customHeight="1">
      <c r="C577" s="29"/>
      <c r="D577" s="30"/>
      <c r="E577" s="29"/>
      <c r="F577" s="4"/>
      <c r="G577" s="4"/>
      <c r="H577" s="4"/>
      <c r="I577" s="26"/>
      <c r="J577" s="26"/>
      <c r="K577" s="17"/>
      <c r="L577" s="17"/>
      <c r="M577" s="29"/>
      <c r="N577" s="29"/>
      <c r="O577" s="4"/>
      <c r="P577" s="4"/>
      <c r="Q577" s="4"/>
      <c r="R577" s="17"/>
      <c r="S577" s="17"/>
      <c r="T577" s="17"/>
      <c r="U577" s="17"/>
      <c r="V577" s="17"/>
    </row>
    <row r="578" ht="14.25" customHeight="1">
      <c r="C578" s="29"/>
      <c r="D578" s="30"/>
      <c r="E578" s="29"/>
      <c r="F578" s="4"/>
      <c r="G578" s="4"/>
      <c r="H578" s="4"/>
      <c r="I578" s="26"/>
      <c r="J578" s="26"/>
      <c r="K578" s="17"/>
      <c r="L578" s="17"/>
      <c r="M578" s="29"/>
      <c r="N578" s="29"/>
      <c r="O578" s="4"/>
      <c r="P578" s="4"/>
      <c r="Q578" s="4"/>
      <c r="R578" s="17"/>
      <c r="S578" s="17"/>
      <c r="T578" s="17"/>
      <c r="U578" s="17"/>
      <c r="V578" s="17"/>
    </row>
    <row r="579" ht="14.25" customHeight="1">
      <c r="C579" s="29"/>
      <c r="D579" s="30"/>
      <c r="E579" s="29"/>
      <c r="F579" s="4"/>
      <c r="G579" s="4"/>
      <c r="H579" s="4"/>
      <c r="I579" s="26"/>
      <c r="J579" s="26"/>
      <c r="K579" s="17"/>
      <c r="L579" s="17"/>
      <c r="M579" s="29"/>
      <c r="N579" s="29"/>
      <c r="O579" s="4"/>
      <c r="P579" s="4"/>
      <c r="Q579" s="4"/>
      <c r="R579" s="17"/>
      <c r="S579" s="17"/>
      <c r="T579" s="17"/>
      <c r="U579" s="17"/>
      <c r="V579" s="17"/>
    </row>
    <row r="580" ht="14.25" customHeight="1">
      <c r="C580" s="29"/>
      <c r="D580" s="30"/>
      <c r="E580" s="29"/>
      <c r="F580" s="4"/>
      <c r="G580" s="4"/>
      <c r="H580" s="4"/>
      <c r="I580" s="26"/>
      <c r="J580" s="26"/>
      <c r="K580" s="17"/>
      <c r="L580" s="17"/>
      <c r="M580" s="29"/>
      <c r="N580" s="29"/>
      <c r="O580" s="4"/>
      <c r="P580" s="4"/>
      <c r="Q580" s="4"/>
      <c r="R580" s="17"/>
      <c r="S580" s="17"/>
      <c r="T580" s="17"/>
      <c r="U580" s="17"/>
      <c r="V580" s="17"/>
    </row>
    <row r="581" ht="14.25" customHeight="1">
      <c r="C581" s="29"/>
      <c r="D581" s="30"/>
      <c r="E581" s="29"/>
      <c r="F581" s="4"/>
      <c r="G581" s="4"/>
      <c r="H581" s="4"/>
      <c r="I581" s="26"/>
      <c r="J581" s="26"/>
      <c r="K581" s="17"/>
      <c r="L581" s="17"/>
      <c r="M581" s="29"/>
      <c r="N581" s="29"/>
      <c r="O581" s="4"/>
      <c r="P581" s="4"/>
      <c r="Q581" s="4"/>
      <c r="R581" s="17"/>
      <c r="S581" s="17"/>
      <c r="T581" s="17"/>
      <c r="U581" s="17"/>
      <c r="V581" s="17"/>
    </row>
    <row r="582" ht="14.25" customHeight="1">
      <c r="C582" s="29"/>
      <c r="D582" s="30"/>
      <c r="E582" s="29"/>
      <c r="F582" s="4"/>
      <c r="G582" s="4"/>
      <c r="H582" s="4"/>
      <c r="I582" s="26"/>
      <c r="J582" s="26"/>
      <c r="K582" s="17"/>
      <c r="L582" s="17"/>
      <c r="M582" s="29"/>
      <c r="N582" s="29"/>
      <c r="O582" s="4"/>
      <c r="P582" s="4"/>
      <c r="Q582" s="4"/>
      <c r="R582" s="17"/>
      <c r="S582" s="17"/>
      <c r="T582" s="17"/>
      <c r="U582" s="17"/>
      <c r="V582" s="17"/>
    </row>
    <row r="583" ht="14.25" customHeight="1">
      <c r="C583" s="29"/>
      <c r="D583" s="30"/>
      <c r="E583" s="29"/>
      <c r="F583" s="4"/>
      <c r="G583" s="4"/>
      <c r="H583" s="4"/>
      <c r="I583" s="26"/>
      <c r="J583" s="26"/>
      <c r="K583" s="17"/>
      <c r="L583" s="17"/>
      <c r="M583" s="29"/>
      <c r="N583" s="29"/>
      <c r="O583" s="4"/>
      <c r="P583" s="4"/>
      <c r="Q583" s="4"/>
      <c r="R583" s="17"/>
      <c r="S583" s="17"/>
      <c r="T583" s="17"/>
      <c r="U583" s="17"/>
      <c r="V583" s="17"/>
    </row>
    <row r="584" ht="14.25" customHeight="1">
      <c r="C584" s="29"/>
      <c r="D584" s="30"/>
      <c r="E584" s="29"/>
      <c r="F584" s="4"/>
      <c r="G584" s="4"/>
      <c r="H584" s="4"/>
      <c r="I584" s="26"/>
      <c r="J584" s="26"/>
      <c r="K584" s="17"/>
      <c r="L584" s="17"/>
      <c r="M584" s="29"/>
      <c r="N584" s="29"/>
      <c r="O584" s="4"/>
      <c r="P584" s="4"/>
      <c r="Q584" s="4"/>
      <c r="R584" s="17"/>
      <c r="S584" s="17"/>
      <c r="T584" s="17"/>
      <c r="U584" s="17"/>
      <c r="V584" s="17"/>
    </row>
    <row r="585" ht="14.25" customHeight="1">
      <c r="C585" s="29"/>
      <c r="D585" s="30"/>
      <c r="E585" s="29"/>
      <c r="F585" s="4"/>
      <c r="G585" s="4"/>
      <c r="H585" s="4"/>
      <c r="I585" s="26"/>
      <c r="J585" s="26"/>
      <c r="K585" s="17"/>
      <c r="L585" s="17"/>
      <c r="M585" s="29"/>
      <c r="N585" s="29"/>
      <c r="O585" s="4"/>
      <c r="P585" s="4"/>
      <c r="Q585" s="4"/>
      <c r="R585" s="17"/>
      <c r="S585" s="17"/>
      <c r="T585" s="17"/>
      <c r="U585" s="17"/>
      <c r="V585" s="17"/>
    </row>
    <row r="586" ht="14.25" customHeight="1">
      <c r="C586" s="29"/>
      <c r="D586" s="30"/>
      <c r="E586" s="29"/>
      <c r="F586" s="4"/>
      <c r="G586" s="4"/>
      <c r="H586" s="4"/>
      <c r="I586" s="26"/>
      <c r="J586" s="26"/>
      <c r="K586" s="17"/>
      <c r="L586" s="17"/>
      <c r="M586" s="29"/>
      <c r="N586" s="29"/>
      <c r="O586" s="4"/>
      <c r="P586" s="4"/>
      <c r="Q586" s="4"/>
      <c r="R586" s="17"/>
      <c r="S586" s="17"/>
      <c r="T586" s="17"/>
      <c r="U586" s="17"/>
      <c r="V586" s="17"/>
    </row>
    <row r="587" ht="14.25" customHeight="1">
      <c r="C587" s="29"/>
      <c r="D587" s="30"/>
      <c r="E587" s="29"/>
      <c r="F587" s="4"/>
      <c r="G587" s="4"/>
      <c r="H587" s="4"/>
      <c r="I587" s="26"/>
      <c r="J587" s="26"/>
      <c r="K587" s="17"/>
      <c r="L587" s="17"/>
      <c r="M587" s="29"/>
      <c r="N587" s="29"/>
      <c r="O587" s="4"/>
      <c r="P587" s="4"/>
      <c r="Q587" s="4"/>
      <c r="R587" s="17"/>
      <c r="S587" s="17"/>
      <c r="T587" s="17"/>
      <c r="U587" s="17"/>
      <c r="V587" s="17"/>
    </row>
    <row r="588" ht="14.25" customHeight="1">
      <c r="C588" s="29"/>
      <c r="D588" s="30"/>
      <c r="E588" s="29"/>
      <c r="F588" s="4"/>
      <c r="G588" s="4"/>
      <c r="H588" s="4"/>
      <c r="I588" s="26"/>
      <c r="J588" s="26"/>
      <c r="K588" s="17"/>
      <c r="L588" s="17"/>
      <c r="M588" s="29"/>
      <c r="N588" s="29"/>
      <c r="O588" s="4"/>
      <c r="P588" s="4"/>
      <c r="Q588" s="4"/>
      <c r="R588" s="17"/>
      <c r="S588" s="17"/>
      <c r="T588" s="17"/>
      <c r="U588" s="17"/>
      <c r="V588" s="17"/>
    </row>
    <row r="589" ht="14.25" customHeight="1">
      <c r="C589" s="29"/>
      <c r="D589" s="30"/>
      <c r="E589" s="29"/>
      <c r="F589" s="4"/>
      <c r="G589" s="4"/>
      <c r="H589" s="4"/>
      <c r="I589" s="26"/>
      <c r="J589" s="26"/>
      <c r="K589" s="17"/>
      <c r="L589" s="17"/>
      <c r="M589" s="29"/>
      <c r="N589" s="29"/>
      <c r="O589" s="4"/>
      <c r="P589" s="4"/>
      <c r="Q589" s="4"/>
      <c r="R589" s="17"/>
      <c r="S589" s="17"/>
      <c r="T589" s="17"/>
      <c r="U589" s="17"/>
      <c r="V589" s="17"/>
    </row>
    <row r="590" ht="14.25" customHeight="1">
      <c r="C590" s="29"/>
      <c r="D590" s="30"/>
      <c r="E590" s="29"/>
      <c r="F590" s="4"/>
      <c r="G590" s="4"/>
      <c r="H590" s="4"/>
      <c r="I590" s="26"/>
      <c r="J590" s="26"/>
      <c r="K590" s="17"/>
      <c r="L590" s="17"/>
      <c r="M590" s="29"/>
      <c r="N590" s="29"/>
      <c r="O590" s="4"/>
      <c r="P590" s="4"/>
      <c r="Q590" s="4"/>
      <c r="R590" s="17"/>
      <c r="S590" s="17"/>
      <c r="T590" s="17"/>
      <c r="U590" s="17"/>
      <c r="V590" s="17"/>
    </row>
    <row r="591" ht="14.25" customHeight="1">
      <c r="C591" s="29"/>
      <c r="D591" s="30"/>
      <c r="E591" s="29"/>
      <c r="F591" s="4"/>
      <c r="G591" s="4"/>
      <c r="H591" s="4"/>
      <c r="I591" s="26"/>
      <c r="J591" s="26"/>
      <c r="K591" s="17"/>
      <c r="L591" s="17"/>
      <c r="M591" s="29"/>
      <c r="N591" s="29"/>
      <c r="O591" s="4"/>
      <c r="P591" s="4"/>
      <c r="Q591" s="4"/>
      <c r="R591" s="17"/>
      <c r="S591" s="17"/>
      <c r="T591" s="17"/>
      <c r="U591" s="17"/>
      <c r="V591" s="17"/>
    </row>
    <row r="592" ht="14.25" customHeight="1">
      <c r="C592" s="29"/>
      <c r="D592" s="30"/>
      <c r="E592" s="29"/>
      <c r="F592" s="4"/>
      <c r="G592" s="4"/>
      <c r="H592" s="4"/>
      <c r="I592" s="26"/>
      <c r="J592" s="26"/>
      <c r="K592" s="17"/>
      <c r="L592" s="17"/>
      <c r="M592" s="29"/>
      <c r="N592" s="29"/>
      <c r="O592" s="4"/>
      <c r="P592" s="4"/>
      <c r="Q592" s="4"/>
      <c r="R592" s="17"/>
      <c r="S592" s="17"/>
      <c r="T592" s="17"/>
      <c r="U592" s="17"/>
      <c r="V592" s="17"/>
    </row>
    <row r="593" ht="14.25" customHeight="1">
      <c r="C593" s="29"/>
      <c r="D593" s="30"/>
      <c r="E593" s="29"/>
      <c r="F593" s="4"/>
      <c r="G593" s="4"/>
      <c r="H593" s="4"/>
      <c r="I593" s="26"/>
      <c r="J593" s="26"/>
      <c r="K593" s="17"/>
      <c r="L593" s="17"/>
      <c r="M593" s="29"/>
      <c r="N593" s="29"/>
      <c r="O593" s="4"/>
      <c r="P593" s="4"/>
      <c r="Q593" s="4"/>
      <c r="R593" s="17"/>
      <c r="S593" s="17"/>
      <c r="T593" s="17"/>
      <c r="U593" s="17"/>
      <c r="V593" s="17"/>
    </row>
    <row r="594" ht="14.25" customHeight="1">
      <c r="C594" s="29"/>
      <c r="D594" s="30"/>
      <c r="E594" s="29"/>
      <c r="F594" s="4"/>
      <c r="G594" s="4"/>
      <c r="H594" s="4"/>
      <c r="I594" s="26"/>
      <c r="J594" s="26"/>
      <c r="K594" s="17"/>
      <c r="L594" s="17"/>
      <c r="M594" s="29"/>
      <c r="N594" s="29"/>
      <c r="O594" s="4"/>
      <c r="P594" s="4"/>
      <c r="Q594" s="4"/>
      <c r="R594" s="17"/>
      <c r="S594" s="17"/>
      <c r="T594" s="17"/>
      <c r="U594" s="17"/>
      <c r="V594" s="17"/>
    </row>
    <row r="595" ht="14.25" customHeight="1">
      <c r="C595" s="29"/>
      <c r="D595" s="30"/>
      <c r="E595" s="29"/>
      <c r="F595" s="4"/>
      <c r="G595" s="4"/>
      <c r="H595" s="4"/>
      <c r="I595" s="26"/>
      <c r="J595" s="26"/>
      <c r="K595" s="17"/>
      <c r="L595" s="17"/>
      <c r="M595" s="29"/>
      <c r="N595" s="29"/>
      <c r="O595" s="4"/>
      <c r="P595" s="4"/>
      <c r="Q595" s="4"/>
      <c r="R595" s="17"/>
      <c r="S595" s="17"/>
      <c r="T595" s="17"/>
      <c r="U595" s="17"/>
      <c r="V595" s="17"/>
    </row>
    <row r="596" ht="14.25" customHeight="1">
      <c r="C596" s="29"/>
      <c r="D596" s="30"/>
      <c r="E596" s="29"/>
      <c r="F596" s="4"/>
      <c r="G596" s="4"/>
      <c r="H596" s="4"/>
      <c r="I596" s="26"/>
      <c r="J596" s="26"/>
      <c r="K596" s="17"/>
      <c r="L596" s="17"/>
      <c r="M596" s="29"/>
      <c r="N596" s="29"/>
      <c r="O596" s="4"/>
      <c r="P596" s="4"/>
      <c r="Q596" s="4"/>
      <c r="R596" s="17"/>
      <c r="S596" s="17"/>
      <c r="T596" s="17"/>
      <c r="U596" s="17"/>
      <c r="V596" s="17"/>
    </row>
    <row r="597" ht="14.25" customHeight="1">
      <c r="C597" s="29"/>
      <c r="D597" s="30"/>
      <c r="E597" s="29"/>
      <c r="F597" s="4"/>
      <c r="G597" s="4"/>
      <c r="H597" s="4"/>
      <c r="I597" s="26"/>
      <c r="J597" s="26"/>
      <c r="K597" s="17"/>
      <c r="L597" s="17"/>
      <c r="M597" s="29"/>
      <c r="N597" s="29"/>
      <c r="O597" s="4"/>
      <c r="P597" s="4"/>
      <c r="Q597" s="4"/>
      <c r="R597" s="17"/>
      <c r="S597" s="17"/>
      <c r="T597" s="17"/>
      <c r="U597" s="17"/>
      <c r="V597" s="17"/>
    </row>
    <row r="598" ht="14.25" customHeight="1">
      <c r="C598" s="29"/>
      <c r="D598" s="30"/>
      <c r="E598" s="29"/>
      <c r="F598" s="4"/>
      <c r="G598" s="4"/>
      <c r="H598" s="4"/>
      <c r="I598" s="26"/>
      <c r="J598" s="26"/>
      <c r="K598" s="17"/>
      <c r="L598" s="17"/>
      <c r="M598" s="29"/>
      <c r="N598" s="29"/>
      <c r="O598" s="4"/>
      <c r="P598" s="4"/>
      <c r="Q598" s="4"/>
      <c r="R598" s="17"/>
      <c r="S598" s="17"/>
      <c r="T598" s="17"/>
      <c r="U598" s="17"/>
      <c r="V598" s="17"/>
    </row>
    <row r="599" ht="14.25" customHeight="1">
      <c r="C599" s="29"/>
      <c r="D599" s="30"/>
      <c r="E599" s="29"/>
      <c r="F599" s="4"/>
      <c r="G599" s="4"/>
      <c r="H599" s="4"/>
      <c r="I599" s="26"/>
      <c r="J599" s="26"/>
      <c r="K599" s="17"/>
      <c r="L599" s="17"/>
      <c r="M599" s="29"/>
      <c r="N599" s="29"/>
      <c r="O599" s="4"/>
      <c r="P599" s="4"/>
      <c r="Q599" s="4"/>
      <c r="R599" s="17"/>
      <c r="S599" s="17"/>
      <c r="T599" s="17"/>
      <c r="U599" s="17"/>
      <c r="V599" s="17"/>
    </row>
    <row r="600" ht="14.25" customHeight="1">
      <c r="C600" s="29"/>
      <c r="D600" s="30"/>
      <c r="E600" s="29"/>
      <c r="F600" s="4"/>
      <c r="G600" s="4"/>
      <c r="H600" s="4"/>
      <c r="I600" s="26"/>
      <c r="J600" s="26"/>
      <c r="K600" s="17"/>
      <c r="L600" s="17"/>
      <c r="M600" s="29"/>
      <c r="N600" s="29"/>
      <c r="O600" s="4"/>
      <c r="P600" s="4"/>
      <c r="Q600" s="4"/>
      <c r="R600" s="17"/>
      <c r="S600" s="17"/>
      <c r="T600" s="17"/>
      <c r="U600" s="17"/>
      <c r="V600" s="17"/>
    </row>
    <row r="601" ht="14.25" customHeight="1">
      <c r="C601" s="29"/>
      <c r="D601" s="30"/>
      <c r="E601" s="29"/>
      <c r="F601" s="4"/>
      <c r="G601" s="4"/>
      <c r="H601" s="4"/>
      <c r="I601" s="26"/>
      <c r="J601" s="26"/>
      <c r="K601" s="17"/>
      <c r="L601" s="17"/>
      <c r="M601" s="29"/>
      <c r="N601" s="29"/>
      <c r="O601" s="4"/>
      <c r="P601" s="4"/>
      <c r="Q601" s="4"/>
      <c r="R601" s="17"/>
      <c r="S601" s="17"/>
      <c r="T601" s="17"/>
      <c r="U601" s="17"/>
      <c r="V601" s="17"/>
    </row>
    <row r="602" ht="14.25" customHeight="1">
      <c r="C602" s="29"/>
      <c r="D602" s="30"/>
      <c r="E602" s="29"/>
      <c r="F602" s="4"/>
      <c r="G602" s="4"/>
      <c r="H602" s="4"/>
      <c r="I602" s="26"/>
      <c r="J602" s="26"/>
      <c r="K602" s="17"/>
      <c r="L602" s="17"/>
      <c r="M602" s="29"/>
      <c r="N602" s="29"/>
      <c r="O602" s="4"/>
      <c r="P602" s="4"/>
      <c r="Q602" s="4"/>
      <c r="R602" s="17"/>
      <c r="S602" s="17"/>
      <c r="T602" s="17"/>
      <c r="U602" s="17"/>
      <c r="V602" s="17"/>
    </row>
    <row r="603" ht="14.25" customHeight="1">
      <c r="C603" s="29"/>
      <c r="D603" s="30"/>
      <c r="E603" s="29"/>
      <c r="F603" s="4"/>
      <c r="G603" s="4"/>
      <c r="H603" s="4"/>
      <c r="I603" s="26"/>
      <c r="J603" s="26"/>
      <c r="K603" s="17"/>
      <c r="L603" s="17"/>
      <c r="M603" s="29"/>
      <c r="N603" s="29"/>
      <c r="O603" s="4"/>
      <c r="P603" s="4"/>
      <c r="Q603" s="4"/>
      <c r="R603" s="17"/>
      <c r="S603" s="17"/>
      <c r="T603" s="17"/>
      <c r="U603" s="17"/>
      <c r="V603" s="17"/>
    </row>
    <row r="604" ht="14.25" customHeight="1">
      <c r="C604" s="29"/>
      <c r="D604" s="30"/>
      <c r="E604" s="29"/>
      <c r="F604" s="4"/>
      <c r="G604" s="4"/>
      <c r="H604" s="4"/>
      <c r="I604" s="26"/>
      <c r="J604" s="26"/>
      <c r="K604" s="17"/>
      <c r="L604" s="17"/>
      <c r="M604" s="29"/>
      <c r="N604" s="29"/>
      <c r="O604" s="4"/>
      <c r="P604" s="4"/>
      <c r="Q604" s="4"/>
      <c r="R604" s="17"/>
      <c r="S604" s="17"/>
      <c r="T604" s="17"/>
      <c r="U604" s="17"/>
      <c r="V604" s="17"/>
    </row>
    <row r="605" ht="14.25" customHeight="1">
      <c r="C605" s="29"/>
      <c r="D605" s="30"/>
      <c r="E605" s="29"/>
      <c r="F605" s="4"/>
      <c r="G605" s="4"/>
      <c r="H605" s="4"/>
      <c r="I605" s="26"/>
      <c r="J605" s="26"/>
      <c r="K605" s="17"/>
      <c r="L605" s="17"/>
      <c r="M605" s="29"/>
      <c r="N605" s="29"/>
      <c r="O605" s="4"/>
      <c r="P605" s="4"/>
      <c r="Q605" s="4"/>
      <c r="R605" s="17"/>
      <c r="S605" s="17"/>
      <c r="T605" s="17"/>
      <c r="U605" s="17"/>
      <c r="V605" s="17"/>
    </row>
    <row r="606" ht="14.25" customHeight="1">
      <c r="C606" s="29"/>
      <c r="D606" s="30"/>
      <c r="E606" s="29"/>
      <c r="F606" s="4"/>
      <c r="G606" s="4"/>
      <c r="H606" s="4"/>
      <c r="I606" s="26"/>
      <c r="J606" s="26"/>
      <c r="K606" s="17"/>
      <c r="L606" s="17"/>
      <c r="M606" s="29"/>
      <c r="N606" s="29"/>
      <c r="O606" s="4"/>
      <c r="P606" s="4"/>
      <c r="Q606" s="4"/>
      <c r="R606" s="17"/>
      <c r="S606" s="17"/>
      <c r="T606" s="17"/>
      <c r="U606" s="17"/>
      <c r="V606" s="17"/>
    </row>
    <row r="607" ht="14.25" customHeight="1">
      <c r="C607" s="29"/>
      <c r="D607" s="30"/>
      <c r="E607" s="29"/>
      <c r="F607" s="4"/>
      <c r="G607" s="4"/>
      <c r="H607" s="4"/>
      <c r="I607" s="26"/>
      <c r="J607" s="26"/>
      <c r="K607" s="17"/>
      <c r="L607" s="17"/>
      <c r="M607" s="29"/>
      <c r="N607" s="29"/>
      <c r="O607" s="4"/>
      <c r="P607" s="4"/>
      <c r="Q607" s="4"/>
      <c r="R607" s="17"/>
      <c r="S607" s="17"/>
      <c r="T607" s="17"/>
      <c r="U607" s="17"/>
      <c r="V607" s="17"/>
    </row>
    <row r="608" ht="14.25" customHeight="1">
      <c r="C608" s="29"/>
      <c r="D608" s="30"/>
      <c r="E608" s="29"/>
      <c r="F608" s="4"/>
      <c r="G608" s="4"/>
      <c r="H608" s="4"/>
      <c r="I608" s="26"/>
      <c r="J608" s="26"/>
      <c r="K608" s="17"/>
      <c r="L608" s="17"/>
      <c r="M608" s="29"/>
      <c r="N608" s="29"/>
      <c r="O608" s="4"/>
      <c r="P608" s="4"/>
      <c r="Q608" s="4"/>
      <c r="R608" s="17"/>
      <c r="S608" s="17"/>
      <c r="T608" s="17"/>
      <c r="U608" s="17"/>
      <c r="V608" s="17"/>
    </row>
    <row r="609" ht="14.25" customHeight="1">
      <c r="C609" s="29"/>
      <c r="D609" s="30"/>
      <c r="E609" s="29"/>
      <c r="F609" s="4"/>
      <c r="G609" s="4"/>
      <c r="H609" s="4"/>
      <c r="I609" s="26"/>
      <c r="J609" s="26"/>
      <c r="K609" s="17"/>
      <c r="L609" s="17"/>
      <c r="M609" s="29"/>
      <c r="N609" s="29"/>
      <c r="O609" s="4"/>
      <c r="P609" s="4"/>
      <c r="Q609" s="4"/>
      <c r="R609" s="17"/>
      <c r="S609" s="17"/>
      <c r="T609" s="17"/>
      <c r="U609" s="17"/>
      <c r="V609" s="17"/>
    </row>
    <row r="610" ht="14.25" customHeight="1">
      <c r="C610" s="29"/>
      <c r="D610" s="30"/>
      <c r="E610" s="29"/>
      <c r="F610" s="4"/>
      <c r="G610" s="4"/>
      <c r="H610" s="4"/>
      <c r="I610" s="26"/>
      <c r="J610" s="26"/>
      <c r="K610" s="17"/>
      <c r="L610" s="17"/>
      <c r="M610" s="29"/>
      <c r="N610" s="29"/>
      <c r="O610" s="4"/>
      <c r="P610" s="4"/>
      <c r="Q610" s="4"/>
      <c r="R610" s="17"/>
      <c r="S610" s="17"/>
      <c r="T610" s="17"/>
      <c r="U610" s="17"/>
      <c r="V610" s="17"/>
    </row>
    <row r="611" ht="14.25" customHeight="1">
      <c r="C611" s="29"/>
      <c r="D611" s="30"/>
      <c r="E611" s="29"/>
      <c r="F611" s="4"/>
      <c r="G611" s="4"/>
      <c r="H611" s="4"/>
      <c r="I611" s="26"/>
      <c r="J611" s="26"/>
      <c r="K611" s="17"/>
      <c r="L611" s="17"/>
      <c r="M611" s="29"/>
      <c r="N611" s="29"/>
      <c r="O611" s="4"/>
      <c r="P611" s="4"/>
      <c r="Q611" s="4"/>
      <c r="R611" s="17"/>
      <c r="S611" s="17"/>
      <c r="T611" s="17"/>
      <c r="U611" s="17"/>
      <c r="V611" s="17"/>
    </row>
    <row r="612" ht="14.25" customHeight="1">
      <c r="C612" s="29"/>
      <c r="D612" s="30"/>
      <c r="E612" s="29"/>
      <c r="F612" s="4"/>
      <c r="G612" s="4"/>
      <c r="H612" s="4"/>
      <c r="I612" s="26"/>
      <c r="J612" s="26"/>
      <c r="K612" s="17"/>
      <c r="L612" s="17"/>
      <c r="M612" s="29"/>
      <c r="N612" s="29"/>
      <c r="O612" s="4"/>
      <c r="P612" s="4"/>
      <c r="Q612" s="4"/>
      <c r="R612" s="17"/>
      <c r="S612" s="17"/>
      <c r="T612" s="17"/>
      <c r="U612" s="17"/>
      <c r="V612" s="17"/>
    </row>
    <row r="613" ht="14.25" customHeight="1">
      <c r="C613" s="29"/>
      <c r="D613" s="30"/>
      <c r="E613" s="29"/>
      <c r="F613" s="4"/>
      <c r="G613" s="4"/>
      <c r="H613" s="4"/>
      <c r="I613" s="26"/>
      <c r="J613" s="26"/>
      <c r="K613" s="17"/>
      <c r="L613" s="17"/>
      <c r="M613" s="29"/>
      <c r="N613" s="29"/>
      <c r="O613" s="4"/>
      <c r="P613" s="4"/>
      <c r="Q613" s="4"/>
      <c r="R613" s="17"/>
      <c r="S613" s="17"/>
      <c r="T613" s="17"/>
      <c r="U613" s="17"/>
      <c r="V613" s="17"/>
    </row>
    <row r="614" ht="14.25" customHeight="1">
      <c r="C614" s="29"/>
      <c r="D614" s="30"/>
      <c r="E614" s="29"/>
      <c r="F614" s="4"/>
      <c r="G614" s="4"/>
      <c r="H614" s="4"/>
      <c r="I614" s="26"/>
      <c r="J614" s="26"/>
      <c r="K614" s="17"/>
      <c r="L614" s="17"/>
      <c r="M614" s="29"/>
      <c r="N614" s="29"/>
      <c r="O614" s="4"/>
      <c r="P614" s="4"/>
      <c r="Q614" s="4"/>
      <c r="R614" s="17"/>
      <c r="S614" s="17"/>
      <c r="T614" s="17"/>
      <c r="U614" s="17"/>
      <c r="V614" s="17"/>
    </row>
    <row r="615" ht="14.25" customHeight="1">
      <c r="C615" s="29"/>
      <c r="D615" s="30"/>
      <c r="E615" s="29"/>
      <c r="F615" s="4"/>
      <c r="G615" s="4"/>
      <c r="H615" s="4"/>
      <c r="I615" s="26"/>
      <c r="J615" s="26"/>
      <c r="K615" s="17"/>
      <c r="L615" s="17"/>
      <c r="M615" s="29"/>
      <c r="N615" s="29"/>
      <c r="O615" s="4"/>
      <c r="P615" s="4"/>
      <c r="Q615" s="4"/>
      <c r="R615" s="17"/>
      <c r="S615" s="17"/>
      <c r="T615" s="17"/>
      <c r="U615" s="17"/>
      <c r="V615" s="17"/>
    </row>
    <row r="616" ht="14.25" customHeight="1">
      <c r="C616" s="29"/>
      <c r="D616" s="30"/>
      <c r="E616" s="29"/>
      <c r="F616" s="4"/>
      <c r="G616" s="4"/>
      <c r="H616" s="4"/>
      <c r="I616" s="26"/>
      <c r="J616" s="26"/>
      <c r="K616" s="17"/>
      <c r="L616" s="17"/>
      <c r="M616" s="29"/>
      <c r="N616" s="29"/>
      <c r="O616" s="4"/>
      <c r="P616" s="4"/>
      <c r="Q616" s="4"/>
      <c r="R616" s="17"/>
      <c r="S616" s="17"/>
      <c r="T616" s="17"/>
      <c r="U616" s="17"/>
      <c r="V616" s="17"/>
    </row>
    <row r="617" ht="14.25" customHeight="1">
      <c r="C617" s="29"/>
      <c r="D617" s="30"/>
      <c r="E617" s="29"/>
      <c r="F617" s="4"/>
      <c r="G617" s="4"/>
      <c r="H617" s="4"/>
      <c r="I617" s="26"/>
      <c r="J617" s="26"/>
      <c r="K617" s="17"/>
      <c r="L617" s="17"/>
      <c r="M617" s="29"/>
      <c r="N617" s="29"/>
      <c r="O617" s="4"/>
      <c r="P617" s="4"/>
      <c r="Q617" s="4"/>
      <c r="R617" s="17"/>
      <c r="S617" s="17"/>
      <c r="T617" s="17"/>
      <c r="U617" s="17"/>
      <c r="V617" s="17"/>
    </row>
    <row r="618" ht="14.25" customHeight="1">
      <c r="C618" s="29"/>
      <c r="D618" s="30"/>
      <c r="E618" s="29"/>
      <c r="F618" s="4"/>
      <c r="G618" s="4"/>
      <c r="H618" s="4"/>
      <c r="I618" s="26"/>
      <c r="J618" s="26"/>
      <c r="K618" s="17"/>
      <c r="L618" s="17"/>
      <c r="M618" s="29"/>
      <c r="N618" s="29"/>
      <c r="O618" s="4"/>
      <c r="P618" s="4"/>
      <c r="Q618" s="4"/>
      <c r="R618" s="17"/>
      <c r="S618" s="17"/>
      <c r="T618" s="17"/>
      <c r="U618" s="17"/>
      <c r="V618" s="17"/>
    </row>
    <row r="619" ht="14.25" customHeight="1">
      <c r="C619" s="29"/>
      <c r="D619" s="30"/>
      <c r="E619" s="29"/>
      <c r="F619" s="4"/>
      <c r="G619" s="4"/>
      <c r="H619" s="4"/>
      <c r="I619" s="26"/>
      <c r="J619" s="26"/>
      <c r="K619" s="17"/>
      <c r="L619" s="17"/>
      <c r="M619" s="29"/>
      <c r="N619" s="29"/>
      <c r="O619" s="4"/>
      <c r="P619" s="4"/>
      <c r="Q619" s="4"/>
      <c r="R619" s="17"/>
      <c r="S619" s="17"/>
      <c r="T619" s="17"/>
      <c r="U619" s="17"/>
      <c r="V619" s="17"/>
    </row>
    <row r="620" ht="14.25" customHeight="1">
      <c r="C620" s="29"/>
      <c r="D620" s="30"/>
      <c r="E620" s="29"/>
      <c r="F620" s="4"/>
      <c r="G620" s="4"/>
      <c r="H620" s="4"/>
      <c r="I620" s="26"/>
      <c r="J620" s="26"/>
      <c r="K620" s="17"/>
      <c r="L620" s="17"/>
      <c r="M620" s="29"/>
      <c r="N620" s="29"/>
      <c r="O620" s="4"/>
      <c r="P620" s="4"/>
      <c r="Q620" s="4"/>
      <c r="R620" s="17"/>
      <c r="S620" s="17"/>
      <c r="T620" s="17"/>
      <c r="U620" s="17"/>
      <c r="V620" s="17"/>
    </row>
    <row r="621" ht="14.25" customHeight="1">
      <c r="C621" s="29"/>
      <c r="D621" s="30"/>
      <c r="E621" s="29"/>
      <c r="F621" s="4"/>
      <c r="G621" s="4"/>
      <c r="H621" s="4"/>
      <c r="I621" s="26"/>
      <c r="J621" s="26"/>
      <c r="K621" s="17"/>
      <c r="L621" s="17"/>
      <c r="M621" s="29"/>
      <c r="N621" s="29"/>
      <c r="O621" s="4"/>
      <c r="P621" s="4"/>
      <c r="Q621" s="4"/>
      <c r="R621" s="17"/>
      <c r="S621" s="17"/>
      <c r="T621" s="17"/>
      <c r="U621" s="17"/>
      <c r="V621" s="17"/>
    </row>
    <row r="622" ht="14.25" customHeight="1">
      <c r="C622" s="29"/>
      <c r="D622" s="30"/>
      <c r="E622" s="29"/>
      <c r="F622" s="4"/>
      <c r="G622" s="4"/>
      <c r="H622" s="4"/>
      <c r="I622" s="26"/>
      <c r="J622" s="26"/>
      <c r="K622" s="17"/>
      <c r="L622" s="17"/>
      <c r="M622" s="29"/>
      <c r="N622" s="29"/>
      <c r="O622" s="4"/>
      <c r="P622" s="4"/>
      <c r="Q622" s="4"/>
      <c r="R622" s="17"/>
      <c r="S622" s="17"/>
      <c r="T622" s="17"/>
      <c r="U622" s="17"/>
      <c r="V622" s="17"/>
    </row>
    <row r="623" ht="14.25" customHeight="1">
      <c r="C623" s="29"/>
      <c r="D623" s="30"/>
      <c r="E623" s="29"/>
      <c r="F623" s="4"/>
      <c r="G623" s="4"/>
      <c r="H623" s="4"/>
      <c r="I623" s="26"/>
      <c r="J623" s="26"/>
      <c r="K623" s="17"/>
      <c r="L623" s="17"/>
      <c r="M623" s="29"/>
      <c r="N623" s="29"/>
      <c r="O623" s="4"/>
      <c r="P623" s="4"/>
      <c r="Q623" s="4"/>
      <c r="R623" s="17"/>
      <c r="S623" s="17"/>
      <c r="T623" s="17"/>
      <c r="U623" s="17"/>
      <c r="V623" s="17"/>
    </row>
    <row r="624" ht="14.25" customHeight="1">
      <c r="C624" s="29"/>
      <c r="D624" s="30"/>
      <c r="E624" s="29"/>
      <c r="F624" s="4"/>
      <c r="G624" s="4"/>
      <c r="H624" s="4"/>
      <c r="I624" s="26"/>
      <c r="J624" s="26"/>
      <c r="K624" s="17"/>
      <c r="L624" s="17"/>
      <c r="M624" s="29"/>
      <c r="N624" s="29"/>
      <c r="O624" s="4"/>
      <c r="P624" s="4"/>
      <c r="Q624" s="4"/>
      <c r="R624" s="17"/>
      <c r="S624" s="17"/>
      <c r="T624" s="17"/>
      <c r="U624" s="17"/>
      <c r="V624" s="17"/>
    </row>
    <row r="625" ht="14.25" customHeight="1">
      <c r="C625" s="29"/>
      <c r="D625" s="30"/>
      <c r="E625" s="29"/>
      <c r="F625" s="4"/>
      <c r="G625" s="4"/>
      <c r="H625" s="4"/>
      <c r="I625" s="26"/>
      <c r="J625" s="26"/>
      <c r="K625" s="17"/>
      <c r="L625" s="17"/>
      <c r="M625" s="29"/>
      <c r="N625" s="29"/>
      <c r="O625" s="4"/>
      <c r="P625" s="4"/>
      <c r="Q625" s="4"/>
      <c r="R625" s="17"/>
      <c r="S625" s="17"/>
      <c r="T625" s="17"/>
      <c r="U625" s="17"/>
      <c r="V625" s="17"/>
    </row>
    <row r="626" ht="14.25" customHeight="1">
      <c r="C626" s="29"/>
      <c r="D626" s="30"/>
      <c r="E626" s="29"/>
      <c r="F626" s="4"/>
      <c r="G626" s="4"/>
      <c r="H626" s="4"/>
      <c r="I626" s="26"/>
      <c r="J626" s="26"/>
      <c r="K626" s="17"/>
      <c r="L626" s="17"/>
      <c r="M626" s="29"/>
      <c r="N626" s="29"/>
      <c r="O626" s="4"/>
      <c r="P626" s="4"/>
      <c r="Q626" s="4"/>
      <c r="R626" s="17"/>
      <c r="S626" s="17"/>
      <c r="T626" s="17"/>
      <c r="U626" s="17"/>
      <c r="V626" s="17"/>
    </row>
    <row r="627" ht="14.25" customHeight="1">
      <c r="C627" s="29"/>
      <c r="D627" s="30"/>
      <c r="E627" s="29"/>
      <c r="F627" s="4"/>
      <c r="G627" s="4"/>
      <c r="H627" s="4"/>
      <c r="I627" s="26"/>
      <c r="J627" s="26"/>
      <c r="K627" s="17"/>
      <c r="L627" s="17"/>
      <c r="M627" s="29"/>
      <c r="N627" s="29"/>
      <c r="O627" s="4"/>
      <c r="P627" s="4"/>
      <c r="Q627" s="4"/>
      <c r="R627" s="17"/>
      <c r="S627" s="17"/>
      <c r="T627" s="17"/>
      <c r="U627" s="17"/>
      <c r="V627" s="17"/>
    </row>
    <row r="628" ht="14.25" customHeight="1">
      <c r="C628" s="29"/>
      <c r="D628" s="30"/>
      <c r="E628" s="29"/>
      <c r="F628" s="4"/>
      <c r="G628" s="4"/>
      <c r="H628" s="4"/>
      <c r="I628" s="26"/>
      <c r="J628" s="26"/>
      <c r="K628" s="17"/>
      <c r="L628" s="17"/>
      <c r="M628" s="29"/>
      <c r="N628" s="29"/>
      <c r="O628" s="4"/>
      <c r="P628" s="4"/>
      <c r="Q628" s="4"/>
      <c r="R628" s="17"/>
      <c r="S628" s="17"/>
      <c r="T628" s="17"/>
      <c r="U628" s="17"/>
      <c r="V628" s="17"/>
    </row>
    <row r="629" ht="14.25" customHeight="1">
      <c r="C629" s="29"/>
      <c r="D629" s="30"/>
      <c r="E629" s="29"/>
      <c r="F629" s="4"/>
      <c r="G629" s="4"/>
      <c r="H629" s="4"/>
      <c r="I629" s="26"/>
      <c r="J629" s="26"/>
      <c r="K629" s="17"/>
      <c r="L629" s="17"/>
      <c r="M629" s="29"/>
      <c r="N629" s="29"/>
      <c r="O629" s="4"/>
      <c r="P629" s="4"/>
      <c r="Q629" s="4"/>
      <c r="R629" s="17"/>
      <c r="S629" s="17"/>
      <c r="T629" s="17"/>
      <c r="U629" s="17"/>
      <c r="V629" s="17"/>
    </row>
    <row r="630" ht="14.25" customHeight="1">
      <c r="C630" s="29"/>
      <c r="D630" s="30"/>
      <c r="E630" s="29"/>
      <c r="F630" s="4"/>
      <c r="G630" s="4"/>
      <c r="H630" s="4"/>
      <c r="I630" s="26"/>
      <c r="J630" s="26"/>
      <c r="K630" s="17"/>
      <c r="L630" s="17"/>
      <c r="M630" s="29"/>
      <c r="N630" s="29"/>
      <c r="O630" s="4"/>
      <c r="P630" s="4"/>
      <c r="Q630" s="4"/>
      <c r="R630" s="17"/>
      <c r="S630" s="17"/>
      <c r="T630" s="17"/>
      <c r="U630" s="17"/>
      <c r="V630" s="17"/>
    </row>
    <row r="631" ht="14.25" customHeight="1">
      <c r="C631" s="29"/>
      <c r="D631" s="30"/>
      <c r="E631" s="29"/>
      <c r="F631" s="4"/>
      <c r="G631" s="4"/>
      <c r="H631" s="4"/>
      <c r="I631" s="26"/>
      <c r="J631" s="26"/>
      <c r="K631" s="17"/>
      <c r="L631" s="17"/>
      <c r="M631" s="29"/>
      <c r="N631" s="29"/>
      <c r="O631" s="4"/>
      <c r="P631" s="4"/>
      <c r="Q631" s="4"/>
      <c r="R631" s="17"/>
      <c r="S631" s="17"/>
      <c r="T631" s="17"/>
      <c r="U631" s="17"/>
      <c r="V631" s="17"/>
    </row>
    <row r="632" ht="14.25" customHeight="1">
      <c r="C632" s="29"/>
      <c r="D632" s="30"/>
      <c r="E632" s="29"/>
      <c r="F632" s="4"/>
      <c r="G632" s="4"/>
      <c r="H632" s="4"/>
      <c r="I632" s="26"/>
      <c r="J632" s="26"/>
      <c r="K632" s="17"/>
      <c r="L632" s="17"/>
      <c r="M632" s="29"/>
      <c r="N632" s="29"/>
      <c r="O632" s="4"/>
      <c r="P632" s="4"/>
      <c r="Q632" s="4"/>
      <c r="R632" s="17"/>
      <c r="S632" s="17"/>
      <c r="T632" s="17"/>
      <c r="U632" s="17"/>
      <c r="V632" s="17"/>
    </row>
    <row r="633" ht="14.25" customHeight="1">
      <c r="C633" s="29"/>
      <c r="D633" s="30"/>
      <c r="E633" s="29"/>
      <c r="F633" s="4"/>
      <c r="G633" s="4"/>
      <c r="H633" s="4"/>
      <c r="I633" s="26"/>
      <c r="J633" s="26"/>
      <c r="K633" s="17"/>
      <c r="L633" s="17"/>
      <c r="M633" s="29"/>
      <c r="N633" s="29"/>
      <c r="O633" s="4"/>
      <c r="P633" s="4"/>
      <c r="Q633" s="4"/>
      <c r="R633" s="17"/>
      <c r="S633" s="17"/>
      <c r="T633" s="17"/>
      <c r="U633" s="17"/>
      <c r="V633" s="17"/>
    </row>
    <row r="634" ht="14.25" customHeight="1">
      <c r="C634" s="29"/>
      <c r="D634" s="30"/>
      <c r="E634" s="29"/>
      <c r="F634" s="4"/>
      <c r="G634" s="4"/>
      <c r="H634" s="4"/>
      <c r="I634" s="26"/>
      <c r="J634" s="26"/>
      <c r="K634" s="17"/>
      <c r="L634" s="17"/>
      <c r="M634" s="29"/>
      <c r="N634" s="29"/>
      <c r="O634" s="4"/>
      <c r="P634" s="4"/>
      <c r="Q634" s="4"/>
      <c r="R634" s="17"/>
      <c r="S634" s="17"/>
      <c r="T634" s="17"/>
      <c r="U634" s="17"/>
      <c r="V634" s="17"/>
    </row>
    <row r="635" ht="14.25" customHeight="1">
      <c r="C635" s="29"/>
      <c r="D635" s="30"/>
      <c r="E635" s="29"/>
      <c r="F635" s="4"/>
      <c r="G635" s="4"/>
      <c r="H635" s="4"/>
      <c r="I635" s="26"/>
      <c r="J635" s="26"/>
      <c r="K635" s="17"/>
      <c r="L635" s="17"/>
      <c r="M635" s="29"/>
      <c r="N635" s="29"/>
      <c r="O635" s="4"/>
      <c r="P635" s="4"/>
      <c r="Q635" s="4"/>
      <c r="R635" s="17"/>
      <c r="S635" s="17"/>
      <c r="T635" s="17"/>
      <c r="U635" s="17"/>
      <c r="V635" s="17"/>
    </row>
    <row r="636" ht="14.25" customHeight="1">
      <c r="C636" s="29"/>
      <c r="D636" s="30"/>
      <c r="E636" s="29"/>
      <c r="F636" s="4"/>
      <c r="G636" s="4"/>
      <c r="H636" s="4"/>
      <c r="I636" s="26"/>
      <c r="J636" s="26"/>
      <c r="K636" s="17"/>
      <c r="L636" s="17"/>
      <c r="M636" s="29"/>
      <c r="N636" s="29"/>
      <c r="O636" s="4"/>
      <c r="P636" s="4"/>
      <c r="Q636" s="4"/>
      <c r="R636" s="17"/>
      <c r="S636" s="17"/>
      <c r="T636" s="17"/>
      <c r="U636" s="17"/>
      <c r="V636" s="17"/>
    </row>
    <row r="637" ht="14.25" customHeight="1">
      <c r="C637" s="29"/>
      <c r="D637" s="30"/>
      <c r="E637" s="29"/>
      <c r="F637" s="4"/>
      <c r="G637" s="4"/>
      <c r="H637" s="4"/>
      <c r="I637" s="26"/>
      <c r="J637" s="26"/>
      <c r="K637" s="17"/>
      <c r="L637" s="17"/>
      <c r="M637" s="29"/>
      <c r="N637" s="29"/>
      <c r="O637" s="4"/>
      <c r="P637" s="4"/>
      <c r="Q637" s="4"/>
      <c r="R637" s="17"/>
      <c r="S637" s="17"/>
      <c r="T637" s="17"/>
      <c r="U637" s="17"/>
      <c r="V637" s="17"/>
    </row>
    <row r="638" ht="14.25" customHeight="1">
      <c r="C638" s="29"/>
      <c r="D638" s="30"/>
      <c r="E638" s="29"/>
      <c r="F638" s="4"/>
      <c r="G638" s="4"/>
      <c r="H638" s="4"/>
      <c r="I638" s="26"/>
      <c r="J638" s="26"/>
      <c r="K638" s="17"/>
      <c r="L638" s="17"/>
      <c r="M638" s="29"/>
      <c r="N638" s="29"/>
      <c r="O638" s="4"/>
      <c r="P638" s="4"/>
      <c r="Q638" s="4"/>
      <c r="R638" s="17"/>
      <c r="S638" s="17"/>
      <c r="T638" s="17"/>
      <c r="U638" s="17"/>
      <c r="V638" s="17"/>
    </row>
    <row r="639" ht="14.25" customHeight="1">
      <c r="C639" s="29"/>
      <c r="D639" s="30"/>
      <c r="E639" s="29"/>
      <c r="F639" s="4"/>
      <c r="G639" s="4"/>
      <c r="H639" s="4"/>
      <c r="I639" s="26"/>
      <c r="J639" s="26"/>
      <c r="K639" s="17"/>
      <c r="L639" s="17"/>
      <c r="M639" s="29"/>
      <c r="N639" s="29"/>
      <c r="O639" s="4"/>
      <c r="P639" s="4"/>
      <c r="Q639" s="4"/>
      <c r="R639" s="17"/>
      <c r="S639" s="17"/>
      <c r="T639" s="17"/>
      <c r="U639" s="17"/>
      <c r="V639" s="17"/>
    </row>
    <row r="640" ht="14.25" customHeight="1">
      <c r="C640" s="29"/>
      <c r="D640" s="30"/>
      <c r="E640" s="29"/>
      <c r="F640" s="4"/>
      <c r="G640" s="4"/>
      <c r="H640" s="4"/>
      <c r="I640" s="26"/>
      <c r="J640" s="26"/>
      <c r="K640" s="17"/>
      <c r="L640" s="17"/>
      <c r="M640" s="29"/>
      <c r="N640" s="29"/>
      <c r="O640" s="4"/>
      <c r="P640" s="4"/>
      <c r="Q640" s="4"/>
      <c r="R640" s="17"/>
      <c r="S640" s="17"/>
      <c r="T640" s="17"/>
      <c r="U640" s="17"/>
      <c r="V640" s="17"/>
    </row>
    <row r="641" ht="14.25" customHeight="1">
      <c r="C641" s="29"/>
      <c r="D641" s="30"/>
      <c r="E641" s="29"/>
      <c r="F641" s="4"/>
      <c r="G641" s="4"/>
      <c r="H641" s="4"/>
      <c r="I641" s="26"/>
      <c r="J641" s="26"/>
      <c r="K641" s="17"/>
      <c r="L641" s="17"/>
      <c r="M641" s="29"/>
      <c r="N641" s="29"/>
      <c r="O641" s="4"/>
      <c r="P641" s="4"/>
      <c r="Q641" s="4"/>
      <c r="R641" s="17"/>
      <c r="S641" s="17"/>
      <c r="T641" s="17"/>
      <c r="U641" s="17"/>
      <c r="V641" s="17"/>
    </row>
    <row r="642" ht="14.25" customHeight="1">
      <c r="C642" s="29"/>
      <c r="D642" s="30"/>
      <c r="E642" s="29"/>
      <c r="F642" s="4"/>
      <c r="G642" s="4"/>
      <c r="H642" s="4"/>
      <c r="I642" s="26"/>
      <c r="J642" s="26"/>
      <c r="K642" s="17"/>
      <c r="L642" s="17"/>
      <c r="M642" s="29"/>
      <c r="N642" s="29"/>
      <c r="O642" s="4"/>
      <c r="P642" s="4"/>
      <c r="Q642" s="4"/>
      <c r="R642" s="17"/>
      <c r="S642" s="17"/>
      <c r="T642" s="17"/>
      <c r="U642" s="17"/>
      <c r="V642" s="17"/>
    </row>
    <row r="643" ht="14.25" customHeight="1">
      <c r="C643" s="29"/>
      <c r="D643" s="30"/>
      <c r="E643" s="29"/>
      <c r="F643" s="4"/>
      <c r="G643" s="4"/>
      <c r="H643" s="4"/>
      <c r="I643" s="26"/>
      <c r="J643" s="26"/>
      <c r="K643" s="17"/>
      <c r="L643" s="17"/>
      <c r="M643" s="29"/>
      <c r="N643" s="29"/>
      <c r="O643" s="4"/>
      <c r="P643" s="4"/>
      <c r="Q643" s="4"/>
      <c r="R643" s="17"/>
      <c r="S643" s="17"/>
      <c r="T643" s="17"/>
      <c r="U643" s="17"/>
      <c r="V643" s="17"/>
    </row>
    <row r="644" ht="14.25" customHeight="1">
      <c r="C644" s="29"/>
      <c r="D644" s="30"/>
      <c r="E644" s="29"/>
      <c r="F644" s="4"/>
      <c r="G644" s="4"/>
      <c r="H644" s="4"/>
      <c r="I644" s="26"/>
      <c r="J644" s="26"/>
      <c r="K644" s="17"/>
      <c r="L644" s="17"/>
      <c r="M644" s="29"/>
      <c r="N644" s="29"/>
      <c r="O644" s="4"/>
      <c r="P644" s="4"/>
      <c r="Q644" s="4"/>
      <c r="R644" s="17"/>
      <c r="S644" s="17"/>
      <c r="T644" s="17"/>
      <c r="U644" s="17"/>
      <c r="V644" s="17"/>
    </row>
    <row r="645" ht="14.25" customHeight="1">
      <c r="C645" s="29"/>
      <c r="D645" s="30"/>
      <c r="E645" s="29"/>
      <c r="F645" s="4"/>
      <c r="G645" s="4"/>
      <c r="H645" s="4"/>
      <c r="I645" s="26"/>
      <c r="J645" s="26"/>
      <c r="K645" s="17"/>
      <c r="L645" s="17"/>
      <c r="M645" s="29"/>
      <c r="N645" s="29"/>
      <c r="O645" s="4"/>
      <c r="P645" s="4"/>
      <c r="Q645" s="4"/>
      <c r="R645" s="17"/>
      <c r="S645" s="17"/>
      <c r="T645" s="17"/>
      <c r="U645" s="17"/>
      <c r="V645" s="17"/>
    </row>
    <row r="646" ht="14.25" customHeight="1">
      <c r="C646" s="29"/>
      <c r="D646" s="30"/>
      <c r="E646" s="29"/>
      <c r="F646" s="4"/>
      <c r="G646" s="4"/>
      <c r="H646" s="4"/>
      <c r="I646" s="26"/>
      <c r="J646" s="26"/>
      <c r="K646" s="17"/>
      <c r="L646" s="17"/>
      <c r="M646" s="29"/>
      <c r="N646" s="29"/>
      <c r="O646" s="4"/>
      <c r="P646" s="4"/>
      <c r="Q646" s="4"/>
      <c r="R646" s="17"/>
      <c r="S646" s="17"/>
      <c r="T646" s="17"/>
      <c r="U646" s="17"/>
      <c r="V646" s="17"/>
    </row>
    <row r="647" ht="14.25" customHeight="1">
      <c r="C647" s="29"/>
      <c r="D647" s="30"/>
      <c r="E647" s="29"/>
      <c r="F647" s="4"/>
      <c r="G647" s="4"/>
      <c r="H647" s="4"/>
      <c r="I647" s="26"/>
      <c r="J647" s="26"/>
      <c r="K647" s="17"/>
      <c r="L647" s="17"/>
      <c r="M647" s="29"/>
      <c r="N647" s="29"/>
      <c r="O647" s="4"/>
      <c r="P647" s="4"/>
      <c r="Q647" s="4"/>
      <c r="R647" s="17"/>
      <c r="S647" s="17"/>
      <c r="T647" s="17"/>
      <c r="U647" s="17"/>
      <c r="V647" s="17"/>
    </row>
    <row r="648" ht="14.25" customHeight="1">
      <c r="C648" s="29"/>
      <c r="D648" s="30"/>
      <c r="E648" s="29"/>
      <c r="F648" s="4"/>
      <c r="G648" s="4"/>
      <c r="H648" s="4"/>
      <c r="I648" s="26"/>
      <c r="J648" s="26"/>
      <c r="K648" s="17"/>
      <c r="L648" s="17"/>
      <c r="M648" s="29"/>
      <c r="N648" s="29"/>
      <c r="O648" s="4"/>
      <c r="P648" s="4"/>
      <c r="Q648" s="4"/>
      <c r="R648" s="17"/>
      <c r="S648" s="17"/>
      <c r="T648" s="17"/>
      <c r="U648" s="17"/>
      <c r="V648" s="17"/>
    </row>
    <row r="649" ht="14.25" customHeight="1">
      <c r="C649" s="29"/>
      <c r="D649" s="30"/>
      <c r="E649" s="29"/>
      <c r="F649" s="4"/>
      <c r="G649" s="4"/>
      <c r="H649" s="4"/>
      <c r="I649" s="26"/>
      <c r="J649" s="26"/>
      <c r="K649" s="17"/>
      <c r="L649" s="17"/>
      <c r="M649" s="29"/>
      <c r="N649" s="29"/>
      <c r="O649" s="4"/>
      <c r="P649" s="4"/>
      <c r="Q649" s="4"/>
      <c r="R649" s="17"/>
      <c r="S649" s="17"/>
      <c r="T649" s="17"/>
      <c r="U649" s="17"/>
      <c r="V649" s="17"/>
    </row>
    <row r="650" ht="14.25" customHeight="1">
      <c r="C650" s="29"/>
      <c r="D650" s="30"/>
      <c r="E650" s="29"/>
      <c r="F650" s="4"/>
      <c r="G650" s="4"/>
      <c r="H650" s="4"/>
      <c r="I650" s="26"/>
      <c r="J650" s="26"/>
      <c r="K650" s="17"/>
      <c r="L650" s="17"/>
      <c r="M650" s="29"/>
      <c r="N650" s="29"/>
      <c r="O650" s="4"/>
      <c r="P650" s="4"/>
      <c r="Q650" s="4"/>
      <c r="R650" s="17"/>
      <c r="S650" s="17"/>
      <c r="T650" s="17"/>
      <c r="U650" s="17"/>
      <c r="V650" s="17"/>
    </row>
    <row r="651" ht="14.25" customHeight="1">
      <c r="C651" s="29"/>
      <c r="D651" s="30"/>
      <c r="E651" s="29"/>
      <c r="F651" s="4"/>
      <c r="G651" s="4"/>
      <c r="H651" s="4"/>
      <c r="I651" s="26"/>
      <c r="J651" s="26"/>
      <c r="K651" s="17"/>
      <c r="L651" s="17"/>
      <c r="M651" s="29"/>
      <c r="N651" s="29"/>
      <c r="O651" s="4"/>
      <c r="P651" s="4"/>
      <c r="Q651" s="4"/>
      <c r="R651" s="17"/>
      <c r="S651" s="17"/>
      <c r="T651" s="17"/>
      <c r="U651" s="17"/>
      <c r="V651" s="17"/>
    </row>
    <row r="652" ht="14.25" customHeight="1">
      <c r="C652" s="29"/>
      <c r="D652" s="30"/>
      <c r="E652" s="29"/>
      <c r="F652" s="4"/>
      <c r="G652" s="4"/>
      <c r="H652" s="4"/>
      <c r="I652" s="26"/>
      <c r="J652" s="26"/>
      <c r="K652" s="17"/>
      <c r="L652" s="17"/>
      <c r="M652" s="29"/>
      <c r="N652" s="29"/>
      <c r="O652" s="4"/>
      <c r="P652" s="4"/>
      <c r="Q652" s="4"/>
      <c r="R652" s="17"/>
      <c r="S652" s="17"/>
      <c r="T652" s="17"/>
      <c r="U652" s="17"/>
      <c r="V652" s="17"/>
    </row>
    <row r="653" ht="14.25" customHeight="1">
      <c r="C653" s="29"/>
      <c r="D653" s="30"/>
      <c r="E653" s="29"/>
      <c r="F653" s="4"/>
      <c r="G653" s="4"/>
      <c r="H653" s="4"/>
      <c r="I653" s="26"/>
      <c r="J653" s="26"/>
      <c r="K653" s="17"/>
      <c r="L653" s="17"/>
      <c r="M653" s="29"/>
      <c r="N653" s="29"/>
      <c r="O653" s="4"/>
      <c r="P653" s="4"/>
      <c r="Q653" s="4"/>
      <c r="R653" s="17"/>
      <c r="S653" s="17"/>
      <c r="T653" s="17"/>
      <c r="U653" s="17"/>
      <c r="V653" s="17"/>
    </row>
    <row r="654" ht="14.25" customHeight="1">
      <c r="C654" s="29"/>
      <c r="D654" s="30"/>
      <c r="E654" s="29"/>
      <c r="F654" s="4"/>
      <c r="G654" s="4"/>
      <c r="H654" s="4"/>
      <c r="I654" s="26"/>
      <c r="J654" s="26"/>
      <c r="K654" s="17"/>
      <c r="L654" s="17"/>
      <c r="M654" s="29"/>
      <c r="N654" s="29"/>
      <c r="O654" s="4"/>
      <c r="P654" s="4"/>
      <c r="Q654" s="4"/>
      <c r="R654" s="17"/>
      <c r="S654" s="17"/>
      <c r="T654" s="17"/>
      <c r="U654" s="17"/>
      <c r="V654" s="17"/>
    </row>
    <row r="655" ht="14.25" customHeight="1">
      <c r="C655" s="29"/>
      <c r="D655" s="30"/>
      <c r="E655" s="29"/>
      <c r="F655" s="4"/>
      <c r="G655" s="4"/>
      <c r="H655" s="4"/>
      <c r="I655" s="26"/>
      <c r="J655" s="26"/>
      <c r="K655" s="17"/>
      <c r="L655" s="17"/>
      <c r="M655" s="29"/>
      <c r="N655" s="29"/>
      <c r="O655" s="4"/>
      <c r="P655" s="4"/>
      <c r="Q655" s="4"/>
      <c r="R655" s="17"/>
      <c r="S655" s="17"/>
      <c r="T655" s="17"/>
      <c r="U655" s="17"/>
      <c r="V655" s="17"/>
    </row>
    <row r="656" ht="14.25" customHeight="1">
      <c r="C656" s="29"/>
      <c r="D656" s="30"/>
      <c r="E656" s="29"/>
      <c r="F656" s="4"/>
      <c r="G656" s="4"/>
      <c r="H656" s="4"/>
      <c r="I656" s="26"/>
      <c r="J656" s="26"/>
      <c r="K656" s="17"/>
      <c r="L656" s="17"/>
      <c r="M656" s="29"/>
      <c r="N656" s="29"/>
      <c r="O656" s="4"/>
      <c r="P656" s="4"/>
      <c r="Q656" s="4"/>
      <c r="R656" s="17"/>
      <c r="S656" s="17"/>
      <c r="T656" s="17"/>
      <c r="U656" s="17"/>
      <c r="V656" s="17"/>
    </row>
    <row r="657" ht="14.25" customHeight="1">
      <c r="C657" s="29"/>
      <c r="D657" s="30"/>
      <c r="E657" s="29"/>
      <c r="F657" s="4"/>
      <c r="G657" s="4"/>
      <c r="H657" s="4"/>
      <c r="I657" s="26"/>
      <c r="J657" s="26"/>
      <c r="K657" s="17"/>
      <c r="L657" s="17"/>
      <c r="M657" s="29"/>
      <c r="N657" s="29"/>
      <c r="O657" s="4"/>
      <c r="P657" s="4"/>
      <c r="Q657" s="4"/>
      <c r="R657" s="17"/>
      <c r="S657" s="17"/>
      <c r="T657" s="17"/>
      <c r="U657" s="17"/>
      <c r="V657" s="17"/>
    </row>
    <row r="658" ht="14.25" customHeight="1">
      <c r="C658" s="29"/>
      <c r="D658" s="30"/>
      <c r="E658" s="29"/>
      <c r="F658" s="4"/>
      <c r="G658" s="4"/>
      <c r="H658" s="4"/>
      <c r="I658" s="26"/>
      <c r="J658" s="26"/>
      <c r="K658" s="17"/>
      <c r="L658" s="17"/>
      <c r="M658" s="29"/>
      <c r="N658" s="29"/>
      <c r="O658" s="4"/>
      <c r="P658" s="4"/>
      <c r="Q658" s="4"/>
      <c r="R658" s="17"/>
      <c r="S658" s="17"/>
      <c r="T658" s="17"/>
      <c r="U658" s="17"/>
      <c r="V658" s="17"/>
    </row>
    <row r="659" ht="14.25" customHeight="1">
      <c r="C659" s="29"/>
      <c r="D659" s="30"/>
      <c r="E659" s="29"/>
      <c r="F659" s="4"/>
      <c r="G659" s="4"/>
      <c r="H659" s="4"/>
      <c r="I659" s="26"/>
      <c r="J659" s="26"/>
      <c r="K659" s="17"/>
      <c r="L659" s="17"/>
      <c r="M659" s="29"/>
      <c r="N659" s="29"/>
      <c r="O659" s="4"/>
      <c r="P659" s="4"/>
      <c r="Q659" s="4"/>
      <c r="R659" s="17"/>
      <c r="S659" s="17"/>
      <c r="T659" s="17"/>
      <c r="U659" s="17"/>
      <c r="V659" s="17"/>
    </row>
    <row r="660" ht="14.25" customHeight="1">
      <c r="C660" s="29"/>
      <c r="D660" s="30"/>
      <c r="E660" s="29"/>
      <c r="F660" s="4"/>
      <c r="G660" s="4"/>
      <c r="H660" s="4"/>
      <c r="I660" s="26"/>
      <c r="J660" s="26"/>
      <c r="K660" s="17"/>
      <c r="L660" s="17"/>
      <c r="M660" s="29"/>
      <c r="N660" s="29"/>
      <c r="O660" s="4"/>
      <c r="P660" s="4"/>
      <c r="Q660" s="4"/>
      <c r="R660" s="17"/>
      <c r="S660" s="17"/>
      <c r="T660" s="17"/>
      <c r="U660" s="17"/>
      <c r="V660" s="17"/>
    </row>
    <row r="661" ht="14.25" customHeight="1">
      <c r="C661" s="29"/>
      <c r="D661" s="30"/>
      <c r="E661" s="29"/>
      <c r="F661" s="4"/>
      <c r="G661" s="4"/>
      <c r="H661" s="4"/>
      <c r="I661" s="26"/>
      <c r="J661" s="26"/>
      <c r="K661" s="17"/>
      <c r="L661" s="17"/>
      <c r="M661" s="29"/>
      <c r="N661" s="29"/>
      <c r="O661" s="4"/>
      <c r="P661" s="4"/>
      <c r="Q661" s="4"/>
      <c r="R661" s="17"/>
      <c r="S661" s="17"/>
      <c r="T661" s="17"/>
      <c r="U661" s="17"/>
      <c r="V661" s="17"/>
    </row>
    <row r="662" ht="14.25" customHeight="1">
      <c r="C662" s="29"/>
      <c r="D662" s="30"/>
      <c r="E662" s="29"/>
      <c r="F662" s="4"/>
      <c r="G662" s="4"/>
      <c r="H662" s="4"/>
      <c r="I662" s="26"/>
      <c r="J662" s="26"/>
      <c r="K662" s="17"/>
      <c r="L662" s="17"/>
      <c r="M662" s="29"/>
      <c r="N662" s="29"/>
      <c r="O662" s="4"/>
      <c r="P662" s="4"/>
      <c r="Q662" s="4"/>
      <c r="R662" s="17"/>
      <c r="S662" s="17"/>
      <c r="T662" s="17"/>
      <c r="U662" s="17"/>
      <c r="V662" s="17"/>
    </row>
    <row r="663" ht="14.25" customHeight="1">
      <c r="C663" s="29"/>
      <c r="D663" s="30"/>
      <c r="E663" s="29"/>
      <c r="F663" s="4"/>
      <c r="G663" s="4"/>
      <c r="H663" s="4"/>
      <c r="I663" s="26"/>
      <c r="J663" s="26"/>
      <c r="K663" s="17"/>
      <c r="L663" s="17"/>
      <c r="M663" s="29"/>
      <c r="N663" s="29"/>
      <c r="O663" s="4"/>
      <c r="P663" s="4"/>
      <c r="Q663" s="4"/>
      <c r="R663" s="17"/>
      <c r="S663" s="17"/>
      <c r="T663" s="17"/>
      <c r="U663" s="17"/>
      <c r="V663" s="17"/>
    </row>
    <row r="664" ht="14.25" customHeight="1">
      <c r="C664" s="29"/>
      <c r="D664" s="30"/>
      <c r="E664" s="29"/>
      <c r="F664" s="4"/>
      <c r="G664" s="4"/>
      <c r="H664" s="4"/>
      <c r="I664" s="26"/>
      <c r="J664" s="26"/>
      <c r="K664" s="17"/>
      <c r="L664" s="17"/>
      <c r="M664" s="29"/>
      <c r="N664" s="29"/>
      <c r="O664" s="4"/>
      <c r="P664" s="4"/>
      <c r="Q664" s="4"/>
      <c r="R664" s="17"/>
      <c r="S664" s="17"/>
      <c r="T664" s="17"/>
      <c r="U664" s="17"/>
      <c r="V664" s="17"/>
    </row>
    <row r="665" ht="14.25" customHeight="1">
      <c r="C665" s="29"/>
      <c r="D665" s="30"/>
      <c r="E665" s="29"/>
      <c r="F665" s="4"/>
      <c r="G665" s="4"/>
      <c r="H665" s="4"/>
      <c r="I665" s="26"/>
      <c r="J665" s="26"/>
      <c r="K665" s="17"/>
      <c r="L665" s="17"/>
      <c r="M665" s="29"/>
      <c r="N665" s="29"/>
      <c r="O665" s="4"/>
      <c r="P665" s="4"/>
      <c r="Q665" s="4"/>
      <c r="R665" s="17"/>
      <c r="S665" s="17"/>
      <c r="T665" s="17"/>
      <c r="U665" s="17"/>
      <c r="V665" s="17"/>
    </row>
    <row r="666" ht="14.25" customHeight="1">
      <c r="C666" s="29"/>
      <c r="D666" s="30"/>
      <c r="E666" s="29"/>
      <c r="F666" s="4"/>
      <c r="G666" s="4"/>
      <c r="H666" s="4"/>
      <c r="I666" s="26"/>
      <c r="J666" s="26"/>
      <c r="K666" s="17"/>
      <c r="L666" s="17"/>
      <c r="M666" s="29"/>
      <c r="N666" s="29"/>
      <c r="O666" s="4"/>
      <c r="P666" s="4"/>
      <c r="Q666" s="4"/>
      <c r="R666" s="17"/>
      <c r="S666" s="17"/>
      <c r="T666" s="17"/>
      <c r="U666" s="17"/>
      <c r="V666" s="17"/>
    </row>
    <row r="667" ht="14.25" customHeight="1">
      <c r="C667" s="29"/>
      <c r="D667" s="30"/>
      <c r="E667" s="29"/>
      <c r="F667" s="4"/>
      <c r="G667" s="4"/>
      <c r="H667" s="4"/>
      <c r="I667" s="26"/>
      <c r="J667" s="26"/>
      <c r="K667" s="17"/>
      <c r="L667" s="17"/>
      <c r="M667" s="29"/>
      <c r="N667" s="29"/>
      <c r="O667" s="4"/>
      <c r="P667" s="4"/>
      <c r="Q667" s="4"/>
      <c r="R667" s="17"/>
      <c r="S667" s="17"/>
      <c r="T667" s="17"/>
      <c r="U667" s="17"/>
      <c r="V667" s="17"/>
    </row>
    <row r="668" ht="14.25" customHeight="1">
      <c r="C668" s="29"/>
      <c r="D668" s="30"/>
      <c r="E668" s="29"/>
      <c r="F668" s="4"/>
      <c r="G668" s="4"/>
      <c r="H668" s="4"/>
      <c r="I668" s="26"/>
      <c r="J668" s="26"/>
      <c r="K668" s="17"/>
      <c r="L668" s="17"/>
      <c r="M668" s="29"/>
      <c r="N668" s="29"/>
      <c r="O668" s="4"/>
      <c r="P668" s="4"/>
      <c r="Q668" s="4"/>
      <c r="R668" s="17"/>
      <c r="S668" s="17"/>
      <c r="T668" s="17"/>
      <c r="U668" s="17"/>
      <c r="V668" s="17"/>
    </row>
    <row r="669" ht="14.25" customHeight="1">
      <c r="C669" s="29"/>
      <c r="D669" s="30"/>
      <c r="E669" s="29"/>
      <c r="F669" s="4"/>
      <c r="G669" s="4"/>
      <c r="H669" s="4"/>
      <c r="I669" s="26"/>
      <c r="J669" s="26"/>
      <c r="K669" s="17"/>
      <c r="L669" s="17"/>
      <c r="M669" s="29"/>
      <c r="N669" s="29"/>
      <c r="O669" s="4"/>
      <c r="P669" s="4"/>
      <c r="Q669" s="4"/>
      <c r="R669" s="17"/>
      <c r="S669" s="17"/>
      <c r="T669" s="17"/>
      <c r="U669" s="17"/>
      <c r="V669" s="17"/>
    </row>
    <row r="670" ht="14.25" customHeight="1">
      <c r="C670" s="29"/>
      <c r="D670" s="30"/>
      <c r="E670" s="29"/>
      <c r="F670" s="4"/>
      <c r="G670" s="4"/>
      <c r="H670" s="4"/>
      <c r="I670" s="26"/>
      <c r="J670" s="26"/>
      <c r="K670" s="17"/>
      <c r="L670" s="17"/>
      <c r="M670" s="29"/>
      <c r="N670" s="29"/>
      <c r="O670" s="4"/>
      <c r="P670" s="4"/>
      <c r="Q670" s="4"/>
      <c r="R670" s="17"/>
      <c r="S670" s="17"/>
      <c r="T670" s="17"/>
      <c r="U670" s="17"/>
      <c r="V670" s="17"/>
    </row>
    <row r="671" ht="14.25" customHeight="1">
      <c r="C671" s="29"/>
      <c r="D671" s="30"/>
      <c r="E671" s="29"/>
      <c r="F671" s="4"/>
      <c r="G671" s="4"/>
      <c r="H671" s="4"/>
      <c r="I671" s="26"/>
      <c r="J671" s="26"/>
      <c r="K671" s="17"/>
      <c r="L671" s="17"/>
      <c r="M671" s="29"/>
      <c r="N671" s="29"/>
      <c r="O671" s="4"/>
      <c r="P671" s="4"/>
      <c r="Q671" s="4"/>
      <c r="R671" s="17"/>
      <c r="S671" s="17"/>
      <c r="T671" s="17"/>
      <c r="U671" s="17"/>
      <c r="V671" s="17"/>
    </row>
    <row r="672" ht="14.25" customHeight="1">
      <c r="C672" s="29"/>
      <c r="D672" s="30"/>
      <c r="E672" s="29"/>
      <c r="F672" s="4"/>
      <c r="G672" s="4"/>
      <c r="H672" s="4"/>
      <c r="I672" s="26"/>
      <c r="J672" s="26"/>
      <c r="K672" s="17"/>
      <c r="L672" s="17"/>
      <c r="M672" s="29"/>
      <c r="N672" s="29"/>
      <c r="O672" s="4"/>
      <c r="P672" s="4"/>
      <c r="Q672" s="4"/>
      <c r="R672" s="17"/>
      <c r="S672" s="17"/>
      <c r="T672" s="17"/>
      <c r="U672" s="17"/>
      <c r="V672" s="17"/>
    </row>
    <row r="673" ht="14.25" customHeight="1">
      <c r="C673" s="29"/>
      <c r="D673" s="30"/>
      <c r="E673" s="29"/>
      <c r="F673" s="4"/>
      <c r="G673" s="4"/>
      <c r="H673" s="4"/>
      <c r="I673" s="26"/>
      <c r="J673" s="26"/>
      <c r="K673" s="17"/>
      <c r="L673" s="17"/>
      <c r="M673" s="29"/>
      <c r="N673" s="29"/>
      <c r="O673" s="4"/>
      <c r="P673" s="4"/>
      <c r="Q673" s="4"/>
      <c r="R673" s="17"/>
      <c r="S673" s="17"/>
      <c r="T673" s="17"/>
      <c r="U673" s="17"/>
      <c r="V673" s="17"/>
    </row>
    <row r="674" ht="14.25" customHeight="1">
      <c r="C674" s="29"/>
      <c r="D674" s="30"/>
      <c r="E674" s="29"/>
      <c r="F674" s="4"/>
      <c r="G674" s="4"/>
      <c r="H674" s="4"/>
      <c r="I674" s="26"/>
      <c r="J674" s="26"/>
      <c r="K674" s="17"/>
      <c r="L674" s="17"/>
      <c r="M674" s="29"/>
      <c r="N674" s="29"/>
      <c r="O674" s="4"/>
      <c r="P674" s="4"/>
      <c r="Q674" s="4"/>
      <c r="R674" s="17"/>
      <c r="S674" s="17"/>
      <c r="T674" s="17"/>
      <c r="U674" s="17"/>
      <c r="V674" s="17"/>
    </row>
    <row r="675" ht="14.25" customHeight="1">
      <c r="C675" s="29"/>
      <c r="D675" s="30"/>
      <c r="E675" s="29"/>
      <c r="F675" s="4"/>
      <c r="G675" s="4"/>
      <c r="H675" s="4"/>
      <c r="I675" s="26"/>
      <c r="J675" s="26"/>
      <c r="K675" s="17"/>
      <c r="L675" s="17"/>
      <c r="M675" s="29"/>
      <c r="N675" s="29"/>
      <c r="O675" s="4"/>
      <c r="P675" s="4"/>
      <c r="Q675" s="4"/>
      <c r="R675" s="17"/>
      <c r="S675" s="17"/>
      <c r="T675" s="17"/>
      <c r="U675" s="17"/>
      <c r="V675" s="17"/>
    </row>
    <row r="676" ht="14.25" customHeight="1">
      <c r="C676" s="29"/>
      <c r="D676" s="30"/>
      <c r="E676" s="29"/>
      <c r="F676" s="4"/>
      <c r="G676" s="4"/>
      <c r="H676" s="4"/>
      <c r="I676" s="26"/>
      <c r="J676" s="26"/>
      <c r="K676" s="17"/>
      <c r="L676" s="17"/>
      <c r="M676" s="29"/>
      <c r="N676" s="29"/>
      <c r="O676" s="4"/>
      <c r="P676" s="4"/>
      <c r="Q676" s="4"/>
      <c r="R676" s="17"/>
      <c r="S676" s="17"/>
      <c r="T676" s="17"/>
      <c r="U676" s="17"/>
      <c r="V676" s="17"/>
    </row>
    <row r="677" ht="14.25" customHeight="1">
      <c r="C677" s="29"/>
      <c r="D677" s="30"/>
      <c r="E677" s="29"/>
      <c r="F677" s="4"/>
      <c r="G677" s="4"/>
      <c r="H677" s="4"/>
      <c r="I677" s="26"/>
      <c r="J677" s="26"/>
      <c r="K677" s="17"/>
      <c r="L677" s="17"/>
      <c r="M677" s="29"/>
      <c r="N677" s="29"/>
      <c r="O677" s="4"/>
      <c r="P677" s="4"/>
      <c r="Q677" s="4"/>
      <c r="R677" s="17"/>
      <c r="S677" s="17"/>
      <c r="T677" s="17"/>
      <c r="U677" s="17"/>
      <c r="V677" s="17"/>
    </row>
    <row r="678" ht="14.25" customHeight="1">
      <c r="C678" s="29"/>
      <c r="D678" s="30"/>
      <c r="E678" s="29"/>
      <c r="F678" s="4"/>
      <c r="G678" s="4"/>
      <c r="H678" s="4"/>
      <c r="I678" s="26"/>
      <c r="J678" s="26"/>
      <c r="K678" s="17"/>
      <c r="L678" s="17"/>
      <c r="M678" s="29"/>
      <c r="N678" s="29"/>
      <c r="O678" s="4"/>
      <c r="P678" s="4"/>
      <c r="Q678" s="4"/>
      <c r="R678" s="17"/>
      <c r="S678" s="17"/>
      <c r="T678" s="17"/>
      <c r="U678" s="17"/>
      <c r="V678" s="17"/>
    </row>
    <row r="679" ht="14.25" customHeight="1">
      <c r="C679" s="29"/>
      <c r="D679" s="30"/>
      <c r="E679" s="29"/>
      <c r="F679" s="4"/>
      <c r="G679" s="4"/>
      <c r="H679" s="4"/>
      <c r="I679" s="26"/>
      <c r="J679" s="26"/>
      <c r="K679" s="17"/>
      <c r="L679" s="17"/>
      <c r="M679" s="29"/>
      <c r="N679" s="29"/>
      <c r="O679" s="4"/>
      <c r="P679" s="4"/>
      <c r="Q679" s="4"/>
      <c r="R679" s="17"/>
      <c r="S679" s="17"/>
      <c r="T679" s="17"/>
      <c r="U679" s="17"/>
      <c r="V679" s="17"/>
    </row>
    <row r="680" ht="14.25" customHeight="1">
      <c r="C680" s="29"/>
      <c r="D680" s="30"/>
      <c r="E680" s="29"/>
      <c r="F680" s="4"/>
      <c r="G680" s="4"/>
      <c r="H680" s="4"/>
      <c r="I680" s="26"/>
      <c r="J680" s="26"/>
      <c r="K680" s="17"/>
      <c r="L680" s="17"/>
      <c r="M680" s="29"/>
      <c r="N680" s="29"/>
      <c r="O680" s="4"/>
      <c r="P680" s="4"/>
      <c r="Q680" s="4"/>
      <c r="R680" s="17"/>
      <c r="S680" s="17"/>
      <c r="T680" s="17"/>
      <c r="U680" s="17"/>
      <c r="V680" s="17"/>
    </row>
    <row r="681" ht="14.25" customHeight="1">
      <c r="C681" s="29"/>
      <c r="D681" s="30"/>
      <c r="E681" s="29"/>
      <c r="F681" s="4"/>
      <c r="G681" s="4"/>
      <c r="H681" s="4"/>
      <c r="I681" s="26"/>
      <c r="J681" s="26"/>
      <c r="K681" s="17"/>
      <c r="L681" s="17"/>
      <c r="M681" s="29"/>
      <c r="N681" s="29"/>
      <c r="O681" s="4"/>
      <c r="P681" s="4"/>
      <c r="Q681" s="4"/>
      <c r="R681" s="17"/>
      <c r="S681" s="17"/>
      <c r="T681" s="17"/>
      <c r="U681" s="17"/>
      <c r="V681" s="17"/>
    </row>
    <row r="682" ht="14.25" customHeight="1">
      <c r="C682" s="29"/>
      <c r="D682" s="30"/>
      <c r="E682" s="29"/>
      <c r="F682" s="4"/>
      <c r="G682" s="4"/>
      <c r="H682" s="4"/>
      <c r="I682" s="26"/>
      <c r="J682" s="26"/>
      <c r="K682" s="17"/>
      <c r="L682" s="17"/>
      <c r="M682" s="29"/>
      <c r="N682" s="29"/>
      <c r="O682" s="4"/>
      <c r="P682" s="4"/>
      <c r="Q682" s="4"/>
      <c r="R682" s="17"/>
      <c r="S682" s="17"/>
      <c r="T682" s="17"/>
      <c r="U682" s="17"/>
      <c r="V682" s="17"/>
    </row>
    <row r="683" ht="14.25" customHeight="1">
      <c r="C683" s="29"/>
      <c r="D683" s="30"/>
      <c r="E683" s="29"/>
      <c r="F683" s="4"/>
      <c r="G683" s="4"/>
      <c r="H683" s="4"/>
      <c r="I683" s="26"/>
      <c r="J683" s="26"/>
      <c r="K683" s="17"/>
      <c r="L683" s="17"/>
      <c r="M683" s="29"/>
      <c r="N683" s="29"/>
      <c r="O683" s="4"/>
      <c r="P683" s="4"/>
      <c r="Q683" s="4"/>
      <c r="R683" s="17"/>
      <c r="S683" s="17"/>
      <c r="T683" s="17"/>
      <c r="U683" s="17"/>
      <c r="V683" s="17"/>
    </row>
    <row r="684" ht="14.25" customHeight="1">
      <c r="C684" s="29"/>
      <c r="D684" s="30"/>
      <c r="E684" s="29"/>
      <c r="F684" s="4"/>
      <c r="G684" s="4"/>
      <c r="H684" s="4"/>
      <c r="I684" s="26"/>
      <c r="J684" s="26"/>
      <c r="K684" s="17"/>
      <c r="L684" s="17"/>
      <c r="M684" s="29"/>
      <c r="N684" s="29"/>
      <c r="O684" s="4"/>
      <c r="P684" s="4"/>
      <c r="Q684" s="4"/>
      <c r="R684" s="17"/>
      <c r="S684" s="17"/>
      <c r="T684" s="17"/>
      <c r="U684" s="17"/>
      <c r="V684" s="17"/>
    </row>
    <row r="685" ht="14.25" customHeight="1">
      <c r="C685" s="29"/>
      <c r="D685" s="30"/>
      <c r="E685" s="29"/>
      <c r="F685" s="4"/>
      <c r="G685" s="4"/>
      <c r="H685" s="4"/>
      <c r="I685" s="26"/>
      <c r="J685" s="26"/>
      <c r="K685" s="17"/>
      <c r="L685" s="17"/>
      <c r="M685" s="29"/>
      <c r="N685" s="29"/>
      <c r="O685" s="4"/>
      <c r="P685" s="4"/>
      <c r="Q685" s="4"/>
      <c r="R685" s="17"/>
      <c r="S685" s="17"/>
      <c r="T685" s="17"/>
      <c r="U685" s="17"/>
      <c r="V685" s="17"/>
    </row>
    <row r="686" ht="14.25" customHeight="1">
      <c r="C686" s="29"/>
      <c r="D686" s="30"/>
      <c r="E686" s="29"/>
      <c r="F686" s="4"/>
      <c r="G686" s="4"/>
      <c r="H686" s="4"/>
      <c r="I686" s="26"/>
      <c r="J686" s="26"/>
      <c r="K686" s="17"/>
      <c r="L686" s="17"/>
      <c r="M686" s="29"/>
      <c r="N686" s="29"/>
      <c r="O686" s="4"/>
      <c r="P686" s="4"/>
      <c r="Q686" s="4"/>
      <c r="R686" s="17"/>
      <c r="S686" s="17"/>
      <c r="T686" s="17"/>
      <c r="U686" s="17"/>
      <c r="V686" s="17"/>
    </row>
    <row r="687" ht="14.25" customHeight="1">
      <c r="C687" s="29"/>
      <c r="D687" s="30"/>
      <c r="E687" s="29"/>
      <c r="F687" s="4"/>
      <c r="G687" s="4"/>
      <c r="H687" s="4"/>
      <c r="I687" s="26"/>
      <c r="J687" s="26"/>
      <c r="K687" s="17"/>
      <c r="L687" s="17"/>
      <c r="M687" s="29"/>
      <c r="N687" s="29"/>
      <c r="O687" s="4"/>
      <c r="P687" s="4"/>
      <c r="Q687" s="4"/>
      <c r="R687" s="17"/>
      <c r="S687" s="17"/>
      <c r="T687" s="17"/>
      <c r="U687" s="17"/>
      <c r="V687" s="17"/>
    </row>
    <row r="688" ht="14.25" customHeight="1">
      <c r="C688" s="29"/>
      <c r="D688" s="30"/>
      <c r="E688" s="29"/>
      <c r="F688" s="4"/>
      <c r="G688" s="4"/>
      <c r="H688" s="4"/>
      <c r="I688" s="26"/>
      <c r="J688" s="26"/>
      <c r="K688" s="17"/>
      <c r="L688" s="17"/>
      <c r="M688" s="29"/>
      <c r="N688" s="29"/>
      <c r="O688" s="4"/>
      <c r="P688" s="4"/>
      <c r="Q688" s="4"/>
      <c r="R688" s="17"/>
      <c r="S688" s="17"/>
      <c r="T688" s="17"/>
      <c r="U688" s="17"/>
      <c r="V688" s="17"/>
    </row>
    <row r="689" ht="14.25" customHeight="1">
      <c r="C689" s="29"/>
      <c r="D689" s="30"/>
      <c r="E689" s="29"/>
      <c r="F689" s="4"/>
      <c r="G689" s="4"/>
      <c r="H689" s="4"/>
      <c r="I689" s="26"/>
      <c r="J689" s="26"/>
      <c r="K689" s="17"/>
      <c r="L689" s="17"/>
      <c r="M689" s="29"/>
      <c r="N689" s="29"/>
      <c r="O689" s="4"/>
      <c r="P689" s="4"/>
      <c r="Q689" s="4"/>
      <c r="R689" s="17"/>
      <c r="S689" s="17"/>
      <c r="T689" s="17"/>
      <c r="U689" s="17"/>
      <c r="V689" s="17"/>
    </row>
    <row r="690" ht="14.25" customHeight="1">
      <c r="C690" s="29"/>
      <c r="D690" s="30"/>
      <c r="E690" s="29"/>
      <c r="F690" s="4"/>
      <c r="G690" s="4"/>
      <c r="H690" s="4"/>
      <c r="I690" s="26"/>
      <c r="J690" s="26"/>
      <c r="K690" s="17"/>
      <c r="L690" s="17"/>
      <c r="M690" s="29"/>
      <c r="N690" s="29"/>
      <c r="O690" s="4"/>
      <c r="P690" s="4"/>
      <c r="Q690" s="4"/>
      <c r="R690" s="17"/>
      <c r="S690" s="17"/>
      <c r="T690" s="17"/>
      <c r="U690" s="17"/>
      <c r="V690" s="17"/>
    </row>
    <row r="691" ht="14.25" customHeight="1">
      <c r="C691" s="29"/>
      <c r="D691" s="30"/>
      <c r="E691" s="29"/>
      <c r="F691" s="4"/>
      <c r="G691" s="4"/>
      <c r="H691" s="4"/>
      <c r="I691" s="26"/>
      <c r="J691" s="26"/>
      <c r="K691" s="17"/>
      <c r="L691" s="17"/>
      <c r="M691" s="29"/>
      <c r="N691" s="29"/>
      <c r="O691" s="4"/>
      <c r="P691" s="4"/>
      <c r="Q691" s="4"/>
      <c r="R691" s="17"/>
      <c r="S691" s="17"/>
      <c r="T691" s="17"/>
      <c r="U691" s="17"/>
      <c r="V691" s="17"/>
    </row>
    <row r="692" ht="14.25" customHeight="1">
      <c r="C692" s="29"/>
      <c r="D692" s="30"/>
      <c r="E692" s="29"/>
      <c r="F692" s="4"/>
      <c r="G692" s="4"/>
      <c r="H692" s="4"/>
      <c r="I692" s="26"/>
      <c r="J692" s="26"/>
      <c r="K692" s="17"/>
      <c r="L692" s="17"/>
      <c r="M692" s="29"/>
      <c r="N692" s="29"/>
      <c r="O692" s="4"/>
      <c r="P692" s="4"/>
      <c r="Q692" s="4"/>
      <c r="R692" s="17"/>
      <c r="S692" s="17"/>
      <c r="T692" s="17"/>
      <c r="U692" s="17"/>
      <c r="V692" s="17"/>
    </row>
    <row r="693" ht="14.25" customHeight="1">
      <c r="C693" s="29"/>
      <c r="D693" s="30"/>
      <c r="E693" s="29"/>
      <c r="F693" s="4"/>
      <c r="G693" s="4"/>
      <c r="H693" s="4"/>
      <c r="I693" s="26"/>
      <c r="J693" s="26"/>
      <c r="K693" s="17"/>
      <c r="L693" s="17"/>
      <c r="M693" s="29"/>
      <c r="N693" s="29"/>
      <c r="O693" s="4"/>
      <c r="P693" s="4"/>
      <c r="Q693" s="4"/>
      <c r="R693" s="17"/>
      <c r="S693" s="17"/>
      <c r="T693" s="17"/>
      <c r="U693" s="17"/>
      <c r="V693" s="17"/>
    </row>
    <row r="694" ht="14.25" customHeight="1">
      <c r="C694" s="29"/>
      <c r="D694" s="30"/>
      <c r="E694" s="29"/>
      <c r="F694" s="4"/>
      <c r="G694" s="4"/>
      <c r="H694" s="4"/>
      <c r="I694" s="26"/>
      <c r="J694" s="26"/>
      <c r="K694" s="17"/>
      <c r="L694" s="17"/>
      <c r="M694" s="29"/>
      <c r="N694" s="29"/>
      <c r="O694" s="4"/>
      <c r="P694" s="4"/>
      <c r="Q694" s="4"/>
      <c r="R694" s="17"/>
      <c r="S694" s="17"/>
      <c r="T694" s="17"/>
      <c r="U694" s="17"/>
      <c r="V694" s="17"/>
    </row>
    <row r="695" ht="14.25" customHeight="1">
      <c r="C695" s="29"/>
      <c r="D695" s="30"/>
      <c r="E695" s="29"/>
      <c r="F695" s="4"/>
      <c r="G695" s="4"/>
      <c r="H695" s="4"/>
      <c r="I695" s="26"/>
      <c r="J695" s="26"/>
      <c r="K695" s="17"/>
      <c r="L695" s="17"/>
      <c r="M695" s="29"/>
      <c r="N695" s="29"/>
      <c r="O695" s="4"/>
      <c r="P695" s="4"/>
      <c r="Q695" s="4"/>
      <c r="R695" s="17"/>
      <c r="S695" s="17"/>
      <c r="T695" s="17"/>
      <c r="U695" s="17"/>
      <c r="V695" s="17"/>
    </row>
    <row r="696" ht="14.25" customHeight="1">
      <c r="C696" s="29"/>
      <c r="D696" s="30"/>
      <c r="E696" s="29"/>
      <c r="F696" s="4"/>
      <c r="G696" s="4"/>
      <c r="H696" s="4"/>
      <c r="I696" s="26"/>
      <c r="J696" s="26"/>
      <c r="K696" s="17"/>
      <c r="L696" s="17"/>
      <c r="M696" s="29"/>
      <c r="N696" s="29"/>
      <c r="O696" s="4"/>
      <c r="P696" s="4"/>
      <c r="Q696" s="4"/>
      <c r="R696" s="17"/>
      <c r="S696" s="17"/>
      <c r="T696" s="17"/>
      <c r="U696" s="17"/>
      <c r="V696" s="17"/>
    </row>
    <row r="697" ht="14.25" customHeight="1">
      <c r="C697" s="29"/>
      <c r="D697" s="30"/>
      <c r="E697" s="29"/>
      <c r="F697" s="4"/>
      <c r="G697" s="4"/>
      <c r="H697" s="4"/>
      <c r="I697" s="26"/>
      <c r="J697" s="26"/>
      <c r="K697" s="17"/>
      <c r="L697" s="17"/>
      <c r="M697" s="29"/>
      <c r="N697" s="29"/>
      <c r="O697" s="4"/>
      <c r="P697" s="4"/>
      <c r="Q697" s="4"/>
      <c r="R697" s="17"/>
      <c r="S697" s="17"/>
      <c r="T697" s="17"/>
      <c r="U697" s="17"/>
      <c r="V697" s="17"/>
    </row>
    <row r="698" ht="14.25" customHeight="1">
      <c r="C698" s="29"/>
      <c r="D698" s="30"/>
      <c r="E698" s="29"/>
      <c r="F698" s="4"/>
      <c r="G698" s="4"/>
      <c r="H698" s="4"/>
      <c r="I698" s="26"/>
      <c r="J698" s="26"/>
      <c r="K698" s="17"/>
      <c r="L698" s="17"/>
      <c r="M698" s="29"/>
      <c r="N698" s="29"/>
      <c r="O698" s="4"/>
      <c r="P698" s="4"/>
      <c r="Q698" s="4"/>
      <c r="R698" s="17"/>
      <c r="S698" s="17"/>
      <c r="T698" s="17"/>
      <c r="U698" s="17"/>
      <c r="V698" s="17"/>
    </row>
    <row r="699" ht="14.25" customHeight="1">
      <c r="C699" s="29"/>
      <c r="D699" s="30"/>
      <c r="E699" s="29"/>
      <c r="F699" s="4"/>
      <c r="G699" s="4"/>
      <c r="H699" s="4"/>
      <c r="I699" s="26"/>
      <c r="J699" s="26"/>
      <c r="K699" s="17"/>
      <c r="L699" s="17"/>
      <c r="M699" s="29"/>
      <c r="N699" s="29"/>
      <c r="O699" s="4"/>
      <c r="P699" s="4"/>
      <c r="Q699" s="4"/>
      <c r="R699" s="17"/>
      <c r="S699" s="17"/>
      <c r="T699" s="17"/>
      <c r="U699" s="17"/>
      <c r="V699" s="17"/>
    </row>
    <row r="700" ht="14.25" customHeight="1">
      <c r="C700" s="29"/>
      <c r="D700" s="30"/>
      <c r="E700" s="29"/>
      <c r="F700" s="4"/>
      <c r="G700" s="4"/>
      <c r="H700" s="4"/>
      <c r="I700" s="26"/>
      <c r="J700" s="26"/>
      <c r="K700" s="17"/>
      <c r="L700" s="17"/>
      <c r="M700" s="29"/>
      <c r="N700" s="29"/>
      <c r="O700" s="4"/>
      <c r="P700" s="4"/>
      <c r="Q700" s="4"/>
      <c r="R700" s="17"/>
      <c r="S700" s="17"/>
      <c r="T700" s="17"/>
      <c r="U700" s="17"/>
      <c r="V700" s="17"/>
    </row>
    <row r="701" ht="14.25" customHeight="1">
      <c r="C701" s="29"/>
      <c r="D701" s="30"/>
      <c r="E701" s="29"/>
      <c r="F701" s="4"/>
      <c r="G701" s="4"/>
      <c r="H701" s="4"/>
      <c r="I701" s="26"/>
      <c r="J701" s="26"/>
      <c r="K701" s="17"/>
      <c r="L701" s="17"/>
      <c r="M701" s="29"/>
      <c r="N701" s="29"/>
      <c r="O701" s="4"/>
      <c r="P701" s="4"/>
      <c r="Q701" s="4"/>
      <c r="R701" s="17"/>
      <c r="S701" s="17"/>
      <c r="T701" s="17"/>
      <c r="U701" s="17"/>
      <c r="V701" s="17"/>
    </row>
    <row r="702" ht="14.25" customHeight="1">
      <c r="C702" s="29"/>
      <c r="D702" s="30"/>
      <c r="E702" s="29"/>
      <c r="F702" s="4"/>
      <c r="G702" s="4"/>
      <c r="H702" s="4"/>
      <c r="I702" s="26"/>
      <c r="J702" s="26"/>
      <c r="K702" s="17"/>
      <c r="L702" s="17"/>
      <c r="M702" s="29"/>
      <c r="N702" s="29"/>
      <c r="O702" s="4"/>
      <c r="P702" s="4"/>
      <c r="Q702" s="4"/>
      <c r="R702" s="17"/>
      <c r="S702" s="17"/>
      <c r="T702" s="17"/>
      <c r="U702" s="17"/>
      <c r="V702" s="17"/>
    </row>
    <row r="703" ht="14.25" customHeight="1">
      <c r="C703" s="29"/>
      <c r="D703" s="30"/>
      <c r="E703" s="29"/>
      <c r="F703" s="4"/>
      <c r="G703" s="4"/>
      <c r="H703" s="4"/>
      <c r="I703" s="26"/>
      <c r="J703" s="26"/>
      <c r="K703" s="17"/>
      <c r="L703" s="17"/>
      <c r="M703" s="29"/>
      <c r="N703" s="29"/>
      <c r="O703" s="4"/>
      <c r="P703" s="4"/>
      <c r="Q703" s="4"/>
      <c r="R703" s="17"/>
      <c r="S703" s="17"/>
      <c r="T703" s="17"/>
      <c r="U703" s="17"/>
      <c r="V703" s="17"/>
    </row>
    <row r="704" ht="14.25" customHeight="1">
      <c r="C704" s="29"/>
      <c r="D704" s="30"/>
      <c r="E704" s="29"/>
      <c r="F704" s="4"/>
      <c r="G704" s="4"/>
      <c r="H704" s="4"/>
      <c r="I704" s="26"/>
      <c r="J704" s="26"/>
      <c r="K704" s="17"/>
      <c r="L704" s="17"/>
      <c r="M704" s="29"/>
      <c r="N704" s="29"/>
      <c r="O704" s="4"/>
      <c r="P704" s="4"/>
      <c r="Q704" s="4"/>
      <c r="R704" s="17"/>
      <c r="S704" s="17"/>
      <c r="T704" s="17"/>
      <c r="U704" s="17"/>
      <c r="V704" s="17"/>
    </row>
    <row r="705" ht="14.25" customHeight="1">
      <c r="C705" s="29"/>
      <c r="D705" s="30"/>
      <c r="E705" s="29"/>
      <c r="F705" s="4"/>
      <c r="G705" s="4"/>
      <c r="H705" s="4"/>
      <c r="I705" s="26"/>
      <c r="J705" s="26"/>
      <c r="K705" s="17"/>
      <c r="L705" s="17"/>
      <c r="M705" s="29"/>
      <c r="N705" s="29"/>
      <c r="O705" s="4"/>
      <c r="P705" s="4"/>
      <c r="Q705" s="4"/>
      <c r="R705" s="17"/>
      <c r="S705" s="17"/>
      <c r="T705" s="17"/>
      <c r="U705" s="17"/>
      <c r="V705" s="17"/>
    </row>
    <row r="706" ht="14.25" customHeight="1">
      <c r="C706" s="29"/>
      <c r="D706" s="30"/>
      <c r="E706" s="29"/>
      <c r="F706" s="4"/>
      <c r="G706" s="4"/>
      <c r="H706" s="4"/>
      <c r="I706" s="26"/>
      <c r="J706" s="26"/>
      <c r="K706" s="17"/>
      <c r="L706" s="17"/>
      <c r="M706" s="29"/>
      <c r="N706" s="29"/>
      <c r="O706" s="4"/>
      <c r="P706" s="4"/>
      <c r="Q706" s="4"/>
      <c r="R706" s="17"/>
      <c r="S706" s="17"/>
      <c r="T706" s="17"/>
      <c r="U706" s="17"/>
      <c r="V706" s="17"/>
    </row>
    <row r="707" ht="14.25" customHeight="1">
      <c r="C707" s="29"/>
      <c r="D707" s="30"/>
      <c r="E707" s="29"/>
      <c r="F707" s="4"/>
      <c r="G707" s="4"/>
      <c r="H707" s="4"/>
      <c r="I707" s="26"/>
      <c r="J707" s="26"/>
      <c r="K707" s="17"/>
      <c r="L707" s="17"/>
      <c r="M707" s="29"/>
      <c r="N707" s="29"/>
      <c r="O707" s="4"/>
      <c r="P707" s="4"/>
      <c r="Q707" s="4"/>
      <c r="R707" s="17"/>
      <c r="S707" s="17"/>
      <c r="T707" s="17"/>
      <c r="U707" s="17"/>
      <c r="V707" s="17"/>
    </row>
    <row r="708" ht="14.25" customHeight="1">
      <c r="C708" s="29"/>
      <c r="D708" s="30"/>
      <c r="E708" s="29"/>
      <c r="F708" s="4"/>
      <c r="G708" s="4"/>
      <c r="H708" s="4"/>
      <c r="I708" s="26"/>
      <c r="J708" s="26"/>
      <c r="K708" s="17"/>
      <c r="L708" s="17"/>
      <c r="M708" s="29"/>
      <c r="N708" s="29"/>
      <c r="O708" s="4"/>
      <c r="P708" s="4"/>
      <c r="Q708" s="4"/>
      <c r="R708" s="17"/>
      <c r="S708" s="17"/>
      <c r="T708" s="17"/>
      <c r="U708" s="17"/>
      <c r="V708" s="17"/>
    </row>
    <row r="709" ht="14.25" customHeight="1">
      <c r="C709" s="29"/>
      <c r="D709" s="30"/>
      <c r="E709" s="29"/>
      <c r="F709" s="4"/>
      <c r="G709" s="4"/>
      <c r="H709" s="4"/>
      <c r="I709" s="26"/>
      <c r="J709" s="26"/>
      <c r="K709" s="17"/>
      <c r="L709" s="17"/>
      <c r="M709" s="29"/>
      <c r="N709" s="29"/>
      <c r="O709" s="4"/>
      <c r="P709" s="4"/>
      <c r="Q709" s="4"/>
      <c r="R709" s="17"/>
      <c r="S709" s="17"/>
      <c r="T709" s="17"/>
      <c r="U709" s="17"/>
      <c r="V709" s="17"/>
    </row>
    <row r="710" ht="14.25" customHeight="1">
      <c r="C710" s="29"/>
      <c r="D710" s="30"/>
      <c r="E710" s="29"/>
      <c r="F710" s="4"/>
      <c r="G710" s="4"/>
      <c r="H710" s="4"/>
      <c r="I710" s="26"/>
      <c r="J710" s="26"/>
      <c r="K710" s="17"/>
      <c r="L710" s="17"/>
      <c r="M710" s="29"/>
      <c r="N710" s="29"/>
      <c r="O710" s="4"/>
      <c r="P710" s="4"/>
      <c r="Q710" s="4"/>
      <c r="R710" s="17"/>
      <c r="S710" s="17"/>
      <c r="T710" s="17"/>
      <c r="U710" s="17"/>
      <c r="V710" s="17"/>
    </row>
    <row r="711" ht="14.25" customHeight="1">
      <c r="C711" s="29"/>
      <c r="D711" s="30"/>
      <c r="E711" s="29"/>
      <c r="F711" s="4"/>
      <c r="G711" s="4"/>
      <c r="H711" s="4"/>
      <c r="I711" s="26"/>
      <c r="J711" s="26"/>
      <c r="K711" s="17"/>
      <c r="L711" s="17"/>
      <c r="M711" s="29"/>
      <c r="N711" s="29"/>
      <c r="O711" s="4"/>
      <c r="P711" s="4"/>
      <c r="Q711" s="4"/>
      <c r="R711" s="17"/>
      <c r="S711" s="17"/>
      <c r="T711" s="17"/>
      <c r="U711" s="17"/>
      <c r="V711" s="17"/>
    </row>
    <row r="712" ht="14.25" customHeight="1">
      <c r="C712" s="29"/>
      <c r="D712" s="30"/>
      <c r="E712" s="29"/>
      <c r="F712" s="4"/>
      <c r="G712" s="4"/>
      <c r="H712" s="4"/>
      <c r="I712" s="26"/>
      <c r="J712" s="26"/>
      <c r="K712" s="17"/>
      <c r="L712" s="17"/>
      <c r="M712" s="29"/>
      <c r="N712" s="29"/>
      <c r="O712" s="4"/>
      <c r="P712" s="4"/>
      <c r="Q712" s="4"/>
      <c r="R712" s="17"/>
      <c r="S712" s="17"/>
      <c r="T712" s="17"/>
      <c r="U712" s="17"/>
      <c r="V712" s="17"/>
    </row>
    <row r="713" ht="14.25" customHeight="1">
      <c r="C713" s="29"/>
      <c r="D713" s="30"/>
      <c r="E713" s="29"/>
      <c r="F713" s="4"/>
      <c r="G713" s="4"/>
      <c r="H713" s="4"/>
      <c r="I713" s="26"/>
      <c r="J713" s="26"/>
      <c r="K713" s="17"/>
      <c r="L713" s="17"/>
      <c r="M713" s="29"/>
      <c r="N713" s="29"/>
      <c r="O713" s="4"/>
      <c r="P713" s="4"/>
      <c r="Q713" s="4"/>
      <c r="R713" s="17"/>
      <c r="S713" s="17"/>
      <c r="T713" s="17"/>
      <c r="U713" s="17"/>
      <c r="V713" s="17"/>
    </row>
    <row r="714" ht="14.25" customHeight="1">
      <c r="C714" s="29"/>
      <c r="D714" s="30"/>
      <c r="E714" s="29"/>
      <c r="F714" s="4"/>
      <c r="G714" s="4"/>
      <c r="H714" s="4"/>
      <c r="I714" s="26"/>
      <c r="J714" s="26"/>
      <c r="K714" s="17"/>
      <c r="L714" s="17"/>
      <c r="M714" s="29"/>
      <c r="N714" s="29"/>
      <c r="O714" s="4"/>
      <c r="P714" s="4"/>
      <c r="Q714" s="4"/>
      <c r="R714" s="17"/>
      <c r="S714" s="17"/>
      <c r="T714" s="17"/>
      <c r="U714" s="17"/>
      <c r="V714" s="17"/>
    </row>
    <row r="715" ht="14.25" customHeight="1">
      <c r="C715" s="29"/>
      <c r="D715" s="30"/>
      <c r="E715" s="29"/>
      <c r="F715" s="4"/>
      <c r="G715" s="4"/>
      <c r="H715" s="4"/>
      <c r="I715" s="26"/>
      <c r="J715" s="26"/>
      <c r="K715" s="17"/>
      <c r="L715" s="17"/>
      <c r="M715" s="29"/>
      <c r="N715" s="29"/>
      <c r="O715" s="4"/>
      <c r="P715" s="4"/>
      <c r="Q715" s="4"/>
      <c r="R715" s="17"/>
      <c r="S715" s="17"/>
      <c r="T715" s="17"/>
      <c r="U715" s="17"/>
      <c r="V715" s="17"/>
    </row>
    <row r="716" ht="14.25" customHeight="1">
      <c r="C716" s="29"/>
      <c r="D716" s="30"/>
      <c r="E716" s="29"/>
      <c r="F716" s="4"/>
      <c r="G716" s="4"/>
      <c r="H716" s="4"/>
      <c r="I716" s="26"/>
      <c r="J716" s="26"/>
      <c r="K716" s="17"/>
      <c r="L716" s="17"/>
      <c r="M716" s="29"/>
      <c r="N716" s="29"/>
      <c r="O716" s="4"/>
      <c r="P716" s="4"/>
      <c r="Q716" s="4"/>
      <c r="R716" s="17"/>
      <c r="S716" s="17"/>
      <c r="T716" s="17"/>
      <c r="U716" s="17"/>
      <c r="V716" s="17"/>
    </row>
    <row r="717" ht="14.25" customHeight="1">
      <c r="C717" s="29"/>
      <c r="D717" s="30"/>
      <c r="E717" s="29"/>
      <c r="F717" s="4"/>
      <c r="G717" s="4"/>
      <c r="H717" s="4"/>
      <c r="I717" s="26"/>
      <c r="J717" s="26"/>
      <c r="K717" s="17"/>
      <c r="L717" s="17"/>
      <c r="M717" s="29"/>
      <c r="N717" s="29"/>
      <c r="O717" s="4"/>
      <c r="P717" s="4"/>
      <c r="Q717" s="4"/>
      <c r="R717" s="17"/>
      <c r="S717" s="17"/>
      <c r="T717" s="17"/>
      <c r="U717" s="17"/>
      <c r="V717" s="17"/>
    </row>
    <row r="718" ht="14.25" customHeight="1">
      <c r="C718" s="29"/>
      <c r="D718" s="30"/>
      <c r="E718" s="29"/>
      <c r="F718" s="4"/>
      <c r="G718" s="4"/>
      <c r="H718" s="4"/>
      <c r="I718" s="26"/>
      <c r="J718" s="26"/>
      <c r="K718" s="17"/>
      <c r="L718" s="17"/>
      <c r="M718" s="29"/>
      <c r="N718" s="29"/>
      <c r="O718" s="4"/>
      <c r="P718" s="4"/>
      <c r="Q718" s="4"/>
      <c r="R718" s="17"/>
      <c r="S718" s="17"/>
      <c r="T718" s="17"/>
      <c r="U718" s="17"/>
      <c r="V718" s="17"/>
    </row>
    <row r="719" ht="14.25" customHeight="1">
      <c r="C719" s="29"/>
      <c r="D719" s="30"/>
      <c r="E719" s="29"/>
      <c r="F719" s="4"/>
      <c r="G719" s="4"/>
      <c r="H719" s="4"/>
      <c r="I719" s="26"/>
      <c r="J719" s="26"/>
      <c r="K719" s="17"/>
      <c r="L719" s="17"/>
      <c r="M719" s="29"/>
      <c r="N719" s="29"/>
      <c r="O719" s="4"/>
      <c r="P719" s="4"/>
      <c r="Q719" s="4"/>
      <c r="R719" s="17"/>
      <c r="S719" s="17"/>
      <c r="T719" s="17"/>
      <c r="U719" s="17"/>
      <c r="V719" s="17"/>
    </row>
    <row r="720" ht="14.25" customHeight="1">
      <c r="C720" s="29"/>
      <c r="D720" s="30"/>
      <c r="E720" s="29"/>
      <c r="F720" s="4"/>
      <c r="G720" s="4"/>
      <c r="H720" s="4"/>
      <c r="I720" s="26"/>
      <c r="J720" s="26"/>
      <c r="K720" s="17"/>
      <c r="L720" s="17"/>
      <c r="M720" s="29"/>
      <c r="N720" s="29"/>
      <c r="O720" s="4"/>
      <c r="P720" s="4"/>
      <c r="Q720" s="4"/>
      <c r="R720" s="17"/>
      <c r="S720" s="17"/>
      <c r="T720" s="17"/>
      <c r="U720" s="17"/>
      <c r="V720" s="17"/>
    </row>
    <row r="721" ht="14.25" customHeight="1">
      <c r="C721" s="29"/>
      <c r="D721" s="30"/>
      <c r="E721" s="29"/>
      <c r="F721" s="4"/>
      <c r="G721" s="4"/>
      <c r="H721" s="4"/>
      <c r="I721" s="26"/>
      <c r="J721" s="26"/>
      <c r="K721" s="17"/>
      <c r="L721" s="17"/>
      <c r="M721" s="29"/>
      <c r="N721" s="29"/>
      <c r="O721" s="4"/>
      <c r="P721" s="4"/>
      <c r="Q721" s="4"/>
      <c r="R721" s="17"/>
      <c r="S721" s="17"/>
      <c r="T721" s="17"/>
      <c r="U721" s="17"/>
      <c r="V721" s="17"/>
    </row>
    <row r="722" ht="14.25" customHeight="1">
      <c r="C722" s="29"/>
      <c r="D722" s="30"/>
      <c r="E722" s="29"/>
      <c r="F722" s="4"/>
      <c r="G722" s="4"/>
      <c r="H722" s="4"/>
      <c r="I722" s="26"/>
      <c r="J722" s="26"/>
      <c r="K722" s="17"/>
      <c r="L722" s="17"/>
      <c r="M722" s="29"/>
      <c r="N722" s="29"/>
      <c r="O722" s="4"/>
      <c r="P722" s="4"/>
      <c r="Q722" s="4"/>
      <c r="R722" s="17"/>
      <c r="S722" s="17"/>
      <c r="T722" s="17"/>
      <c r="U722" s="17"/>
      <c r="V722" s="17"/>
    </row>
    <row r="723" ht="14.25" customHeight="1">
      <c r="C723" s="29"/>
      <c r="D723" s="30"/>
      <c r="E723" s="29"/>
      <c r="F723" s="4"/>
      <c r="G723" s="4"/>
      <c r="H723" s="4"/>
      <c r="I723" s="26"/>
      <c r="J723" s="26"/>
      <c r="K723" s="17"/>
      <c r="L723" s="17"/>
      <c r="M723" s="29"/>
      <c r="N723" s="29"/>
      <c r="O723" s="4"/>
      <c r="P723" s="4"/>
      <c r="Q723" s="4"/>
      <c r="R723" s="17"/>
      <c r="S723" s="17"/>
      <c r="T723" s="17"/>
      <c r="U723" s="17"/>
      <c r="V723" s="17"/>
    </row>
    <row r="724" ht="14.25" customHeight="1">
      <c r="C724" s="29"/>
      <c r="D724" s="30"/>
      <c r="E724" s="29"/>
      <c r="F724" s="4"/>
      <c r="G724" s="4"/>
      <c r="H724" s="4"/>
      <c r="I724" s="26"/>
      <c r="J724" s="26"/>
      <c r="K724" s="17"/>
      <c r="L724" s="17"/>
      <c r="M724" s="29"/>
      <c r="N724" s="29"/>
      <c r="O724" s="4"/>
      <c r="P724" s="4"/>
      <c r="Q724" s="4"/>
      <c r="R724" s="17"/>
      <c r="S724" s="17"/>
      <c r="T724" s="17"/>
      <c r="U724" s="17"/>
      <c r="V724" s="17"/>
    </row>
    <row r="725" ht="14.25" customHeight="1">
      <c r="C725" s="29"/>
      <c r="D725" s="30"/>
      <c r="E725" s="29"/>
      <c r="F725" s="4"/>
      <c r="G725" s="4"/>
      <c r="H725" s="4"/>
      <c r="I725" s="26"/>
      <c r="J725" s="26"/>
      <c r="K725" s="17"/>
      <c r="L725" s="17"/>
      <c r="M725" s="29"/>
      <c r="N725" s="29"/>
      <c r="O725" s="4"/>
      <c r="P725" s="4"/>
      <c r="Q725" s="4"/>
      <c r="R725" s="17"/>
      <c r="S725" s="17"/>
      <c r="T725" s="17"/>
      <c r="U725" s="17"/>
      <c r="V725" s="17"/>
    </row>
    <row r="726" ht="14.25" customHeight="1">
      <c r="C726" s="29"/>
      <c r="D726" s="30"/>
      <c r="E726" s="29"/>
      <c r="F726" s="4"/>
      <c r="G726" s="4"/>
      <c r="H726" s="4"/>
      <c r="I726" s="26"/>
      <c r="J726" s="26"/>
      <c r="K726" s="17"/>
      <c r="L726" s="17"/>
      <c r="M726" s="29"/>
      <c r="N726" s="29"/>
      <c r="O726" s="4"/>
      <c r="P726" s="4"/>
      <c r="Q726" s="4"/>
      <c r="R726" s="17"/>
      <c r="S726" s="17"/>
      <c r="T726" s="17"/>
      <c r="U726" s="17"/>
      <c r="V726" s="17"/>
    </row>
    <row r="727" ht="14.25" customHeight="1">
      <c r="C727" s="29"/>
      <c r="D727" s="30"/>
      <c r="E727" s="29"/>
      <c r="F727" s="4"/>
      <c r="G727" s="4"/>
      <c r="H727" s="4"/>
      <c r="I727" s="26"/>
      <c r="J727" s="26"/>
      <c r="K727" s="17"/>
      <c r="L727" s="17"/>
      <c r="M727" s="29"/>
      <c r="N727" s="29"/>
      <c r="O727" s="4"/>
      <c r="P727" s="4"/>
      <c r="Q727" s="4"/>
      <c r="R727" s="17"/>
      <c r="S727" s="17"/>
      <c r="T727" s="17"/>
      <c r="U727" s="17"/>
      <c r="V727" s="17"/>
    </row>
    <row r="728" ht="14.25" customHeight="1">
      <c r="C728" s="29"/>
      <c r="D728" s="30"/>
      <c r="E728" s="29"/>
      <c r="F728" s="4"/>
      <c r="G728" s="4"/>
      <c r="H728" s="4"/>
      <c r="I728" s="26"/>
      <c r="J728" s="26"/>
      <c r="K728" s="17"/>
      <c r="L728" s="17"/>
      <c r="M728" s="29"/>
      <c r="N728" s="29"/>
      <c r="O728" s="4"/>
      <c r="P728" s="4"/>
      <c r="Q728" s="4"/>
      <c r="R728" s="17"/>
      <c r="S728" s="17"/>
      <c r="T728" s="17"/>
      <c r="U728" s="17"/>
      <c r="V728" s="17"/>
    </row>
    <row r="729" ht="14.25" customHeight="1">
      <c r="C729" s="29"/>
      <c r="D729" s="30"/>
      <c r="E729" s="29"/>
      <c r="F729" s="4"/>
      <c r="G729" s="4"/>
      <c r="H729" s="4"/>
      <c r="I729" s="26"/>
      <c r="J729" s="26"/>
      <c r="K729" s="17"/>
      <c r="L729" s="17"/>
      <c r="M729" s="29"/>
      <c r="N729" s="29"/>
      <c r="O729" s="4"/>
      <c r="P729" s="4"/>
      <c r="Q729" s="4"/>
      <c r="R729" s="17"/>
      <c r="S729" s="17"/>
      <c r="T729" s="17"/>
      <c r="U729" s="17"/>
      <c r="V729" s="17"/>
    </row>
    <row r="730" ht="14.25" customHeight="1">
      <c r="C730" s="29"/>
      <c r="D730" s="30"/>
      <c r="E730" s="29"/>
      <c r="F730" s="4"/>
      <c r="G730" s="4"/>
      <c r="H730" s="4"/>
      <c r="I730" s="26"/>
      <c r="J730" s="26"/>
      <c r="K730" s="17"/>
      <c r="L730" s="17"/>
      <c r="M730" s="29"/>
      <c r="N730" s="29"/>
      <c r="O730" s="4"/>
      <c r="P730" s="4"/>
      <c r="Q730" s="4"/>
      <c r="R730" s="17"/>
      <c r="S730" s="17"/>
      <c r="T730" s="17"/>
      <c r="U730" s="17"/>
      <c r="V730" s="17"/>
    </row>
    <row r="731" ht="14.25" customHeight="1">
      <c r="C731" s="29"/>
      <c r="D731" s="30"/>
      <c r="E731" s="29"/>
      <c r="F731" s="4"/>
      <c r="G731" s="4"/>
      <c r="H731" s="4"/>
      <c r="I731" s="26"/>
      <c r="J731" s="26"/>
      <c r="K731" s="17"/>
      <c r="L731" s="17"/>
      <c r="M731" s="29"/>
      <c r="N731" s="29"/>
      <c r="O731" s="4"/>
      <c r="P731" s="4"/>
      <c r="Q731" s="4"/>
      <c r="R731" s="17"/>
      <c r="S731" s="17"/>
      <c r="T731" s="17"/>
      <c r="U731" s="17"/>
      <c r="V731" s="17"/>
    </row>
    <row r="732" ht="14.25" customHeight="1">
      <c r="C732" s="29"/>
      <c r="D732" s="30"/>
      <c r="E732" s="29"/>
      <c r="F732" s="4"/>
      <c r="G732" s="4"/>
      <c r="H732" s="4"/>
      <c r="I732" s="26"/>
      <c r="J732" s="26"/>
      <c r="K732" s="17"/>
      <c r="L732" s="17"/>
      <c r="M732" s="29"/>
      <c r="N732" s="29"/>
      <c r="O732" s="4"/>
      <c r="P732" s="4"/>
      <c r="Q732" s="4"/>
      <c r="R732" s="17"/>
      <c r="S732" s="17"/>
      <c r="T732" s="17"/>
      <c r="U732" s="17"/>
      <c r="V732" s="17"/>
    </row>
    <row r="733" ht="14.25" customHeight="1">
      <c r="C733" s="29"/>
      <c r="D733" s="30"/>
      <c r="E733" s="29"/>
      <c r="F733" s="4"/>
      <c r="G733" s="4"/>
      <c r="H733" s="4"/>
      <c r="I733" s="26"/>
      <c r="J733" s="26"/>
      <c r="K733" s="17"/>
      <c r="L733" s="17"/>
      <c r="M733" s="29"/>
      <c r="N733" s="29"/>
      <c r="O733" s="4"/>
      <c r="P733" s="4"/>
      <c r="Q733" s="4"/>
      <c r="R733" s="17"/>
      <c r="S733" s="17"/>
      <c r="T733" s="17"/>
      <c r="U733" s="17"/>
      <c r="V733" s="17"/>
    </row>
    <row r="734" ht="14.25" customHeight="1">
      <c r="C734" s="29"/>
      <c r="D734" s="30"/>
      <c r="E734" s="29"/>
      <c r="F734" s="4"/>
      <c r="G734" s="4"/>
      <c r="H734" s="4"/>
      <c r="I734" s="26"/>
      <c r="J734" s="26"/>
      <c r="K734" s="17"/>
      <c r="L734" s="17"/>
      <c r="M734" s="29"/>
      <c r="N734" s="29"/>
      <c r="O734" s="4"/>
      <c r="P734" s="4"/>
      <c r="Q734" s="4"/>
      <c r="R734" s="17"/>
      <c r="S734" s="17"/>
      <c r="T734" s="17"/>
      <c r="U734" s="17"/>
      <c r="V734" s="17"/>
    </row>
    <row r="735" ht="14.25" customHeight="1">
      <c r="C735" s="29"/>
      <c r="D735" s="30"/>
      <c r="E735" s="29"/>
      <c r="F735" s="4"/>
      <c r="G735" s="4"/>
      <c r="H735" s="4"/>
      <c r="I735" s="26"/>
      <c r="J735" s="26"/>
      <c r="K735" s="17"/>
      <c r="L735" s="17"/>
      <c r="M735" s="29"/>
      <c r="N735" s="29"/>
      <c r="O735" s="4"/>
      <c r="P735" s="4"/>
      <c r="Q735" s="4"/>
      <c r="R735" s="17"/>
      <c r="S735" s="17"/>
      <c r="T735" s="17"/>
      <c r="U735" s="17"/>
      <c r="V735" s="17"/>
    </row>
    <row r="736" ht="14.25" customHeight="1">
      <c r="C736" s="29"/>
      <c r="D736" s="30"/>
      <c r="E736" s="29"/>
      <c r="F736" s="4"/>
      <c r="G736" s="4"/>
      <c r="H736" s="4"/>
      <c r="I736" s="26"/>
      <c r="J736" s="26"/>
      <c r="K736" s="17"/>
      <c r="L736" s="17"/>
      <c r="M736" s="29"/>
      <c r="N736" s="29"/>
      <c r="O736" s="4"/>
      <c r="P736" s="4"/>
      <c r="Q736" s="4"/>
      <c r="R736" s="17"/>
      <c r="S736" s="17"/>
      <c r="T736" s="17"/>
      <c r="U736" s="17"/>
      <c r="V736" s="17"/>
    </row>
    <row r="737" ht="14.25" customHeight="1">
      <c r="C737" s="29"/>
      <c r="D737" s="30"/>
      <c r="E737" s="29"/>
      <c r="F737" s="4"/>
      <c r="G737" s="4"/>
      <c r="H737" s="4"/>
      <c r="I737" s="26"/>
      <c r="J737" s="26"/>
      <c r="K737" s="17"/>
      <c r="L737" s="17"/>
      <c r="M737" s="29"/>
      <c r="N737" s="29"/>
      <c r="O737" s="4"/>
      <c r="P737" s="4"/>
      <c r="Q737" s="4"/>
      <c r="R737" s="17"/>
      <c r="S737" s="17"/>
      <c r="T737" s="17"/>
      <c r="U737" s="17"/>
      <c r="V737" s="17"/>
    </row>
    <row r="738" ht="14.25" customHeight="1">
      <c r="C738" s="29"/>
      <c r="D738" s="30"/>
      <c r="E738" s="29"/>
      <c r="F738" s="4"/>
      <c r="G738" s="4"/>
      <c r="H738" s="4"/>
      <c r="I738" s="26"/>
      <c r="J738" s="26"/>
      <c r="K738" s="17"/>
      <c r="L738" s="17"/>
      <c r="M738" s="29"/>
      <c r="N738" s="29"/>
      <c r="O738" s="4"/>
      <c r="P738" s="4"/>
      <c r="Q738" s="4"/>
      <c r="R738" s="17"/>
      <c r="S738" s="17"/>
      <c r="T738" s="17"/>
      <c r="U738" s="17"/>
      <c r="V738" s="17"/>
    </row>
    <row r="739" ht="14.25" customHeight="1">
      <c r="C739" s="29"/>
      <c r="D739" s="30"/>
      <c r="E739" s="29"/>
      <c r="F739" s="4"/>
      <c r="G739" s="4"/>
      <c r="H739" s="4"/>
      <c r="I739" s="26"/>
      <c r="J739" s="26"/>
      <c r="K739" s="17"/>
      <c r="L739" s="17"/>
      <c r="M739" s="29"/>
      <c r="N739" s="29"/>
      <c r="O739" s="4"/>
      <c r="P739" s="4"/>
      <c r="Q739" s="4"/>
      <c r="R739" s="17"/>
      <c r="S739" s="17"/>
      <c r="T739" s="17"/>
      <c r="U739" s="17"/>
      <c r="V739" s="17"/>
    </row>
    <row r="740" ht="14.25" customHeight="1">
      <c r="C740" s="29"/>
      <c r="D740" s="30"/>
      <c r="E740" s="29"/>
      <c r="F740" s="4"/>
      <c r="G740" s="4"/>
      <c r="H740" s="4"/>
      <c r="I740" s="26"/>
      <c r="J740" s="26"/>
      <c r="K740" s="17"/>
      <c r="L740" s="17"/>
      <c r="M740" s="29"/>
      <c r="N740" s="29"/>
      <c r="O740" s="4"/>
      <c r="P740" s="4"/>
      <c r="Q740" s="4"/>
      <c r="R740" s="17"/>
      <c r="S740" s="17"/>
      <c r="T740" s="17"/>
      <c r="U740" s="17"/>
      <c r="V740" s="17"/>
    </row>
    <row r="741" ht="14.25" customHeight="1">
      <c r="C741" s="29"/>
      <c r="D741" s="30"/>
      <c r="E741" s="29"/>
      <c r="F741" s="4"/>
      <c r="G741" s="4"/>
      <c r="H741" s="4"/>
      <c r="I741" s="26"/>
      <c r="J741" s="26"/>
      <c r="K741" s="17"/>
      <c r="L741" s="17"/>
      <c r="M741" s="29"/>
      <c r="N741" s="29"/>
      <c r="O741" s="4"/>
      <c r="P741" s="4"/>
      <c r="Q741" s="4"/>
      <c r="R741" s="17"/>
      <c r="S741" s="17"/>
      <c r="T741" s="17"/>
      <c r="U741" s="17"/>
      <c r="V741" s="17"/>
    </row>
    <row r="742" ht="14.25" customHeight="1">
      <c r="C742" s="29"/>
      <c r="D742" s="30"/>
      <c r="E742" s="29"/>
      <c r="F742" s="4"/>
      <c r="G742" s="4"/>
      <c r="H742" s="4"/>
      <c r="I742" s="26"/>
      <c r="J742" s="26"/>
      <c r="K742" s="17"/>
      <c r="L742" s="17"/>
      <c r="M742" s="29"/>
      <c r="N742" s="29"/>
      <c r="O742" s="4"/>
      <c r="P742" s="4"/>
      <c r="Q742" s="4"/>
      <c r="R742" s="17"/>
      <c r="S742" s="17"/>
      <c r="T742" s="17"/>
      <c r="U742" s="17"/>
      <c r="V742" s="17"/>
    </row>
    <row r="743" ht="14.25" customHeight="1">
      <c r="C743" s="29"/>
      <c r="D743" s="30"/>
      <c r="E743" s="29"/>
      <c r="F743" s="4"/>
      <c r="G743" s="4"/>
      <c r="H743" s="4"/>
      <c r="I743" s="26"/>
      <c r="J743" s="26"/>
      <c r="K743" s="17"/>
      <c r="L743" s="17"/>
      <c r="M743" s="29"/>
      <c r="N743" s="29"/>
      <c r="O743" s="4"/>
      <c r="P743" s="4"/>
      <c r="Q743" s="4"/>
      <c r="R743" s="17"/>
      <c r="S743" s="17"/>
      <c r="T743" s="17"/>
      <c r="U743" s="17"/>
      <c r="V743" s="17"/>
    </row>
    <row r="744" ht="14.25" customHeight="1">
      <c r="C744" s="29"/>
      <c r="D744" s="30"/>
      <c r="E744" s="29"/>
      <c r="F744" s="4"/>
      <c r="G744" s="4"/>
      <c r="H744" s="4"/>
      <c r="I744" s="26"/>
      <c r="J744" s="26"/>
      <c r="K744" s="17"/>
      <c r="L744" s="17"/>
      <c r="M744" s="29"/>
      <c r="N744" s="29"/>
      <c r="O744" s="4"/>
      <c r="P744" s="4"/>
      <c r="Q744" s="4"/>
      <c r="R744" s="17"/>
      <c r="S744" s="17"/>
      <c r="T744" s="17"/>
      <c r="U744" s="17"/>
      <c r="V744" s="17"/>
    </row>
    <row r="745" ht="14.25" customHeight="1">
      <c r="C745" s="29"/>
      <c r="D745" s="30"/>
      <c r="E745" s="29"/>
      <c r="F745" s="4"/>
      <c r="G745" s="4"/>
      <c r="H745" s="4"/>
      <c r="I745" s="26"/>
      <c r="J745" s="26"/>
      <c r="K745" s="17"/>
      <c r="L745" s="17"/>
      <c r="M745" s="29"/>
      <c r="N745" s="29"/>
      <c r="O745" s="4"/>
      <c r="P745" s="4"/>
      <c r="Q745" s="4"/>
      <c r="R745" s="17"/>
      <c r="S745" s="17"/>
      <c r="T745" s="17"/>
      <c r="U745" s="17"/>
      <c r="V745" s="17"/>
    </row>
    <row r="746" ht="14.25" customHeight="1">
      <c r="C746" s="29"/>
      <c r="D746" s="30"/>
      <c r="E746" s="29"/>
      <c r="F746" s="4"/>
      <c r="G746" s="4"/>
      <c r="H746" s="4"/>
      <c r="I746" s="26"/>
      <c r="J746" s="26"/>
      <c r="K746" s="17"/>
      <c r="L746" s="17"/>
      <c r="M746" s="29"/>
      <c r="N746" s="29"/>
      <c r="O746" s="4"/>
      <c r="P746" s="4"/>
      <c r="Q746" s="4"/>
      <c r="R746" s="17"/>
      <c r="S746" s="17"/>
      <c r="T746" s="17"/>
      <c r="U746" s="17"/>
      <c r="V746" s="17"/>
    </row>
    <row r="747" ht="14.25" customHeight="1">
      <c r="C747" s="29"/>
      <c r="D747" s="30"/>
      <c r="E747" s="29"/>
      <c r="F747" s="4"/>
      <c r="G747" s="4"/>
      <c r="H747" s="4"/>
      <c r="I747" s="26"/>
      <c r="J747" s="26"/>
      <c r="K747" s="17"/>
      <c r="L747" s="17"/>
      <c r="M747" s="29"/>
      <c r="N747" s="29"/>
      <c r="O747" s="4"/>
      <c r="P747" s="4"/>
      <c r="Q747" s="4"/>
      <c r="R747" s="17"/>
      <c r="S747" s="17"/>
      <c r="T747" s="17"/>
      <c r="U747" s="17"/>
      <c r="V747" s="17"/>
    </row>
    <row r="748" ht="14.25" customHeight="1">
      <c r="C748" s="29"/>
      <c r="D748" s="30"/>
      <c r="E748" s="29"/>
      <c r="F748" s="4"/>
      <c r="G748" s="4"/>
      <c r="H748" s="4"/>
      <c r="I748" s="26"/>
      <c r="J748" s="26"/>
      <c r="K748" s="17"/>
      <c r="L748" s="17"/>
      <c r="M748" s="29"/>
      <c r="N748" s="29"/>
      <c r="O748" s="4"/>
      <c r="P748" s="4"/>
      <c r="Q748" s="4"/>
      <c r="R748" s="17"/>
      <c r="S748" s="17"/>
      <c r="T748" s="17"/>
      <c r="U748" s="17"/>
      <c r="V748" s="17"/>
    </row>
    <row r="749" ht="14.25" customHeight="1">
      <c r="C749" s="29"/>
      <c r="D749" s="30"/>
      <c r="E749" s="29"/>
      <c r="F749" s="4"/>
      <c r="G749" s="4"/>
      <c r="H749" s="4"/>
      <c r="I749" s="26"/>
      <c r="J749" s="26"/>
      <c r="K749" s="17"/>
      <c r="L749" s="17"/>
      <c r="M749" s="29"/>
      <c r="N749" s="29"/>
      <c r="O749" s="4"/>
      <c r="P749" s="4"/>
      <c r="Q749" s="4"/>
      <c r="R749" s="17"/>
      <c r="S749" s="17"/>
      <c r="T749" s="17"/>
      <c r="U749" s="17"/>
      <c r="V749" s="17"/>
    </row>
    <row r="750" ht="14.25" customHeight="1">
      <c r="C750" s="29"/>
      <c r="D750" s="30"/>
      <c r="E750" s="29"/>
      <c r="F750" s="4"/>
      <c r="G750" s="4"/>
      <c r="H750" s="4"/>
      <c r="I750" s="26"/>
      <c r="J750" s="26"/>
      <c r="K750" s="17"/>
      <c r="L750" s="17"/>
      <c r="M750" s="29"/>
      <c r="N750" s="29"/>
      <c r="O750" s="4"/>
      <c r="P750" s="4"/>
      <c r="Q750" s="4"/>
      <c r="R750" s="17"/>
      <c r="S750" s="17"/>
      <c r="T750" s="17"/>
      <c r="U750" s="17"/>
      <c r="V750" s="17"/>
    </row>
    <row r="751" ht="14.25" customHeight="1">
      <c r="C751" s="29"/>
      <c r="D751" s="30"/>
      <c r="E751" s="29"/>
      <c r="F751" s="4"/>
      <c r="G751" s="4"/>
      <c r="H751" s="4"/>
      <c r="I751" s="26"/>
      <c r="J751" s="26"/>
      <c r="K751" s="17"/>
      <c r="L751" s="17"/>
      <c r="M751" s="29"/>
      <c r="N751" s="29"/>
      <c r="O751" s="4"/>
      <c r="P751" s="4"/>
      <c r="Q751" s="4"/>
      <c r="R751" s="17"/>
      <c r="S751" s="17"/>
      <c r="T751" s="17"/>
      <c r="U751" s="17"/>
      <c r="V751" s="17"/>
    </row>
    <row r="752" ht="14.25" customHeight="1">
      <c r="C752" s="29"/>
      <c r="D752" s="30"/>
      <c r="E752" s="29"/>
      <c r="F752" s="4"/>
      <c r="G752" s="4"/>
      <c r="H752" s="4"/>
      <c r="I752" s="26"/>
      <c r="J752" s="26"/>
      <c r="K752" s="17"/>
      <c r="L752" s="17"/>
      <c r="M752" s="29"/>
      <c r="N752" s="29"/>
      <c r="O752" s="4"/>
      <c r="P752" s="4"/>
      <c r="Q752" s="4"/>
      <c r="R752" s="17"/>
      <c r="S752" s="17"/>
      <c r="T752" s="17"/>
      <c r="U752" s="17"/>
      <c r="V752" s="17"/>
    </row>
    <row r="753" ht="14.25" customHeight="1">
      <c r="C753" s="29"/>
      <c r="D753" s="30"/>
      <c r="E753" s="29"/>
      <c r="F753" s="4"/>
      <c r="G753" s="4"/>
      <c r="H753" s="4"/>
      <c r="I753" s="26"/>
      <c r="J753" s="26"/>
      <c r="K753" s="17"/>
      <c r="L753" s="17"/>
      <c r="M753" s="29"/>
      <c r="N753" s="29"/>
      <c r="O753" s="4"/>
      <c r="P753" s="4"/>
      <c r="Q753" s="4"/>
      <c r="R753" s="17"/>
      <c r="S753" s="17"/>
      <c r="T753" s="17"/>
      <c r="U753" s="17"/>
      <c r="V753" s="17"/>
    </row>
    <row r="754" ht="14.25" customHeight="1">
      <c r="C754" s="29"/>
      <c r="D754" s="30"/>
      <c r="E754" s="29"/>
      <c r="F754" s="4"/>
      <c r="G754" s="4"/>
      <c r="H754" s="4"/>
      <c r="I754" s="26"/>
      <c r="J754" s="26"/>
      <c r="K754" s="17"/>
      <c r="L754" s="17"/>
      <c r="M754" s="29"/>
      <c r="N754" s="29"/>
      <c r="O754" s="4"/>
      <c r="P754" s="4"/>
      <c r="Q754" s="4"/>
      <c r="R754" s="17"/>
      <c r="S754" s="17"/>
      <c r="T754" s="17"/>
      <c r="U754" s="17"/>
      <c r="V754" s="17"/>
    </row>
    <row r="755" ht="14.25" customHeight="1">
      <c r="C755" s="29"/>
      <c r="D755" s="30"/>
      <c r="E755" s="29"/>
      <c r="F755" s="4"/>
      <c r="G755" s="4"/>
      <c r="H755" s="4"/>
      <c r="I755" s="26"/>
      <c r="J755" s="26"/>
      <c r="K755" s="17"/>
      <c r="L755" s="17"/>
      <c r="M755" s="29"/>
      <c r="N755" s="29"/>
      <c r="O755" s="4"/>
      <c r="P755" s="4"/>
      <c r="Q755" s="4"/>
      <c r="R755" s="17"/>
      <c r="S755" s="17"/>
      <c r="T755" s="17"/>
      <c r="U755" s="17"/>
      <c r="V755" s="17"/>
    </row>
    <row r="756" ht="14.25" customHeight="1">
      <c r="C756" s="29"/>
      <c r="D756" s="30"/>
      <c r="E756" s="29"/>
      <c r="F756" s="4"/>
      <c r="G756" s="4"/>
      <c r="H756" s="4"/>
      <c r="I756" s="26"/>
      <c r="J756" s="26"/>
      <c r="K756" s="17"/>
      <c r="L756" s="17"/>
      <c r="M756" s="29"/>
      <c r="N756" s="29"/>
      <c r="O756" s="4"/>
      <c r="P756" s="4"/>
      <c r="Q756" s="4"/>
      <c r="R756" s="17"/>
      <c r="S756" s="17"/>
      <c r="T756" s="17"/>
      <c r="U756" s="17"/>
      <c r="V756" s="17"/>
    </row>
    <row r="757" ht="14.25" customHeight="1">
      <c r="C757" s="29"/>
      <c r="D757" s="30"/>
      <c r="E757" s="29"/>
      <c r="F757" s="4"/>
      <c r="G757" s="4"/>
      <c r="H757" s="4"/>
      <c r="I757" s="26"/>
      <c r="J757" s="26"/>
      <c r="K757" s="17"/>
      <c r="L757" s="17"/>
      <c r="M757" s="29"/>
      <c r="N757" s="29"/>
      <c r="O757" s="4"/>
      <c r="P757" s="4"/>
      <c r="Q757" s="4"/>
      <c r="R757" s="17"/>
      <c r="S757" s="17"/>
      <c r="T757" s="17"/>
      <c r="U757" s="17"/>
      <c r="V757" s="17"/>
    </row>
    <row r="758" ht="14.25" customHeight="1">
      <c r="C758" s="29"/>
      <c r="D758" s="30"/>
      <c r="E758" s="29"/>
      <c r="F758" s="4"/>
      <c r="G758" s="4"/>
      <c r="H758" s="4"/>
      <c r="I758" s="26"/>
      <c r="J758" s="26"/>
      <c r="K758" s="17"/>
      <c r="L758" s="17"/>
      <c r="M758" s="29"/>
      <c r="N758" s="29"/>
      <c r="O758" s="4"/>
      <c r="P758" s="4"/>
      <c r="Q758" s="4"/>
      <c r="R758" s="17"/>
      <c r="S758" s="17"/>
      <c r="T758" s="17"/>
      <c r="U758" s="17"/>
      <c r="V758" s="17"/>
    </row>
    <row r="759" ht="14.25" customHeight="1">
      <c r="C759" s="29"/>
      <c r="D759" s="30"/>
      <c r="E759" s="29"/>
      <c r="F759" s="4"/>
      <c r="G759" s="4"/>
      <c r="H759" s="4"/>
      <c r="I759" s="26"/>
      <c r="J759" s="26"/>
      <c r="K759" s="17"/>
      <c r="L759" s="17"/>
      <c r="M759" s="29"/>
      <c r="N759" s="29"/>
      <c r="O759" s="4"/>
      <c r="P759" s="4"/>
      <c r="Q759" s="4"/>
      <c r="R759" s="17"/>
      <c r="S759" s="17"/>
      <c r="T759" s="17"/>
      <c r="U759" s="17"/>
      <c r="V759" s="17"/>
    </row>
    <row r="760" ht="14.25" customHeight="1">
      <c r="C760" s="29"/>
      <c r="D760" s="30"/>
      <c r="E760" s="29"/>
      <c r="F760" s="4"/>
      <c r="G760" s="4"/>
      <c r="H760" s="4"/>
      <c r="I760" s="26"/>
      <c r="J760" s="26"/>
      <c r="K760" s="17"/>
      <c r="L760" s="17"/>
      <c r="M760" s="29"/>
      <c r="N760" s="29"/>
      <c r="O760" s="4"/>
      <c r="P760" s="4"/>
      <c r="Q760" s="4"/>
      <c r="R760" s="17"/>
      <c r="S760" s="17"/>
      <c r="T760" s="17"/>
      <c r="U760" s="17"/>
      <c r="V760" s="17"/>
    </row>
    <row r="761" ht="14.25" customHeight="1">
      <c r="C761" s="29"/>
      <c r="D761" s="30"/>
      <c r="E761" s="29"/>
      <c r="F761" s="4"/>
      <c r="G761" s="4"/>
      <c r="H761" s="4"/>
      <c r="I761" s="26"/>
      <c r="J761" s="26"/>
      <c r="K761" s="17"/>
      <c r="L761" s="17"/>
      <c r="M761" s="29"/>
      <c r="N761" s="29"/>
      <c r="O761" s="4"/>
      <c r="P761" s="4"/>
      <c r="Q761" s="4"/>
      <c r="R761" s="17"/>
      <c r="S761" s="17"/>
      <c r="T761" s="17"/>
      <c r="U761" s="17"/>
      <c r="V761" s="17"/>
    </row>
    <row r="762" ht="14.25" customHeight="1">
      <c r="C762" s="29"/>
      <c r="D762" s="30"/>
      <c r="E762" s="29"/>
      <c r="F762" s="4"/>
      <c r="G762" s="4"/>
      <c r="H762" s="4"/>
      <c r="I762" s="26"/>
      <c r="J762" s="26"/>
      <c r="K762" s="17"/>
      <c r="L762" s="17"/>
      <c r="M762" s="29"/>
      <c r="N762" s="29"/>
      <c r="O762" s="4"/>
      <c r="P762" s="4"/>
      <c r="Q762" s="4"/>
      <c r="R762" s="17"/>
      <c r="S762" s="17"/>
      <c r="T762" s="17"/>
      <c r="U762" s="17"/>
      <c r="V762" s="17"/>
    </row>
    <row r="763" ht="14.25" customHeight="1">
      <c r="C763" s="29"/>
      <c r="D763" s="30"/>
      <c r="E763" s="29"/>
      <c r="F763" s="4"/>
      <c r="G763" s="4"/>
      <c r="H763" s="4"/>
      <c r="I763" s="26"/>
      <c r="J763" s="26"/>
      <c r="K763" s="17"/>
      <c r="L763" s="17"/>
      <c r="M763" s="29"/>
      <c r="N763" s="29"/>
      <c r="O763" s="4"/>
      <c r="P763" s="4"/>
      <c r="Q763" s="4"/>
      <c r="R763" s="17"/>
      <c r="S763" s="17"/>
      <c r="T763" s="17"/>
      <c r="U763" s="17"/>
      <c r="V763" s="17"/>
    </row>
    <row r="764" ht="14.25" customHeight="1">
      <c r="C764" s="29"/>
      <c r="D764" s="30"/>
      <c r="E764" s="29"/>
      <c r="F764" s="4"/>
      <c r="G764" s="4"/>
      <c r="H764" s="4"/>
      <c r="I764" s="26"/>
      <c r="J764" s="26"/>
      <c r="K764" s="17"/>
      <c r="L764" s="17"/>
      <c r="M764" s="29"/>
      <c r="N764" s="29"/>
      <c r="O764" s="4"/>
      <c r="P764" s="4"/>
      <c r="Q764" s="4"/>
      <c r="R764" s="17"/>
      <c r="S764" s="17"/>
      <c r="T764" s="17"/>
      <c r="U764" s="17"/>
      <c r="V764" s="17"/>
    </row>
    <row r="765" ht="14.25" customHeight="1">
      <c r="C765" s="29"/>
      <c r="D765" s="30"/>
      <c r="E765" s="29"/>
      <c r="F765" s="4"/>
      <c r="G765" s="4"/>
      <c r="H765" s="4"/>
      <c r="I765" s="26"/>
      <c r="J765" s="26"/>
      <c r="K765" s="17"/>
      <c r="L765" s="17"/>
      <c r="M765" s="29"/>
      <c r="N765" s="29"/>
      <c r="O765" s="4"/>
      <c r="P765" s="4"/>
      <c r="Q765" s="4"/>
      <c r="R765" s="17"/>
      <c r="S765" s="17"/>
      <c r="T765" s="17"/>
      <c r="U765" s="17"/>
      <c r="V765" s="17"/>
    </row>
    <row r="766" ht="14.25" customHeight="1">
      <c r="C766" s="29"/>
      <c r="D766" s="30"/>
      <c r="E766" s="29"/>
      <c r="F766" s="4"/>
      <c r="G766" s="4"/>
      <c r="H766" s="4"/>
      <c r="I766" s="26"/>
      <c r="J766" s="26"/>
      <c r="K766" s="17"/>
      <c r="L766" s="17"/>
      <c r="M766" s="29"/>
      <c r="N766" s="29"/>
      <c r="O766" s="4"/>
      <c r="P766" s="4"/>
      <c r="Q766" s="4"/>
      <c r="R766" s="17"/>
      <c r="S766" s="17"/>
      <c r="T766" s="17"/>
      <c r="U766" s="17"/>
      <c r="V766" s="17"/>
    </row>
    <row r="767" ht="14.25" customHeight="1">
      <c r="C767" s="29"/>
      <c r="D767" s="30"/>
      <c r="E767" s="29"/>
      <c r="F767" s="4"/>
      <c r="G767" s="4"/>
      <c r="H767" s="4"/>
      <c r="I767" s="26"/>
      <c r="J767" s="26"/>
      <c r="K767" s="17"/>
      <c r="L767" s="17"/>
      <c r="M767" s="29"/>
      <c r="N767" s="29"/>
      <c r="O767" s="4"/>
      <c r="P767" s="4"/>
      <c r="Q767" s="4"/>
      <c r="R767" s="17"/>
      <c r="S767" s="17"/>
      <c r="T767" s="17"/>
      <c r="U767" s="17"/>
      <c r="V767" s="17"/>
    </row>
    <row r="768" ht="14.25" customHeight="1">
      <c r="C768" s="29"/>
      <c r="D768" s="30"/>
      <c r="E768" s="29"/>
      <c r="F768" s="4"/>
      <c r="G768" s="4"/>
      <c r="H768" s="4"/>
      <c r="I768" s="26"/>
      <c r="J768" s="26"/>
      <c r="K768" s="17"/>
      <c r="L768" s="17"/>
      <c r="M768" s="29"/>
      <c r="N768" s="29"/>
      <c r="O768" s="4"/>
      <c r="P768" s="4"/>
      <c r="Q768" s="4"/>
      <c r="R768" s="17"/>
      <c r="S768" s="17"/>
      <c r="T768" s="17"/>
      <c r="U768" s="17"/>
      <c r="V768" s="17"/>
    </row>
    <row r="769" ht="14.25" customHeight="1">
      <c r="C769" s="29"/>
      <c r="D769" s="30"/>
      <c r="E769" s="29"/>
      <c r="F769" s="4"/>
      <c r="G769" s="4"/>
      <c r="H769" s="4"/>
      <c r="I769" s="26"/>
      <c r="J769" s="26"/>
      <c r="K769" s="17"/>
      <c r="L769" s="17"/>
      <c r="M769" s="29"/>
      <c r="N769" s="29"/>
      <c r="O769" s="4"/>
      <c r="P769" s="4"/>
      <c r="Q769" s="4"/>
      <c r="R769" s="17"/>
      <c r="S769" s="17"/>
      <c r="T769" s="17"/>
      <c r="U769" s="17"/>
      <c r="V769" s="17"/>
    </row>
    <row r="770" ht="14.25" customHeight="1">
      <c r="C770" s="29"/>
      <c r="D770" s="30"/>
      <c r="E770" s="29"/>
      <c r="F770" s="4"/>
      <c r="G770" s="4"/>
      <c r="H770" s="4"/>
      <c r="I770" s="26"/>
      <c r="J770" s="26"/>
      <c r="K770" s="17"/>
      <c r="L770" s="17"/>
      <c r="M770" s="29"/>
      <c r="N770" s="29"/>
      <c r="O770" s="4"/>
      <c r="P770" s="4"/>
      <c r="Q770" s="4"/>
      <c r="R770" s="17"/>
      <c r="S770" s="17"/>
      <c r="T770" s="17"/>
      <c r="U770" s="17"/>
      <c r="V770" s="17"/>
    </row>
    <row r="771" ht="14.25" customHeight="1">
      <c r="C771" s="29"/>
      <c r="D771" s="30"/>
      <c r="E771" s="29"/>
      <c r="F771" s="4"/>
      <c r="G771" s="4"/>
      <c r="H771" s="4"/>
      <c r="I771" s="26"/>
      <c r="J771" s="26"/>
      <c r="K771" s="17"/>
      <c r="L771" s="17"/>
      <c r="M771" s="29"/>
      <c r="N771" s="29"/>
      <c r="O771" s="4"/>
      <c r="P771" s="4"/>
      <c r="Q771" s="4"/>
      <c r="R771" s="17"/>
      <c r="S771" s="17"/>
      <c r="T771" s="17"/>
      <c r="U771" s="17"/>
      <c r="V771" s="17"/>
    </row>
    <row r="772" ht="14.25" customHeight="1">
      <c r="C772" s="29"/>
      <c r="D772" s="30"/>
      <c r="E772" s="29"/>
      <c r="F772" s="4"/>
      <c r="G772" s="4"/>
      <c r="H772" s="4"/>
      <c r="I772" s="26"/>
      <c r="J772" s="26"/>
      <c r="K772" s="17"/>
      <c r="L772" s="17"/>
      <c r="M772" s="29"/>
      <c r="N772" s="29"/>
      <c r="O772" s="4"/>
      <c r="P772" s="4"/>
      <c r="Q772" s="4"/>
      <c r="R772" s="17"/>
      <c r="S772" s="17"/>
      <c r="T772" s="17"/>
      <c r="U772" s="17"/>
      <c r="V772" s="17"/>
    </row>
    <row r="773" ht="14.25" customHeight="1">
      <c r="C773" s="29"/>
      <c r="D773" s="30"/>
      <c r="E773" s="29"/>
      <c r="F773" s="4"/>
      <c r="G773" s="4"/>
      <c r="H773" s="4"/>
      <c r="I773" s="26"/>
      <c r="J773" s="26"/>
      <c r="K773" s="17"/>
      <c r="L773" s="17"/>
      <c r="M773" s="29"/>
      <c r="N773" s="29"/>
      <c r="O773" s="4"/>
      <c r="P773" s="4"/>
      <c r="Q773" s="4"/>
      <c r="R773" s="17"/>
      <c r="S773" s="17"/>
      <c r="T773" s="17"/>
      <c r="U773" s="17"/>
      <c r="V773" s="17"/>
    </row>
    <row r="774" ht="14.25" customHeight="1">
      <c r="C774" s="29"/>
      <c r="D774" s="30"/>
      <c r="E774" s="29"/>
      <c r="F774" s="4"/>
      <c r="G774" s="4"/>
      <c r="H774" s="4"/>
      <c r="I774" s="26"/>
      <c r="J774" s="26"/>
      <c r="K774" s="17"/>
      <c r="L774" s="17"/>
      <c r="M774" s="29"/>
      <c r="N774" s="29"/>
      <c r="O774" s="4"/>
      <c r="P774" s="4"/>
      <c r="Q774" s="4"/>
      <c r="R774" s="17"/>
      <c r="S774" s="17"/>
      <c r="T774" s="17"/>
      <c r="U774" s="17"/>
      <c r="V774" s="17"/>
    </row>
    <row r="775" ht="14.25" customHeight="1">
      <c r="C775" s="29"/>
      <c r="D775" s="30"/>
      <c r="E775" s="29"/>
      <c r="F775" s="4"/>
      <c r="G775" s="4"/>
      <c r="H775" s="4"/>
      <c r="I775" s="26"/>
      <c r="J775" s="26"/>
      <c r="K775" s="17"/>
      <c r="L775" s="17"/>
      <c r="M775" s="29"/>
      <c r="N775" s="29"/>
      <c r="O775" s="4"/>
      <c r="P775" s="4"/>
      <c r="Q775" s="4"/>
      <c r="R775" s="17"/>
      <c r="S775" s="17"/>
      <c r="T775" s="17"/>
      <c r="U775" s="17"/>
      <c r="V775" s="17"/>
    </row>
    <row r="776" ht="14.25" customHeight="1">
      <c r="C776" s="29"/>
      <c r="D776" s="30"/>
      <c r="E776" s="29"/>
      <c r="F776" s="4"/>
      <c r="G776" s="4"/>
      <c r="H776" s="4"/>
      <c r="I776" s="26"/>
      <c r="J776" s="26"/>
      <c r="K776" s="17"/>
      <c r="L776" s="17"/>
      <c r="M776" s="29"/>
      <c r="N776" s="29"/>
      <c r="O776" s="4"/>
      <c r="P776" s="4"/>
      <c r="Q776" s="4"/>
      <c r="R776" s="17"/>
      <c r="S776" s="17"/>
      <c r="T776" s="17"/>
      <c r="U776" s="17"/>
      <c r="V776" s="17"/>
    </row>
    <row r="777" ht="14.25" customHeight="1">
      <c r="C777" s="29"/>
      <c r="D777" s="30"/>
      <c r="E777" s="29"/>
      <c r="F777" s="4"/>
      <c r="G777" s="4"/>
      <c r="H777" s="4"/>
      <c r="I777" s="26"/>
      <c r="J777" s="26"/>
      <c r="K777" s="17"/>
      <c r="L777" s="17"/>
      <c r="M777" s="29"/>
      <c r="N777" s="29"/>
      <c r="O777" s="4"/>
      <c r="P777" s="4"/>
      <c r="Q777" s="4"/>
      <c r="R777" s="17"/>
      <c r="S777" s="17"/>
      <c r="T777" s="17"/>
      <c r="U777" s="17"/>
      <c r="V777" s="17"/>
    </row>
    <row r="778" ht="14.25" customHeight="1">
      <c r="C778" s="29"/>
      <c r="D778" s="30"/>
      <c r="E778" s="29"/>
      <c r="F778" s="4"/>
      <c r="G778" s="4"/>
      <c r="H778" s="4"/>
      <c r="I778" s="26"/>
      <c r="J778" s="26"/>
      <c r="K778" s="17"/>
      <c r="L778" s="17"/>
      <c r="M778" s="29"/>
      <c r="N778" s="29"/>
      <c r="O778" s="4"/>
      <c r="P778" s="4"/>
      <c r="Q778" s="4"/>
      <c r="R778" s="17"/>
      <c r="S778" s="17"/>
      <c r="T778" s="17"/>
      <c r="U778" s="17"/>
      <c r="V778" s="17"/>
    </row>
    <row r="779" ht="14.25" customHeight="1">
      <c r="C779" s="29"/>
      <c r="D779" s="30"/>
      <c r="E779" s="29"/>
      <c r="F779" s="4"/>
      <c r="G779" s="4"/>
      <c r="H779" s="4"/>
      <c r="I779" s="26"/>
      <c r="J779" s="26"/>
      <c r="K779" s="17"/>
      <c r="L779" s="17"/>
      <c r="M779" s="29"/>
      <c r="N779" s="29"/>
      <c r="O779" s="4"/>
      <c r="P779" s="4"/>
      <c r="Q779" s="4"/>
      <c r="R779" s="17"/>
      <c r="S779" s="17"/>
      <c r="T779" s="17"/>
      <c r="U779" s="17"/>
      <c r="V779" s="17"/>
    </row>
    <row r="780" ht="14.25" customHeight="1">
      <c r="C780" s="29"/>
      <c r="D780" s="30"/>
      <c r="E780" s="29"/>
      <c r="F780" s="4"/>
      <c r="G780" s="4"/>
      <c r="H780" s="4"/>
      <c r="I780" s="26"/>
      <c r="J780" s="26"/>
      <c r="K780" s="17"/>
      <c r="L780" s="17"/>
      <c r="M780" s="29"/>
      <c r="N780" s="29"/>
      <c r="O780" s="4"/>
      <c r="P780" s="4"/>
      <c r="Q780" s="4"/>
      <c r="R780" s="17"/>
      <c r="S780" s="17"/>
      <c r="T780" s="17"/>
      <c r="U780" s="17"/>
      <c r="V780" s="17"/>
    </row>
    <row r="781" ht="14.25" customHeight="1">
      <c r="C781" s="29"/>
      <c r="D781" s="30"/>
      <c r="E781" s="29"/>
      <c r="F781" s="4"/>
      <c r="G781" s="4"/>
      <c r="H781" s="4"/>
      <c r="I781" s="26"/>
      <c r="J781" s="26"/>
      <c r="K781" s="17"/>
      <c r="L781" s="17"/>
      <c r="M781" s="29"/>
      <c r="N781" s="29"/>
      <c r="O781" s="4"/>
      <c r="P781" s="4"/>
      <c r="Q781" s="4"/>
      <c r="R781" s="17"/>
      <c r="S781" s="17"/>
      <c r="T781" s="17"/>
      <c r="U781" s="17"/>
      <c r="V781" s="17"/>
    </row>
    <row r="782" ht="14.25" customHeight="1">
      <c r="C782" s="29"/>
      <c r="D782" s="30"/>
      <c r="E782" s="29"/>
      <c r="F782" s="4"/>
      <c r="G782" s="4"/>
      <c r="H782" s="4"/>
      <c r="I782" s="26"/>
      <c r="J782" s="26"/>
      <c r="K782" s="17"/>
      <c r="L782" s="17"/>
      <c r="M782" s="29"/>
      <c r="N782" s="29"/>
      <c r="O782" s="4"/>
      <c r="P782" s="4"/>
      <c r="Q782" s="4"/>
      <c r="R782" s="17"/>
      <c r="S782" s="17"/>
      <c r="T782" s="17"/>
      <c r="U782" s="17"/>
      <c r="V782" s="17"/>
    </row>
    <row r="783" ht="14.25" customHeight="1">
      <c r="C783" s="29"/>
      <c r="D783" s="30"/>
      <c r="E783" s="29"/>
      <c r="F783" s="4"/>
      <c r="G783" s="4"/>
      <c r="H783" s="4"/>
      <c r="I783" s="26"/>
      <c r="J783" s="26"/>
      <c r="K783" s="17"/>
      <c r="L783" s="17"/>
      <c r="M783" s="29"/>
      <c r="N783" s="29"/>
      <c r="O783" s="4"/>
      <c r="P783" s="4"/>
      <c r="Q783" s="4"/>
      <c r="R783" s="17"/>
      <c r="S783" s="17"/>
      <c r="T783" s="17"/>
      <c r="U783" s="17"/>
      <c r="V783" s="17"/>
    </row>
    <row r="784" ht="14.25" customHeight="1">
      <c r="C784" s="29"/>
      <c r="D784" s="30"/>
      <c r="E784" s="29"/>
      <c r="F784" s="4"/>
      <c r="G784" s="4"/>
      <c r="H784" s="4"/>
      <c r="I784" s="26"/>
      <c r="J784" s="26"/>
      <c r="K784" s="17"/>
      <c r="L784" s="17"/>
      <c r="M784" s="29"/>
      <c r="N784" s="29"/>
      <c r="O784" s="4"/>
      <c r="P784" s="4"/>
      <c r="Q784" s="4"/>
      <c r="R784" s="17"/>
      <c r="S784" s="17"/>
      <c r="T784" s="17"/>
      <c r="U784" s="17"/>
      <c r="V784" s="17"/>
    </row>
    <row r="785" ht="14.25" customHeight="1">
      <c r="C785" s="29"/>
      <c r="D785" s="30"/>
      <c r="E785" s="29"/>
      <c r="F785" s="4"/>
      <c r="G785" s="4"/>
      <c r="H785" s="4"/>
      <c r="I785" s="26"/>
      <c r="J785" s="26"/>
      <c r="K785" s="17"/>
      <c r="L785" s="17"/>
      <c r="M785" s="29"/>
      <c r="N785" s="29"/>
      <c r="O785" s="4"/>
      <c r="P785" s="4"/>
      <c r="Q785" s="4"/>
      <c r="R785" s="17"/>
      <c r="S785" s="17"/>
      <c r="T785" s="17"/>
      <c r="U785" s="17"/>
      <c r="V785" s="17"/>
    </row>
    <row r="786" ht="14.25" customHeight="1">
      <c r="C786" s="29"/>
      <c r="D786" s="30"/>
      <c r="E786" s="29"/>
      <c r="F786" s="4"/>
      <c r="G786" s="4"/>
      <c r="H786" s="4"/>
      <c r="I786" s="26"/>
      <c r="J786" s="26"/>
      <c r="K786" s="17"/>
      <c r="L786" s="17"/>
      <c r="M786" s="29"/>
      <c r="N786" s="29"/>
      <c r="O786" s="4"/>
      <c r="P786" s="4"/>
      <c r="Q786" s="4"/>
      <c r="R786" s="17"/>
      <c r="S786" s="17"/>
      <c r="T786" s="17"/>
      <c r="U786" s="17"/>
      <c r="V786" s="17"/>
    </row>
    <row r="787" ht="14.25" customHeight="1">
      <c r="C787" s="29"/>
      <c r="D787" s="30"/>
      <c r="E787" s="29"/>
      <c r="F787" s="4"/>
      <c r="G787" s="4"/>
      <c r="H787" s="4"/>
      <c r="I787" s="26"/>
      <c r="J787" s="26"/>
      <c r="K787" s="17"/>
      <c r="L787" s="17"/>
      <c r="M787" s="29"/>
      <c r="N787" s="29"/>
      <c r="O787" s="4"/>
      <c r="P787" s="4"/>
      <c r="Q787" s="4"/>
      <c r="R787" s="17"/>
      <c r="S787" s="17"/>
      <c r="T787" s="17"/>
      <c r="U787" s="17"/>
      <c r="V787" s="17"/>
    </row>
    <row r="788" ht="14.25" customHeight="1">
      <c r="C788" s="29"/>
      <c r="D788" s="30"/>
      <c r="E788" s="29"/>
      <c r="F788" s="4"/>
      <c r="G788" s="4"/>
      <c r="H788" s="4"/>
      <c r="I788" s="26"/>
      <c r="J788" s="26"/>
      <c r="K788" s="17"/>
      <c r="L788" s="17"/>
      <c r="M788" s="29"/>
      <c r="N788" s="29"/>
      <c r="O788" s="4"/>
      <c r="P788" s="4"/>
      <c r="Q788" s="4"/>
      <c r="R788" s="17"/>
      <c r="S788" s="17"/>
      <c r="T788" s="17"/>
      <c r="U788" s="17"/>
      <c r="V788" s="17"/>
    </row>
    <row r="789" ht="14.25" customHeight="1">
      <c r="C789" s="29"/>
      <c r="D789" s="30"/>
      <c r="E789" s="29"/>
      <c r="F789" s="4"/>
      <c r="G789" s="4"/>
      <c r="H789" s="4"/>
      <c r="I789" s="26"/>
      <c r="J789" s="26"/>
      <c r="K789" s="17"/>
      <c r="L789" s="17"/>
      <c r="M789" s="29"/>
      <c r="N789" s="29"/>
      <c r="O789" s="4"/>
      <c r="P789" s="4"/>
      <c r="Q789" s="4"/>
      <c r="R789" s="17"/>
      <c r="S789" s="17"/>
      <c r="T789" s="17"/>
      <c r="U789" s="17"/>
      <c r="V789" s="17"/>
    </row>
    <row r="790" ht="14.25" customHeight="1">
      <c r="C790" s="29"/>
      <c r="D790" s="30"/>
      <c r="E790" s="29"/>
      <c r="F790" s="4"/>
      <c r="G790" s="4"/>
      <c r="H790" s="4"/>
      <c r="I790" s="26"/>
      <c r="J790" s="26"/>
      <c r="K790" s="17"/>
      <c r="L790" s="17"/>
      <c r="M790" s="29"/>
      <c r="N790" s="29"/>
      <c r="O790" s="4"/>
      <c r="P790" s="4"/>
      <c r="Q790" s="4"/>
      <c r="R790" s="17"/>
      <c r="S790" s="17"/>
      <c r="T790" s="17"/>
      <c r="U790" s="17"/>
      <c r="V790" s="17"/>
    </row>
    <row r="791" ht="14.25" customHeight="1">
      <c r="C791" s="29"/>
      <c r="D791" s="30"/>
      <c r="E791" s="29"/>
      <c r="F791" s="4"/>
      <c r="G791" s="4"/>
      <c r="H791" s="4"/>
      <c r="I791" s="26"/>
      <c r="J791" s="26"/>
      <c r="K791" s="17"/>
      <c r="L791" s="17"/>
      <c r="M791" s="29"/>
      <c r="N791" s="29"/>
      <c r="O791" s="4"/>
      <c r="P791" s="4"/>
      <c r="Q791" s="4"/>
      <c r="R791" s="17"/>
      <c r="S791" s="17"/>
      <c r="T791" s="17"/>
      <c r="U791" s="17"/>
      <c r="V791" s="17"/>
    </row>
    <row r="792" ht="14.25" customHeight="1">
      <c r="C792" s="29"/>
      <c r="D792" s="30"/>
      <c r="E792" s="29"/>
      <c r="F792" s="4"/>
      <c r="G792" s="4"/>
      <c r="H792" s="4"/>
      <c r="I792" s="26"/>
      <c r="J792" s="26"/>
      <c r="K792" s="17"/>
      <c r="L792" s="17"/>
      <c r="M792" s="29"/>
      <c r="N792" s="29"/>
      <c r="O792" s="4"/>
      <c r="P792" s="4"/>
      <c r="Q792" s="4"/>
      <c r="R792" s="17"/>
      <c r="S792" s="17"/>
      <c r="T792" s="17"/>
      <c r="U792" s="17"/>
      <c r="V792" s="17"/>
    </row>
    <row r="793" ht="14.25" customHeight="1">
      <c r="C793" s="29"/>
      <c r="D793" s="30"/>
      <c r="E793" s="29"/>
      <c r="F793" s="4"/>
      <c r="G793" s="4"/>
      <c r="H793" s="4"/>
      <c r="I793" s="26"/>
      <c r="J793" s="26"/>
      <c r="K793" s="17"/>
      <c r="L793" s="17"/>
      <c r="M793" s="29"/>
      <c r="N793" s="29"/>
      <c r="O793" s="4"/>
      <c r="P793" s="4"/>
      <c r="Q793" s="4"/>
      <c r="R793" s="17"/>
      <c r="S793" s="17"/>
      <c r="T793" s="17"/>
      <c r="U793" s="17"/>
      <c r="V793" s="17"/>
    </row>
    <row r="794" ht="14.25" customHeight="1">
      <c r="C794" s="29"/>
      <c r="D794" s="30"/>
      <c r="E794" s="29"/>
      <c r="F794" s="4"/>
      <c r="G794" s="4"/>
      <c r="H794" s="4"/>
      <c r="I794" s="26"/>
      <c r="J794" s="26"/>
      <c r="K794" s="17"/>
      <c r="L794" s="17"/>
      <c r="M794" s="29"/>
      <c r="N794" s="29"/>
      <c r="O794" s="4"/>
      <c r="P794" s="4"/>
      <c r="Q794" s="4"/>
      <c r="R794" s="17"/>
      <c r="S794" s="17"/>
      <c r="T794" s="17"/>
      <c r="U794" s="17"/>
      <c r="V794" s="17"/>
    </row>
    <row r="795" ht="14.25" customHeight="1">
      <c r="C795" s="29"/>
      <c r="D795" s="30"/>
      <c r="E795" s="29"/>
      <c r="F795" s="4"/>
      <c r="G795" s="4"/>
      <c r="H795" s="4"/>
      <c r="I795" s="26"/>
      <c r="J795" s="26"/>
      <c r="K795" s="17"/>
      <c r="L795" s="17"/>
      <c r="M795" s="29"/>
      <c r="N795" s="29"/>
      <c r="O795" s="4"/>
      <c r="P795" s="4"/>
      <c r="Q795" s="4"/>
      <c r="R795" s="17"/>
      <c r="S795" s="17"/>
      <c r="T795" s="17"/>
      <c r="U795" s="17"/>
      <c r="V795" s="17"/>
    </row>
    <row r="796" ht="14.25" customHeight="1">
      <c r="C796" s="29"/>
      <c r="D796" s="30"/>
      <c r="E796" s="29"/>
      <c r="F796" s="4"/>
      <c r="G796" s="4"/>
      <c r="H796" s="4"/>
      <c r="I796" s="26"/>
      <c r="J796" s="26"/>
      <c r="K796" s="17"/>
      <c r="L796" s="17"/>
      <c r="M796" s="29"/>
      <c r="N796" s="29"/>
      <c r="O796" s="4"/>
      <c r="P796" s="4"/>
      <c r="Q796" s="4"/>
      <c r="R796" s="17"/>
      <c r="S796" s="17"/>
      <c r="T796" s="17"/>
      <c r="U796" s="17"/>
      <c r="V796" s="17"/>
    </row>
    <row r="797" ht="14.25" customHeight="1">
      <c r="C797" s="29"/>
      <c r="D797" s="30"/>
      <c r="E797" s="29"/>
      <c r="F797" s="4"/>
      <c r="G797" s="4"/>
      <c r="H797" s="4"/>
      <c r="I797" s="26"/>
      <c r="J797" s="26"/>
      <c r="K797" s="17"/>
      <c r="L797" s="17"/>
      <c r="M797" s="29"/>
      <c r="N797" s="29"/>
      <c r="O797" s="4"/>
      <c r="P797" s="4"/>
      <c r="Q797" s="4"/>
      <c r="R797" s="17"/>
      <c r="S797" s="17"/>
      <c r="T797" s="17"/>
      <c r="U797" s="17"/>
      <c r="V797" s="17"/>
    </row>
    <row r="798" ht="14.25" customHeight="1">
      <c r="C798" s="29"/>
      <c r="D798" s="30"/>
      <c r="E798" s="29"/>
      <c r="F798" s="4"/>
      <c r="G798" s="4"/>
      <c r="H798" s="4"/>
      <c r="I798" s="26"/>
      <c r="J798" s="26"/>
      <c r="K798" s="17"/>
      <c r="L798" s="17"/>
      <c r="M798" s="29"/>
      <c r="N798" s="29"/>
      <c r="O798" s="4"/>
      <c r="P798" s="4"/>
      <c r="Q798" s="4"/>
      <c r="R798" s="17"/>
      <c r="S798" s="17"/>
      <c r="T798" s="17"/>
      <c r="U798" s="17"/>
      <c r="V798" s="17"/>
    </row>
    <row r="799" ht="14.25" customHeight="1">
      <c r="C799" s="29"/>
      <c r="D799" s="30"/>
      <c r="E799" s="29"/>
      <c r="F799" s="4"/>
      <c r="G799" s="4"/>
      <c r="H799" s="4"/>
      <c r="I799" s="26"/>
      <c r="J799" s="26"/>
      <c r="K799" s="17"/>
      <c r="L799" s="17"/>
      <c r="M799" s="29"/>
      <c r="N799" s="29"/>
      <c r="O799" s="4"/>
      <c r="P799" s="4"/>
      <c r="Q799" s="4"/>
      <c r="R799" s="17"/>
      <c r="S799" s="17"/>
      <c r="T799" s="17"/>
      <c r="U799" s="17"/>
      <c r="V799" s="17"/>
    </row>
    <row r="800" ht="14.25" customHeight="1">
      <c r="C800" s="29"/>
      <c r="D800" s="30"/>
      <c r="E800" s="29"/>
      <c r="F800" s="4"/>
      <c r="G800" s="4"/>
      <c r="H800" s="4"/>
      <c r="I800" s="26"/>
      <c r="J800" s="26"/>
      <c r="K800" s="17"/>
      <c r="L800" s="17"/>
      <c r="M800" s="29"/>
      <c r="N800" s="29"/>
      <c r="O800" s="4"/>
      <c r="P800" s="4"/>
      <c r="Q800" s="4"/>
      <c r="R800" s="17"/>
      <c r="S800" s="17"/>
      <c r="T800" s="17"/>
      <c r="U800" s="17"/>
      <c r="V800" s="17"/>
    </row>
    <row r="801" ht="14.25" customHeight="1">
      <c r="C801" s="29"/>
      <c r="D801" s="30"/>
      <c r="E801" s="29"/>
      <c r="F801" s="4"/>
      <c r="G801" s="4"/>
      <c r="H801" s="4"/>
      <c r="I801" s="26"/>
      <c r="J801" s="26"/>
      <c r="K801" s="17"/>
      <c r="L801" s="17"/>
      <c r="M801" s="29"/>
      <c r="N801" s="29"/>
      <c r="O801" s="4"/>
      <c r="P801" s="4"/>
      <c r="Q801" s="4"/>
      <c r="R801" s="17"/>
      <c r="S801" s="17"/>
      <c r="T801" s="17"/>
      <c r="U801" s="17"/>
      <c r="V801" s="17"/>
    </row>
    <row r="802" ht="14.25" customHeight="1">
      <c r="C802" s="29"/>
      <c r="D802" s="30"/>
      <c r="E802" s="29"/>
      <c r="F802" s="4"/>
      <c r="G802" s="4"/>
      <c r="H802" s="4"/>
      <c r="I802" s="26"/>
      <c r="J802" s="26"/>
      <c r="K802" s="17"/>
      <c r="L802" s="17"/>
      <c r="M802" s="29"/>
      <c r="N802" s="29"/>
      <c r="O802" s="4"/>
      <c r="P802" s="4"/>
      <c r="Q802" s="4"/>
      <c r="R802" s="17"/>
      <c r="S802" s="17"/>
      <c r="T802" s="17"/>
      <c r="U802" s="17"/>
      <c r="V802" s="17"/>
    </row>
    <row r="803" ht="14.25" customHeight="1">
      <c r="C803" s="29"/>
      <c r="D803" s="30"/>
      <c r="E803" s="29"/>
      <c r="F803" s="4"/>
      <c r="G803" s="4"/>
      <c r="H803" s="4"/>
      <c r="I803" s="26"/>
      <c r="J803" s="26"/>
      <c r="K803" s="17"/>
      <c r="L803" s="17"/>
      <c r="M803" s="29"/>
      <c r="N803" s="29"/>
      <c r="O803" s="4"/>
      <c r="P803" s="4"/>
      <c r="Q803" s="4"/>
      <c r="R803" s="17"/>
      <c r="S803" s="17"/>
      <c r="T803" s="17"/>
      <c r="U803" s="17"/>
      <c r="V803" s="17"/>
    </row>
    <row r="804" ht="14.25" customHeight="1">
      <c r="C804" s="29"/>
      <c r="D804" s="30"/>
      <c r="E804" s="29"/>
      <c r="F804" s="4"/>
      <c r="G804" s="4"/>
      <c r="H804" s="4"/>
      <c r="I804" s="26"/>
      <c r="J804" s="26"/>
      <c r="K804" s="17"/>
      <c r="L804" s="17"/>
      <c r="M804" s="29"/>
      <c r="N804" s="29"/>
      <c r="O804" s="4"/>
      <c r="P804" s="4"/>
      <c r="Q804" s="4"/>
      <c r="R804" s="17"/>
      <c r="S804" s="17"/>
      <c r="T804" s="17"/>
      <c r="U804" s="17"/>
      <c r="V804" s="17"/>
    </row>
    <row r="805" ht="14.25" customHeight="1">
      <c r="C805" s="29"/>
      <c r="D805" s="30"/>
      <c r="E805" s="29"/>
      <c r="F805" s="4"/>
      <c r="G805" s="4"/>
      <c r="H805" s="4"/>
      <c r="I805" s="26"/>
      <c r="J805" s="26"/>
      <c r="K805" s="17"/>
      <c r="L805" s="17"/>
      <c r="M805" s="29"/>
      <c r="N805" s="29"/>
      <c r="O805" s="4"/>
      <c r="P805" s="4"/>
      <c r="Q805" s="4"/>
      <c r="R805" s="17"/>
      <c r="S805" s="17"/>
      <c r="T805" s="17"/>
      <c r="U805" s="17"/>
      <c r="V805" s="17"/>
    </row>
    <row r="806" ht="14.25" customHeight="1">
      <c r="C806" s="29"/>
      <c r="D806" s="30"/>
      <c r="E806" s="29"/>
      <c r="F806" s="4"/>
      <c r="G806" s="4"/>
      <c r="H806" s="4"/>
      <c r="I806" s="26"/>
      <c r="J806" s="26"/>
      <c r="K806" s="17"/>
      <c r="L806" s="17"/>
      <c r="M806" s="29"/>
      <c r="N806" s="29"/>
      <c r="O806" s="4"/>
      <c r="P806" s="4"/>
      <c r="Q806" s="4"/>
      <c r="R806" s="17"/>
      <c r="S806" s="17"/>
      <c r="T806" s="17"/>
      <c r="U806" s="17"/>
      <c r="V806" s="17"/>
    </row>
    <row r="807" ht="14.25" customHeight="1">
      <c r="C807" s="29"/>
      <c r="D807" s="30"/>
      <c r="E807" s="29"/>
      <c r="F807" s="4"/>
      <c r="G807" s="4"/>
      <c r="H807" s="4"/>
      <c r="I807" s="26"/>
      <c r="J807" s="26"/>
      <c r="K807" s="17"/>
      <c r="L807" s="17"/>
      <c r="M807" s="29"/>
      <c r="N807" s="29"/>
      <c r="O807" s="4"/>
      <c r="P807" s="4"/>
      <c r="Q807" s="4"/>
      <c r="R807" s="17"/>
      <c r="S807" s="17"/>
      <c r="T807" s="17"/>
      <c r="U807" s="17"/>
      <c r="V807" s="17"/>
    </row>
    <row r="808" ht="14.25" customHeight="1">
      <c r="C808" s="29"/>
      <c r="D808" s="30"/>
      <c r="E808" s="29"/>
      <c r="F808" s="4"/>
      <c r="G808" s="4"/>
      <c r="H808" s="4"/>
      <c r="I808" s="26"/>
      <c r="J808" s="26"/>
      <c r="K808" s="17"/>
      <c r="L808" s="17"/>
      <c r="M808" s="29"/>
      <c r="N808" s="29"/>
      <c r="O808" s="4"/>
      <c r="P808" s="4"/>
      <c r="Q808" s="4"/>
      <c r="R808" s="17"/>
      <c r="S808" s="17"/>
      <c r="T808" s="17"/>
      <c r="U808" s="17"/>
      <c r="V808" s="17"/>
    </row>
    <row r="809" ht="14.25" customHeight="1">
      <c r="C809" s="29"/>
      <c r="D809" s="30"/>
      <c r="E809" s="29"/>
      <c r="F809" s="4"/>
      <c r="G809" s="4"/>
      <c r="H809" s="4"/>
      <c r="I809" s="26"/>
      <c r="J809" s="26"/>
      <c r="K809" s="17"/>
      <c r="L809" s="17"/>
      <c r="M809" s="29"/>
      <c r="N809" s="29"/>
      <c r="O809" s="4"/>
      <c r="P809" s="4"/>
      <c r="Q809" s="4"/>
      <c r="R809" s="17"/>
      <c r="S809" s="17"/>
      <c r="T809" s="17"/>
      <c r="U809" s="17"/>
      <c r="V809" s="17"/>
    </row>
    <row r="810" ht="14.25" customHeight="1">
      <c r="C810" s="29"/>
      <c r="D810" s="30"/>
      <c r="E810" s="29"/>
      <c r="F810" s="4"/>
      <c r="G810" s="4"/>
      <c r="H810" s="4"/>
      <c r="I810" s="26"/>
      <c r="J810" s="26"/>
      <c r="K810" s="17"/>
      <c r="L810" s="17"/>
      <c r="M810" s="29"/>
      <c r="N810" s="29"/>
      <c r="O810" s="4"/>
      <c r="P810" s="4"/>
      <c r="Q810" s="4"/>
      <c r="R810" s="17"/>
      <c r="S810" s="17"/>
      <c r="T810" s="17"/>
      <c r="U810" s="17"/>
      <c r="V810" s="17"/>
    </row>
    <row r="811" ht="14.25" customHeight="1">
      <c r="C811" s="29"/>
      <c r="D811" s="30"/>
      <c r="E811" s="29"/>
      <c r="F811" s="4"/>
      <c r="G811" s="4"/>
      <c r="H811" s="4"/>
      <c r="I811" s="26"/>
      <c r="J811" s="26"/>
      <c r="K811" s="17"/>
      <c r="L811" s="17"/>
      <c r="M811" s="29"/>
      <c r="N811" s="29"/>
      <c r="O811" s="4"/>
      <c r="P811" s="4"/>
      <c r="Q811" s="4"/>
      <c r="R811" s="17"/>
      <c r="S811" s="17"/>
      <c r="T811" s="17"/>
      <c r="U811" s="17"/>
      <c r="V811" s="17"/>
    </row>
    <row r="812" ht="14.25" customHeight="1">
      <c r="C812" s="29"/>
      <c r="D812" s="30"/>
      <c r="E812" s="29"/>
      <c r="F812" s="4"/>
      <c r="G812" s="4"/>
      <c r="H812" s="4"/>
      <c r="I812" s="26"/>
      <c r="J812" s="26"/>
      <c r="K812" s="17"/>
      <c r="L812" s="17"/>
      <c r="M812" s="29"/>
      <c r="N812" s="29"/>
      <c r="O812" s="4"/>
      <c r="P812" s="4"/>
      <c r="Q812" s="4"/>
      <c r="R812" s="17"/>
      <c r="S812" s="17"/>
      <c r="T812" s="17"/>
      <c r="U812" s="17"/>
      <c r="V812" s="17"/>
    </row>
    <row r="813" ht="14.25" customHeight="1">
      <c r="C813" s="29"/>
      <c r="D813" s="30"/>
      <c r="E813" s="29"/>
      <c r="F813" s="4"/>
      <c r="G813" s="4"/>
      <c r="H813" s="4"/>
      <c r="I813" s="26"/>
      <c r="J813" s="26"/>
      <c r="K813" s="17"/>
      <c r="L813" s="17"/>
      <c r="M813" s="29"/>
      <c r="N813" s="29"/>
      <c r="O813" s="4"/>
      <c r="P813" s="4"/>
      <c r="Q813" s="4"/>
      <c r="R813" s="17"/>
      <c r="S813" s="17"/>
      <c r="T813" s="17"/>
      <c r="U813" s="17"/>
      <c r="V813" s="17"/>
    </row>
    <row r="814" ht="14.25" customHeight="1">
      <c r="C814" s="29"/>
      <c r="D814" s="30"/>
      <c r="E814" s="29"/>
      <c r="F814" s="4"/>
      <c r="G814" s="4"/>
      <c r="H814" s="4"/>
      <c r="I814" s="26"/>
      <c r="J814" s="26"/>
      <c r="K814" s="17"/>
      <c r="L814" s="17"/>
      <c r="M814" s="29"/>
      <c r="N814" s="29"/>
      <c r="O814" s="4"/>
      <c r="P814" s="4"/>
      <c r="Q814" s="4"/>
      <c r="R814" s="17"/>
      <c r="S814" s="17"/>
      <c r="T814" s="17"/>
      <c r="U814" s="17"/>
      <c r="V814" s="17"/>
    </row>
    <row r="815" ht="14.25" customHeight="1">
      <c r="C815" s="29"/>
      <c r="D815" s="30"/>
      <c r="E815" s="29"/>
      <c r="F815" s="4"/>
      <c r="G815" s="4"/>
      <c r="H815" s="4"/>
      <c r="I815" s="26"/>
      <c r="J815" s="26"/>
      <c r="K815" s="17"/>
      <c r="L815" s="17"/>
      <c r="M815" s="29"/>
      <c r="N815" s="29"/>
      <c r="O815" s="4"/>
      <c r="P815" s="4"/>
      <c r="Q815" s="4"/>
      <c r="R815" s="17"/>
      <c r="S815" s="17"/>
      <c r="T815" s="17"/>
      <c r="U815" s="17"/>
      <c r="V815" s="17"/>
    </row>
    <row r="816" ht="14.25" customHeight="1">
      <c r="C816" s="29"/>
      <c r="D816" s="30"/>
      <c r="E816" s="29"/>
      <c r="F816" s="4"/>
      <c r="G816" s="4"/>
      <c r="H816" s="4"/>
      <c r="I816" s="26"/>
      <c r="J816" s="26"/>
      <c r="K816" s="17"/>
      <c r="L816" s="17"/>
      <c r="M816" s="29"/>
      <c r="N816" s="29"/>
      <c r="O816" s="4"/>
      <c r="P816" s="4"/>
      <c r="Q816" s="4"/>
      <c r="R816" s="17"/>
      <c r="S816" s="17"/>
      <c r="T816" s="17"/>
      <c r="U816" s="17"/>
      <c r="V816" s="17"/>
    </row>
    <row r="817" ht="14.25" customHeight="1">
      <c r="C817" s="29"/>
      <c r="D817" s="30"/>
      <c r="E817" s="29"/>
      <c r="F817" s="4"/>
      <c r="G817" s="4"/>
      <c r="H817" s="4"/>
      <c r="I817" s="26"/>
      <c r="J817" s="26"/>
      <c r="K817" s="17"/>
      <c r="L817" s="17"/>
      <c r="M817" s="29"/>
      <c r="N817" s="29"/>
      <c r="O817" s="4"/>
      <c r="P817" s="4"/>
      <c r="Q817" s="4"/>
      <c r="R817" s="17"/>
      <c r="S817" s="17"/>
      <c r="T817" s="17"/>
      <c r="U817" s="17"/>
      <c r="V817" s="17"/>
    </row>
    <row r="818" ht="14.25" customHeight="1">
      <c r="C818" s="29"/>
      <c r="D818" s="30"/>
      <c r="E818" s="29"/>
      <c r="F818" s="4"/>
      <c r="G818" s="4"/>
      <c r="H818" s="4"/>
      <c r="I818" s="26"/>
      <c r="J818" s="26"/>
      <c r="K818" s="17"/>
      <c r="L818" s="17"/>
      <c r="M818" s="29"/>
      <c r="N818" s="29"/>
      <c r="O818" s="4"/>
      <c r="P818" s="4"/>
      <c r="Q818" s="4"/>
      <c r="R818" s="17"/>
      <c r="S818" s="17"/>
      <c r="T818" s="17"/>
      <c r="U818" s="17"/>
      <c r="V818" s="17"/>
    </row>
    <row r="819" ht="14.25" customHeight="1">
      <c r="C819" s="29"/>
      <c r="D819" s="30"/>
      <c r="E819" s="29"/>
      <c r="F819" s="4"/>
      <c r="G819" s="4"/>
      <c r="H819" s="4"/>
      <c r="I819" s="26"/>
      <c r="J819" s="26"/>
      <c r="K819" s="17"/>
      <c r="L819" s="17"/>
      <c r="M819" s="29"/>
      <c r="N819" s="29"/>
      <c r="O819" s="4"/>
      <c r="P819" s="4"/>
      <c r="Q819" s="4"/>
      <c r="R819" s="17"/>
      <c r="S819" s="17"/>
      <c r="T819" s="17"/>
      <c r="U819" s="17"/>
      <c r="V819" s="17"/>
    </row>
    <row r="820" ht="14.25" customHeight="1">
      <c r="C820" s="29"/>
      <c r="D820" s="30"/>
      <c r="E820" s="29"/>
      <c r="F820" s="4"/>
      <c r="G820" s="4"/>
      <c r="H820" s="4"/>
      <c r="I820" s="26"/>
      <c r="J820" s="26"/>
      <c r="K820" s="17"/>
      <c r="L820" s="17"/>
      <c r="M820" s="29"/>
      <c r="N820" s="29"/>
      <c r="O820" s="4"/>
      <c r="P820" s="4"/>
      <c r="Q820" s="4"/>
      <c r="R820" s="17"/>
      <c r="S820" s="17"/>
      <c r="T820" s="17"/>
      <c r="U820" s="17"/>
      <c r="V820" s="17"/>
    </row>
    <row r="821" ht="14.25" customHeight="1">
      <c r="C821" s="29"/>
      <c r="D821" s="30"/>
      <c r="E821" s="29"/>
      <c r="F821" s="4"/>
      <c r="G821" s="4"/>
      <c r="H821" s="4"/>
      <c r="I821" s="26"/>
      <c r="J821" s="26"/>
      <c r="K821" s="17"/>
      <c r="L821" s="17"/>
      <c r="M821" s="29"/>
      <c r="N821" s="29"/>
      <c r="O821" s="4"/>
      <c r="P821" s="4"/>
      <c r="Q821" s="4"/>
      <c r="R821" s="17"/>
      <c r="S821" s="17"/>
      <c r="T821" s="17"/>
      <c r="U821" s="17"/>
      <c r="V821" s="17"/>
    </row>
    <row r="822" ht="14.25" customHeight="1">
      <c r="C822" s="29"/>
      <c r="D822" s="30"/>
      <c r="E822" s="29"/>
      <c r="F822" s="4"/>
      <c r="G822" s="4"/>
      <c r="H822" s="4"/>
      <c r="I822" s="26"/>
      <c r="J822" s="26"/>
      <c r="K822" s="17"/>
      <c r="L822" s="17"/>
      <c r="M822" s="29"/>
      <c r="N822" s="29"/>
      <c r="O822" s="4"/>
      <c r="P822" s="4"/>
      <c r="Q822" s="4"/>
      <c r="R822" s="17"/>
      <c r="S822" s="17"/>
      <c r="T822" s="17"/>
      <c r="U822" s="17"/>
      <c r="V822" s="17"/>
    </row>
    <row r="823" ht="14.25" customHeight="1">
      <c r="C823" s="29"/>
      <c r="D823" s="30"/>
      <c r="E823" s="29"/>
      <c r="F823" s="4"/>
      <c r="G823" s="4"/>
      <c r="H823" s="4"/>
      <c r="I823" s="26"/>
      <c r="J823" s="26"/>
      <c r="K823" s="17"/>
      <c r="L823" s="17"/>
      <c r="M823" s="29"/>
      <c r="N823" s="29"/>
      <c r="O823" s="4"/>
      <c r="P823" s="4"/>
      <c r="Q823" s="4"/>
      <c r="R823" s="17"/>
      <c r="S823" s="17"/>
      <c r="T823" s="17"/>
      <c r="U823" s="17"/>
      <c r="V823" s="17"/>
    </row>
    <row r="824" ht="14.25" customHeight="1">
      <c r="C824" s="29"/>
      <c r="D824" s="30"/>
      <c r="E824" s="29"/>
      <c r="F824" s="4"/>
      <c r="G824" s="4"/>
      <c r="H824" s="4"/>
      <c r="I824" s="26"/>
      <c r="J824" s="26"/>
      <c r="K824" s="17"/>
      <c r="L824" s="17"/>
      <c r="M824" s="29"/>
      <c r="N824" s="29"/>
      <c r="O824" s="4"/>
      <c r="P824" s="4"/>
      <c r="Q824" s="4"/>
      <c r="R824" s="17"/>
      <c r="S824" s="17"/>
      <c r="T824" s="17"/>
      <c r="U824" s="17"/>
      <c r="V824" s="17"/>
    </row>
    <row r="825" ht="14.25" customHeight="1">
      <c r="C825" s="29"/>
      <c r="D825" s="30"/>
      <c r="E825" s="29"/>
      <c r="F825" s="4"/>
      <c r="G825" s="4"/>
      <c r="H825" s="4"/>
      <c r="I825" s="26"/>
      <c r="J825" s="26"/>
      <c r="K825" s="17"/>
      <c r="L825" s="17"/>
      <c r="M825" s="29"/>
      <c r="N825" s="29"/>
      <c r="O825" s="4"/>
      <c r="P825" s="4"/>
      <c r="Q825" s="4"/>
      <c r="R825" s="17"/>
      <c r="S825" s="17"/>
      <c r="T825" s="17"/>
      <c r="U825" s="17"/>
      <c r="V825" s="17"/>
    </row>
    <row r="826" ht="14.25" customHeight="1">
      <c r="C826" s="29"/>
      <c r="D826" s="30"/>
      <c r="E826" s="29"/>
      <c r="F826" s="4"/>
      <c r="G826" s="4"/>
      <c r="H826" s="4"/>
      <c r="I826" s="26"/>
      <c r="J826" s="26"/>
      <c r="K826" s="17"/>
      <c r="L826" s="17"/>
      <c r="M826" s="29"/>
      <c r="N826" s="29"/>
      <c r="O826" s="4"/>
      <c r="P826" s="4"/>
      <c r="Q826" s="4"/>
      <c r="R826" s="17"/>
      <c r="S826" s="17"/>
      <c r="T826" s="17"/>
      <c r="U826" s="17"/>
      <c r="V826" s="17"/>
    </row>
    <row r="827" ht="14.25" customHeight="1">
      <c r="C827" s="29"/>
      <c r="D827" s="30"/>
      <c r="E827" s="29"/>
      <c r="F827" s="4"/>
      <c r="G827" s="4"/>
      <c r="H827" s="4"/>
      <c r="I827" s="26"/>
      <c r="J827" s="26"/>
      <c r="K827" s="17"/>
      <c r="L827" s="17"/>
      <c r="M827" s="29"/>
      <c r="N827" s="29"/>
      <c r="O827" s="4"/>
      <c r="P827" s="4"/>
      <c r="Q827" s="4"/>
      <c r="R827" s="17"/>
      <c r="S827" s="17"/>
      <c r="T827" s="17"/>
      <c r="U827" s="17"/>
      <c r="V827" s="17"/>
    </row>
    <row r="828" ht="14.25" customHeight="1">
      <c r="C828" s="29"/>
      <c r="D828" s="30"/>
      <c r="E828" s="29"/>
      <c r="F828" s="4"/>
      <c r="G828" s="4"/>
      <c r="H828" s="4"/>
      <c r="I828" s="26"/>
      <c r="J828" s="26"/>
      <c r="K828" s="17"/>
      <c r="L828" s="17"/>
      <c r="M828" s="29"/>
      <c r="N828" s="29"/>
      <c r="O828" s="4"/>
      <c r="P828" s="4"/>
      <c r="Q828" s="4"/>
      <c r="R828" s="17"/>
      <c r="S828" s="17"/>
      <c r="T828" s="17"/>
      <c r="U828" s="17"/>
      <c r="V828" s="17"/>
    </row>
    <row r="829" ht="14.25" customHeight="1">
      <c r="C829" s="29"/>
      <c r="D829" s="30"/>
      <c r="E829" s="29"/>
      <c r="F829" s="4"/>
      <c r="G829" s="4"/>
      <c r="H829" s="4"/>
      <c r="I829" s="26"/>
      <c r="J829" s="26"/>
      <c r="K829" s="17"/>
      <c r="L829" s="17"/>
      <c r="M829" s="29"/>
      <c r="N829" s="29"/>
      <c r="O829" s="4"/>
      <c r="P829" s="4"/>
      <c r="Q829" s="4"/>
      <c r="R829" s="17"/>
      <c r="S829" s="17"/>
      <c r="T829" s="17"/>
      <c r="U829" s="17"/>
      <c r="V829" s="17"/>
    </row>
    <row r="830" ht="14.25" customHeight="1">
      <c r="C830" s="29"/>
      <c r="D830" s="30"/>
      <c r="E830" s="29"/>
      <c r="F830" s="4"/>
      <c r="G830" s="4"/>
      <c r="H830" s="4"/>
      <c r="I830" s="26"/>
      <c r="J830" s="26"/>
      <c r="K830" s="17"/>
      <c r="L830" s="17"/>
      <c r="M830" s="29"/>
      <c r="N830" s="29"/>
      <c r="O830" s="4"/>
      <c r="P830" s="4"/>
      <c r="Q830" s="4"/>
      <c r="R830" s="17"/>
      <c r="S830" s="17"/>
      <c r="T830" s="17"/>
      <c r="U830" s="17"/>
      <c r="V830" s="17"/>
    </row>
    <row r="831" ht="14.25" customHeight="1">
      <c r="C831" s="29"/>
      <c r="D831" s="30"/>
      <c r="E831" s="29"/>
      <c r="F831" s="4"/>
      <c r="G831" s="4"/>
      <c r="H831" s="4"/>
      <c r="I831" s="26"/>
      <c r="J831" s="26"/>
      <c r="K831" s="17"/>
      <c r="L831" s="17"/>
      <c r="M831" s="29"/>
      <c r="N831" s="29"/>
      <c r="O831" s="4"/>
      <c r="P831" s="4"/>
      <c r="Q831" s="4"/>
      <c r="R831" s="17"/>
      <c r="S831" s="17"/>
      <c r="T831" s="17"/>
      <c r="U831" s="17"/>
      <c r="V831" s="17"/>
    </row>
    <row r="832" ht="14.25" customHeight="1">
      <c r="C832" s="29"/>
      <c r="D832" s="30"/>
      <c r="E832" s="29"/>
      <c r="F832" s="4"/>
      <c r="G832" s="4"/>
      <c r="H832" s="4"/>
      <c r="I832" s="26"/>
      <c r="J832" s="26"/>
      <c r="K832" s="17"/>
      <c r="L832" s="17"/>
      <c r="M832" s="29"/>
      <c r="N832" s="29"/>
      <c r="O832" s="4"/>
      <c r="P832" s="4"/>
      <c r="Q832" s="4"/>
      <c r="R832" s="17"/>
      <c r="S832" s="17"/>
      <c r="T832" s="17"/>
      <c r="U832" s="17"/>
      <c r="V832" s="17"/>
    </row>
    <row r="833" ht="14.25" customHeight="1">
      <c r="C833" s="29"/>
      <c r="D833" s="30"/>
      <c r="E833" s="29"/>
      <c r="F833" s="4"/>
      <c r="G833" s="4"/>
      <c r="H833" s="4"/>
      <c r="I833" s="26"/>
      <c r="J833" s="26"/>
      <c r="K833" s="17"/>
      <c r="L833" s="17"/>
      <c r="M833" s="29"/>
      <c r="N833" s="29"/>
      <c r="O833" s="4"/>
      <c r="P833" s="4"/>
      <c r="Q833" s="4"/>
      <c r="R833" s="17"/>
      <c r="S833" s="17"/>
      <c r="T833" s="17"/>
      <c r="U833" s="17"/>
      <c r="V833" s="17"/>
    </row>
    <row r="834" ht="14.25" customHeight="1">
      <c r="C834" s="29"/>
      <c r="D834" s="30"/>
      <c r="E834" s="29"/>
      <c r="F834" s="4"/>
      <c r="G834" s="4"/>
      <c r="H834" s="4"/>
      <c r="I834" s="26"/>
      <c r="J834" s="26"/>
      <c r="K834" s="17"/>
      <c r="L834" s="17"/>
      <c r="M834" s="29"/>
      <c r="N834" s="29"/>
      <c r="O834" s="4"/>
      <c r="P834" s="4"/>
      <c r="Q834" s="4"/>
      <c r="R834" s="17"/>
      <c r="S834" s="17"/>
      <c r="T834" s="17"/>
      <c r="U834" s="17"/>
      <c r="V834" s="17"/>
    </row>
    <row r="835" ht="14.25" customHeight="1">
      <c r="C835" s="29"/>
      <c r="D835" s="30"/>
      <c r="E835" s="29"/>
      <c r="F835" s="4"/>
      <c r="G835" s="4"/>
      <c r="H835" s="4"/>
      <c r="I835" s="26"/>
      <c r="J835" s="26"/>
      <c r="K835" s="17"/>
      <c r="L835" s="17"/>
      <c r="M835" s="29"/>
      <c r="N835" s="29"/>
      <c r="O835" s="4"/>
      <c r="P835" s="4"/>
      <c r="Q835" s="4"/>
      <c r="R835" s="17"/>
      <c r="S835" s="17"/>
      <c r="T835" s="17"/>
      <c r="U835" s="17"/>
      <c r="V835" s="17"/>
    </row>
    <row r="836" ht="14.25" customHeight="1">
      <c r="C836" s="29"/>
      <c r="D836" s="30"/>
      <c r="E836" s="29"/>
      <c r="F836" s="4"/>
      <c r="G836" s="4"/>
      <c r="H836" s="4"/>
      <c r="I836" s="26"/>
      <c r="J836" s="26"/>
      <c r="K836" s="17"/>
      <c r="L836" s="17"/>
      <c r="M836" s="29"/>
      <c r="N836" s="29"/>
      <c r="O836" s="4"/>
      <c r="P836" s="4"/>
      <c r="Q836" s="4"/>
      <c r="R836" s="17"/>
      <c r="S836" s="17"/>
      <c r="T836" s="17"/>
      <c r="U836" s="17"/>
      <c r="V836" s="17"/>
    </row>
    <row r="837" ht="14.25" customHeight="1">
      <c r="C837" s="29"/>
      <c r="D837" s="30"/>
      <c r="E837" s="29"/>
      <c r="F837" s="4"/>
      <c r="G837" s="4"/>
      <c r="H837" s="4"/>
      <c r="I837" s="26"/>
      <c r="J837" s="26"/>
      <c r="K837" s="17"/>
      <c r="L837" s="17"/>
      <c r="M837" s="29"/>
      <c r="N837" s="29"/>
      <c r="O837" s="4"/>
      <c r="P837" s="4"/>
      <c r="Q837" s="4"/>
      <c r="R837" s="17"/>
      <c r="S837" s="17"/>
      <c r="T837" s="17"/>
      <c r="U837" s="17"/>
      <c r="V837" s="17"/>
    </row>
    <row r="838" ht="14.25" customHeight="1">
      <c r="C838" s="29"/>
      <c r="D838" s="30"/>
      <c r="E838" s="29"/>
      <c r="F838" s="4"/>
      <c r="G838" s="4"/>
      <c r="H838" s="4"/>
      <c r="I838" s="26"/>
      <c r="J838" s="26"/>
      <c r="K838" s="17"/>
      <c r="L838" s="17"/>
      <c r="M838" s="29"/>
      <c r="N838" s="29"/>
      <c r="O838" s="4"/>
      <c r="P838" s="4"/>
      <c r="Q838" s="4"/>
      <c r="R838" s="17"/>
      <c r="S838" s="17"/>
      <c r="T838" s="17"/>
      <c r="U838" s="17"/>
      <c r="V838" s="17"/>
    </row>
    <row r="839" ht="14.25" customHeight="1">
      <c r="C839" s="29"/>
      <c r="D839" s="30"/>
      <c r="E839" s="29"/>
      <c r="F839" s="4"/>
      <c r="G839" s="4"/>
      <c r="H839" s="4"/>
      <c r="I839" s="26"/>
      <c r="J839" s="26"/>
      <c r="K839" s="17"/>
      <c r="L839" s="17"/>
      <c r="M839" s="29"/>
      <c r="N839" s="29"/>
      <c r="O839" s="4"/>
      <c r="P839" s="4"/>
      <c r="Q839" s="4"/>
      <c r="R839" s="17"/>
      <c r="S839" s="17"/>
      <c r="T839" s="17"/>
      <c r="U839" s="17"/>
      <c r="V839" s="17"/>
    </row>
    <row r="840" ht="14.25" customHeight="1">
      <c r="C840" s="29"/>
      <c r="D840" s="30"/>
      <c r="E840" s="29"/>
      <c r="F840" s="4"/>
      <c r="G840" s="4"/>
      <c r="H840" s="4"/>
      <c r="I840" s="26"/>
      <c r="J840" s="26"/>
      <c r="K840" s="17"/>
      <c r="L840" s="17"/>
      <c r="M840" s="29"/>
      <c r="N840" s="29"/>
      <c r="O840" s="4"/>
      <c r="P840" s="4"/>
      <c r="Q840" s="4"/>
      <c r="R840" s="17"/>
      <c r="S840" s="17"/>
      <c r="T840" s="17"/>
      <c r="U840" s="17"/>
      <c r="V840" s="17"/>
    </row>
    <row r="841" ht="14.25" customHeight="1">
      <c r="C841" s="29"/>
      <c r="D841" s="30"/>
      <c r="E841" s="29"/>
      <c r="F841" s="4"/>
      <c r="G841" s="4"/>
      <c r="H841" s="4"/>
      <c r="I841" s="26"/>
      <c r="J841" s="26"/>
      <c r="K841" s="17"/>
      <c r="L841" s="17"/>
      <c r="M841" s="29"/>
      <c r="N841" s="29"/>
      <c r="O841" s="4"/>
      <c r="P841" s="4"/>
      <c r="Q841" s="4"/>
      <c r="R841" s="17"/>
      <c r="S841" s="17"/>
      <c r="T841" s="17"/>
      <c r="U841" s="17"/>
      <c r="V841" s="17"/>
    </row>
    <row r="842" ht="14.25" customHeight="1">
      <c r="C842" s="29"/>
      <c r="D842" s="30"/>
      <c r="E842" s="29"/>
      <c r="F842" s="4"/>
      <c r="G842" s="4"/>
      <c r="H842" s="4"/>
      <c r="I842" s="26"/>
      <c r="J842" s="26"/>
      <c r="K842" s="17"/>
      <c r="L842" s="17"/>
      <c r="M842" s="29"/>
      <c r="N842" s="29"/>
      <c r="O842" s="4"/>
      <c r="P842" s="4"/>
      <c r="Q842" s="4"/>
      <c r="R842" s="17"/>
      <c r="S842" s="17"/>
      <c r="T842" s="17"/>
      <c r="U842" s="17"/>
      <c r="V842" s="17"/>
    </row>
    <row r="843" ht="14.25" customHeight="1">
      <c r="C843" s="29"/>
      <c r="D843" s="30"/>
      <c r="E843" s="29"/>
      <c r="F843" s="4"/>
      <c r="G843" s="4"/>
      <c r="H843" s="4"/>
      <c r="I843" s="26"/>
      <c r="J843" s="26"/>
      <c r="K843" s="17"/>
      <c r="L843" s="17"/>
      <c r="M843" s="29"/>
      <c r="N843" s="29"/>
      <c r="O843" s="4"/>
      <c r="P843" s="4"/>
      <c r="Q843" s="4"/>
      <c r="R843" s="17"/>
      <c r="S843" s="17"/>
      <c r="T843" s="17"/>
      <c r="U843" s="17"/>
      <c r="V843" s="17"/>
    </row>
    <row r="844" ht="14.25" customHeight="1">
      <c r="C844" s="29"/>
      <c r="D844" s="30"/>
      <c r="E844" s="29"/>
      <c r="F844" s="4"/>
      <c r="G844" s="4"/>
      <c r="H844" s="4"/>
      <c r="I844" s="26"/>
      <c r="J844" s="26"/>
      <c r="K844" s="17"/>
      <c r="L844" s="17"/>
      <c r="M844" s="29"/>
      <c r="N844" s="29"/>
      <c r="O844" s="4"/>
      <c r="P844" s="4"/>
      <c r="Q844" s="4"/>
      <c r="R844" s="17"/>
      <c r="S844" s="17"/>
      <c r="T844" s="17"/>
      <c r="U844" s="17"/>
      <c r="V844" s="17"/>
    </row>
    <row r="845" ht="14.25" customHeight="1">
      <c r="C845" s="29"/>
      <c r="D845" s="30"/>
      <c r="E845" s="29"/>
      <c r="F845" s="4"/>
      <c r="G845" s="4"/>
      <c r="H845" s="4"/>
      <c r="I845" s="26"/>
      <c r="J845" s="26"/>
      <c r="K845" s="17"/>
      <c r="L845" s="17"/>
      <c r="M845" s="29"/>
      <c r="N845" s="29"/>
      <c r="O845" s="4"/>
      <c r="P845" s="4"/>
      <c r="Q845" s="4"/>
      <c r="R845" s="17"/>
      <c r="S845" s="17"/>
      <c r="T845" s="17"/>
      <c r="U845" s="17"/>
      <c r="V845" s="17"/>
    </row>
    <row r="846" ht="14.25" customHeight="1">
      <c r="C846" s="29"/>
      <c r="D846" s="30"/>
      <c r="E846" s="29"/>
      <c r="F846" s="4"/>
      <c r="G846" s="4"/>
      <c r="H846" s="4"/>
      <c r="I846" s="26"/>
      <c r="J846" s="26"/>
      <c r="K846" s="17"/>
      <c r="L846" s="17"/>
      <c r="M846" s="29"/>
      <c r="N846" s="29"/>
      <c r="O846" s="4"/>
      <c r="P846" s="4"/>
      <c r="Q846" s="4"/>
      <c r="R846" s="17"/>
      <c r="S846" s="17"/>
      <c r="T846" s="17"/>
      <c r="U846" s="17"/>
      <c r="V846" s="17"/>
    </row>
    <row r="847" ht="14.25" customHeight="1">
      <c r="C847" s="29"/>
      <c r="D847" s="30"/>
      <c r="E847" s="29"/>
      <c r="F847" s="4"/>
      <c r="G847" s="4"/>
      <c r="H847" s="4"/>
      <c r="I847" s="26"/>
      <c r="J847" s="26"/>
      <c r="K847" s="17"/>
      <c r="L847" s="17"/>
      <c r="M847" s="29"/>
      <c r="N847" s="29"/>
      <c r="O847" s="4"/>
      <c r="P847" s="4"/>
      <c r="Q847" s="4"/>
      <c r="R847" s="17"/>
      <c r="S847" s="17"/>
      <c r="T847" s="17"/>
      <c r="U847" s="17"/>
      <c r="V847" s="17"/>
    </row>
    <row r="848" ht="14.25" customHeight="1">
      <c r="C848" s="29"/>
      <c r="D848" s="30"/>
      <c r="E848" s="29"/>
      <c r="F848" s="4"/>
      <c r="G848" s="4"/>
      <c r="H848" s="4"/>
      <c r="I848" s="26"/>
      <c r="J848" s="26"/>
      <c r="K848" s="17"/>
      <c r="L848" s="17"/>
      <c r="M848" s="29"/>
      <c r="N848" s="29"/>
      <c r="O848" s="4"/>
      <c r="P848" s="4"/>
      <c r="Q848" s="4"/>
      <c r="R848" s="17"/>
      <c r="S848" s="17"/>
      <c r="T848" s="17"/>
      <c r="U848" s="17"/>
      <c r="V848" s="17"/>
    </row>
    <row r="849" ht="14.25" customHeight="1">
      <c r="C849" s="29"/>
      <c r="D849" s="30"/>
      <c r="E849" s="29"/>
      <c r="F849" s="4"/>
      <c r="G849" s="4"/>
      <c r="H849" s="4"/>
      <c r="I849" s="26"/>
      <c r="J849" s="26"/>
      <c r="K849" s="17"/>
      <c r="L849" s="17"/>
      <c r="M849" s="29"/>
      <c r="N849" s="29"/>
      <c r="O849" s="4"/>
      <c r="P849" s="4"/>
      <c r="Q849" s="4"/>
      <c r="R849" s="17"/>
      <c r="S849" s="17"/>
      <c r="T849" s="17"/>
      <c r="U849" s="17"/>
      <c r="V849" s="17"/>
    </row>
    <row r="850" ht="14.25" customHeight="1">
      <c r="C850" s="29"/>
      <c r="D850" s="30"/>
      <c r="E850" s="29"/>
      <c r="F850" s="4"/>
      <c r="G850" s="4"/>
      <c r="H850" s="4"/>
      <c r="I850" s="26"/>
      <c r="J850" s="26"/>
      <c r="K850" s="17"/>
      <c r="L850" s="17"/>
      <c r="M850" s="29"/>
      <c r="N850" s="29"/>
      <c r="O850" s="4"/>
      <c r="P850" s="4"/>
      <c r="Q850" s="4"/>
      <c r="R850" s="17"/>
      <c r="S850" s="17"/>
      <c r="T850" s="17"/>
      <c r="U850" s="17"/>
      <c r="V850" s="17"/>
    </row>
    <row r="851" ht="14.25" customHeight="1">
      <c r="C851" s="29"/>
      <c r="D851" s="30"/>
      <c r="E851" s="29"/>
      <c r="F851" s="4"/>
      <c r="G851" s="4"/>
      <c r="H851" s="4"/>
      <c r="I851" s="26"/>
      <c r="J851" s="26"/>
      <c r="K851" s="17"/>
      <c r="L851" s="17"/>
      <c r="M851" s="29"/>
      <c r="N851" s="29"/>
      <c r="O851" s="4"/>
      <c r="P851" s="4"/>
      <c r="Q851" s="4"/>
      <c r="R851" s="17"/>
      <c r="S851" s="17"/>
      <c r="T851" s="17"/>
      <c r="U851" s="17"/>
      <c r="V851" s="17"/>
    </row>
    <row r="852" ht="14.25" customHeight="1">
      <c r="C852" s="29"/>
      <c r="D852" s="30"/>
      <c r="E852" s="29"/>
      <c r="F852" s="4"/>
      <c r="G852" s="4"/>
      <c r="H852" s="4"/>
      <c r="I852" s="26"/>
      <c r="J852" s="26"/>
      <c r="K852" s="17"/>
      <c r="L852" s="17"/>
      <c r="M852" s="29"/>
      <c r="N852" s="29"/>
      <c r="O852" s="4"/>
      <c r="P852" s="4"/>
      <c r="Q852" s="4"/>
      <c r="R852" s="17"/>
      <c r="S852" s="17"/>
      <c r="T852" s="17"/>
      <c r="U852" s="17"/>
      <c r="V852" s="17"/>
    </row>
    <row r="853" ht="14.25" customHeight="1">
      <c r="C853" s="29"/>
      <c r="D853" s="30"/>
      <c r="E853" s="29"/>
      <c r="F853" s="4"/>
      <c r="G853" s="4"/>
      <c r="H853" s="4"/>
      <c r="I853" s="26"/>
      <c r="J853" s="26"/>
      <c r="K853" s="17"/>
      <c r="L853" s="17"/>
      <c r="M853" s="29"/>
      <c r="N853" s="29"/>
      <c r="O853" s="4"/>
      <c r="P853" s="4"/>
      <c r="Q853" s="4"/>
      <c r="R853" s="17"/>
      <c r="S853" s="17"/>
      <c r="T853" s="17"/>
      <c r="U853" s="17"/>
      <c r="V853" s="17"/>
    </row>
    <row r="854" ht="14.25" customHeight="1">
      <c r="C854" s="29"/>
      <c r="D854" s="30"/>
      <c r="E854" s="29"/>
      <c r="F854" s="4"/>
      <c r="G854" s="4"/>
      <c r="H854" s="4"/>
      <c r="I854" s="26"/>
      <c r="J854" s="26"/>
      <c r="K854" s="17"/>
      <c r="L854" s="17"/>
      <c r="M854" s="29"/>
      <c r="N854" s="29"/>
      <c r="O854" s="4"/>
      <c r="P854" s="4"/>
      <c r="Q854" s="4"/>
      <c r="R854" s="17"/>
      <c r="S854" s="17"/>
      <c r="T854" s="17"/>
      <c r="U854" s="17"/>
      <c r="V854" s="17"/>
    </row>
    <row r="855" ht="14.25" customHeight="1">
      <c r="C855" s="29"/>
      <c r="D855" s="30"/>
      <c r="E855" s="29"/>
      <c r="F855" s="4"/>
      <c r="G855" s="4"/>
      <c r="H855" s="4"/>
      <c r="I855" s="26"/>
      <c r="J855" s="26"/>
      <c r="K855" s="17"/>
      <c r="L855" s="17"/>
      <c r="M855" s="29"/>
      <c r="N855" s="29"/>
      <c r="O855" s="4"/>
      <c r="P855" s="4"/>
      <c r="Q855" s="4"/>
      <c r="R855" s="17"/>
      <c r="S855" s="17"/>
      <c r="T855" s="17"/>
      <c r="U855" s="17"/>
      <c r="V855" s="17"/>
    </row>
    <row r="856" ht="14.25" customHeight="1">
      <c r="C856" s="29"/>
      <c r="D856" s="30"/>
      <c r="E856" s="29"/>
      <c r="F856" s="4"/>
      <c r="G856" s="4"/>
      <c r="H856" s="4"/>
      <c r="I856" s="26"/>
      <c r="J856" s="26"/>
      <c r="K856" s="17"/>
      <c r="L856" s="17"/>
      <c r="M856" s="29"/>
      <c r="N856" s="29"/>
      <c r="O856" s="4"/>
      <c r="P856" s="4"/>
      <c r="Q856" s="4"/>
      <c r="R856" s="17"/>
      <c r="S856" s="17"/>
      <c r="T856" s="17"/>
      <c r="U856" s="17"/>
      <c r="V856" s="17"/>
    </row>
    <row r="857" ht="14.25" customHeight="1">
      <c r="C857" s="29"/>
      <c r="D857" s="30"/>
      <c r="E857" s="29"/>
      <c r="F857" s="4"/>
      <c r="G857" s="4"/>
      <c r="H857" s="4"/>
      <c r="I857" s="26"/>
      <c r="J857" s="26"/>
      <c r="K857" s="17"/>
      <c r="L857" s="17"/>
      <c r="M857" s="29"/>
      <c r="N857" s="29"/>
      <c r="O857" s="4"/>
      <c r="P857" s="4"/>
      <c r="Q857" s="4"/>
      <c r="R857" s="17"/>
      <c r="S857" s="17"/>
      <c r="T857" s="17"/>
      <c r="U857" s="17"/>
      <c r="V857" s="17"/>
    </row>
    <row r="858" ht="14.25" customHeight="1">
      <c r="C858" s="29"/>
      <c r="D858" s="30"/>
      <c r="E858" s="29"/>
      <c r="F858" s="4"/>
      <c r="G858" s="4"/>
      <c r="H858" s="4"/>
      <c r="I858" s="26"/>
      <c r="J858" s="26"/>
      <c r="K858" s="17"/>
      <c r="L858" s="17"/>
      <c r="M858" s="29"/>
      <c r="N858" s="29"/>
      <c r="O858" s="4"/>
      <c r="P858" s="4"/>
      <c r="Q858" s="4"/>
      <c r="R858" s="17"/>
      <c r="S858" s="17"/>
      <c r="T858" s="17"/>
      <c r="U858" s="17"/>
      <c r="V858" s="17"/>
    </row>
    <row r="859" ht="14.25" customHeight="1">
      <c r="C859" s="29"/>
      <c r="D859" s="30"/>
      <c r="E859" s="29"/>
      <c r="F859" s="4"/>
      <c r="G859" s="4"/>
      <c r="H859" s="4"/>
      <c r="I859" s="26"/>
      <c r="J859" s="26"/>
      <c r="K859" s="17"/>
      <c r="L859" s="17"/>
      <c r="M859" s="29"/>
      <c r="N859" s="29"/>
      <c r="O859" s="4"/>
      <c r="P859" s="4"/>
      <c r="Q859" s="4"/>
      <c r="R859" s="17"/>
      <c r="S859" s="17"/>
      <c r="T859" s="17"/>
      <c r="U859" s="17"/>
      <c r="V859" s="17"/>
    </row>
    <row r="860" ht="14.25" customHeight="1">
      <c r="C860" s="29"/>
      <c r="D860" s="30"/>
      <c r="E860" s="29"/>
      <c r="F860" s="4"/>
      <c r="G860" s="4"/>
      <c r="H860" s="4"/>
      <c r="I860" s="26"/>
      <c r="J860" s="26"/>
      <c r="K860" s="17"/>
      <c r="L860" s="17"/>
      <c r="M860" s="29"/>
      <c r="N860" s="29"/>
      <c r="O860" s="4"/>
      <c r="P860" s="4"/>
      <c r="Q860" s="4"/>
      <c r="R860" s="17"/>
      <c r="S860" s="17"/>
      <c r="T860" s="17"/>
      <c r="U860" s="17"/>
      <c r="V860" s="17"/>
    </row>
    <row r="861" ht="14.25" customHeight="1">
      <c r="C861" s="29"/>
      <c r="D861" s="30"/>
      <c r="E861" s="29"/>
      <c r="F861" s="4"/>
      <c r="G861" s="4"/>
      <c r="H861" s="4"/>
      <c r="I861" s="26"/>
      <c r="J861" s="26"/>
      <c r="K861" s="17"/>
      <c r="L861" s="17"/>
      <c r="M861" s="29"/>
      <c r="N861" s="29"/>
      <c r="O861" s="4"/>
      <c r="P861" s="4"/>
      <c r="Q861" s="4"/>
      <c r="R861" s="17"/>
      <c r="S861" s="17"/>
      <c r="T861" s="17"/>
      <c r="U861" s="17"/>
      <c r="V861" s="17"/>
    </row>
    <row r="862" ht="14.25" customHeight="1">
      <c r="C862" s="29"/>
      <c r="D862" s="30"/>
      <c r="E862" s="29"/>
      <c r="F862" s="4"/>
      <c r="G862" s="4"/>
      <c r="H862" s="4"/>
      <c r="I862" s="26"/>
      <c r="J862" s="26"/>
      <c r="K862" s="17"/>
      <c r="L862" s="17"/>
      <c r="M862" s="29"/>
      <c r="N862" s="29"/>
      <c r="O862" s="4"/>
      <c r="P862" s="4"/>
      <c r="Q862" s="4"/>
      <c r="R862" s="17"/>
      <c r="S862" s="17"/>
      <c r="T862" s="17"/>
      <c r="U862" s="17"/>
      <c r="V862" s="17"/>
    </row>
    <row r="863" ht="14.25" customHeight="1">
      <c r="C863" s="29"/>
      <c r="D863" s="30"/>
      <c r="E863" s="29"/>
      <c r="F863" s="4"/>
      <c r="G863" s="4"/>
      <c r="H863" s="4"/>
      <c r="I863" s="26"/>
      <c r="J863" s="26"/>
      <c r="K863" s="17"/>
      <c r="L863" s="17"/>
      <c r="M863" s="29"/>
      <c r="N863" s="29"/>
      <c r="O863" s="4"/>
      <c r="P863" s="4"/>
      <c r="Q863" s="4"/>
      <c r="R863" s="17"/>
      <c r="S863" s="17"/>
      <c r="T863" s="17"/>
      <c r="U863" s="17"/>
      <c r="V863" s="17"/>
    </row>
    <row r="864" ht="14.25" customHeight="1">
      <c r="C864" s="29"/>
      <c r="D864" s="30"/>
      <c r="E864" s="29"/>
      <c r="F864" s="4"/>
      <c r="G864" s="4"/>
      <c r="H864" s="4"/>
      <c r="I864" s="26"/>
      <c r="J864" s="26"/>
      <c r="K864" s="17"/>
      <c r="L864" s="17"/>
      <c r="M864" s="29"/>
      <c r="N864" s="29"/>
      <c r="O864" s="4"/>
      <c r="P864" s="4"/>
      <c r="Q864" s="4"/>
      <c r="R864" s="17"/>
      <c r="S864" s="17"/>
      <c r="T864" s="17"/>
      <c r="U864" s="17"/>
      <c r="V864" s="17"/>
    </row>
    <row r="865" ht="14.25" customHeight="1">
      <c r="C865" s="29"/>
      <c r="D865" s="30"/>
      <c r="E865" s="29"/>
      <c r="F865" s="4"/>
      <c r="G865" s="4"/>
      <c r="H865" s="4"/>
      <c r="I865" s="26"/>
      <c r="J865" s="26"/>
      <c r="K865" s="17"/>
      <c r="L865" s="17"/>
      <c r="M865" s="29"/>
      <c r="N865" s="29"/>
      <c r="O865" s="4"/>
      <c r="P865" s="4"/>
      <c r="Q865" s="4"/>
      <c r="R865" s="17"/>
      <c r="S865" s="17"/>
      <c r="T865" s="17"/>
      <c r="U865" s="17"/>
      <c r="V865" s="17"/>
    </row>
    <row r="866" ht="14.25" customHeight="1">
      <c r="C866" s="29"/>
      <c r="D866" s="30"/>
      <c r="E866" s="29"/>
      <c r="F866" s="4"/>
      <c r="G866" s="4"/>
      <c r="H866" s="4"/>
      <c r="I866" s="26"/>
      <c r="J866" s="26"/>
      <c r="K866" s="17"/>
      <c r="L866" s="17"/>
      <c r="M866" s="29"/>
      <c r="N866" s="29"/>
      <c r="O866" s="4"/>
      <c r="P866" s="4"/>
      <c r="Q866" s="4"/>
      <c r="R866" s="17"/>
      <c r="S866" s="17"/>
      <c r="T866" s="17"/>
      <c r="U866" s="17"/>
      <c r="V866" s="17"/>
    </row>
    <row r="867" ht="14.25" customHeight="1">
      <c r="C867" s="29"/>
      <c r="D867" s="30"/>
      <c r="E867" s="29"/>
      <c r="F867" s="4"/>
      <c r="G867" s="4"/>
      <c r="H867" s="4"/>
      <c r="I867" s="26"/>
      <c r="J867" s="26"/>
      <c r="K867" s="17"/>
      <c r="L867" s="17"/>
      <c r="M867" s="29"/>
      <c r="N867" s="29"/>
      <c r="O867" s="4"/>
      <c r="P867" s="4"/>
      <c r="Q867" s="4"/>
      <c r="R867" s="17"/>
      <c r="S867" s="17"/>
      <c r="T867" s="17"/>
      <c r="U867" s="17"/>
      <c r="V867" s="17"/>
    </row>
    <row r="868" ht="14.25" customHeight="1">
      <c r="C868" s="29"/>
      <c r="D868" s="30"/>
      <c r="E868" s="29"/>
      <c r="F868" s="4"/>
      <c r="G868" s="4"/>
      <c r="H868" s="4"/>
      <c r="I868" s="26"/>
      <c r="J868" s="26"/>
      <c r="K868" s="17"/>
      <c r="L868" s="17"/>
      <c r="M868" s="29"/>
      <c r="N868" s="29"/>
      <c r="O868" s="4"/>
      <c r="P868" s="4"/>
      <c r="Q868" s="4"/>
      <c r="R868" s="17"/>
      <c r="S868" s="17"/>
      <c r="T868" s="17"/>
      <c r="U868" s="17"/>
      <c r="V868" s="17"/>
    </row>
    <row r="869" ht="14.25" customHeight="1">
      <c r="C869" s="29"/>
      <c r="D869" s="30"/>
      <c r="E869" s="29"/>
      <c r="F869" s="4"/>
      <c r="G869" s="4"/>
      <c r="H869" s="4"/>
      <c r="I869" s="26"/>
      <c r="J869" s="26"/>
      <c r="K869" s="17"/>
      <c r="L869" s="17"/>
      <c r="M869" s="29"/>
      <c r="N869" s="29"/>
      <c r="O869" s="4"/>
      <c r="P869" s="4"/>
      <c r="Q869" s="4"/>
      <c r="R869" s="17"/>
      <c r="S869" s="17"/>
      <c r="T869" s="17"/>
      <c r="U869" s="17"/>
      <c r="V869" s="17"/>
    </row>
    <row r="870" ht="14.25" customHeight="1">
      <c r="C870" s="29"/>
      <c r="D870" s="30"/>
      <c r="E870" s="29"/>
      <c r="F870" s="4"/>
      <c r="G870" s="4"/>
      <c r="H870" s="4"/>
      <c r="I870" s="26"/>
      <c r="J870" s="26"/>
      <c r="K870" s="17"/>
      <c r="L870" s="17"/>
      <c r="M870" s="29"/>
      <c r="N870" s="29"/>
      <c r="O870" s="4"/>
      <c r="P870" s="4"/>
      <c r="Q870" s="4"/>
      <c r="R870" s="17"/>
      <c r="S870" s="17"/>
      <c r="T870" s="17"/>
      <c r="U870" s="17"/>
      <c r="V870" s="17"/>
    </row>
    <row r="871" ht="14.25" customHeight="1">
      <c r="C871" s="29"/>
      <c r="D871" s="30"/>
      <c r="E871" s="29"/>
      <c r="F871" s="4"/>
      <c r="G871" s="4"/>
      <c r="H871" s="4"/>
      <c r="I871" s="26"/>
      <c r="J871" s="26"/>
      <c r="K871" s="17"/>
      <c r="L871" s="17"/>
      <c r="M871" s="29"/>
      <c r="N871" s="29"/>
      <c r="O871" s="4"/>
      <c r="P871" s="4"/>
      <c r="Q871" s="4"/>
      <c r="R871" s="17"/>
      <c r="S871" s="17"/>
      <c r="T871" s="17"/>
      <c r="U871" s="17"/>
      <c r="V871" s="17"/>
    </row>
    <row r="872" ht="14.25" customHeight="1">
      <c r="C872" s="29"/>
      <c r="D872" s="30"/>
      <c r="E872" s="29"/>
      <c r="F872" s="4"/>
      <c r="G872" s="4"/>
      <c r="H872" s="4"/>
      <c r="I872" s="26"/>
      <c r="J872" s="26"/>
      <c r="K872" s="17"/>
      <c r="L872" s="17"/>
      <c r="M872" s="29"/>
      <c r="N872" s="29"/>
      <c r="O872" s="4"/>
      <c r="P872" s="4"/>
      <c r="Q872" s="4"/>
      <c r="R872" s="17"/>
      <c r="S872" s="17"/>
      <c r="T872" s="17"/>
      <c r="U872" s="17"/>
      <c r="V872" s="17"/>
    </row>
    <row r="873" ht="14.25" customHeight="1">
      <c r="C873" s="29"/>
      <c r="D873" s="30"/>
      <c r="E873" s="29"/>
      <c r="F873" s="4"/>
      <c r="G873" s="4"/>
      <c r="H873" s="4"/>
      <c r="I873" s="26"/>
      <c r="J873" s="26"/>
      <c r="K873" s="17"/>
      <c r="L873" s="17"/>
      <c r="M873" s="29"/>
      <c r="N873" s="29"/>
      <c r="O873" s="4"/>
      <c r="P873" s="4"/>
      <c r="Q873" s="4"/>
      <c r="R873" s="17"/>
      <c r="S873" s="17"/>
      <c r="T873" s="17"/>
      <c r="U873" s="17"/>
      <c r="V873" s="17"/>
    </row>
    <row r="874" ht="14.25" customHeight="1">
      <c r="C874" s="29"/>
      <c r="D874" s="30"/>
      <c r="E874" s="29"/>
      <c r="F874" s="4"/>
      <c r="G874" s="4"/>
      <c r="H874" s="4"/>
      <c r="I874" s="26"/>
      <c r="J874" s="26"/>
      <c r="K874" s="17"/>
      <c r="L874" s="17"/>
      <c r="M874" s="29"/>
      <c r="N874" s="29"/>
      <c r="O874" s="4"/>
      <c r="P874" s="4"/>
      <c r="Q874" s="4"/>
      <c r="R874" s="17"/>
      <c r="S874" s="17"/>
      <c r="T874" s="17"/>
      <c r="U874" s="17"/>
      <c r="V874" s="17"/>
    </row>
    <row r="875" ht="14.25" customHeight="1">
      <c r="C875" s="29"/>
      <c r="D875" s="30"/>
      <c r="E875" s="29"/>
      <c r="F875" s="4"/>
      <c r="G875" s="4"/>
      <c r="H875" s="4"/>
      <c r="I875" s="26"/>
      <c r="J875" s="26"/>
      <c r="K875" s="17"/>
      <c r="L875" s="17"/>
      <c r="M875" s="29"/>
      <c r="N875" s="29"/>
      <c r="O875" s="4"/>
      <c r="P875" s="4"/>
      <c r="Q875" s="4"/>
      <c r="R875" s="17"/>
      <c r="S875" s="17"/>
      <c r="T875" s="17"/>
      <c r="U875" s="17"/>
      <c r="V875" s="17"/>
    </row>
    <row r="876" ht="14.25" customHeight="1">
      <c r="C876" s="29"/>
      <c r="D876" s="30"/>
      <c r="E876" s="29"/>
      <c r="F876" s="4"/>
      <c r="G876" s="4"/>
      <c r="H876" s="4"/>
      <c r="I876" s="26"/>
      <c r="J876" s="26"/>
      <c r="K876" s="17"/>
      <c r="L876" s="17"/>
      <c r="M876" s="29"/>
      <c r="N876" s="29"/>
      <c r="O876" s="4"/>
      <c r="P876" s="4"/>
      <c r="Q876" s="4"/>
      <c r="R876" s="17"/>
      <c r="S876" s="17"/>
      <c r="T876" s="17"/>
      <c r="U876" s="17"/>
      <c r="V876" s="17"/>
    </row>
    <row r="877" ht="14.25" customHeight="1">
      <c r="C877" s="29"/>
      <c r="D877" s="30"/>
      <c r="E877" s="29"/>
      <c r="F877" s="4"/>
      <c r="G877" s="4"/>
      <c r="H877" s="4"/>
      <c r="I877" s="26"/>
      <c r="J877" s="26"/>
      <c r="K877" s="17"/>
      <c r="L877" s="17"/>
      <c r="M877" s="29"/>
      <c r="N877" s="29"/>
      <c r="O877" s="4"/>
      <c r="P877" s="4"/>
      <c r="Q877" s="4"/>
      <c r="R877" s="17"/>
      <c r="S877" s="17"/>
      <c r="T877" s="17"/>
      <c r="U877" s="17"/>
      <c r="V877" s="17"/>
    </row>
    <row r="878" ht="14.25" customHeight="1">
      <c r="C878" s="29"/>
      <c r="D878" s="30"/>
      <c r="E878" s="29"/>
      <c r="F878" s="4"/>
      <c r="G878" s="4"/>
      <c r="H878" s="4"/>
      <c r="I878" s="26"/>
      <c r="J878" s="26"/>
      <c r="K878" s="17"/>
      <c r="L878" s="17"/>
      <c r="M878" s="29"/>
      <c r="N878" s="29"/>
      <c r="O878" s="4"/>
      <c r="P878" s="4"/>
      <c r="Q878" s="4"/>
      <c r="R878" s="17"/>
      <c r="S878" s="17"/>
      <c r="T878" s="17"/>
      <c r="U878" s="17"/>
      <c r="V878" s="17"/>
    </row>
    <row r="879" ht="14.25" customHeight="1">
      <c r="C879" s="29"/>
      <c r="D879" s="30"/>
      <c r="E879" s="29"/>
      <c r="F879" s="4"/>
      <c r="G879" s="4"/>
      <c r="H879" s="4"/>
      <c r="I879" s="26"/>
      <c r="J879" s="26"/>
      <c r="K879" s="17"/>
      <c r="L879" s="17"/>
      <c r="M879" s="29"/>
      <c r="N879" s="29"/>
      <c r="O879" s="4"/>
      <c r="P879" s="4"/>
      <c r="Q879" s="4"/>
      <c r="R879" s="17"/>
      <c r="S879" s="17"/>
      <c r="T879" s="17"/>
      <c r="U879" s="17"/>
      <c r="V879" s="17"/>
    </row>
    <row r="880" ht="14.25" customHeight="1">
      <c r="C880" s="29"/>
      <c r="D880" s="30"/>
      <c r="E880" s="29"/>
      <c r="F880" s="4"/>
      <c r="G880" s="4"/>
      <c r="H880" s="4"/>
      <c r="I880" s="26"/>
      <c r="J880" s="26"/>
      <c r="K880" s="17"/>
      <c r="L880" s="17"/>
      <c r="M880" s="29"/>
      <c r="N880" s="29"/>
      <c r="O880" s="4"/>
      <c r="P880" s="4"/>
      <c r="Q880" s="4"/>
      <c r="R880" s="17"/>
      <c r="S880" s="17"/>
      <c r="T880" s="17"/>
      <c r="U880" s="17"/>
      <c r="V880" s="17"/>
    </row>
    <row r="881" ht="14.25" customHeight="1">
      <c r="C881" s="29"/>
      <c r="D881" s="30"/>
      <c r="E881" s="29"/>
      <c r="F881" s="4"/>
      <c r="G881" s="4"/>
      <c r="H881" s="4"/>
      <c r="I881" s="26"/>
      <c r="J881" s="26"/>
      <c r="K881" s="17"/>
      <c r="L881" s="17"/>
      <c r="M881" s="29"/>
      <c r="N881" s="29"/>
      <c r="O881" s="4"/>
      <c r="P881" s="4"/>
      <c r="Q881" s="4"/>
      <c r="R881" s="17"/>
      <c r="S881" s="17"/>
      <c r="T881" s="17"/>
      <c r="U881" s="17"/>
      <c r="V881" s="17"/>
    </row>
    <row r="882" ht="14.25" customHeight="1">
      <c r="C882" s="29"/>
      <c r="D882" s="30"/>
      <c r="E882" s="29"/>
      <c r="F882" s="4"/>
      <c r="G882" s="4"/>
      <c r="H882" s="4"/>
      <c r="I882" s="26"/>
      <c r="J882" s="26"/>
      <c r="K882" s="17"/>
      <c r="L882" s="17"/>
      <c r="M882" s="29"/>
      <c r="N882" s="29"/>
      <c r="O882" s="4"/>
      <c r="P882" s="4"/>
      <c r="Q882" s="4"/>
      <c r="R882" s="17"/>
      <c r="S882" s="17"/>
      <c r="T882" s="17"/>
      <c r="U882" s="17"/>
      <c r="V882" s="17"/>
    </row>
    <row r="883" ht="14.25" customHeight="1">
      <c r="C883" s="29"/>
      <c r="D883" s="30"/>
      <c r="E883" s="29"/>
      <c r="F883" s="4"/>
      <c r="G883" s="4"/>
      <c r="H883" s="4"/>
      <c r="I883" s="26"/>
      <c r="J883" s="26"/>
      <c r="K883" s="17"/>
      <c r="L883" s="17"/>
      <c r="M883" s="29"/>
      <c r="N883" s="29"/>
      <c r="O883" s="4"/>
      <c r="P883" s="4"/>
      <c r="Q883" s="4"/>
      <c r="R883" s="17"/>
      <c r="S883" s="17"/>
      <c r="T883" s="17"/>
      <c r="U883" s="17"/>
      <c r="V883" s="17"/>
    </row>
    <row r="884" ht="14.25" customHeight="1">
      <c r="C884" s="29"/>
      <c r="D884" s="30"/>
      <c r="E884" s="29"/>
      <c r="F884" s="4"/>
      <c r="G884" s="4"/>
      <c r="H884" s="4"/>
      <c r="I884" s="26"/>
      <c r="J884" s="26"/>
      <c r="K884" s="17"/>
      <c r="L884" s="17"/>
      <c r="M884" s="29"/>
      <c r="N884" s="29"/>
      <c r="O884" s="4"/>
      <c r="P884" s="4"/>
      <c r="Q884" s="4"/>
      <c r="R884" s="17"/>
      <c r="S884" s="17"/>
      <c r="T884" s="17"/>
      <c r="U884" s="17"/>
      <c r="V884" s="17"/>
    </row>
    <row r="885" ht="14.25" customHeight="1">
      <c r="C885" s="29"/>
      <c r="D885" s="30"/>
      <c r="E885" s="29"/>
      <c r="F885" s="4"/>
      <c r="G885" s="4"/>
      <c r="H885" s="4"/>
      <c r="I885" s="26"/>
      <c r="J885" s="26"/>
      <c r="K885" s="17"/>
      <c r="L885" s="17"/>
      <c r="M885" s="29"/>
      <c r="N885" s="29"/>
      <c r="O885" s="4"/>
      <c r="P885" s="4"/>
      <c r="Q885" s="4"/>
      <c r="R885" s="17"/>
      <c r="S885" s="17"/>
      <c r="T885" s="17"/>
      <c r="U885" s="17"/>
      <c r="V885" s="17"/>
    </row>
    <row r="886" ht="14.25" customHeight="1">
      <c r="C886" s="29"/>
      <c r="D886" s="30"/>
      <c r="E886" s="29"/>
      <c r="F886" s="4"/>
      <c r="G886" s="4"/>
      <c r="H886" s="4"/>
      <c r="I886" s="26"/>
      <c r="J886" s="26"/>
      <c r="K886" s="17"/>
      <c r="L886" s="17"/>
      <c r="M886" s="29"/>
      <c r="N886" s="29"/>
      <c r="O886" s="4"/>
      <c r="P886" s="4"/>
      <c r="Q886" s="4"/>
      <c r="R886" s="17"/>
      <c r="S886" s="17"/>
      <c r="T886" s="17"/>
      <c r="U886" s="17"/>
      <c r="V886" s="17"/>
    </row>
    <row r="887" ht="14.25" customHeight="1">
      <c r="C887" s="29"/>
      <c r="D887" s="30"/>
      <c r="E887" s="29"/>
      <c r="F887" s="4"/>
      <c r="G887" s="4"/>
      <c r="H887" s="4"/>
      <c r="I887" s="26"/>
      <c r="J887" s="26"/>
      <c r="K887" s="17"/>
      <c r="L887" s="17"/>
      <c r="M887" s="29"/>
      <c r="N887" s="29"/>
      <c r="O887" s="4"/>
      <c r="P887" s="4"/>
      <c r="Q887" s="4"/>
      <c r="R887" s="17"/>
      <c r="S887" s="17"/>
      <c r="T887" s="17"/>
      <c r="U887" s="17"/>
      <c r="V887" s="17"/>
    </row>
    <row r="888" ht="14.25" customHeight="1">
      <c r="C888" s="29"/>
      <c r="D888" s="30"/>
      <c r="E888" s="29"/>
      <c r="F888" s="4"/>
      <c r="G888" s="4"/>
      <c r="H888" s="4"/>
      <c r="I888" s="26"/>
      <c r="J888" s="26"/>
      <c r="K888" s="17"/>
      <c r="L888" s="17"/>
      <c r="M888" s="29"/>
      <c r="N888" s="29"/>
      <c r="O888" s="4"/>
      <c r="P888" s="4"/>
      <c r="Q888" s="4"/>
      <c r="R888" s="17"/>
      <c r="S888" s="17"/>
      <c r="T888" s="17"/>
      <c r="U888" s="17"/>
      <c r="V888" s="17"/>
    </row>
    <row r="889" ht="14.25" customHeight="1">
      <c r="C889" s="29"/>
      <c r="D889" s="30"/>
      <c r="E889" s="29"/>
      <c r="F889" s="4"/>
      <c r="G889" s="4"/>
      <c r="H889" s="4"/>
      <c r="I889" s="26"/>
      <c r="J889" s="26"/>
      <c r="K889" s="17"/>
      <c r="L889" s="17"/>
      <c r="M889" s="29"/>
      <c r="N889" s="29"/>
      <c r="O889" s="4"/>
      <c r="P889" s="4"/>
      <c r="Q889" s="4"/>
      <c r="R889" s="17"/>
      <c r="S889" s="17"/>
      <c r="T889" s="17"/>
      <c r="U889" s="17"/>
      <c r="V889" s="17"/>
    </row>
    <row r="890" ht="14.25" customHeight="1">
      <c r="C890" s="29"/>
      <c r="D890" s="30"/>
      <c r="E890" s="29"/>
      <c r="F890" s="4"/>
      <c r="G890" s="4"/>
      <c r="H890" s="4"/>
      <c r="I890" s="26"/>
      <c r="J890" s="26"/>
      <c r="K890" s="17"/>
      <c r="L890" s="17"/>
      <c r="M890" s="29"/>
      <c r="N890" s="29"/>
      <c r="O890" s="4"/>
      <c r="P890" s="4"/>
      <c r="Q890" s="4"/>
      <c r="R890" s="17"/>
      <c r="S890" s="17"/>
      <c r="T890" s="17"/>
      <c r="U890" s="17"/>
      <c r="V890" s="17"/>
    </row>
    <row r="891" ht="14.25" customHeight="1">
      <c r="C891" s="29"/>
      <c r="D891" s="30"/>
      <c r="E891" s="29"/>
      <c r="F891" s="4"/>
      <c r="G891" s="4"/>
      <c r="H891" s="4"/>
      <c r="I891" s="26"/>
      <c r="J891" s="26"/>
      <c r="K891" s="17"/>
      <c r="L891" s="17"/>
      <c r="M891" s="29"/>
      <c r="N891" s="29"/>
      <c r="O891" s="4"/>
      <c r="P891" s="4"/>
      <c r="Q891" s="4"/>
      <c r="R891" s="17"/>
      <c r="S891" s="17"/>
      <c r="T891" s="17"/>
      <c r="U891" s="17"/>
      <c r="V891" s="17"/>
    </row>
    <row r="892" ht="14.25" customHeight="1">
      <c r="C892" s="29"/>
      <c r="D892" s="30"/>
      <c r="E892" s="29"/>
      <c r="F892" s="4"/>
      <c r="G892" s="4"/>
      <c r="H892" s="4"/>
      <c r="I892" s="26"/>
      <c r="J892" s="26"/>
      <c r="K892" s="17"/>
      <c r="L892" s="17"/>
      <c r="M892" s="29"/>
      <c r="N892" s="29"/>
      <c r="O892" s="4"/>
      <c r="P892" s="4"/>
      <c r="Q892" s="4"/>
      <c r="R892" s="17"/>
      <c r="S892" s="17"/>
      <c r="T892" s="17"/>
      <c r="U892" s="17"/>
      <c r="V892" s="17"/>
    </row>
    <row r="893" ht="14.25" customHeight="1">
      <c r="C893" s="29"/>
      <c r="D893" s="30"/>
      <c r="E893" s="29"/>
      <c r="F893" s="4"/>
      <c r="G893" s="4"/>
      <c r="H893" s="4"/>
      <c r="I893" s="26"/>
      <c r="J893" s="26"/>
      <c r="K893" s="17"/>
      <c r="L893" s="17"/>
      <c r="M893" s="29"/>
      <c r="N893" s="29"/>
      <c r="O893" s="4"/>
      <c r="P893" s="4"/>
      <c r="Q893" s="4"/>
      <c r="R893" s="17"/>
      <c r="S893" s="17"/>
      <c r="T893" s="17"/>
      <c r="U893" s="17"/>
      <c r="V893" s="17"/>
    </row>
    <row r="894" ht="14.25" customHeight="1">
      <c r="C894" s="29"/>
      <c r="D894" s="30"/>
      <c r="E894" s="29"/>
      <c r="F894" s="4"/>
      <c r="G894" s="4"/>
      <c r="H894" s="4"/>
      <c r="I894" s="26"/>
      <c r="J894" s="26"/>
      <c r="K894" s="17"/>
      <c r="L894" s="17"/>
      <c r="M894" s="29"/>
      <c r="N894" s="29"/>
      <c r="O894" s="4"/>
      <c r="P894" s="4"/>
      <c r="Q894" s="4"/>
      <c r="R894" s="17"/>
      <c r="S894" s="17"/>
      <c r="T894" s="17"/>
      <c r="U894" s="17"/>
      <c r="V894" s="17"/>
    </row>
    <row r="895" ht="14.25" customHeight="1">
      <c r="C895" s="29"/>
      <c r="D895" s="30"/>
      <c r="E895" s="29"/>
      <c r="F895" s="4"/>
      <c r="G895" s="4"/>
      <c r="H895" s="4"/>
      <c r="I895" s="26"/>
      <c r="J895" s="26"/>
      <c r="K895" s="17"/>
      <c r="L895" s="17"/>
      <c r="M895" s="29"/>
      <c r="N895" s="29"/>
      <c r="O895" s="4"/>
      <c r="P895" s="4"/>
      <c r="Q895" s="4"/>
      <c r="R895" s="17"/>
      <c r="S895" s="17"/>
      <c r="T895" s="17"/>
      <c r="U895" s="17"/>
      <c r="V895" s="17"/>
    </row>
    <row r="896" ht="14.25" customHeight="1">
      <c r="C896" s="29"/>
      <c r="D896" s="30"/>
      <c r="E896" s="29"/>
      <c r="F896" s="4"/>
      <c r="G896" s="4"/>
      <c r="H896" s="4"/>
      <c r="I896" s="26"/>
      <c r="J896" s="26"/>
      <c r="K896" s="17"/>
      <c r="L896" s="17"/>
      <c r="M896" s="29"/>
      <c r="N896" s="29"/>
      <c r="O896" s="4"/>
      <c r="P896" s="4"/>
      <c r="Q896" s="4"/>
      <c r="R896" s="17"/>
      <c r="S896" s="17"/>
      <c r="T896" s="17"/>
      <c r="U896" s="17"/>
      <c r="V896" s="17"/>
    </row>
    <row r="897" ht="14.25" customHeight="1">
      <c r="C897" s="29"/>
      <c r="D897" s="30"/>
      <c r="E897" s="29"/>
      <c r="F897" s="4"/>
      <c r="G897" s="4"/>
      <c r="H897" s="4"/>
      <c r="I897" s="26"/>
      <c r="J897" s="26"/>
      <c r="K897" s="17"/>
      <c r="L897" s="17"/>
      <c r="M897" s="29"/>
      <c r="N897" s="29"/>
      <c r="O897" s="4"/>
      <c r="P897" s="4"/>
      <c r="Q897" s="4"/>
      <c r="R897" s="17"/>
      <c r="S897" s="17"/>
      <c r="T897" s="17"/>
      <c r="U897" s="17"/>
      <c r="V897" s="17"/>
    </row>
    <row r="898" ht="14.25" customHeight="1">
      <c r="C898" s="29"/>
      <c r="D898" s="30"/>
      <c r="E898" s="29"/>
      <c r="F898" s="4"/>
      <c r="G898" s="4"/>
      <c r="H898" s="4"/>
      <c r="I898" s="26"/>
      <c r="J898" s="26"/>
      <c r="K898" s="17"/>
      <c r="L898" s="17"/>
      <c r="M898" s="29"/>
      <c r="N898" s="29"/>
      <c r="O898" s="4"/>
      <c r="P898" s="4"/>
      <c r="Q898" s="4"/>
      <c r="R898" s="17"/>
      <c r="S898" s="17"/>
      <c r="T898" s="17"/>
      <c r="U898" s="17"/>
      <c r="V898" s="17"/>
    </row>
    <row r="899" ht="14.25" customHeight="1">
      <c r="C899" s="29"/>
      <c r="D899" s="30"/>
      <c r="E899" s="29"/>
      <c r="F899" s="4"/>
      <c r="G899" s="4"/>
      <c r="H899" s="4"/>
      <c r="I899" s="26"/>
      <c r="J899" s="26"/>
      <c r="K899" s="17"/>
      <c r="L899" s="17"/>
      <c r="M899" s="29"/>
      <c r="N899" s="29"/>
      <c r="O899" s="4"/>
      <c r="P899" s="4"/>
      <c r="Q899" s="4"/>
      <c r="R899" s="17"/>
      <c r="S899" s="17"/>
      <c r="T899" s="17"/>
      <c r="U899" s="17"/>
      <c r="V899" s="17"/>
    </row>
    <row r="900" ht="14.25" customHeight="1">
      <c r="C900" s="29"/>
      <c r="D900" s="30"/>
      <c r="E900" s="29"/>
      <c r="F900" s="4"/>
      <c r="G900" s="4"/>
      <c r="H900" s="4"/>
      <c r="I900" s="26"/>
      <c r="J900" s="26"/>
      <c r="K900" s="17"/>
      <c r="L900" s="17"/>
      <c r="M900" s="29"/>
      <c r="N900" s="29"/>
      <c r="O900" s="4"/>
      <c r="P900" s="4"/>
      <c r="Q900" s="4"/>
      <c r="R900" s="17"/>
      <c r="S900" s="17"/>
      <c r="T900" s="17"/>
      <c r="U900" s="17"/>
      <c r="V900" s="17"/>
    </row>
    <row r="901" ht="14.25" customHeight="1">
      <c r="C901" s="29"/>
      <c r="D901" s="30"/>
      <c r="E901" s="29"/>
      <c r="F901" s="4"/>
      <c r="G901" s="4"/>
      <c r="H901" s="4"/>
      <c r="I901" s="26"/>
      <c r="J901" s="26"/>
      <c r="K901" s="17"/>
      <c r="L901" s="17"/>
      <c r="M901" s="29"/>
      <c r="N901" s="29"/>
      <c r="O901" s="4"/>
      <c r="P901" s="4"/>
      <c r="Q901" s="4"/>
      <c r="R901" s="17"/>
      <c r="S901" s="17"/>
      <c r="T901" s="17"/>
      <c r="U901" s="17"/>
      <c r="V901" s="17"/>
    </row>
    <row r="902" ht="14.25" customHeight="1">
      <c r="C902" s="29"/>
      <c r="D902" s="30"/>
      <c r="E902" s="29"/>
      <c r="F902" s="4"/>
      <c r="G902" s="4"/>
      <c r="H902" s="4"/>
      <c r="I902" s="26"/>
      <c r="J902" s="26"/>
      <c r="K902" s="17"/>
      <c r="L902" s="17"/>
      <c r="M902" s="29"/>
      <c r="N902" s="29"/>
      <c r="O902" s="4"/>
      <c r="P902" s="4"/>
      <c r="Q902" s="4"/>
      <c r="R902" s="17"/>
      <c r="S902" s="17"/>
      <c r="T902" s="17"/>
      <c r="U902" s="17"/>
      <c r="V902" s="17"/>
    </row>
    <row r="903" ht="14.25" customHeight="1">
      <c r="C903" s="29"/>
      <c r="D903" s="30"/>
      <c r="E903" s="29"/>
      <c r="F903" s="4"/>
      <c r="G903" s="4"/>
      <c r="H903" s="4"/>
      <c r="I903" s="26"/>
      <c r="J903" s="26"/>
      <c r="K903" s="17"/>
      <c r="L903" s="17"/>
      <c r="M903" s="29"/>
      <c r="N903" s="29"/>
      <c r="O903" s="4"/>
      <c r="P903" s="4"/>
      <c r="Q903" s="4"/>
      <c r="R903" s="17"/>
      <c r="S903" s="17"/>
      <c r="T903" s="17"/>
      <c r="U903" s="17"/>
      <c r="V903" s="17"/>
    </row>
    <row r="904" ht="14.25" customHeight="1">
      <c r="C904" s="29"/>
      <c r="D904" s="30"/>
      <c r="E904" s="29"/>
      <c r="F904" s="4"/>
      <c r="G904" s="4"/>
      <c r="H904" s="4"/>
      <c r="I904" s="26"/>
      <c r="J904" s="26"/>
      <c r="K904" s="17"/>
      <c r="L904" s="17"/>
      <c r="M904" s="29"/>
      <c r="N904" s="29"/>
      <c r="O904" s="4"/>
      <c r="P904" s="4"/>
      <c r="Q904" s="4"/>
      <c r="R904" s="17"/>
      <c r="S904" s="17"/>
      <c r="T904" s="17"/>
      <c r="U904" s="17"/>
      <c r="V904" s="17"/>
    </row>
    <row r="905" ht="14.25" customHeight="1">
      <c r="C905" s="29"/>
      <c r="D905" s="30"/>
      <c r="E905" s="29"/>
      <c r="F905" s="4"/>
      <c r="G905" s="4"/>
      <c r="H905" s="4"/>
      <c r="I905" s="26"/>
      <c r="J905" s="26"/>
      <c r="K905" s="17"/>
      <c r="L905" s="17"/>
      <c r="M905" s="29"/>
      <c r="N905" s="29"/>
      <c r="O905" s="4"/>
      <c r="P905" s="4"/>
      <c r="Q905" s="4"/>
      <c r="R905" s="17"/>
      <c r="S905" s="17"/>
      <c r="T905" s="17"/>
      <c r="U905" s="17"/>
      <c r="V905" s="17"/>
    </row>
    <row r="906" ht="14.25" customHeight="1">
      <c r="C906" s="29"/>
      <c r="D906" s="30"/>
      <c r="E906" s="29"/>
      <c r="F906" s="4"/>
      <c r="G906" s="4"/>
      <c r="H906" s="4"/>
      <c r="I906" s="26"/>
      <c r="J906" s="26"/>
      <c r="K906" s="17"/>
      <c r="L906" s="17"/>
      <c r="M906" s="29"/>
      <c r="N906" s="29"/>
      <c r="O906" s="4"/>
      <c r="P906" s="4"/>
      <c r="Q906" s="4"/>
      <c r="R906" s="17"/>
      <c r="S906" s="17"/>
      <c r="T906" s="17"/>
      <c r="U906" s="17"/>
      <c r="V906" s="17"/>
    </row>
    <row r="907" ht="14.25" customHeight="1">
      <c r="C907" s="29"/>
      <c r="D907" s="30"/>
      <c r="E907" s="29"/>
      <c r="F907" s="4"/>
      <c r="G907" s="4"/>
      <c r="H907" s="4"/>
      <c r="I907" s="26"/>
      <c r="J907" s="26"/>
      <c r="K907" s="17"/>
      <c r="L907" s="17"/>
      <c r="M907" s="29"/>
      <c r="N907" s="29"/>
      <c r="O907" s="4"/>
      <c r="P907" s="4"/>
      <c r="Q907" s="4"/>
      <c r="R907" s="17"/>
      <c r="S907" s="17"/>
      <c r="T907" s="17"/>
      <c r="U907" s="17"/>
      <c r="V907" s="17"/>
    </row>
    <row r="908" ht="14.25" customHeight="1">
      <c r="C908" s="29"/>
      <c r="D908" s="30"/>
      <c r="E908" s="29"/>
      <c r="F908" s="4"/>
      <c r="G908" s="4"/>
      <c r="H908" s="4"/>
      <c r="I908" s="26"/>
      <c r="J908" s="26"/>
      <c r="K908" s="17"/>
      <c r="L908" s="17"/>
      <c r="M908" s="29"/>
      <c r="N908" s="29"/>
      <c r="O908" s="4"/>
      <c r="P908" s="4"/>
      <c r="Q908" s="4"/>
      <c r="R908" s="17"/>
      <c r="S908" s="17"/>
      <c r="T908" s="17"/>
      <c r="U908" s="17"/>
      <c r="V908" s="17"/>
    </row>
    <row r="909" ht="14.25" customHeight="1">
      <c r="C909" s="29"/>
      <c r="D909" s="30"/>
      <c r="E909" s="29"/>
      <c r="F909" s="4"/>
      <c r="G909" s="4"/>
      <c r="H909" s="4"/>
      <c r="I909" s="26"/>
      <c r="J909" s="26"/>
      <c r="K909" s="17"/>
      <c r="L909" s="17"/>
      <c r="M909" s="29"/>
      <c r="N909" s="29"/>
      <c r="O909" s="4"/>
      <c r="P909" s="4"/>
      <c r="Q909" s="4"/>
      <c r="R909" s="17"/>
      <c r="S909" s="17"/>
      <c r="T909" s="17"/>
      <c r="U909" s="17"/>
      <c r="V909" s="17"/>
    </row>
    <row r="910" ht="14.25" customHeight="1">
      <c r="C910" s="29"/>
      <c r="D910" s="30"/>
      <c r="E910" s="29"/>
      <c r="F910" s="4"/>
      <c r="G910" s="4"/>
      <c r="H910" s="4"/>
      <c r="I910" s="26"/>
      <c r="J910" s="26"/>
      <c r="K910" s="17"/>
      <c r="L910" s="17"/>
      <c r="M910" s="29"/>
      <c r="N910" s="29"/>
      <c r="O910" s="4"/>
      <c r="P910" s="4"/>
      <c r="Q910" s="4"/>
      <c r="R910" s="17"/>
      <c r="S910" s="17"/>
      <c r="T910" s="17"/>
      <c r="U910" s="17"/>
      <c r="V910" s="17"/>
    </row>
    <row r="911" ht="14.25" customHeight="1">
      <c r="C911" s="29"/>
      <c r="D911" s="30"/>
      <c r="E911" s="29"/>
      <c r="F911" s="4"/>
      <c r="G911" s="4"/>
      <c r="H911" s="4"/>
      <c r="I911" s="26"/>
      <c r="J911" s="26"/>
      <c r="K911" s="17"/>
      <c r="L911" s="17"/>
      <c r="M911" s="29"/>
      <c r="N911" s="29"/>
      <c r="O911" s="4"/>
      <c r="P911" s="4"/>
      <c r="Q911" s="4"/>
      <c r="R911" s="17"/>
      <c r="S911" s="17"/>
      <c r="T911" s="17"/>
      <c r="U911" s="17"/>
      <c r="V911" s="17"/>
    </row>
    <row r="912" ht="14.25" customHeight="1">
      <c r="C912" s="29"/>
      <c r="D912" s="30"/>
      <c r="E912" s="29"/>
      <c r="F912" s="4"/>
      <c r="G912" s="4"/>
      <c r="H912" s="4"/>
      <c r="I912" s="26"/>
      <c r="J912" s="26"/>
      <c r="K912" s="17"/>
      <c r="L912" s="17"/>
      <c r="M912" s="29"/>
      <c r="N912" s="29"/>
      <c r="O912" s="4"/>
      <c r="P912" s="4"/>
      <c r="Q912" s="4"/>
      <c r="R912" s="17"/>
      <c r="S912" s="17"/>
      <c r="T912" s="17"/>
      <c r="U912" s="17"/>
      <c r="V912" s="17"/>
    </row>
    <row r="913" ht="14.25" customHeight="1">
      <c r="C913" s="29"/>
      <c r="D913" s="30"/>
      <c r="E913" s="29"/>
      <c r="F913" s="4"/>
      <c r="G913" s="4"/>
      <c r="H913" s="4"/>
      <c r="I913" s="26"/>
      <c r="J913" s="26"/>
      <c r="K913" s="17"/>
      <c r="L913" s="17"/>
      <c r="M913" s="29"/>
      <c r="N913" s="29"/>
      <c r="O913" s="4"/>
      <c r="P913" s="4"/>
      <c r="Q913" s="4"/>
      <c r="R913" s="17"/>
      <c r="S913" s="17"/>
      <c r="T913" s="17"/>
      <c r="U913" s="17"/>
      <c r="V913" s="17"/>
    </row>
    <row r="914" ht="14.25" customHeight="1">
      <c r="C914" s="29"/>
      <c r="D914" s="30"/>
      <c r="E914" s="29"/>
      <c r="F914" s="4"/>
      <c r="G914" s="4"/>
      <c r="H914" s="4"/>
      <c r="I914" s="26"/>
      <c r="J914" s="26"/>
      <c r="K914" s="17"/>
      <c r="L914" s="17"/>
      <c r="M914" s="29"/>
      <c r="N914" s="29"/>
      <c r="O914" s="4"/>
      <c r="P914" s="4"/>
      <c r="Q914" s="4"/>
      <c r="R914" s="17"/>
      <c r="S914" s="17"/>
      <c r="T914" s="17"/>
      <c r="U914" s="17"/>
      <c r="V914" s="17"/>
    </row>
    <row r="915" ht="14.25" customHeight="1">
      <c r="C915" s="29"/>
      <c r="D915" s="30"/>
      <c r="E915" s="29"/>
      <c r="F915" s="4"/>
      <c r="G915" s="4"/>
      <c r="H915" s="4"/>
      <c r="I915" s="26"/>
      <c r="J915" s="26"/>
      <c r="K915" s="17"/>
      <c r="L915" s="17"/>
      <c r="M915" s="29"/>
      <c r="N915" s="29"/>
      <c r="O915" s="4"/>
      <c r="P915" s="4"/>
      <c r="Q915" s="4"/>
      <c r="R915" s="17"/>
      <c r="S915" s="17"/>
      <c r="T915" s="17"/>
      <c r="U915" s="17"/>
      <c r="V915" s="17"/>
    </row>
    <row r="916" ht="14.25" customHeight="1">
      <c r="C916" s="29"/>
      <c r="D916" s="30"/>
      <c r="E916" s="29"/>
      <c r="F916" s="4"/>
      <c r="G916" s="4"/>
      <c r="H916" s="4"/>
      <c r="I916" s="26"/>
      <c r="J916" s="26"/>
      <c r="K916" s="17"/>
      <c r="L916" s="17"/>
      <c r="M916" s="29"/>
      <c r="N916" s="29"/>
      <c r="O916" s="4"/>
      <c r="P916" s="4"/>
      <c r="Q916" s="4"/>
      <c r="R916" s="17"/>
      <c r="S916" s="17"/>
      <c r="T916" s="17"/>
      <c r="U916" s="17"/>
      <c r="V916" s="17"/>
    </row>
    <row r="917" ht="14.25" customHeight="1">
      <c r="C917" s="29"/>
      <c r="D917" s="30"/>
      <c r="E917" s="29"/>
      <c r="F917" s="4"/>
      <c r="G917" s="4"/>
      <c r="H917" s="4"/>
      <c r="I917" s="26"/>
      <c r="J917" s="26"/>
      <c r="K917" s="17"/>
      <c r="L917" s="17"/>
      <c r="M917" s="29"/>
      <c r="N917" s="29"/>
      <c r="O917" s="4"/>
      <c r="P917" s="4"/>
      <c r="Q917" s="4"/>
      <c r="R917" s="17"/>
      <c r="S917" s="17"/>
      <c r="T917" s="17"/>
      <c r="U917" s="17"/>
      <c r="V917" s="17"/>
    </row>
    <row r="918" ht="14.25" customHeight="1">
      <c r="C918" s="29"/>
      <c r="D918" s="30"/>
      <c r="E918" s="29"/>
      <c r="F918" s="4"/>
      <c r="G918" s="4"/>
      <c r="H918" s="4"/>
      <c r="I918" s="26"/>
      <c r="J918" s="26"/>
      <c r="K918" s="17"/>
      <c r="L918" s="17"/>
      <c r="M918" s="29"/>
      <c r="N918" s="29"/>
      <c r="O918" s="4"/>
      <c r="P918" s="4"/>
      <c r="Q918" s="4"/>
      <c r="R918" s="17"/>
      <c r="S918" s="17"/>
      <c r="T918" s="17"/>
      <c r="U918" s="17"/>
      <c r="V918" s="17"/>
    </row>
    <row r="919" ht="14.25" customHeight="1">
      <c r="C919" s="29"/>
      <c r="D919" s="30"/>
      <c r="E919" s="29"/>
      <c r="F919" s="4"/>
      <c r="G919" s="4"/>
      <c r="H919" s="4"/>
      <c r="I919" s="26"/>
      <c r="J919" s="26"/>
      <c r="K919" s="17"/>
      <c r="L919" s="17"/>
      <c r="M919" s="29"/>
      <c r="N919" s="29"/>
      <c r="O919" s="4"/>
      <c r="P919" s="4"/>
      <c r="Q919" s="4"/>
      <c r="R919" s="17"/>
      <c r="S919" s="17"/>
      <c r="T919" s="17"/>
      <c r="U919" s="17"/>
      <c r="V919" s="17"/>
    </row>
    <row r="920" ht="14.25" customHeight="1">
      <c r="C920" s="29"/>
      <c r="D920" s="30"/>
      <c r="E920" s="29"/>
      <c r="F920" s="4"/>
      <c r="G920" s="4"/>
      <c r="H920" s="4"/>
      <c r="I920" s="26"/>
      <c r="J920" s="26"/>
      <c r="K920" s="17"/>
      <c r="L920" s="17"/>
      <c r="M920" s="29"/>
      <c r="N920" s="29"/>
      <c r="O920" s="4"/>
      <c r="P920" s="4"/>
      <c r="Q920" s="4"/>
      <c r="R920" s="17"/>
      <c r="S920" s="17"/>
      <c r="T920" s="17"/>
      <c r="U920" s="17"/>
      <c r="V920" s="17"/>
    </row>
    <row r="921" ht="14.25" customHeight="1">
      <c r="C921" s="29"/>
      <c r="D921" s="30"/>
      <c r="E921" s="29"/>
      <c r="F921" s="4"/>
      <c r="G921" s="4"/>
      <c r="H921" s="4"/>
      <c r="I921" s="26"/>
      <c r="J921" s="26"/>
      <c r="K921" s="17"/>
      <c r="L921" s="17"/>
      <c r="M921" s="29"/>
      <c r="N921" s="29"/>
      <c r="O921" s="4"/>
      <c r="P921" s="4"/>
      <c r="Q921" s="4"/>
      <c r="R921" s="17"/>
      <c r="S921" s="17"/>
      <c r="T921" s="17"/>
      <c r="U921" s="17"/>
      <c r="V921" s="17"/>
    </row>
    <row r="922" ht="14.25" customHeight="1">
      <c r="C922" s="29"/>
      <c r="D922" s="30"/>
      <c r="E922" s="29"/>
      <c r="F922" s="4"/>
      <c r="G922" s="4"/>
      <c r="H922" s="4"/>
      <c r="I922" s="26"/>
      <c r="J922" s="26"/>
      <c r="K922" s="17"/>
      <c r="L922" s="17"/>
      <c r="M922" s="29"/>
      <c r="N922" s="29"/>
      <c r="O922" s="4"/>
      <c r="P922" s="4"/>
      <c r="Q922" s="4"/>
      <c r="R922" s="17"/>
      <c r="S922" s="17"/>
      <c r="T922" s="17"/>
      <c r="U922" s="17"/>
      <c r="V922" s="17"/>
    </row>
    <row r="923" ht="14.25" customHeight="1">
      <c r="C923" s="29"/>
      <c r="D923" s="30"/>
      <c r="E923" s="29"/>
      <c r="F923" s="4"/>
      <c r="G923" s="4"/>
      <c r="H923" s="4"/>
      <c r="I923" s="26"/>
      <c r="J923" s="26"/>
      <c r="K923" s="17"/>
      <c r="L923" s="17"/>
      <c r="M923" s="29"/>
      <c r="N923" s="29"/>
      <c r="O923" s="4"/>
      <c r="P923" s="4"/>
      <c r="Q923" s="4"/>
      <c r="R923" s="17"/>
      <c r="S923" s="17"/>
      <c r="T923" s="17"/>
      <c r="U923" s="17"/>
      <c r="V923" s="17"/>
    </row>
    <row r="924" ht="14.25" customHeight="1">
      <c r="C924" s="29"/>
      <c r="D924" s="30"/>
      <c r="E924" s="29"/>
      <c r="F924" s="4"/>
      <c r="G924" s="4"/>
      <c r="H924" s="4"/>
      <c r="I924" s="26"/>
      <c r="J924" s="26"/>
      <c r="K924" s="17"/>
      <c r="L924" s="17"/>
      <c r="M924" s="29"/>
      <c r="N924" s="29"/>
      <c r="O924" s="4"/>
      <c r="P924" s="4"/>
      <c r="Q924" s="4"/>
      <c r="R924" s="17"/>
      <c r="S924" s="17"/>
      <c r="T924" s="17"/>
      <c r="U924" s="17"/>
      <c r="V924" s="17"/>
    </row>
    <row r="925" ht="14.25" customHeight="1">
      <c r="C925" s="29"/>
      <c r="D925" s="30"/>
      <c r="E925" s="29"/>
      <c r="F925" s="4"/>
      <c r="G925" s="4"/>
      <c r="H925" s="4"/>
      <c r="I925" s="26"/>
      <c r="J925" s="26"/>
      <c r="K925" s="17"/>
      <c r="L925" s="17"/>
      <c r="M925" s="29"/>
      <c r="N925" s="29"/>
      <c r="O925" s="4"/>
      <c r="P925" s="4"/>
      <c r="Q925" s="4"/>
      <c r="R925" s="17"/>
      <c r="S925" s="17"/>
      <c r="T925" s="17"/>
      <c r="U925" s="17"/>
      <c r="V925" s="17"/>
    </row>
    <row r="926" ht="14.25" customHeight="1">
      <c r="C926" s="29"/>
      <c r="D926" s="30"/>
      <c r="E926" s="29"/>
      <c r="F926" s="4"/>
      <c r="G926" s="4"/>
      <c r="H926" s="4"/>
      <c r="I926" s="26"/>
      <c r="J926" s="26"/>
      <c r="K926" s="17"/>
      <c r="L926" s="17"/>
      <c r="M926" s="29"/>
      <c r="N926" s="29"/>
      <c r="O926" s="4"/>
      <c r="P926" s="4"/>
      <c r="Q926" s="4"/>
      <c r="R926" s="17"/>
      <c r="S926" s="17"/>
      <c r="T926" s="17"/>
      <c r="U926" s="17"/>
      <c r="V926" s="17"/>
    </row>
    <row r="927" ht="14.25" customHeight="1">
      <c r="C927" s="29"/>
      <c r="D927" s="30"/>
      <c r="E927" s="29"/>
      <c r="F927" s="4"/>
      <c r="G927" s="4"/>
      <c r="H927" s="4"/>
      <c r="I927" s="26"/>
      <c r="J927" s="26"/>
      <c r="K927" s="17"/>
      <c r="L927" s="17"/>
      <c r="M927" s="29"/>
      <c r="N927" s="29"/>
      <c r="O927" s="4"/>
      <c r="P927" s="4"/>
      <c r="Q927" s="4"/>
      <c r="R927" s="17"/>
      <c r="S927" s="17"/>
      <c r="T927" s="17"/>
      <c r="U927" s="17"/>
      <c r="V927" s="17"/>
    </row>
    <row r="928" ht="14.25" customHeight="1">
      <c r="C928" s="29"/>
      <c r="D928" s="30"/>
      <c r="E928" s="29"/>
      <c r="F928" s="4"/>
      <c r="G928" s="4"/>
      <c r="H928" s="4"/>
      <c r="I928" s="26"/>
      <c r="J928" s="26"/>
      <c r="K928" s="17"/>
      <c r="L928" s="17"/>
      <c r="M928" s="29"/>
      <c r="N928" s="29"/>
      <c r="O928" s="4"/>
      <c r="P928" s="4"/>
      <c r="Q928" s="4"/>
      <c r="R928" s="17"/>
      <c r="S928" s="17"/>
      <c r="T928" s="17"/>
      <c r="U928" s="17"/>
      <c r="V928" s="17"/>
    </row>
    <row r="929" ht="14.25" customHeight="1">
      <c r="C929" s="29"/>
      <c r="D929" s="30"/>
      <c r="E929" s="29"/>
      <c r="F929" s="4"/>
      <c r="G929" s="4"/>
      <c r="H929" s="4"/>
      <c r="I929" s="26"/>
      <c r="J929" s="26"/>
      <c r="K929" s="17"/>
      <c r="L929" s="17"/>
      <c r="M929" s="29"/>
      <c r="N929" s="29"/>
      <c r="O929" s="4"/>
      <c r="P929" s="4"/>
      <c r="Q929" s="4"/>
      <c r="R929" s="17"/>
      <c r="S929" s="17"/>
      <c r="T929" s="17"/>
      <c r="U929" s="17"/>
      <c r="V929" s="17"/>
    </row>
    <row r="930" ht="14.25" customHeight="1">
      <c r="C930" s="29"/>
      <c r="D930" s="30"/>
      <c r="E930" s="29"/>
      <c r="F930" s="4"/>
      <c r="G930" s="4"/>
      <c r="H930" s="4"/>
      <c r="I930" s="26"/>
      <c r="J930" s="26"/>
      <c r="K930" s="17"/>
      <c r="L930" s="17"/>
      <c r="M930" s="29"/>
      <c r="N930" s="29"/>
      <c r="O930" s="4"/>
      <c r="P930" s="4"/>
      <c r="Q930" s="4"/>
      <c r="R930" s="17"/>
      <c r="S930" s="17"/>
      <c r="T930" s="17"/>
      <c r="U930" s="17"/>
      <c r="V930" s="17"/>
    </row>
    <row r="931" ht="14.25" customHeight="1">
      <c r="C931" s="29"/>
      <c r="D931" s="30"/>
      <c r="E931" s="29"/>
      <c r="F931" s="4"/>
      <c r="G931" s="4"/>
      <c r="H931" s="4"/>
      <c r="I931" s="26"/>
      <c r="J931" s="26"/>
      <c r="K931" s="17"/>
      <c r="L931" s="17"/>
      <c r="M931" s="29"/>
      <c r="N931" s="29"/>
      <c r="O931" s="4"/>
      <c r="P931" s="4"/>
      <c r="Q931" s="4"/>
      <c r="R931" s="17"/>
      <c r="S931" s="17"/>
      <c r="T931" s="17"/>
      <c r="U931" s="17"/>
      <c r="V931" s="17"/>
    </row>
    <row r="932" ht="14.25" customHeight="1">
      <c r="C932" s="29"/>
      <c r="D932" s="30"/>
      <c r="E932" s="29"/>
      <c r="F932" s="4"/>
      <c r="G932" s="4"/>
      <c r="H932" s="4"/>
      <c r="I932" s="26"/>
      <c r="J932" s="26"/>
      <c r="K932" s="17"/>
      <c r="L932" s="17"/>
      <c r="M932" s="29"/>
      <c r="N932" s="29"/>
      <c r="O932" s="4"/>
      <c r="P932" s="4"/>
      <c r="Q932" s="4"/>
      <c r="R932" s="17"/>
      <c r="S932" s="17"/>
      <c r="T932" s="17"/>
      <c r="U932" s="17"/>
      <c r="V932" s="17"/>
    </row>
    <row r="933" ht="14.25" customHeight="1">
      <c r="C933" s="29"/>
      <c r="D933" s="30"/>
      <c r="E933" s="29"/>
      <c r="F933" s="4"/>
      <c r="G933" s="4"/>
      <c r="H933" s="4"/>
      <c r="I933" s="26"/>
      <c r="J933" s="26"/>
      <c r="K933" s="17"/>
      <c r="L933" s="17"/>
      <c r="M933" s="29"/>
      <c r="N933" s="29"/>
      <c r="O933" s="4"/>
      <c r="P933" s="4"/>
      <c r="Q933" s="4"/>
      <c r="R933" s="17"/>
      <c r="S933" s="17"/>
      <c r="T933" s="17"/>
      <c r="U933" s="17"/>
      <c r="V933" s="17"/>
    </row>
    <row r="934" ht="14.25" customHeight="1">
      <c r="C934" s="29"/>
      <c r="D934" s="30"/>
      <c r="E934" s="29"/>
      <c r="F934" s="4"/>
      <c r="G934" s="4"/>
      <c r="H934" s="4"/>
      <c r="I934" s="26"/>
      <c r="J934" s="26"/>
      <c r="K934" s="17"/>
      <c r="L934" s="17"/>
      <c r="M934" s="29"/>
      <c r="N934" s="29"/>
      <c r="O934" s="4"/>
      <c r="P934" s="4"/>
      <c r="Q934" s="4"/>
      <c r="R934" s="17"/>
      <c r="S934" s="17"/>
      <c r="T934" s="17"/>
      <c r="U934" s="17"/>
      <c r="V934" s="17"/>
    </row>
    <row r="935" ht="14.25" customHeight="1">
      <c r="C935" s="29"/>
      <c r="D935" s="30"/>
      <c r="E935" s="29"/>
      <c r="F935" s="4"/>
      <c r="G935" s="4"/>
      <c r="H935" s="4"/>
      <c r="I935" s="26"/>
      <c r="J935" s="26"/>
      <c r="K935" s="17"/>
      <c r="L935" s="17"/>
      <c r="M935" s="29"/>
      <c r="N935" s="29"/>
      <c r="O935" s="4"/>
      <c r="P935" s="4"/>
      <c r="Q935" s="4"/>
      <c r="R935" s="17"/>
      <c r="S935" s="17"/>
      <c r="T935" s="17"/>
      <c r="U935" s="17"/>
      <c r="V935" s="17"/>
    </row>
    <row r="936" ht="14.25" customHeight="1">
      <c r="C936" s="29"/>
      <c r="D936" s="30"/>
      <c r="E936" s="29"/>
      <c r="F936" s="4"/>
      <c r="G936" s="4"/>
      <c r="H936" s="4"/>
      <c r="I936" s="26"/>
      <c r="J936" s="26"/>
      <c r="K936" s="17"/>
      <c r="L936" s="17"/>
      <c r="M936" s="29"/>
      <c r="N936" s="29"/>
      <c r="O936" s="4"/>
      <c r="P936" s="4"/>
      <c r="Q936" s="4"/>
      <c r="R936" s="17"/>
      <c r="S936" s="17"/>
      <c r="T936" s="17"/>
      <c r="U936" s="17"/>
      <c r="V936" s="17"/>
    </row>
    <row r="937" ht="14.25" customHeight="1">
      <c r="C937" s="29"/>
      <c r="D937" s="30"/>
      <c r="E937" s="29"/>
      <c r="F937" s="4"/>
      <c r="G937" s="4"/>
      <c r="H937" s="4"/>
      <c r="I937" s="26"/>
      <c r="J937" s="26"/>
      <c r="K937" s="17"/>
      <c r="L937" s="17"/>
      <c r="M937" s="29"/>
      <c r="N937" s="29"/>
      <c r="O937" s="4"/>
      <c r="P937" s="4"/>
      <c r="Q937" s="4"/>
      <c r="R937" s="17"/>
      <c r="S937" s="17"/>
      <c r="T937" s="17"/>
      <c r="U937" s="17"/>
      <c r="V937" s="17"/>
    </row>
    <row r="938" ht="14.25" customHeight="1">
      <c r="C938" s="29"/>
      <c r="D938" s="30"/>
      <c r="E938" s="29"/>
      <c r="F938" s="4"/>
      <c r="G938" s="4"/>
      <c r="H938" s="4"/>
      <c r="I938" s="26"/>
      <c r="J938" s="26"/>
      <c r="K938" s="17"/>
      <c r="L938" s="17"/>
      <c r="M938" s="29"/>
      <c r="N938" s="29"/>
      <c r="O938" s="4"/>
      <c r="P938" s="4"/>
      <c r="Q938" s="4"/>
      <c r="R938" s="17"/>
      <c r="S938" s="17"/>
      <c r="T938" s="17"/>
      <c r="U938" s="17"/>
      <c r="V938" s="17"/>
    </row>
    <row r="939" ht="14.25" customHeight="1">
      <c r="C939" s="29"/>
      <c r="D939" s="30"/>
      <c r="E939" s="29"/>
      <c r="F939" s="4"/>
      <c r="G939" s="4"/>
      <c r="H939" s="4"/>
      <c r="I939" s="26"/>
      <c r="J939" s="26"/>
      <c r="K939" s="17"/>
      <c r="L939" s="17"/>
      <c r="M939" s="29"/>
      <c r="N939" s="29"/>
      <c r="O939" s="4"/>
      <c r="P939" s="4"/>
      <c r="Q939" s="4"/>
      <c r="R939" s="17"/>
      <c r="S939" s="17"/>
      <c r="T939" s="17"/>
      <c r="U939" s="17"/>
      <c r="V939" s="17"/>
    </row>
    <row r="940" ht="14.25" customHeight="1">
      <c r="C940" s="29"/>
      <c r="D940" s="30"/>
      <c r="E940" s="29"/>
      <c r="F940" s="4"/>
      <c r="G940" s="4"/>
      <c r="H940" s="4"/>
      <c r="I940" s="26"/>
      <c r="J940" s="26"/>
      <c r="K940" s="17"/>
      <c r="L940" s="17"/>
      <c r="M940" s="29"/>
      <c r="N940" s="29"/>
      <c r="O940" s="4"/>
      <c r="P940" s="4"/>
      <c r="Q940" s="4"/>
      <c r="R940" s="17"/>
      <c r="S940" s="17"/>
      <c r="T940" s="17"/>
      <c r="U940" s="17"/>
      <c r="V940" s="17"/>
    </row>
    <row r="941" ht="14.25" customHeight="1">
      <c r="C941" s="29"/>
      <c r="D941" s="30"/>
      <c r="E941" s="29"/>
      <c r="F941" s="4"/>
      <c r="G941" s="4"/>
      <c r="H941" s="4"/>
      <c r="I941" s="26"/>
      <c r="J941" s="26"/>
      <c r="K941" s="17"/>
      <c r="L941" s="17"/>
      <c r="M941" s="29"/>
      <c r="N941" s="29"/>
      <c r="O941" s="4"/>
      <c r="P941" s="4"/>
      <c r="Q941" s="4"/>
      <c r="R941" s="17"/>
      <c r="S941" s="17"/>
      <c r="T941" s="17"/>
      <c r="U941" s="17"/>
      <c r="V941" s="17"/>
    </row>
    <row r="942" ht="14.25" customHeight="1">
      <c r="C942" s="29"/>
      <c r="D942" s="30"/>
      <c r="E942" s="29"/>
      <c r="F942" s="4"/>
      <c r="G942" s="4"/>
      <c r="H942" s="4"/>
      <c r="I942" s="26"/>
      <c r="J942" s="26"/>
      <c r="K942" s="17"/>
      <c r="L942" s="17"/>
      <c r="M942" s="29"/>
      <c r="N942" s="29"/>
      <c r="O942" s="4"/>
      <c r="P942" s="4"/>
      <c r="Q942" s="4"/>
      <c r="R942" s="17"/>
      <c r="S942" s="17"/>
      <c r="T942" s="17"/>
      <c r="U942" s="17"/>
      <c r="V942" s="17"/>
    </row>
    <row r="943" ht="14.25" customHeight="1">
      <c r="C943" s="29"/>
      <c r="D943" s="30"/>
      <c r="E943" s="29"/>
      <c r="F943" s="4"/>
      <c r="G943" s="4"/>
      <c r="H943" s="4"/>
      <c r="I943" s="26"/>
      <c r="J943" s="26"/>
      <c r="K943" s="17"/>
      <c r="L943" s="17"/>
      <c r="M943" s="29"/>
      <c r="N943" s="29"/>
      <c r="O943" s="4"/>
      <c r="P943" s="4"/>
      <c r="Q943" s="4"/>
      <c r="R943" s="17"/>
      <c r="S943" s="17"/>
      <c r="T943" s="17"/>
      <c r="U943" s="17"/>
      <c r="V943" s="17"/>
    </row>
    <row r="944" ht="14.25" customHeight="1">
      <c r="C944" s="29"/>
      <c r="D944" s="30"/>
      <c r="E944" s="29"/>
      <c r="F944" s="4"/>
      <c r="G944" s="4"/>
      <c r="H944" s="4"/>
      <c r="I944" s="26"/>
      <c r="J944" s="26"/>
      <c r="K944" s="17"/>
      <c r="L944" s="17"/>
      <c r="M944" s="29"/>
      <c r="N944" s="29"/>
      <c r="O944" s="4"/>
      <c r="P944" s="4"/>
      <c r="Q944" s="4"/>
      <c r="R944" s="17"/>
      <c r="S944" s="17"/>
      <c r="T944" s="17"/>
      <c r="U944" s="17"/>
      <c r="V944" s="17"/>
    </row>
    <row r="945" ht="14.25" customHeight="1">
      <c r="C945" s="29"/>
      <c r="D945" s="30"/>
      <c r="E945" s="29"/>
      <c r="F945" s="4"/>
      <c r="G945" s="4"/>
      <c r="H945" s="4"/>
      <c r="I945" s="26"/>
      <c r="J945" s="26"/>
      <c r="K945" s="17"/>
      <c r="L945" s="17"/>
      <c r="M945" s="29"/>
      <c r="N945" s="29"/>
      <c r="O945" s="4"/>
      <c r="P945" s="4"/>
      <c r="Q945" s="4"/>
      <c r="R945" s="17"/>
      <c r="S945" s="17"/>
      <c r="T945" s="17"/>
      <c r="U945" s="17"/>
      <c r="V945" s="17"/>
    </row>
    <row r="946" ht="14.25" customHeight="1">
      <c r="C946" s="29"/>
      <c r="D946" s="30"/>
      <c r="E946" s="29"/>
      <c r="F946" s="4"/>
      <c r="G946" s="4"/>
      <c r="H946" s="4"/>
      <c r="I946" s="26"/>
      <c r="J946" s="26"/>
      <c r="K946" s="17"/>
      <c r="L946" s="17"/>
      <c r="M946" s="29"/>
      <c r="N946" s="29"/>
      <c r="O946" s="4"/>
      <c r="P946" s="4"/>
      <c r="Q946" s="4"/>
      <c r="R946" s="17"/>
      <c r="S946" s="17"/>
      <c r="T946" s="17"/>
      <c r="U946" s="17"/>
      <c r="V946" s="17"/>
    </row>
    <row r="947" ht="14.25" customHeight="1">
      <c r="C947" s="29"/>
      <c r="D947" s="30"/>
      <c r="E947" s="29"/>
      <c r="F947" s="4"/>
      <c r="G947" s="4"/>
      <c r="H947" s="4"/>
      <c r="I947" s="26"/>
      <c r="J947" s="26"/>
      <c r="K947" s="17"/>
      <c r="L947" s="17"/>
      <c r="M947" s="29"/>
      <c r="N947" s="29"/>
      <c r="O947" s="4"/>
      <c r="P947" s="4"/>
      <c r="Q947" s="4"/>
      <c r="R947" s="17"/>
      <c r="S947" s="17"/>
      <c r="T947" s="17"/>
      <c r="U947" s="17"/>
      <c r="V947" s="17"/>
    </row>
    <row r="948" ht="14.25" customHeight="1">
      <c r="C948" s="29"/>
      <c r="D948" s="30"/>
      <c r="E948" s="29"/>
      <c r="F948" s="4"/>
      <c r="G948" s="4"/>
      <c r="H948" s="4"/>
      <c r="I948" s="26"/>
      <c r="J948" s="26"/>
      <c r="K948" s="17"/>
      <c r="L948" s="17"/>
      <c r="M948" s="29"/>
      <c r="N948" s="29"/>
      <c r="O948" s="4"/>
      <c r="P948" s="4"/>
      <c r="Q948" s="4"/>
      <c r="R948" s="17"/>
      <c r="S948" s="17"/>
      <c r="T948" s="17"/>
      <c r="U948" s="17"/>
      <c r="V948" s="17"/>
    </row>
    <row r="949" ht="14.25" customHeight="1">
      <c r="C949" s="29"/>
      <c r="D949" s="30"/>
      <c r="E949" s="29"/>
      <c r="F949" s="4"/>
      <c r="G949" s="4"/>
      <c r="H949" s="4"/>
      <c r="I949" s="26"/>
      <c r="J949" s="26"/>
      <c r="K949" s="17"/>
      <c r="L949" s="17"/>
      <c r="M949" s="29"/>
      <c r="N949" s="29"/>
      <c r="O949" s="4"/>
      <c r="P949" s="4"/>
      <c r="Q949" s="4"/>
      <c r="R949" s="17"/>
      <c r="S949" s="17"/>
      <c r="T949" s="17"/>
      <c r="U949" s="17"/>
      <c r="V949" s="17"/>
    </row>
    <row r="950" ht="14.25" customHeight="1">
      <c r="C950" s="29"/>
      <c r="D950" s="30"/>
      <c r="E950" s="29"/>
      <c r="F950" s="4"/>
      <c r="G950" s="4"/>
      <c r="H950" s="4"/>
      <c r="I950" s="26"/>
      <c r="J950" s="26"/>
      <c r="K950" s="17"/>
      <c r="L950" s="17"/>
      <c r="M950" s="29"/>
      <c r="N950" s="29"/>
      <c r="O950" s="4"/>
      <c r="P950" s="4"/>
      <c r="Q950" s="4"/>
      <c r="R950" s="17"/>
      <c r="S950" s="17"/>
      <c r="T950" s="17"/>
      <c r="U950" s="17"/>
      <c r="V950" s="17"/>
    </row>
    <row r="951" ht="14.25" customHeight="1">
      <c r="C951" s="29"/>
      <c r="D951" s="30"/>
      <c r="E951" s="29"/>
      <c r="F951" s="4"/>
      <c r="G951" s="4"/>
      <c r="H951" s="4"/>
      <c r="I951" s="26"/>
      <c r="J951" s="26"/>
      <c r="K951" s="17"/>
      <c r="L951" s="17"/>
      <c r="M951" s="29"/>
      <c r="N951" s="29"/>
      <c r="O951" s="4"/>
      <c r="P951" s="4"/>
      <c r="Q951" s="4"/>
      <c r="R951" s="17"/>
      <c r="S951" s="17"/>
      <c r="T951" s="17"/>
      <c r="U951" s="17"/>
      <c r="V951" s="17"/>
    </row>
    <row r="952" ht="14.25" customHeight="1">
      <c r="C952" s="29"/>
      <c r="D952" s="30"/>
      <c r="E952" s="29"/>
      <c r="F952" s="4"/>
      <c r="G952" s="4"/>
      <c r="H952" s="4"/>
      <c r="I952" s="26"/>
      <c r="J952" s="26"/>
      <c r="K952" s="17"/>
      <c r="L952" s="17"/>
      <c r="M952" s="29"/>
      <c r="N952" s="29"/>
      <c r="O952" s="4"/>
      <c r="P952" s="4"/>
      <c r="Q952" s="4"/>
      <c r="R952" s="17"/>
      <c r="S952" s="17"/>
      <c r="T952" s="17"/>
      <c r="U952" s="17"/>
      <c r="V952" s="17"/>
    </row>
    <row r="953" ht="14.25" customHeight="1">
      <c r="C953" s="29"/>
      <c r="D953" s="30"/>
      <c r="E953" s="29"/>
      <c r="F953" s="4"/>
      <c r="G953" s="4"/>
      <c r="H953" s="4"/>
      <c r="I953" s="26"/>
      <c r="J953" s="26"/>
      <c r="K953" s="17"/>
      <c r="L953" s="17"/>
      <c r="M953" s="29"/>
      <c r="N953" s="29"/>
      <c r="O953" s="4"/>
      <c r="P953" s="4"/>
      <c r="Q953" s="4"/>
      <c r="R953" s="17"/>
      <c r="S953" s="17"/>
      <c r="T953" s="17"/>
      <c r="U953" s="17"/>
      <c r="V953" s="17"/>
    </row>
    <row r="954" ht="14.25" customHeight="1">
      <c r="C954" s="29"/>
      <c r="D954" s="30"/>
      <c r="E954" s="29"/>
      <c r="F954" s="4"/>
      <c r="G954" s="4"/>
      <c r="H954" s="4"/>
      <c r="I954" s="26"/>
      <c r="J954" s="26"/>
      <c r="K954" s="17"/>
      <c r="L954" s="17"/>
      <c r="M954" s="29"/>
      <c r="N954" s="29"/>
      <c r="O954" s="4"/>
      <c r="P954" s="4"/>
      <c r="Q954" s="4"/>
      <c r="R954" s="17"/>
      <c r="S954" s="17"/>
      <c r="T954" s="17"/>
      <c r="U954" s="17"/>
      <c r="V954" s="17"/>
    </row>
    <row r="955" ht="14.25" customHeight="1">
      <c r="C955" s="29"/>
      <c r="D955" s="30"/>
      <c r="E955" s="29"/>
      <c r="F955" s="4"/>
      <c r="G955" s="4"/>
      <c r="H955" s="4"/>
      <c r="I955" s="26"/>
      <c r="J955" s="26"/>
      <c r="K955" s="17"/>
      <c r="L955" s="17"/>
      <c r="M955" s="29"/>
      <c r="N955" s="29"/>
      <c r="O955" s="4"/>
      <c r="P955" s="4"/>
      <c r="Q955" s="4"/>
      <c r="R955" s="17"/>
      <c r="S955" s="17"/>
      <c r="T955" s="17"/>
      <c r="U955" s="17"/>
      <c r="V955" s="17"/>
    </row>
    <row r="956" ht="14.25" customHeight="1">
      <c r="C956" s="29"/>
      <c r="D956" s="30"/>
      <c r="E956" s="29"/>
      <c r="F956" s="4"/>
      <c r="G956" s="4"/>
      <c r="H956" s="4"/>
      <c r="I956" s="26"/>
      <c r="J956" s="26"/>
      <c r="K956" s="17"/>
      <c r="L956" s="17"/>
      <c r="M956" s="29"/>
      <c r="N956" s="29"/>
      <c r="O956" s="4"/>
      <c r="P956" s="4"/>
      <c r="Q956" s="4"/>
      <c r="R956" s="17"/>
      <c r="S956" s="17"/>
      <c r="T956" s="17"/>
      <c r="U956" s="17"/>
      <c r="V956" s="17"/>
    </row>
    <row r="957" ht="14.25" customHeight="1">
      <c r="C957" s="29"/>
      <c r="D957" s="30"/>
      <c r="E957" s="29"/>
      <c r="F957" s="4"/>
      <c r="G957" s="4"/>
      <c r="H957" s="4"/>
      <c r="I957" s="26"/>
      <c r="J957" s="26"/>
      <c r="K957" s="17"/>
      <c r="L957" s="17"/>
      <c r="M957" s="29"/>
      <c r="N957" s="29"/>
      <c r="O957" s="4"/>
      <c r="P957" s="4"/>
      <c r="Q957" s="4"/>
      <c r="R957" s="17"/>
      <c r="S957" s="17"/>
      <c r="T957" s="17"/>
      <c r="U957" s="17"/>
      <c r="V957" s="17"/>
    </row>
    <row r="958" ht="14.25" customHeight="1">
      <c r="C958" s="29"/>
      <c r="D958" s="30"/>
      <c r="E958" s="29"/>
      <c r="F958" s="4"/>
      <c r="G958" s="4"/>
      <c r="H958" s="4"/>
      <c r="I958" s="26"/>
      <c r="J958" s="26"/>
      <c r="K958" s="17"/>
      <c r="L958" s="17"/>
      <c r="M958" s="29"/>
      <c r="N958" s="29"/>
      <c r="O958" s="4"/>
      <c r="P958" s="4"/>
      <c r="Q958" s="4"/>
      <c r="R958" s="17"/>
      <c r="S958" s="17"/>
      <c r="T958" s="17"/>
      <c r="U958" s="17"/>
      <c r="V958" s="17"/>
    </row>
    <row r="959" ht="14.25" customHeight="1">
      <c r="C959" s="29"/>
      <c r="D959" s="30"/>
      <c r="E959" s="29"/>
      <c r="F959" s="4"/>
      <c r="G959" s="4"/>
      <c r="H959" s="4"/>
      <c r="I959" s="26"/>
      <c r="J959" s="26"/>
      <c r="K959" s="17"/>
      <c r="L959" s="17"/>
      <c r="M959" s="29"/>
      <c r="N959" s="29"/>
      <c r="O959" s="4"/>
      <c r="P959" s="4"/>
      <c r="Q959" s="4"/>
      <c r="R959" s="17"/>
      <c r="S959" s="17"/>
      <c r="T959" s="17"/>
      <c r="U959" s="17"/>
      <c r="V959" s="17"/>
    </row>
    <row r="960" ht="14.25" customHeight="1">
      <c r="C960" s="29"/>
      <c r="D960" s="30"/>
      <c r="E960" s="29"/>
      <c r="F960" s="4"/>
      <c r="G960" s="4"/>
      <c r="H960" s="4"/>
      <c r="I960" s="26"/>
      <c r="J960" s="26"/>
      <c r="K960" s="17"/>
      <c r="L960" s="17"/>
      <c r="M960" s="29"/>
      <c r="N960" s="29"/>
      <c r="O960" s="4"/>
      <c r="P960" s="4"/>
      <c r="Q960" s="4"/>
      <c r="R960" s="17"/>
      <c r="S960" s="17"/>
      <c r="T960" s="17"/>
      <c r="U960" s="17"/>
      <c r="V960" s="17"/>
    </row>
    <row r="961" ht="14.25" customHeight="1">
      <c r="C961" s="29"/>
      <c r="D961" s="30"/>
      <c r="E961" s="29"/>
      <c r="F961" s="4"/>
      <c r="G961" s="4"/>
      <c r="H961" s="4"/>
      <c r="I961" s="26"/>
      <c r="J961" s="26"/>
      <c r="K961" s="17"/>
      <c r="L961" s="17"/>
      <c r="M961" s="29"/>
      <c r="N961" s="29"/>
      <c r="O961" s="4"/>
      <c r="P961" s="4"/>
      <c r="Q961" s="4"/>
      <c r="R961" s="17"/>
      <c r="S961" s="17"/>
      <c r="T961" s="17"/>
      <c r="U961" s="17"/>
      <c r="V961" s="17"/>
    </row>
    <row r="962" ht="14.25" customHeight="1">
      <c r="C962" s="29"/>
      <c r="D962" s="30"/>
      <c r="E962" s="29"/>
      <c r="F962" s="4"/>
      <c r="G962" s="4"/>
      <c r="H962" s="4"/>
      <c r="I962" s="26"/>
      <c r="J962" s="26"/>
      <c r="K962" s="17"/>
      <c r="L962" s="17"/>
      <c r="M962" s="29"/>
      <c r="N962" s="29"/>
      <c r="O962" s="4"/>
      <c r="P962" s="4"/>
      <c r="Q962" s="4"/>
      <c r="R962" s="17"/>
      <c r="S962" s="17"/>
      <c r="T962" s="17"/>
      <c r="U962" s="17"/>
      <c r="V962" s="17"/>
    </row>
    <row r="963" ht="14.25" customHeight="1">
      <c r="C963" s="29"/>
      <c r="D963" s="30"/>
      <c r="E963" s="29"/>
      <c r="F963" s="4"/>
      <c r="G963" s="4"/>
      <c r="H963" s="4"/>
      <c r="I963" s="26"/>
      <c r="J963" s="26"/>
      <c r="K963" s="17"/>
      <c r="L963" s="17"/>
      <c r="M963" s="29"/>
      <c r="N963" s="29"/>
      <c r="O963" s="4"/>
      <c r="P963" s="4"/>
      <c r="Q963" s="4"/>
      <c r="R963" s="17"/>
      <c r="S963" s="17"/>
      <c r="T963" s="17"/>
      <c r="U963" s="17"/>
      <c r="V963" s="17"/>
    </row>
    <row r="964" ht="14.25" customHeight="1">
      <c r="C964" s="29"/>
      <c r="D964" s="30"/>
      <c r="E964" s="29"/>
      <c r="F964" s="4"/>
      <c r="G964" s="4"/>
      <c r="H964" s="4"/>
      <c r="I964" s="26"/>
      <c r="J964" s="26"/>
      <c r="K964" s="17"/>
      <c r="L964" s="17"/>
      <c r="M964" s="29"/>
      <c r="N964" s="29"/>
      <c r="O964" s="4"/>
      <c r="P964" s="4"/>
      <c r="Q964" s="4"/>
      <c r="R964" s="17"/>
      <c r="S964" s="17"/>
      <c r="T964" s="17"/>
      <c r="U964" s="17"/>
      <c r="V964" s="17"/>
    </row>
    <row r="965" ht="14.25" customHeight="1">
      <c r="C965" s="29"/>
      <c r="D965" s="30"/>
      <c r="E965" s="29"/>
      <c r="F965" s="4"/>
      <c r="G965" s="4"/>
      <c r="H965" s="4"/>
      <c r="I965" s="26"/>
      <c r="J965" s="26"/>
      <c r="K965" s="17"/>
      <c r="L965" s="17"/>
      <c r="M965" s="29"/>
      <c r="N965" s="29"/>
      <c r="O965" s="4"/>
      <c r="P965" s="4"/>
      <c r="Q965" s="4"/>
      <c r="R965" s="17"/>
      <c r="S965" s="17"/>
      <c r="T965" s="17"/>
      <c r="U965" s="17"/>
      <c r="V965" s="17"/>
    </row>
    <row r="966" ht="14.25" customHeight="1">
      <c r="C966" s="29"/>
      <c r="D966" s="30"/>
      <c r="E966" s="29"/>
      <c r="F966" s="4"/>
      <c r="G966" s="4"/>
      <c r="H966" s="4"/>
      <c r="I966" s="26"/>
      <c r="J966" s="26"/>
      <c r="K966" s="17"/>
      <c r="L966" s="17"/>
      <c r="M966" s="29"/>
      <c r="N966" s="29"/>
      <c r="O966" s="4"/>
      <c r="P966" s="4"/>
      <c r="Q966" s="4"/>
      <c r="R966" s="17"/>
      <c r="S966" s="17"/>
      <c r="T966" s="17"/>
      <c r="U966" s="17"/>
      <c r="V966" s="17"/>
    </row>
    <row r="967" ht="14.25" customHeight="1">
      <c r="C967" s="29"/>
      <c r="D967" s="30"/>
      <c r="E967" s="29"/>
      <c r="F967" s="4"/>
      <c r="G967" s="4"/>
      <c r="H967" s="4"/>
      <c r="I967" s="26"/>
      <c r="J967" s="26"/>
      <c r="K967" s="17"/>
      <c r="L967" s="17"/>
      <c r="M967" s="29"/>
      <c r="N967" s="29"/>
      <c r="O967" s="4"/>
      <c r="P967" s="4"/>
      <c r="Q967" s="4"/>
      <c r="R967" s="17"/>
      <c r="S967" s="17"/>
      <c r="T967" s="17"/>
      <c r="U967" s="17"/>
      <c r="V967" s="17"/>
    </row>
    <row r="968" ht="14.25" customHeight="1">
      <c r="C968" s="29"/>
      <c r="D968" s="30"/>
      <c r="E968" s="29"/>
      <c r="F968" s="4"/>
      <c r="G968" s="4"/>
      <c r="H968" s="4"/>
      <c r="I968" s="26"/>
      <c r="J968" s="26"/>
      <c r="K968" s="17"/>
      <c r="L968" s="17"/>
      <c r="M968" s="29"/>
      <c r="N968" s="29"/>
      <c r="O968" s="4"/>
      <c r="P968" s="4"/>
      <c r="Q968" s="4"/>
      <c r="R968" s="17"/>
      <c r="S968" s="17"/>
      <c r="T968" s="17"/>
      <c r="U968" s="17"/>
      <c r="V968" s="17"/>
    </row>
    <row r="969" ht="14.25" customHeight="1">
      <c r="C969" s="29"/>
      <c r="D969" s="30"/>
      <c r="E969" s="29"/>
      <c r="F969" s="4"/>
      <c r="G969" s="4"/>
      <c r="H969" s="4"/>
      <c r="I969" s="26"/>
      <c r="J969" s="26"/>
      <c r="K969" s="17"/>
      <c r="L969" s="17"/>
      <c r="M969" s="29"/>
      <c r="N969" s="29"/>
      <c r="O969" s="4"/>
      <c r="P969" s="4"/>
      <c r="Q969" s="4"/>
      <c r="R969" s="17"/>
      <c r="S969" s="17"/>
      <c r="T969" s="17"/>
      <c r="U969" s="17"/>
      <c r="V969" s="17"/>
    </row>
    <row r="970" ht="14.25" customHeight="1">
      <c r="C970" s="29"/>
      <c r="D970" s="30"/>
      <c r="E970" s="29"/>
      <c r="F970" s="4"/>
      <c r="G970" s="4"/>
      <c r="H970" s="4"/>
      <c r="I970" s="26"/>
      <c r="J970" s="26"/>
      <c r="K970" s="17"/>
      <c r="L970" s="17"/>
      <c r="M970" s="29"/>
      <c r="N970" s="29"/>
      <c r="O970" s="4"/>
      <c r="P970" s="4"/>
      <c r="Q970" s="4"/>
      <c r="R970" s="17"/>
      <c r="S970" s="17"/>
      <c r="T970" s="17"/>
      <c r="U970" s="17"/>
      <c r="V970" s="17"/>
    </row>
    <row r="971" ht="14.25" customHeight="1">
      <c r="C971" s="29"/>
      <c r="D971" s="30"/>
      <c r="E971" s="29"/>
      <c r="F971" s="4"/>
      <c r="G971" s="4"/>
      <c r="H971" s="4"/>
      <c r="I971" s="26"/>
      <c r="J971" s="26"/>
      <c r="K971" s="17"/>
      <c r="L971" s="17"/>
      <c r="M971" s="29"/>
      <c r="N971" s="29"/>
      <c r="O971" s="4"/>
      <c r="P971" s="4"/>
      <c r="Q971" s="4"/>
      <c r="R971" s="17"/>
      <c r="S971" s="17"/>
      <c r="T971" s="17"/>
      <c r="U971" s="17"/>
      <c r="V971" s="17"/>
    </row>
    <row r="972" ht="14.25" customHeight="1">
      <c r="C972" s="29"/>
      <c r="D972" s="30"/>
      <c r="E972" s="29"/>
      <c r="F972" s="4"/>
      <c r="G972" s="4"/>
      <c r="H972" s="4"/>
      <c r="I972" s="26"/>
      <c r="J972" s="26"/>
      <c r="K972" s="17"/>
      <c r="L972" s="17"/>
      <c r="M972" s="29"/>
      <c r="N972" s="29"/>
      <c r="O972" s="4"/>
      <c r="P972" s="4"/>
      <c r="Q972" s="4"/>
      <c r="R972" s="17"/>
      <c r="S972" s="17"/>
      <c r="T972" s="17"/>
      <c r="U972" s="17"/>
      <c r="V972" s="17"/>
    </row>
    <row r="973" ht="14.25" customHeight="1">
      <c r="C973" s="29"/>
      <c r="D973" s="30"/>
      <c r="E973" s="29"/>
      <c r="F973" s="4"/>
      <c r="G973" s="4"/>
      <c r="H973" s="4"/>
      <c r="I973" s="26"/>
      <c r="J973" s="26"/>
      <c r="K973" s="17"/>
      <c r="L973" s="17"/>
      <c r="M973" s="29"/>
      <c r="N973" s="29"/>
      <c r="O973" s="4"/>
      <c r="P973" s="4"/>
      <c r="Q973" s="4"/>
      <c r="R973" s="17"/>
      <c r="S973" s="17"/>
      <c r="T973" s="17"/>
      <c r="U973" s="17"/>
      <c r="V973" s="17"/>
    </row>
    <row r="974" ht="14.25" customHeight="1">
      <c r="C974" s="29"/>
      <c r="D974" s="30"/>
      <c r="E974" s="29"/>
      <c r="F974" s="4"/>
      <c r="G974" s="4"/>
      <c r="H974" s="4"/>
      <c r="I974" s="26"/>
      <c r="J974" s="26"/>
      <c r="K974" s="17"/>
      <c r="L974" s="17"/>
      <c r="M974" s="29"/>
      <c r="N974" s="29"/>
      <c r="O974" s="4"/>
      <c r="P974" s="4"/>
      <c r="Q974" s="4"/>
      <c r="R974" s="17"/>
      <c r="S974" s="17"/>
      <c r="T974" s="17"/>
      <c r="U974" s="17"/>
      <c r="V974" s="17"/>
    </row>
    <row r="975" ht="14.25" customHeight="1">
      <c r="C975" s="29"/>
      <c r="D975" s="30"/>
      <c r="E975" s="29"/>
      <c r="F975" s="4"/>
      <c r="G975" s="4"/>
      <c r="H975" s="4"/>
      <c r="I975" s="26"/>
      <c r="J975" s="26"/>
      <c r="K975" s="17"/>
      <c r="L975" s="17"/>
      <c r="M975" s="29"/>
      <c r="N975" s="29"/>
      <c r="O975" s="4"/>
      <c r="P975" s="4"/>
      <c r="Q975" s="4"/>
      <c r="R975" s="17"/>
      <c r="S975" s="17"/>
      <c r="T975" s="17"/>
      <c r="U975" s="17"/>
      <c r="V975" s="17"/>
    </row>
    <row r="976" ht="14.25" customHeight="1">
      <c r="C976" s="29"/>
      <c r="D976" s="30"/>
      <c r="E976" s="29"/>
      <c r="F976" s="4"/>
      <c r="G976" s="4"/>
      <c r="H976" s="4"/>
      <c r="I976" s="26"/>
      <c r="J976" s="26"/>
      <c r="K976" s="17"/>
      <c r="L976" s="17"/>
      <c r="M976" s="29"/>
      <c r="N976" s="29"/>
      <c r="O976" s="4"/>
      <c r="P976" s="4"/>
      <c r="Q976" s="4"/>
      <c r="R976" s="17"/>
      <c r="S976" s="17"/>
      <c r="T976" s="17"/>
      <c r="U976" s="17"/>
      <c r="V976" s="17"/>
    </row>
    <row r="977" ht="14.25" customHeight="1">
      <c r="C977" s="29"/>
      <c r="D977" s="30"/>
      <c r="E977" s="29"/>
      <c r="F977" s="4"/>
      <c r="G977" s="4"/>
      <c r="H977" s="4"/>
      <c r="I977" s="26"/>
      <c r="J977" s="26"/>
      <c r="K977" s="17"/>
      <c r="L977" s="17"/>
      <c r="M977" s="29"/>
      <c r="N977" s="29"/>
      <c r="O977" s="4"/>
      <c r="P977" s="4"/>
      <c r="Q977" s="4"/>
      <c r="R977" s="17"/>
      <c r="S977" s="17"/>
      <c r="T977" s="17"/>
      <c r="U977" s="17"/>
      <c r="V977" s="17"/>
    </row>
    <row r="978" ht="14.25" customHeight="1">
      <c r="C978" s="29"/>
      <c r="D978" s="30"/>
      <c r="E978" s="29"/>
      <c r="F978" s="4"/>
      <c r="G978" s="4"/>
      <c r="H978" s="4"/>
      <c r="I978" s="26"/>
      <c r="J978" s="26"/>
      <c r="K978" s="17"/>
      <c r="L978" s="17"/>
      <c r="M978" s="29"/>
      <c r="N978" s="29"/>
      <c r="O978" s="4"/>
      <c r="P978" s="4"/>
      <c r="Q978" s="4"/>
      <c r="R978" s="17"/>
      <c r="S978" s="17"/>
      <c r="T978" s="17"/>
      <c r="U978" s="17"/>
      <c r="V978" s="17"/>
    </row>
    <row r="979" ht="14.25" customHeight="1">
      <c r="C979" s="29"/>
      <c r="D979" s="30"/>
      <c r="E979" s="29"/>
      <c r="F979" s="4"/>
      <c r="G979" s="4"/>
      <c r="H979" s="4"/>
      <c r="I979" s="26"/>
      <c r="J979" s="26"/>
      <c r="K979" s="17"/>
      <c r="L979" s="17"/>
      <c r="M979" s="29"/>
      <c r="N979" s="29"/>
      <c r="O979" s="4"/>
      <c r="P979" s="4"/>
      <c r="Q979" s="4"/>
      <c r="R979" s="17"/>
      <c r="S979" s="17"/>
      <c r="T979" s="17"/>
      <c r="U979" s="17"/>
      <c r="V979" s="17"/>
    </row>
    <row r="980" ht="14.25" customHeight="1">
      <c r="C980" s="29"/>
      <c r="D980" s="30"/>
      <c r="E980" s="29"/>
      <c r="F980" s="4"/>
      <c r="G980" s="4"/>
      <c r="H980" s="4"/>
      <c r="I980" s="26"/>
      <c r="J980" s="26"/>
      <c r="K980" s="17"/>
      <c r="L980" s="17"/>
      <c r="M980" s="29"/>
      <c r="N980" s="29"/>
      <c r="O980" s="4"/>
      <c r="P980" s="4"/>
      <c r="Q980" s="4"/>
      <c r="R980" s="17"/>
      <c r="S980" s="17"/>
      <c r="T980" s="17"/>
      <c r="U980" s="17"/>
      <c r="V980" s="17"/>
    </row>
    <row r="981" ht="14.25" customHeight="1">
      <c r="C981" s="29"/>
      <c r="D981" s="30"/>
      <c r="E981" s="29"/>
      <c r="F981" s="4"/>
      <c r="G981" s="4"/>
      <c r="H981" s="4"/>
      <c r="I981" s="26"/>
      <c r="J981" s="26"/>
      <c r="K981" s="17"/>
      <c r="L981" s="17"/>
      <c r="M981" s="29"/>
      <c r="N981" s="29"/>
      <c r="O981" s="4"/>
      <c r="P981" s="4"/>
      <c r="Q981" s="4"/>
      <c r="R981" s="17"/>
      <c r="S981" s="17"/>
      <c r="T981" s="17"/>
      <c r="U981" s="17"/>
      <c r="V981" s="17"/>
    </row>
    <row r="982" ht="14.25" customHeight="1">
      <c r="C982" s="29"/>
      <c r="D982" s="30"/>
      <c r="E982" s="29"/>
      <c r="F982" s="4"/>
      <c r="G982" s="4"/>
      <c r="H982" s="4"/>
      <c r="I982" s="26"/>
      <c r="J982" s="26"/>
      <c r="K982" s="17"/>
      <c r="L982" s="17"/>
      <c r="M982" s="29"/>
      <c r="N982" s="29"/>
      <c r="O982" s="4"/>
      <c r="P982" s="4"/>
      <c r="Q982" s="4"/>
      <c r="R982" s="17"/>
      <c r="S982" s="17"/>
      <c r="T982" s="17"/>
      <c r="U982" s="17"/>
      <c r="V982" s="17"/>
    </row>
    <row r="983" ht="14.25" customHeight="1">
      <c r="C983" s="29"/>
      <c r="D983" s="30"/>
      <c r="E983" s="29"/>
      <c r="F983" s="4"/>
      <c r="G983" s="4"/>
      <c r="H983" s="4"/>
      <c r="I983" s="26"/>
      <c r="J983" s="26"/>
      <c r="K983" s="17"/>
      <c r="L983" s="17"/>
      <c r="M983" s="29"/>
      <c r="N983" s="29"/>
      <c r="O983" s="4"/>
      <c r="P983" s="4"/>
      <c r="Q983" s="4"/>
      <c r="R983" s="17"/>
      <c r="S983" s="17"/>
      <c r="T983" s="17"/>
      <c r="U983" s="17"/>
      <c r="V983" s="17"/>
    </row>
    <row r="984" ht="14.25" customHeight="1">
      <c r="C984" s="29"/>
      <c r="D984" s="30"/>
      <c r="E984" s="29"/>
      <c r="F984" s="4"/>
      <c r="G984" s="4"/>
      <c r="H984" s="4"/>
      <c r="I984" s="26"/>
      <c r="J984" s="26"/>
      <c r="K984" s="17"/>
      <c r="L984" s="17"/>
      <c r="M984" s="29"/>
      <c r="N984" s="29"/>
      <c r="O984" s="4"/>
      <c r="P984" s="4"/>
      <c r="Q984" s="4"/>
      <c r="R984" s="17"/>
      <c r="S984" s="17"/>
      <c r="T984" s="17"/>
      <c r="U984" s="17"/>
      <c r="V984" s="17"/>
    </row>
    <row r="985" ht="14.25" customHeight="1">
      <c r="C985" s="29"/>
      <c r="D985" s="30"/>
      <c r="E985" s="29"/>
      <c r="F985" s="4"/>
      <c r="G985" s="4"/>
      <c r="H985" s="4"/>
      <c r="I985" s="26"/>
      <c r="J985" s="26"/>
      <c r="K985" s="17"/>
      <c r="L985" s="17"/>
      <c r="M985" s="29"/>
      <c r="N985" s="29"/>
      <c r="O985" s="4"/>
      <c r="P985" s="4"/>
      <c r="Q985" s="4"/>
      <c r="R985" s="17"/>
      <c r="S985" s="17"/>
      <c r="T985" s="17"/>
      <c r="U985" s="17"/>
      <c r="V985" s="17"/>
    </row>
    <row r="986" ht="14.25" customHeight="1">
      <c r="C986" s="29"/>
      <c r="D986" s="30"/>
      <c r="E986" s="29"/>
      <c r="F986" s="4"/>
      <c r="G986" s="4"/>
      <c r="H986" s="4"/>
      <c r="I986" s="26"/>
      <c r="J986" s="26"/>
      <c r="K986" s="17"/>
      <c r="L986" s="17"/>
      <c r="M986" s="29"/>
      <c r="N986" s="29"/>
      <c r="O986" s="4"/>
      <c r="P986" s="4"/>
      <c r="Q986" s="4"/>
      <c r="R986" s="17"/>
      <c r="S986" s="17"/>
      <c r="T986" s="17"/>
      <c r="U986" s="17"/>
      <c r="V986" s="17"/>
    </row>
    <row r="987" ht="14.25" customHeight="1">
      <c r="C987" s="29"/>
      <c r="D987" s="30"/>
      <c r="E987" s="29"/>
      <c r="F987" s="4"/>
      <c r="G987" s="4"/>
      <c r="H987" s="4"/>
      <c r="I987" s="26"/>
      <c r="J987" s="26"/>
      <c r="K987" s="17"/>
      <c r="L987" s="17"/>
      <c r="M987" s="29"/>
      <c r="N987" s="29"/>
      <c r="O987" s="4"/>
      <c r="P987" s="4"/>
      <c r="Q987" s="4"/>
      <c r="R987" s="17"/>
      <c r="S987" s="17"/>
      <c r="T987" s="17"/>
      <c r="U987" s="17"/>
      <c r="V987" s="17"/>
    </row>
    <row r="988" ht="14.25" customHeight="1">
      <c r="C988" s="29"/>
      <c r="D988" s="30"/>
      <c r="E988" s="29"/>
      <c r="F988" s="4"/>
      <c r="G988" s="4"/>
      <c r="H988" s="4"/>
      <c r="I988" s="26"/>
      <c r="J988" s="26"/>
      <c r="K988" s="17"/>
      <c r="L988" s="17"/>
      <c r="M988" s="29"/>
      <c r="N988" s="29"/>
      <c r="O988" s="4"/>
      <c r="P988" s="4"/>
      <c r="Q988" s="4"/>
      <c r="R988" s="17"/>
      <c r="S988" s="17"/>
      <c r="T988" s="17"/>
      <c r="U988" s="17"/>
      <c r="V988" s="17"/>
    </row>
    <row r="989" ht="14.25" customHeight="1">
      <c r="C989" s="29"/>
      <c r="D989" s="30"/>
      <c r="E989" s="29"/>
      <c r="F989" s="4"/>
      <c r="G989" s="4"/>
      <c r="H989" s="4"/>
      <c r="I989" s="26"/>
      <c r="J989" s="26"/>
      <c r="K989" s="17"/>
      <c r="L989" s="17"/>
      <c r="M989" s="29"/>
      <c r="N989" s="29"/>
      <c r="O989" s="4"/>
      <c r="P989" s="4"/>
      <c r="Q989" s="4"/>
      <c r="R989" s="17"/>
      <c r="S989" s="17"/>
      <c r="T989" s="17"/>
      <c r="U989" s="17"/>
      <c r="V989" s="17"/>
    </row>
    <row r="990" ht="14.25" customHeight="1">
      <c r="C990" s="29"/>
      <c r="D990" s="30"/>
      <c r="E990" s="29"/>
      <c r="F990" s="4"/>
      <c r="G990" s="4"/>
      <c r="H990" s="4"/>
      <c r="I990" s="26"/>
      <c r="J990" s="26"/>
      <c r="K990" s="17"/>
      <c r="L990" s="17"/>
      <c r="M990" s="29"/>
      <c r="N990" s="29"/>
      <c r="O990" s="4"/>
      <c r="P990" s="4"/>
      <c r="Q990" s="4"/>
      <c r="R990" s="17"/>
      <c r="S990" s="17"/>
      <c r="T990" s="17"/>
      <c r="U990" s="17"/>
      <c r="V990" s="17"/>
    </row>
    <row r="991" ht="14.25" customHeight="1">
      <c r="C991" s="29"/>
      <c r="D991" s="30"/>
      <c r="E991" s="29"/>
      <c r="F991" s="4"/>
      <c r="G991" s="4"/>
      <c r="H991" s="4"/>
      <c r="I991" s="26"/>
      <c r="J991" s="26"/>
      <c r="K991" s="17"/>
      <c r="L991" s="17"/>
      <c r="M991" s="29"/>
      <c r="N991" s="29"/>
      <c r="O991" s="4"/>
      <c r="P991" s="4"/>
      <c r="Q991" s="4"/>
      <c r="R991" s="17"/>
      <c r="S991" s="17"/>
      <c r="T991" s="17"/>
      <c r="U991" s="17"/>
      <c r="V991" s="17"/>
    </row>
    <row r="992" ht="14.25" customHeight="1">
      <c r="C992" s="29"/>
      <c r="D992" s="30"/>
      <c r="E992" s="29"/>
      <c r="F992" s="4"/>
      <c r="G992" s="4"/>
      <c r="H992" s="4"/>
      <c r="I992" s="26"/>
      <c r="J992" s="26"/>
      <c r="K992" s="17"/>
      <c r="L992" s="17"/>
      <c r="M992" s="29"/>
      <c r="N992" s="29"/>
      <c r="O992" s="4"/>
      <c r="P992" s="4"/>
      <c r="Q992" s="4"/>
      <c r="R992" s="17"/>
      <c r="S992" s="17"/>
      <c r="T992" s="17"/>
      <c r="U992" s="17"/>
      <c r="V992" s="17"/>
    </row>
    <row r="993" ht="14.25" customHeight="1">
      <c r="C993" s="29"/>
      <c r="D993" s="30"/>
      <c r="E993" s="29"/>
      <c r="F993" s="4"/>
      <c r="G993" s="4"/>
      <c r="H993" s="4"/>
      <c r="I993" s="26"/>
      <c r="J993" s="26"/>
      <c r="K993" s="17"/>
      <c r="L993" s="17"/>
      <c r="M993" s="29"/>
      <c r="N993" s="29"/>
      <c r="O993" s="4"/>
      <c r="P993" s="4"/>
      <c r="Q993" s="4"/>
      <c r="R993" s="17"/>
      <c r="S993" s="17"/>
      <c r="T993" s="17"/>
      <c r="U993" s="17"/>
      <c r="V993" s="17"/>
    </row>
    <row r="994" ht="14.25" customHeight="1">
      <c r="C994" s="29"/>
      <c r="D994" s="30"/>
      <c r="E994" s="29"/>
      <c r="F994" s="4"/>
      <c r="G994" s="4"/>
      <c r="H994" s="4"/>
      <c r="I994" s="26"/>
      <c r="J994" s="26"/>
      <c r="K994" s="17"/>
      <c r="L994" s="17"/>
      <c r="M994" s="29"/>
      <c r="N994" s="29"/>
      <c r="O994" s="4"/>
      <c r="P994" s="4"/>
      <c r="Q994" s="4"/>
      <c r="R994" s="17"/>
      <c r="S994" s="17"/>
      <c r="T994" s="17"/>
      <c r="U994" s="17"/>
      <c r="V994" s="17"/>
    </row>
    <row r="995" ht="14.25" customHeight="1">
      <c r="C995" s="29"/>
      <c r="D995" s="30"/>
      <c r="E995" s="29"/>
      <c r="F995" s="4"/>
      <c r="G995" s="4"/>
      <c r="H995" s="4"/>
      <c r="I995" s="26"/>
      <c r="J995" s="26"/>
      <c r="K995" s="17"/>
      <c r="L995" s="17"/>
      <c r="M995" s="29"/>
      <c r="N995" s="29"/>
      <c r="O995" s="4"/>
      <c r="P995" s="4"/>
      <c r="Q995" s="4"/>
      <c r="R995" s="17"/>
      <c r="S995" s="17"/>
      <c r="T995" s="17"/>
      <c r="U995" s="17"/>
      <c r="V995" s="17"/>
    </row>
    <row r="996" ht="14.25" customHeight="1">
      <c r="C996" s="29"/>
      <c r="D996" s="30"/>
      <c r="E996" s="29"/>
      <c r="F996" s="4"/>
      <c r="G996" s="4"/>
      <c r="H996" s="4"/>
      <c r="I996" s="26"/>
      <c r="J996" s="26"/>
      <c r="K996" s="17"/>
      <c r="L996" s="17"/>
      <c r="M996" s="29"/>
      <c r="N996" s="29"/>
      <c r="O996" s="4"/>
      <c r="P996" s="4"/>
      <c r="Q996" s="4"/>
      <c r="R996" s="17"/>
      <c r="S996" s="17"/>
      <c r="T996" s="17"/>
      <c r="U996" s="17"/>
      <c r="V996" s="17"/>
    </row>
    <row r="997" ht="14.25" customHeight="1">
      <c r="C997" s="29"/>
      <c r="D997" s="30"/>
      <c r="E997" s="29"/>
      <c r="F997" s="4"/>
      <c r="G997" s="4"/>
      <c r="H997" s="4"/>
      <c r="I997" s="26"/>
      <c r="J997" s="26"/>
      <c r="K997" s="17"/>
      <c r="L997" s="17"/>
      <c r="M997" s="29"/>
      <c r="N997" s="29"/>
      <c r="O997" s="4"/>
      <c r="P997" s="4"/>
      <c r="Q997" s="4"/>
      <c r="R997" s="17"/>
      <c r="S997" s="17"/>
      <c r="T997" s="17"/>
      <c r="U997" s="17"/>
      <c r="V997" s="17"/>
    </row>
    <row r="998" ht="14.25" customHeight="1">
      <c r="C998" s="29"/>
      <c r="D998" s="30"/>
      <c r="E998" s="29"/>
      <c r="F998" s="4"/>
      <c r="G998" s="4"/>
      <c r="H998" s="4"/>
      <c r="I998" s="26"/>
      <c r="J998" s="26"/>
      <c r="K998" s="17"/>
      <c r="L998" s="17"/>
      <c r="M998" s="29"/>
      <c r="N998" s="29"/>
      <c r="O998" s="4"/>
      <c r="P998" s="4"/>
      <c r="Q998" s="4"/>
      <c r="R998" s="17"/>
      <c r="S998" s="17"/>
      <c r="T998" s="17"/>
      <c r="U998" s="17"/>
      <c r="V998" s="17"/>
    </row>
    <row r="999" ht="14.25" customHeight="1">
      <c r="C999" s="31"/>
      <c r="D999" s="30"/>
      <c r="E999" s="29"/>
      <c r="F999" s="32"/>
      <c r="G999" s="32"/>
      <c r="H999" s="32"/>
      <c r="M999" s="29"/>
      <c r="N999" s="29"/>
      <c r="O999" s="4"/>
      <c r="P999" s="4"/>
      <c r="Q999" s="4"/>
    </row>
    <row r="1000" ht="14.25" customHeight="1">
      <c r="C1000" s="31"/>
      <c r="D1000" s="30"/>
      <c r="E1000" s="29"/>
      <c r="F1000" s="32"/>
      <c r="G1000" s="32"/>
      <c r="H1000" s="32"/>
      <c r="M1000" s="29"/>
      <c r="N1000" s="29"/>
      <c r="O1000" s="4"/>
      <c r="P1000" s="4"/>
      <c r="Q1000" s="4"/>
    </row>
    <row r="1001" ht="14.25" customHeight="1">
      <c r="C1001" s="31"/>
      <c r="D1001" s="30"/>
      <c r="E1001" s="29"/>
      <c r="F1001" s="32"/>
      <c r="G1001" s="32"/>
      <c r="H1001" s="32"/>
      <c r="M1001" s="29"/>
      <c r="N1001" s="29"/>
      <c r="O1001" s="4"/>
      <c r="P1001" s="4"/>
      <c r="Q1001" s="4"/>
    </row>
    <row r="1002" ht="14.25" customHeight="1">
      <c r="C1002" s="31"/>
      <c r="D1002" s="30"/>
      <c r="E1002" s="29"/>
      <c r="F1002" s="32"/>
      <c r="G1002" s="32"/>
      <c r="H1002" s="32"/>
      <c r="M1002" s="29"/>
      <c r="N1002" s="29"/>
      <c r="O1002" s="4"/>
      <c r="P1002" s="4"/>
      <c r="Q1002" s="4"/>
    </row>
    <row r="1003" ht="14.25" customHeight="1">
      <c r="C1003" s="31"/>
      <c r="D1003" s="30"/>
      <c r="E1003" s="29"/>
      <c r="F1003" s="32"/>
      <c r="G1003" s="32"/>
      <c r="H1003" s="32"/>
      <c r="M1003" s="29"/>
      <c r="N1003" s="29"/>
      <c r="O1003" s="4"/>
      <c r="P1003" s="4"/>
      <c r="Q1003" s="4"/>
    </row>
    <row r="1004" ht="14.25" customHeight="1">
      <c r="C1004" s="31"/>
      <c r="D1004" s="30"/>
      <c r="E1004" s="29"/>
      <c r="F1004" s="32"/>
      <c r="G1004" s="32"/>
      <c r="H1004" s="32"/>
      <c r="M1004" s="29"/>
      <c r="N1004" s="29"/>
      <c r="O1004" s="4"/>
      <c r="P1004" s="4"/>
      <c r="Q1004" s="4"/>
    </row>
    <row r="1005" ht="14.25" customHeight="1">
      <c r="C1005" s="31"/>
      <c r="D1005" s="30"/>
      <c r="E1005" s="29"/>
      <c r="F1005" s="32"/>
      <c r="G1005" s="32"/>
      <c r="H1005" s="32"/>
      <c r="M1005" s="29"/>
      <c r="N1005" s="29"/>
      <c r="O1005" s="4"/>
      <c r="P1005" s="4"/>
      <c r="Q1005" s="4"/>
    </row>
    <row r="1006" ht="14.25" customHeight="1">
      <c r="C1006" s="31"/>
      <c r="D1006" s="30"/>
      <c r="E1006" s="29"/>
      <c r="F1006" s="32"/>
      <c r="G1006" s="32"/>
      <c r="H1006" s="32"/>
      <c r="M1006" s="29"/>
      <c r="N1006" s="29"/>
      <c r="O1006" s="4"/>
      <c r="P1006" s="4"/>
      <c r="Q1006" s="4"/>
    </row>
    <row r="1007" ht="14.25" customHeight="1">
      <c r="C1007" s="31"/>
      <c r="D1007" s="30"/>
      <c r="E1007" s="29"/>
      <c r="F1007" s="32"/>
      <c r="G1007" s="32"/>
      <c r="H1007" s="32"/>
      <c r="M1007" s="29"/>
      <c r="N1007" s="29"/>
      <c r="O1007" s="4"/>
      <c r="P1007" s="4"/>
      <c r="Q1007" s="4"/>
    </row>
    <row r="1008" ht="14.25" customHeight="1">
      <c r="C1008" s="31"/>
      <c r="D1008" s="30"/>
      <c r="E1008" s="29"/>
      <c r="F1008" s="32"/>
      <c r="G1008" s="32"/>
      <c r="H1008" s="32"/>
      <c r="M1008" s="29"/>
      <c r="N1008" s="29"/>
      <c r="O1008" s="4"/>
      <c r="P1008" s="4"/>
      <c r="Q1008" s="4"/>
    </row>
    <row r="1009" ht="14.25" customHeight="1">
      <c r="C1009" s="31"/>
      <c r="D1009" s="30"/>
      <c r="E1009" s="29"/>
      <c r="F1009" s="32"/>
      <c r="G1009" s="32"/>
      <c r="H1009" s="32"/>
      <c r="M1009" s="29"/>
      <c r="N1009" s="29"/>
      <c r="O1009" s="4"/>
      <c r="P1009" s="4"/>
      <c r="Q1009" s="4"/>
    </row>
    <row r="1010" ht="14.25" customHeight="1">
      <c r="C1010" s="31"/>
      <c r="D1010" s="30"/>
      <c r="E1010" s="29"/>
      <c r="F1010" s="32"/>
      <c r="G1010" s="32"/>
      <c r="H1010" s="32"/>
      <c r="M1010" s="29"/>
      <c r="N1010" s="29"/>
      <c r="O1010" s="4"/>
      <c r="P1010" s="4"/>
      <c r="Q1010" s="4"/>
    </row>
    <row r="1011" ht="14.25" customHeight="1">
      <c r="C1011" s="31"/>
      <c r="D1011" s="30"/>
      <c r="E1011" s="29"/>
      <c r="F1011" s="32"/>
      <c r="G1011" s="32"/>
      <c r="H1011" s="32"/>
      <c r="M1011" s="29"/>
      <c r="N1011" s="29"/>
      <c r="O1011" s="4"/>
      <c r="P1011" s="4"/>
      <c r="Q1011" s="4"/>
    </row>
    <row r="1012" ht="14.25" customHeight="1">
      <c r="C1012" s="31"/>
      <c r="D1012" s="30"/>
      <c r="E1012" s="29"/>
      <c r="F1012" s="32"/>
      <c r="G1012" s="32"/>
      <c r="H1012" s="32"/>
      <c r="M1012" s="29"/>
      <c r="N1012" s="29"/>
      <c r="O1012" s="4"/>
      <c r="P1012" s="4"/>
      <c r="Q1012" s="4"/>
    </row>
    <row r="1013" ht="14.25" customHeight="1">
      <c r="C1013" s="31"/>
      <c r="D1013" s="30"/>
      <c r="E1013" s="29"/>
      <c r="F1013" s="32"/>
      <c r="G1013" s="32"/>
      <c r="H1013" s="32"/>
      <c r="M1013" s="29"/>
      <c r="N1013" s="29"/>
      <c r="O1013" s="4"/>
      <c r="P1013" s="4"/>
      <c r="Q1013" s="4"/>
    </row>
    <row r="1014" ht="14.25" customHeight="1">
      <c r="C1014" s="31"/>
      <c r="D1014" s="30"/>
      <c r="E1014" s="29"/>
      <c r="F1014" s="32"/>
      <c r="G1014" s="32"/>
      <c r="H1014" s="32"/>
      <c r="M1014" s="29"/>
      <c r="N1014" s="29"/>
      <c r="O1014" s="4"/>
      <c r="P1014" s="4"/>
      <c r="Q1014" s="4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1.29"/>
    <col customWidth="1" min="3" max="3" width="17.86"/>
    <col customWidth="1" min="4" max="4" width="13.43"/>
    <col customWidth="1" min="5" max="5" width="15.14"/>
    <col customWidth="1" min="6" max="6" width="19.29"/>
    <col customWidth="1" min="7" max="7" width="18.29"/>
    <col customWidth="1" min="8" max="8" width="24.29"/>
    <col customWidth="1" min="9" max="9" width="18.71"/>
    <col customWidth="1" min="10" max="10" width="18.0"/>
    <col customWidth="1" min="11" max="11" width="19.14"/>
    <col customWidth="1" min="12" max="15" width="8.86"/>
    <col customWidth="1" min="16" max="16" width="18.29"/>
    <col customWidth="1" min="17" max="25" width="8.86"/>
  </cols>
  <sheetData>
    <row r="1" ht="14.25" customHeight="1">
      <c r="A1" s="33" t="s">
        <v>359</v>
      </c>
      <c r="B1" s="33" t="s">
        <v>1</v>
      </c>
      <c r="C1" s="34" t="s">
        <v>360</v>
      </c>
      <c r="D1" s="34" t="s">
        <v>361</v>
      </c>
      <c r="E1" s="34" t="s">
        <v>362</v>
      </c>
      <c r="F1" s="34" t="s">
        <v>363</v>
      </c>
      <c r="G1" s="35" t="s">
        <v>364</v>
      </c>
      <c r="H1" s="35" t="s">
        <v>365</v>
      </c>
      <c r="I1" s="34" t="s">
        <v>366</v>
      </c>
      <c r="J1" s="34" t="s">
        <v>367</v>
      </c>
      <c r="K1" s="34" t="s">
        <v>368</v>
      </c>
      <c r="W1" s="7"/>
      <c r="X1" s="7"/>
      <c r="Y1" s="7"/>
    </row>
    <row r="2" ht="14.25" customHeight="1">
      <c r="A2" s="36">
        <v>10101.0</v>
      </c>
      <c r="B2" s="36" t="s">
        <v>11</v>
      </c>
      <c r="C2" s="37">
        <v>13.039999961853027</v>
      </c>
      <c r="D2" s="37">
        <v>34.31999969482422</v>
      </c>
      <c r="E2" s="37">
        <v>17.0</v>
      </c>
      <c r="F2" s="37">
        <v>3.630000114440918</v>
      </c>
      <c r="G2" s="37">
        <v>4.78000020980835</v>
      </c>
      <c r="H2" s="37">
        <v>11.270000457763672</v>
      </c>
      <c r="I2" s="37">
        <v>8.680000305175781</v>
      </c>
      <c r="J2" s="37">
        <v>6.420000076293945</v>
      </c>
      <c r="K2" s="37">
        <v>21.139999389648438</v>
      </c>
    </row>
    <row r="3" ht="14.25" customHeight="1">
      <c r="A3" s="36">
        <v>10102.0</v>
      </c>
      <c r="B3" s="36" t="s">
        <v>13</v>
      </c>
      <c r="C3" s="37">
        <v>24.06999969482422</v>
      </c>
      <c r="D3" s="37">
        <v>28.200000762939453</v>
      </c>
      <c r="E3" s="37">
        <v>36.150001525878906</v>
      </c>
      <c r="F3" s="37">
        <v>4.28000020980835</v>
      </c>
      <c r="G3" s="37">
        <v>5.980000019073486</v>
      </c>
      <c r="H3" s="37">
        <v>13.720000267028809</v>
      </c>
      <c r="I3" s="37">
        <v>22.059999465942383</v>
      </c>
      <c r="J3" s="37">
        <v>20.200000762939453</v>
      </c>
      <c r="K3" s="37">
        <v>40.720001220703125</v>
      </c>
    </row>
    <row r="4" ht="14.25" customHeight="1">
      <c r="A4" s="36">
        <v>10103.0</v>
      </c>
      <c r="B4" s="36" t="s">
        <v>15</v>
      </c>
      <c r="C4" s="37">
        <v>37.20000076293945</v>
      </c>
      <c r="D4" s="37">
        <v>64.4000015258789</v>
      </c>
      <c r="E4" s="37">
        <v>94.0199966430664</v>
      </c>
      <c r="F4" s="37">
        <v>27.65999984741211</v>
      </c>
      <c r="G4" s="37">
        <v>4.940000057220459</v>
      </c>
      <c r="H4" s="37">
        <v>27.5</v>
      </c>
      <c r="I4" s="37">
        <v>58.81999969482422</v>
      </c>
      <c r="J4" s="37">
        <v>86.30999755859375</v>
      </c>
      <c r="K4" s="37">
        <v>94.8499984741211</v>
      </c>
    </row>
    <row r="5" ht="14.25" customHeight="1">
      <c r="A5" s="36">
        <v>10201.0</v>
      </c>
      <c r="B5" s="36" t="s">
        <v>17</v>
      </c>
      <c r="C5" s="37">
        <v>44.97999954223633</v>
      </c>
      <c r="D5" s="37">
        <v>53.040000915527344</v>
      </c>
      <c r="E5" s="37">
        <v>89.86000061035156</v>
      </c>
      <c r="F5" s="37">
        <v>25.209999084472656</v>
      </c>
      <c r="G5" s="37">
        <v>6.550000190734863</v>
      </c>
      <c r="H5" s="37">
        <v>34.40999984741211</v>
      </c>
      <c r="I5" s="37">
        <v>56.630001068115234</v>
      </c>
      <c r="J5" s="37">
        <v>83.69000244140625</v>
      </c>
      <c r="K5" s="37">
        <v>80.94999694824219</v>
      </c>
    </row>
    <row r="6" ht="14.25" customHeight="1">
      <c r="A6" s="36">
        <v>10202.0</v>
      </c>
      <c r="B6" s="36" t="s">
        <v>19</v>
      </c>
      <c r="C6" s="37">
        <v>46.83000183105469</v>
      </c>
      <c r="D6" s="37">
        <v>62.77000045776367</v>
      </c>
      <c r="E6" s="37">
        <v>77.13999938964844</v>
      </c>
      <c r="F6" s="37">
        <v>14.279999732971191</v>
      </c>
      <c r="G6" s="37">
        <v>7.199999809265137</v>
      </c>
      <c r="H6" s="37">
        <v>28.239999771118164</v>
      </c>
      <c r="I6" s="37">
        <v>44.63999938964844</v>
      </c>
      <c r="J6" s="37">
        <v>68.06999969482422</v>
      </c>
      <c r="K6" s="37">
        <v>81.31999969482422</v>
      </c>
    </row>
    <row r="7" ht="14.25" customHeight="1">
      <c r="A7" s="36">
        <v>10301.0</v>
      </c>
      <c r="B7" s="36" t="s">
        <v>21</v>
      </c>
      <c r="C7" s="37">
        <v>32.47999954223633</v>
      </c>
      <c r="D7" s="37">
        <v>47.47999954223633</v>
      </c>
      <c r="E7" s="37">
        <v>62.2400016784668</v>
      </c>
      <c r="F7" s="37">
        <v>9.869999885559082</v>
      </c>
      <c r="G7" s="37">
        <v>7.349999904632568</v>
      </c>
      <c r="H7" s="37">
        <v>28.25</v>
      </c>
      <c r="I7" s="37">
        <v>21.739999771118164</v>
      </c>
      <c r="J7" s="37">
        <v>47.619998931884766</v>
      </c>
      <c r="K7" s="37">
        <v>65.26000213623047</v>
      </c>
    </row>
    <row r="8" ht="14.25" customHeight="1">
      <c r="A8" s="36">
        <v>10302.0</v>
      </c>
      <c r="B8" s="36" t="s">
        <v>23</v>
      </c>
      <c r="C8" s="37">
        <v>48.91999816894531</v>
      </c>
      <c r="D8" s="37">
        <v>54.61000061035156</v>
      </c>
      <c r="E8" s="37">
        <v>76.9000015258789</v>
      </c>
      <c r="F8" s="37">
        <v>30.530000686645508</v>
      </c>
      <c r="G8" s="37">
        <v>8.069999694824219</v>
      </c>
      <c r="H8" s="37">
        <v>33.290000915527344</v>
      </c>
      <c r="I8" s="37">
        <v>38.400001525878906</v>
      </c>
      <c r="J8" s="37">
        <v>63.380001068115234</v>
      </c>
      <c r="K8" s="37">
        <v>80.44999694824219</v>
      </c>
    </row>
    <row r="9" ht="14.25" customHeight="1">
      <c r="A9" s="36">
        <v>10303.0</v>
      </c>
      <c r="B9" s="36" t="s">
        <v>25</v>
      </c>
      <c r="C9" s="37">
        <v>31.709999084472656</v>
      </c>
      <c r="D9" s="37">
        <v>51.939998626708984</v>
      </c>
      <c r="E9" s="37">
        <v>57.209999084472656</v>
      </c>
      <c r="F9" s="37">
        <v>11.619999885559082</v>
      </c>
      <c r="G9" s="37">
        <v>5.119999885559082</v>
      </c>
      <c r="H9" s="37">
        <v>22.190000534057617</v>
      </c>
      <c r="I9" s="37">
        <v>52.70000076293945</v>
      </c>
      <c r="J9" s="37">
        <v>44.34000015258789</v>
      </c>
      <c r="K9" s="37">
        <v>68.95999908447266</v>
      </c>
    </row>
    <row r="10" ht="14.25" customHeight="1">
      <c r="A10" s="36">
        <v>10304.0</v>
      </c>
      <c r="B10" s="36" t="s">
        <v>27</v>
      </c>
      <c r="C10" s="37">
        <v>49.369998931884766</v>
      </c>
      <c r="D10" s="37">
        <v>43.52000045776367</v>
      </c>
      <c r="E10" s="37">
        <v>59.5</v>
      </c>
      <c r="F10" s="37">
        <v>18.56999969482422</v>
      </c>
      <c r="G10" s="37">
        <v>5.769999980926514</v>
      </c>
      <c r="H10" s="37">
        <v>33.709999084472656</v>
      </c>
      <c r="I10" s="37">
        <v>21.690000534057617</v>
      </c>
      <c r="J10" s="37">
        <v>43.689998626708984</v>
      </c>
      <c r="K10" s="37">
        <v>44.63999938964844</v>
      </c>
    </row>
    <row r="11" ht="14.25" customHeight="1">
      <c r="A11" s="36">
        <v>10401.0</v>
      </c>
      <c r="B11" s="36" t="s">
        <v>29</v>
      </c>
      <c r="C11" s="37">
        <v>25.920000076293945</v>
      </c>
      <c r="D11" s="37">
        <v>43.22999954223633</v>
      </c>
      <c r="E11" s="37">
        <v>60.709999084472656</v>
      </c>
      <c r="F11" s="37">
        <v>4.039999961853027</v>
      </c>
      <c r="G11" s="37">
        <v>6.090000152587891</v>
      </c>
      <c r="H11" s="37">
        <v>26.510000228881836</v>
      </c>
      <c r="I11" s="37">
        <v>35.2400016784668</v>
      </c>
      <c r="J11" s="37">
        <v>51.52000045776367</v>
      </c>
      <c r="K11" s="37">
        <v>64.88999938964844</v>
      </c>
    </row>
    <row r="12" ht="14.25" customHeight="1">
      <c r="A12" s="36">
        <v>10402.0</v>
      </c>
      <c r="B12" s="36" t="s">
        <v>31</v>
      </c>
      <c r="C12" s="37">
        <v>34.70000076293945</v>
      </c>
      <c r="D12" s="37">
        <v>53.720001220703125</v>
      </c>
      <c r="E12" s="37">
        <v>62.380001068115234</v>
      </c>
      <c r="F12" s="37">
        <v>9.859999656677246</v>
      </c>
      <c r="G12" s="37">
        <v>8.640000343322754</v>
      </c>
      <c r="H12" s="37">
        <v>30.309999465942383</v>
      </c>
      <c r="I12" s="37">
        <v>13.779999732971191</v>
      </c>
      <c r="J12" s="37">
        <v>51.4900016784668</v>
      </c>
      <c r="K12" s="37">
        <v>58.59000015258789</v>
      </c>
    </row>
    <row r="13" ht="14.25" customHeight="1">
      <c r="A13" s="36">
        <v>10403.0</v>
      </c>
      <c r="B13" s="36" t="s">
        <v>33</v>
      </c>
      <c r="C13" s="37">
        <v>38.0099983215332</v>
      </c>
      <c r="D13" s="37">
        <v>40.040000915527344</v>
      </c>
      <c r="E13" s="37">
        <v>71.2300033569336</v>
      </c>
      <c r="F13" s="37">
        <v>11.1899995803833</v>
      </c>
      <c r="G13" s="37">
        <v>6.119999885559082</v>
      </c>
      <c r="H13" s="37">
        <v>28.1299991607666</v>
      </c>
      <c r="I13" s="37">
        <v>36.15999984741211</v>
      </c>
      <c r="J13" s="37">
        <v>63.5099983215332</v>
      </c>
      <c r="K13" s="37">
        <v>70.01000213623047</v>
      </c>
    </row>
    <row r="14" ht="14.25" customHeight="1">
      <c r="A14" s="36">
        <v>10404.0</v>
      </c>
      <c r="B14" s="36" t="s">
        <v>34</v>
      </c>
      <c r="C14" s="37">
        <v>28.510000228881836</v>
      </c>
      <c r="D14" s="37">
        <v>34.77000045776367</v>
      </c>
      <c r="E14" s="37">
        <v>62.27000045776367</v>
      </c>
      <c r="F14" s="37">
        <v>5.159999847412109</v>
      </c>
      <c r="G14" s="37">
        <v>5.840000152587891</v>
      </c>
      <c r="H14" s="37">
        <v>21.459999084472656</v>
      </c>
      <c r="I14" s="37">
        <v>14.8100004196167</v>
      </c>
      <c r="J14" s="37">
        <v>50.189998626708984</v>
      </c>
      <c r="K14" s="37">
        <v>71.43000030517578</v>
      </c>
    </row>
    <row r="15" ht="14.25" customHeight="1">
      <c r="A15" s="36">
        <v>10405.0</v>
      </c>
      <c r="B15" s="36" t="s">
        <v>35</v>
      </c>
      <c r="C15" s="37">
        <v>33.56999969482422</v>
      </c>
      <c r="D15" s="37">
        <v>39.7599983215332</v>
      </c>
      <c r="E15" s="37">
        <v>71.44999694824219</v>
      </c>
      <c r="F15" s="37">
        <v>6.199999809265137</v>
      </c>
      <c r="G15" s="37">
        <v>5.440000057220459</v>
      </c>
      <c r="H15" s="37">
        <v>20.639999389648438</v>
      </c>
      <c r="I15" s="37">
        <v>37.13999938964844</v>
      </c>
      <c r="J15" s="37">
        <v>64.45999908447266</v>
      </c>
      <c r="K15" s="37">
        <v>58.959999084472656</v>
      </c>
    </row>
    <row r="16" ht="14.25" customHeight="1">
      <c r="A16" s="36">
        <v>10501.0</v>
      </c>
      <c r="B16" s="36" t="s">
        <v>36</v>
      </c>
      <c r="C16" s="37">
        <v>22.190000534057617</v>
      </c>
      <c r="D16" s="37">
        <v>40.54999923706055</v>
      </c>
      <c r="E16" s="37">
        <v>47.029998779296875</v>
      </c>
      <c r="F16" s="37">
        <v>4.389999866485596</v>
      </c>
      <c r="G16" s="37">
        <v>6.369999885559082</v>
      </c>
      <c r="H16" s="37">
        <v>18.700000762939453</v>
      </c>
      <c r="I16" s="37">
        <v>21.209999084472656</v>
      </c>
      <c r="J16" s="37">
        <v>31.239999771118164</v>
      </c>
      <c r="K16" s="37">
        <v>50.150001525878906</v>
      </c>
    </row>
    <row r="17" ht="14.25" customHeight="1">
      <c r="A17" s="36">
        <v>10502.0</v>
      </c>
      <c r="B17" s="36" t="s">
        <v>38</v>
      </c>
      <c r="C17" s="37">
        <v>27.399999618530273</v>
      </c>
      <c r="D17" s="37">
        <v>44.16999816894531</v>
      </c>
      <c r="E17" s="37">
        <v>74.58000183105469</v>
      </c>
      <c r="F17" s="37">
        <v>8.930000305175781</v>
      </c>
      <c r="G17" s="37">
        <v>7.440000057220459</v>
      </c>
      <c r="H17" s="37">
        <v>22.040000915527344</v>
      </c>
      <c r="I17" s="37">
        <v>35.9900016784668</v>
      </c>
      <c r="J17" s="37">
        <v>51.900001525878906</v>
      </c>
      <c r="K17" s="37">
        <v>71.2300033569336</v>
      </c>
    </row>
    <row r="18" ht="14.25" customHeight="1">
      <c r="A18" s="36">
        <v>10601.0</v>
      </c>
      <c r="B18" s="36" t="s">
        <v>40</v>
      </c>
      <c r="C18" s="37">
        <v>46.63999938964844</v>
      </c>
      <c r="D18" s="37">
        <v>38.11000061035156</v>
      </c>
      <c r="E18" s="37">
        <v>63.5</v>
      </c>
      <c r="F18" s="37">
        <v>16.81999969482422</v>
      </c>
      <c r="G18" s="37">
        <v>5.119999885559082</v>
      </c>
      <c r="H18" s="37">
        <v>25.6299991607666</v>
      </c>
      <c r="I18" s="37">
        <v>33.56999969482422</v>
      </c>
      <c r="J18" s="37">
        <v>48.22999954223633</v>
      </c>
      <c r="K18" s="37">
        <v>76.16000366210938</v>
      </c>
    </row>
    <row r="19" ht="14.25" customHeight="1">
      <c r="A19" s="36">
        <v>10602.0</v>
      </c>
      <c r="B19" s="36" t="s">
        <v>42</v>
      </c>
      <c r="C19" s="37">
        <v>34.58000183105469</v>
      </c>
      <c r="D19" s="37">
        <v>40.560001373291016</v>
      </c>
      <c r="E19" s="37">
        <v>60.790000915527344</v>
      </c>
      <c r="F19" s="37">
        <v>4.659999847412109</v>
      </c>
      <c r="G19" s="37">
        <v>3.700000047683716</v>
      </c>
      <c r="H19" s="37">
        <v>19.200000762939453</v>
      </c>
      <c r="I19" s="37">
        <v>49.459999084472656</v>
      </c>
      <c r="J19" s="37">
        <v>47.18000030517578</v>
      </c>
      <c r="K19" s="37">
        <v>72.20999908447266</v>
      </c>
    </row>
    <row r="20" ht="14.25" customHeight="1">
      <c r="A20" s="36">
        <v>10701.0</v>
      </c>
      <c r="B20" s="36" t="s">
        <v>44</v>
      </c>
      <c r="C20" s="37">
        <v>21.520000457763672</v>
      </c>
      <c r="D20" s="37">
        <v>23.350000381469727</v>
      </c>
      <c r="E20" s="37">
        <v>44.029998779296875</v>
      </c>
      <c r="F20" s="37">
        <v>10.25</v>
      </c>
      <c r="G20" s="37">
        <v>5.730000019073486</v>
      </c>
      <c r="H20" s="37">
        <v>24.969999313354492</v>
      </c>
      <c r="I20" s="37">
        <v>17.520000457763672</v>
      </c>
      <c r="J20" s="37">
        <v>28.15999984741211</v>
      </c>
      <c r="K20" s="37">
        <v>56.68000030517578</v>
      </c>
    </row>
    <row r="21" ht="14.25" customHeight="1">
      <c r="A21" s="36">
        <v>10702.0</v>
      </c>
      <c r="B21" s="36" t="s">
        <v>45</v>
      </c>
      <c r="C21" s="37">
        <v>29.510000228881836</v>
      </c>
      <c r="D21" s="37">
        <v>34.20000076293945</v>
      </c>
      <c r="E21" s="37">
        <v>72.16000366210938</v>
      </c>
      <c r="F21" s="37">
        <v>23.670000076293945</v>
      </c>
      <c r="G21" s="37">
        <v>6.090000152587891</v>
      </c>
      <c r="H21" s="37">
        <v>29.90999984741211</v>
      </c>
      <c r="I21" s="37">
        <v>55.66999816894531</v>
      </c>
      <c r="J21" s="37">
        <v>57.209999084472656</v>
      </c>
      <c r="K21" s="37">
        <v>79.16999816894531</v>
      </c>
    </row>
    <row r="22" ht="14.25" customHeight="1">
      <c r="A22" s="36">
        <v>10703.0</v>
      </c>
      <c r="B22" s="36" t="s">
        <v>47</v>
      </c>
      <c r="C22" s="37">
        <v>34.2599983215332</v>
      </c>
      <c r="D22" s="37">
        <v>42.689998626708984</v>
      </c>
      <c r="E22" s="37">
        <v>78.4800033569336</v>
      </c>
      <c r="F22" s="37">
        <v>27.690000534057617</v>
      </c>
      <c r="G22" s="37">
        <v>8.260000228881836</v>
      </c>
      <c r="H22" s="37">
        <v>42.18000030517578</v>
      </c>
      <c r="I22" s="37">
        <v>53.560001373291016</v>
      </c>
      <c r="J22" s="37">
        <v>68.44000244140625</v>
      </c>
      <c r="K22" s="37">
        <v>83.58999633789062</v>
      </c>
    </row>
    <row r="23" ht="14.25" customHeight="1">
      <c r="A23" s="36">
        <v>10704.0</v>
      </c>
      <c r="B23" s="36" t="s">
        <v>48</v>
      </c>
      <c r="C23" s="37">
        <v>29.950000762939453</v>
      </c>
      <c r="D23" s="37">
        <v>33.0</v>
      </c>
      <c r="E23" s="37">
        <v>72.30999755859375</v>
      </c>
      <c r="F23" s="37">
        <v>21.829999923706055</v>
      </c>
      <c r="G23" s="37">
        <v>7.829999923706055</v>
      </c>
      <c r="H23" s="37">
        <v>41.58000183105469</v>
      </c>
      <c r="I23" s="37">
        <v>48.84000015258789</v>
      </c>
      <c r="J23" s="37">
        <v>60.58000183105469</v>
      </c>
      <c r="K23" s="37">
        <v>79.04000091552734</v>
      </c>
    </row>
    <row r="24" ht="14.25" customHeight="1">
      <c r="A24" s="36">
        <v>10801.0</v>
      </c>
      <c r="B24" s="36" t="s">
        <v>49</v>
      </c>
      <c r="C24" s="37">
        <v>28.0</v>
      </c>
      <c r="D24" s="37">
        <v>48.349998474121094</v>
      </c>
      <c r="E24" s="37">
        <v>52.68000030517578</v>
      </c>
      <c r="F24" s="37">
        <v>10.420000076293945</v>
      </c>
      <c r="G24" s="37">
        <v>5.340000152587891</v>
      </c>
      <c r="H24" s="37">
        <v>20.969999313354492</v>
      </c>
      <c r="I24" s="37">
        <v>22.1299991607666</v>
      </c>
      <c r="J24" s="37">
        <v>39.0</v>
      </c>
      <c r="K24" s="37">
        <v>56.279998779296875</v>
      </c>
    </row>
    <row r="25" ht="14.25" customHeight="1">
      <c r="A25" s="36">
        <v>10901.0</v>
      </c>
      <c r="B25" s="36" t="s">
        <v>50</v>
      </c>
      <c r="C25" s="37">
        <v>19.84000015258789</v>
      </c>
      <c r="D25" s="37">
        <v>28.670000076293945</v>
      </c>
      <c r="E25" s="37">
        <v>59.560001373291016</v>
      </c>
      <c r="F25" s="37">
        <v>6.940000057220459</v>
      </c>
      <c r="G25" s="37">
        <v>5.880000114440918</v>
      </c>
      <c r="H25" s="37">
        <v>25.68000030517578</v>
      </c>
      <c r="I25" s="37">
        <v>36.20000076293945</v>
      </c>
      <c r="J25" s="37">
        <v>52.619998931884766</v>
      </c>
      <c r="K25" s="37">
        <v>67.91999816894531</v>
      </c>
    </row>
    <row r="26" ht="14.25" customHeight="1">
      <c r="A26" s="36">
        <v>10902.0</v>
      </c>
      <c r="B26" s="36" t="s">
        <v>51</v>
      </c>
      <c r="C26" s="37">
        <v>29.420000076293945</v>
      </c>
      <c r="D26" s="37">
        <v>42.15999984741211</v>
      </c>
      <c r="E26" s="37">
        <v>66.2300033569336</v>
      </c>
      <c r="F26" s="37">
        <v>20.739999771118164</v>
      </c>
      <c r="G26" s="37">
        <v>7.21999979019165</v>
      </c>
      <c r="H26" s="37">
        <v>37.650001525878906</v>
      </c>
      <c r="I26" s="37">
        <v>43.439998626708984</v>
      </c>
      <c r="J26" s="37">
        <v>43.27000045776367</v>
      </c>
      <c r="K26" s="37">
        <v>67.0999984741211</v>
      </c>
    </row>
    <row r="27" ht="14.25" customHeight="1">
      <c r="A27" s="36">
        <v>10903.0</v>
      </c>
      <c r="B27" s="36" t="s">
        <v>52</v>
      </c>
      <c r="C27" s="37">
        <v>23.469999313354492</v>
      </c>
      <c r="D27" s="37">
        <v>28.3700008392334</v>
      </c>
      <c r="E27" s="37">
        <v>59.61000061035156</v>
      </c>
      <c r="F27" s="37">
        <v>7.110000133514404</v>
      </c>
      <c r="G27" s="37">
        <v>6.920000076293945</v>
      </c>
      <c r="H27" s="37">
        <v>25.3700008392334</v>
      </c>
      <c r="I27" s="37">
        <v>25.479999542236328</v>
      </c>
      <c r="J27" s="37">
        <v>35.529998779296875</v>
      </c>
      <c r="K27" s="37">
        <v>46.08000183105469</v>
      </c>
    </row>
    <row r="28" ht="14.25" customHeight="1">
      <c r="A28" s="36">
        <v>11001.0</v>
      </c>
      <c r="B28" s="36" t="s">
        <v>53</v>
      </c>
      <c r="C28" s="37">
        <v>22.31999969482422</v>
      </c>
      <c r="D28" s="37">
        <v>40.959999084472656</v>
      </c>
      <c r="E28" s="37">
        <v>67.9000015258789</v>
      </c>
      <c r="F28" s="37">
        <v>10.890000343322754</v>
      </c>
      <c r="G28" s="37">
        <v>6.480000019073486</v>
      </c>
      <c r="H28" s="37">
        <v>21.899999618530273</v>
      </c>
      <c r="I28" s="37">
        <v>15.529999732971191</v>
      </c>
      <c r="J28" s="37">
        <v>42.189998626708984</v>
      </c>
      <c r="K28" s="37">
        <v>55.04999923706055</v>
      </c>
    </row>
    <row r="29" ht="14.25" customHeight="1">
      <c r="A29" s="36">
        <v>11002.0</v>
      </c>
      <c r="B29" s="36" t="s">
        <v>54</v>
      </c>
      <c r="C29" s="37">
        <v>13.869999885559082</v>
      </c>
      <c r="D29" s="37">
        <v>50.560001373291016</v>
      </c>
      <c r="E29" s="37">
        <v>67.88999938964844</v>
      </c>
      <c r="F29" s="37">
        <v>14.680000305175781</v>
      </c>
      <c r="G29" s="37">
        <v>6.929999828338623</v>
      </c>
      <c r="H29" s="37">
        <v>21.040000915527344</v>
      </c>
      <c r="I29" s="37">
        <v>20.959999084472656</v>
      </c>
      <c r="J29" s="37">
        <v>57.470001220703125</v>
      </c>
      <c r="K29" s="37">
        <v>56.2400016784668</v>
      </c>
    </row>
    <row r="30" ht="14.25" customHeight="1">
      <c r="A30" s="36">
        <v>11003.0</v>
      </c>
      <c r="B30" s="36" t="s">
        <v>55</v>
      </c>
      <c r="C30" s="37">
        <v>12.920000076293945</v>
      </c>
      <c r="D30" s="37">
        <v>40.220001220703125</v>
      </c>
      <c r="E30" s="37">
        <v>52.04999923706055</v>
      </c>
      <c r="F30" s="37">
        <v>7.590000152587891</v>
      </c>
      <c r="G30" s="37">
        <v>7.449999809265137</v>
      </c>
      <c r="H30" s="37">
        <v>21.010000228881836</v>
      </c>
      <c r="I30" s="37">
        <v>43.9900016784668</v>
      </c>
      <c r="J30" s="37">
        <v>39.970001220703125</v>
      </c>
      <c r="K30" s="37">
        <v>30.709999084472656</v>
      </c>
    </row>
    <row r="31" ht="14.25" customHeight="1">
      <c r="A31" s="36">
        <v>20101.0</v>
      </c>
      <c r="B31" s="36" t="s">
        <v>56</v>
      </c>
      <c r="C31" s="37">
        <v>4.820000171661377</v>
      </c>
      <c r="D31" s="37">
        <v>19.860000610351562</v>
      </c>
      <c r="E31" s="37">
        <v>8.819999694824219</v>
      </c>
      <c r="F31" s="37">
        <v>1.9299999475479126</v>
      </c>
      <c r="G31" s="37">
        <v>2.5999999046325684</v>
      </c>
      <c r="H31" s="37">
        <v>7.349999904632568</v>
      </c>
      <c r="I31" s="37">
        <v>4.570000171661377</v>
      </c>
      <c r="J31" s="37">
        <v>1.1399999856948853</v>
      </c>
      <c r="K31" s="37">
        <v>8.989999771118164</v>
      </c>
    </row>
    <row r="32" ht="14.25" customHeight="1">
      <c r="A32" s="36">
        <v>20102.0</v>
      </c>
      <c r="B32" s="36" t="s">
        <v>57</v>
      </c>
      <c r="C32" s="37">
        <v>18.459999084472656</v>
      </c>
      <c r="D32" s="37">
        <v>29.75</v>
      </c>
      <c r="E32" s="37">
        <v>37.84000015258789</v>
      </c>
      <c r="F32" s="37">
        <v>29.209999084472656</v>
      </c>
      <c r="G32" s="37">
        <v>7.139999866485596</v>
      </c>
      <c r="H32" s="37">
        <v>21.579999923706055</v>
      </c>
      <c r="I32" s="37">
        <v>32.72999954223633</v>
      </c>
      <c r="J32" s="37">
        <v>14.579999923706055</v>
      </c>
      <c r="K32" s="37">
        <v>78.69999694824219</v>
      </c>
    </row>
    <row r="33" ht="14.25" customHeight="1">
      <c r="A33" s="36">
        <v>20103.0</v>
      </c>
      <c r="B33" s="36" t="s">
        <v>58</v>
      </c>
      <c r="C33" s="37">
        <v>14.229999542236328</v>
      </c>
      <c r="D33" s="37">
        <v>21.81999969482422</v>
      </c>
      <c r="E33" s="37">
        <v>34.11000061035156</v>
      </c>
      <c r="F33" s="37">
        <v>14.850000381469727</v>
      </c>
      <c r="G33" s="37">
        <v>4.329999923706055</v>
      </c>
      <c r="H33" s="37">
        <v>12.09000015258789</v>
      </c>
      <c r="I33" s="37">
        <v>45.02000045776367</v>
      </c>
      <c r="J33" s="37">
        <v>12.649999618530273</v>
      </c>
      <c r="K33" s="37">
        <v>56.97999954223633</v>
      </c>
    </row>
    <row r="34" ht="14.25" customHeight="1">
      <c r="A34" s="36">
        <v>20104.0</v>
      </c>
      <c r="B34" s="36" t="s">
        <v>59</v>
      </c>
      <c r="C34" s="37">
        <v>10.59000015258789</v>
      </c>
      <c r="D34" s="37">
        <v>22.969999313354492</v>
      </c>
      <c r="E34" s="37">
        <v>32.43000030517578</v>
      </c>
      <c r="F34" s="37">
        <v>12.3100004196167</v>
      </c>
      <c r="G34" s="37">
        <v>3.9600000381469727</v>
      </c>
      <c r="H34" s="37">
        <v>11.210000038146973</v>
      </c>
      <c r="I34" s="37">
        <v>54.70000076293945</v>
      </c>
      <c r="J34" s="37">
        <v>15.649999618530273</v>
      </c>
      <c r="K34" s="37">
        <v>91.7300033569336</v>
      </c>
    </row>
    <row r="35" ht="14.25" customHeight="1">
      <c r="A35" s="36">
        <v>20105.0</v>
      </c>
      <c r="B35" s="36" t="s">
        <v>60</v>
      </c>
      <c r="C35" s="37">
        <v>6.860000133514404</v>
      </c>
      <c r="D35" s="37">
        <v>30.15999984741211</v>
      </c>
      <c r="E35" s="37">
        <v>17.1200008392334</v>
      </c>
      <c r="F35" s="37">
        <v>8.210000038146973</v>
      </c>
      <c r="G35" s="37">
        <v>3.559999942779541</v>
      </c>
      <c r="H35" s="37">
        <v>10.130000114440918</v>
      </c>
      <c r="I35" s="37">
        <v>4.360000133514404</v>
      </c>
      <c r="J35" s="37">
        <v>5.480000019073486</v>
      </c>
      <c r="K35" s="37">
        <v>32.540000915527344</v>
      </c>
    </row>
    <row r="36" ht="14.25" customHeight="1">
      <c r="A36" s="36">
        <v>20201.0</v>
      </c>
      <c r="B36" s="36" t="s">
        <v>61</v>
      </c>
      <c r="C36" s="37">
        <v>19.860000610351562</v>
      </c>
      <c r="D36" s="37">
        <v>27.760000228881836</v>
      </c>
      <c r="E36" s="37">
        <v>40.56999969482422</v>
      </c>
      <c r="F36" s="37">
        <v>18.149999618530273</v>
      </c>
      <c r="G36" s="37">
        <v>3.299999952316284</v>
      </c>
      <c r="H36" s="37">
        <v>10.6899995803833</v>
      </c>
      <c r="I36" s="37">
        <v>26.760000228881836</v>
      </c>
      <c r="J36" s="37">
        <v>18.709999084472656</v>
      </c>
      <c r="K36" s="37">
        <v>48.400001525878906</v>
      </c>
    </row>
    <row r="37" ht="14.25" customHeight="1">
      <c r="A37" s="36">
        <v>20202.0</v>
      </c>
      <c r="B37" s="36" t="s">
        <v>62</v>
      </c>
      <c r="C37" s="37">
        <v>26.68000030517578</v>
      </c>
      <c r="D37" s="37">
        <v>22.110000610351562</v>
      </c>
      <c r="E37" s="37">
        <v>53.15999984741211</v>
      </c>
      <c r="F37" s="37">
        <v>22.940000534057617</v>
      </c>
      <c r="G37" s="37">
        <v>3.0399999618530273</v>
      </c>
      <c r="H37" s="37">
        <v>10.119999885559082</v>
      </c>
      <c r="I37" s="37">
        <v>46.529998779296875</v>
      </c>
      <c r="J37" s="37">
        <v>25.40999984741211</v>
      </c>
      <c r="K37" s="37">
        <v>64.8499984741211</v>
      </c>
    </row>
    <row r="38" ht="14.25" customHeight="1">
      <c r="A38" s="36">
        <v>20203.0</v>
      </c>
      <c r="B38" s="36" t="s">
        <v>63</v>
      </c>
      <c r="C38" s="37">
        <v>20.06999969482422</v>
      </c>
      <c r="D38" s="37">
        <v>21.84000015258789</v>
      </c>
      <c r="E38" s="37">
        <v>44.65999984741211</v>
      </c>
      <c r="F38" s="37">
        <v>14.180000305175781</v>
      </c>
      <c r="G38" s="37">
        <v>3.240000009536743</v>
      </c>
      <c r="H38" s="37">
        <v>7.630000114440918</v>
      </c>
      <c r="I38" s="37">
        <v>56.40999984741211</v>
      </c>
      <c r="J38" s="37">
        <v>21.170000076293945</v>
      </c>
      <c r="K38" s="37">
        <v>47.349998474121094</v>
      </c>
    </row>
    <row r="39" ht="14.25" customHeight="1">
      <c r="A39" s="36">
        <v>20204.0</v>
      </c>
      <c r="B39" s="36" t="s">
        <v>64</v>
      </c>
      <c r="C39" s="37">
        <v>20.760000228881836</v>
      </c>
      <c r="D39" s="37">
        <v>15.399999618530273</v>
      </c>
      <c r="E39" s="37">
        <v>52.2400016784668</v>
      </c>
      <c r="F39" s="37">
        <v>16.030000686645508</v>
      </c>
      <c r="G39" s="37">
        <v>2.9100000858306885</v>
      </c>
      <c r="H39" s="37">
        <v>8.0600004196167</v>
      </c>
      <c r="I39" s="37">
        <v>18.530000686645508</v>
      </c>
      <c r="J39" s="37">
        <v>24.309999465942383</v>
      </c>
      <c r="K39" s="37">
        <v>52.529998779296875</v>
      </c>
    </row>
    <row r="40" ht="14.25" customHeight="1">
      <c r="A40" s="36">
        <v>20205.0</v>
      </c>
      <c r="B40" s="36" t="s">
        <v>65</v>
      </c>
      <c r="C40" s="37">
        <v>12.350000381469727</v>
      </c>
      <c r="D40" s="37">
        <v>16.799999237060547</v>
      </c>
      <c r="E40" s="37">
        <v>37.209999084472656</v>
      </c>
      <c r="F40" s="37">
        <v>5.289999961853027</v>
      </c>
      <c r="G40" s="37">
        <v>1.5700000524520874</v>
      </c>
      <c r="H40" s="37">
        <v>4.119999885559082</v>
      </c>
      <c r="I40" s="37">
        <v>13.039999961853027</v>
      </c>
      <c r="J40" s="37">
        <v>14.020000457763672</v>
      </c>
      <c r="K40" s="37">
        <v>38.68000030517578</v>
      </c>
    </row>
    <row r="41" ht="14.25" customHeight="1">
      <c r="A41" s="36">
        <v>20206.0</v>
      </c>
      <c r="B41" s="36" t="s">
        <v>66</v>
      </c>
      <c r="C41" s="37">
        <v>19.68000030517578</v>
      </c>
      <c r="D41" s="37">
        <v>23.329999923706055</v>
      </c>
      <c r="E41" s="37">
        <v>50.880001068115234</v>
      </c>
      <c r="F41" s="37">
        <v>12.699999809265137</v>
      </c>
      <c r="G41" s="37">
        <v>1.8600000143051147</v>
      </c>
      <c r="H41" s="37">
        <v>7.630000114440918</v>
      </c>
      <c r="I41" s="37">
        <v>11.300000190734863</v>
      </c>
      <c r="J41" s="37">
        <v>24.06999969482422</v>
      </c>
      <c r="K41" s="37">
        <v>61.36000061035156</v>
      </c>
    </row>
    <row r="42" ht="14.25" customHeight="1">
      <c r="A42" s="36">
        <v>20301.0</v>
      </c>
      <c r="B42" s="36" t="s">
        <v>67</v>
      </c>
      <c r="C42" s="37">
        <v>12.59000015258789</v>
      </c>
      <c r="D42" s="37">
        <v>24.010000228881836</v>
      </c>
      <c r="E42" s="37">
        <v>60.689998626708984</v>
      </c>
      <c r="F42" s="37">
        <v>17.68000030517578</v>
      </c>
      <c r="G42" s="37">
        <v>3.5899999141693115</v>
      </c>
      <c r="H42" s="37">
        <v>12.380000114440918</v>
      </c>
      <c r="I42" s="37">
        <v>57.84000015258789</v>
      </c>
      <c r="J42" s="37">
        <v>43.290000915527344</v>
      </c>
      <c r="K42" s="37">
        <v>82.91000366210938</v>
      </c>
    </row>
    <row r="43" ht="14.25" customHeight="1">
      <c r="A43" s="36">
        <v>20302.0</v>
      </c>
      <c r="B43" s="36" t="s">
        <v>68</v>
      </c>
      <c r="C43" s="37">
        <v>12.760000228881836</v>
      </c>
      <c r="D43" s="37">
        <v>22.979999542236328</v>
      </c>
      <c r="E43" s="37">
        <v>77.1500015258789</v>
      </c>
      <c r="F43" s="37">
        <v>21.610000610351562</v>
      </c>
      <c r="G43" s="37">
        <v>4.420000076293945</v>
      </c>
      <c r="H43" s="37">
        <v>11.979999542236328</v>
      </c>
      <c r="I43" s="37">
        <v>60.54999923706055</v>
      </c>
      <c r="J43" s="37">
        <v>55.95000076293945</v>
      </c>
      <c r="K43" s="37">
        <v>61.72999954223633</v>
      </c>
    </row>
    <row r="44" ht="14.25" customHeight="1">
      <c r="A44" s="36">
        <v>20303.0</v>
      </c>
      <c r="B44" s="36" t="s">
        <v>69</v>
      </c>
      <c r="C44" s="37">
        <v>8.550000190734863</v>
      </c>
      <c r="D44" s="37">
        <v>15.430000305175781</v>
      </c>
      <c r="E44" s="37">
        <v>87.52999877929688</v>
      </c>
      <c r="F44" s="37">
        <v>21.040000915527344</v>
      </c>
      <c r="G44" s="37">
        <v>4.360000133514404</v>
      </c>
      <c r="H44" s="37">
        <v>11.180000305175781</v>
      </c>
      <c r="I44" s="37">
        <v>74.66000366210938</v>
      </c>
      <c r="J44" s="37">
        <v>72.13999938964844</v>
      </c>
      <c r="K44" s="37">
        <v>58.56999969482422</v>
      </c>
    </row>
    <row r="45" ht="14.25" customHeight="1">
      <c r="A45" s="36">
        <v>20304.0</v>
      </c>
      <c r="B45" s="36" t="s">
        <v>70</v>
      </c>
      <c r="C45" s="37">
        <v>14.510000228881836</v>
      </c>
      <c r="D45" s="37">
        <v>19.600000381469727</v>
      </c>
      <c r="E45" s="37">
        <v>70.48999786376953</v>
      </c>
      <c r="F45" s="37">
        <v>22.040000915527344</v>
      </c>
      <c r="G45" s="37">
        <v>5.320000171661377</v>
      </c>
      <c r="H45" s="37">
        <v>12.09000015258789</v>
      </c>
      <c r="I45" s="37">
        <v>35.93000030517578</v>
      </c>
      <c r="J45" s="37">
        <v>54.58000183105469</v>
      </c>
      <c r="K45" s="37">
        <v>72.45999908447266</v>
      </c>
    </row>
    <row r="46" ht="14.25" customHeight="1">
      <c r="A46" s="36">
        <v>20305.0</v>
      </c>
      <c r="B46" s="36" t="s">
        <v>71</v>
      </c>
      <c r="C46" s="37">
        <v>6.590000152587891</v>
      </c>
      <c r="D46" s="37">
        <v>16.329999923706055</v>
      </c>
      <c r="E46" s="37">
        <v>79.06999969482422</v>
      </c>
      <c r="F46" s="37">
        <v>20.68000030517578</v>
      </c>
      <c r="G46" s="37">
        <v>2.9200000762939453</v>
      </c>
      <c r="H46" s="37">
        <v>9.9399995803833</v>
      </c>
      <c r="I46" s="37">
        <v>56.34000015258789</v>
      </c>
      <c r="J46" s="37">
        <v>57.0099983215332</v>
      </c>
      <c r="K46" s="37">
        <v>75.55000305175781</v>
      </c>
    </row>
    <row r="47" ht="14.25" customHeight="1">
      <c r="A47" s="36">
        <v>20306.0</v>
      </c>
      <c r="B47" s="36" t="s">
        <v>72</v>
      </c>
      <c r="C47" s="37">
        <v>7.940000057220459</v>
      </c>
      <c r="D47" s="37">
        <v>14.34000015258789</v>
      </c>
      <c r="E47" s="37">
        <v>64.80999755859375</v>
      </c>
      <c r="F47" s="37">
        <v>30.969999313354492</v>
      </c>
      <c r="G47" s="37">
        <v>4.449999809265137</v>
      </c>
      <c r="H47" s="37">
        <v>17.079999923706055</v>
      </c>
      <c r="I47" s="37">
        <v>51.689998626708984</v>
      </c>
      <c r="J47" s="37">
        <v>31.329999923706055</v>
      </c>
      <c r="K47" s="37">
        <v>90.77999877929688</v>
      </c>
    </row>
    <row r="48" ht="14.25" customHeight="1">
      <c r="A48" s="36">
        <v>20307.0</v>
      </c>
      <c r="B48" s="36" t="s">
        <v>73</v>
      </c>
      <c r="C48" s="37">
        <v>3.0</v>
      </c>
      <c r="D48" s="37">
        <v>17.0</v>
      </c>
      <c r="E48" s="37">
        <v>85.5</v>
      </c>
      <c r="F48" s="37">
        <v>16.520000457763672</v>
      </c>
      <c r="G48" s="37">
        <v>2.390000104904175</v>
      </c>
      <c r="H48" s="37">
        <v>11.5</v>
      </c>
      <c r="I48" s="37">
        <v>35.33000183105469</v>
      </c>
      <c r="J48" s="37">
        <v>60.5</v>
      </c>
      <c r="K48" s="37">
        <v>54.83000183105469</v>
      </c>
    </row>
    <row r="49" ht="14.25" customHeight="1">
      <c r="A49" s="36">
        <v>20308.0</v>
      </c>
      <c r="B49" s="36" t="s">
        <v>74</v>
      </c>
      <c r="C49" s="37">
        <v>18.06999969482422</v>
      </c>
      <c r="D49" s="37">
        <v>17.40999984741211</v>
      </c>
      <c r="E49" s="37">
        <v>90.02999877929688</v>
      </c>
      <c r="F49" s="37">
        <v>17.8799991607666</v>
      </c>
      <c r="G49" s="37">
        <v>1.8899999856948853</v>
      </c>
      <c r="H49" s="37">
        <v>9.510000228881836</v>
      </c>
      <c r="I49" s="37">
        <v>81.16999816894531</v>
      </c>
      <c r="J49" s="37">
        <v>84.44999694824219</v>
      </c>
      <c r="K49" s="37">
        <v>87.61000061035156</v>
      </c>
    </row>
    <row r="50" ht="14.25" customHeight="1">
      <c r="A50" s="36">
        <v>20401.0</v>
      </c>
      <c r="B50" s="36" t="s">
        <v>75</v>
      </c>
      <c r="C50" s="37">
        <v>26.059999465942383</v>
      </c>
      <c r="D50" s="37">
        <v>20.729999542236328</v>
      </c>
      <c r="E50" s="37">
        <v>71.54000091552734</v>
      </c>
      <c r="F50" s="37">
        <v>19.1200008392334</v>
      </c>
      <c r="G50" s="37">
        <v>2.4800000190734863</v>
      </c>
      <c r="H50" s="37">
        <v>10.289999961853027</v>
      </c>
      <c r="I50" s="37">
        <v>37.36000061035156</v>
      </c>
      <c r="J50" s="37">
        <v>36.150001525878906</v>
      </c>
      <c r="K50" s="37">
        <v>84.2300033569336</v>
      </c>
    </row>
    <row r="51" ht="14.25" customHeight="1">
      <c r="A51" s="36">
        <v>20402.0</v>
      </c>
      <c r="B51" s="36" t="s">
        <v>76</v>
      </c>
      <c r="C51" s="37">
        <v>28.329999923706055</v>
      </c>
      <c r="D51" s="37">
        <v>24.59000015258789</v>
      </c>
      <c r="E51" s="37">
        <v>72.16000366210938</v>
      </c>
      <c r="F51" s="37">
        <v>22.739999771118164</v>
      </c>
      <c r="G51" s="37">
        <v>2.930000066757202</v>
      </c>
      <c r="H51" s="37">
        <v>12.569999694824219</v>
      </c>
      <c r="I51" s="37">
        <v>18.760000228881836</v>
      </c>
      <c r="J51" s="37">
        <v>43.68000030517578</v>
      </c>
      <c r="K51" s="37">
        <v>70.25</v>
      </c>
    </row>
    <row r="52" ht="14.25" customHeight="1">
      <c r="A52" s="36">
        <v>20403.0</v>
      </c>
      <c r="B52" s="36" t="s">
        <v>77</v>
      </c>
      <c r="C52" s="37">
        <v>24.610000610351562</v>
      </c>
      <c r="D52" s="37">
        <v>27.43000030517578</v>
      </c>
      <c r="E52" s="37">
        <v>63.099998474121094</v>
      </c>
      <c r="F52" s="37">
        <v>24.260000228881836</v>
      </c>
      <c r="G52" s="37">
        <v>3.9700000286102295</v>
      </c>
      <c r="H52" s="37">
        <v>11.680000305175781</v>
      </c>
      <c r="I52" s="37">
        <v>28.209999084472656</v>
      </c>
      <c r="J52" s="37">
        <v>41.650001525878906</v>
      </c>
      <c r="K52" s="37">
        <v>78.25</v>
      </c>
    </row>
    <row r="53" ht="14.25" customHeight="1">
      <c r="A53" s="36">
        <v>20404.0</v>
      </c>
      <c r="B53" s="36" t="s">
        <v>78</v>
      </c>
      <c r="C53" s="37">
        <v>32.099998474121094</v>
      </c>
      <c r="D53" s="37">
        <v>33.2599983215332</v>
      </c>
      <c r="E53" s="37">
        <v>71.16000366210938</v>
      </c>
      <c r="F53" s="37">
        <v>26.280000686645508</v>
      </c>
      <c r="G53" s="37">
        <v>2.7200000286102295</v>
      </c>
      <c r="H53" s="37">
        <v>12.220000267028809</v>
      </c>
      <c r="I53" s="37">
        <v>40.13999938964844</v>
      </c>
      <c r="J53" s="37">
        <v>28.8799991607666</v>
      </c>
      <c r="K53" s="37">
        <v>78.26000213623047</v>
      </c>
    </row>
    <row r="54" ht="14.25" customHeight="1">
      <c r="A54" s="36">
        <v>20405.0</v>
      </c>
      <c r="B54" s="36" t="s">
        <v>79</v>
      </c>
      <c r="C54" s="37">
        <v>27.75</v>
      </c>
      <c r="D54" s="37">
        <v>15.710000038146973</v>
      </c>
      <c r="E54" s="37">
        <v>53.33000183105469</v>
      </c>
      <c r="F54" s="37">
        <v>15.539999961853027</v>
      </c>
      <c r="G54" s="37">
        <v>1.8300000429153442</v>
      </c>
      <c r="H54" s="37">
        <v>5.960000038146973</v>
      </c>
      <c r="I54" s="37">
        <v>29.809999465942383</v>
      </c>
      <c r="J54" s="37">
        <v>28.229999542236328</v>
      </c>
      <c r="K54" s="37">
        <v>87.05000305175781</v>
      </c>
    </row>
    <row r="55" ht="14.25" customHeight="1">
      <c r="A55" s="36">
        <v>20501.0</v>
      </c>
      <c r="B55" s="36" t="s">
        <v>80</v>
      </c>
      <c r="C55" s="37">
        <v>23.31999969482422</v>
      </c>
      <c r="D55" s="37">
        <v>33.029998779296875</v>
      </c>
      <c r="E55" s="37">
        <v>52.93000030517578</v>
      </c>
      <c r="F55" s="37">
        <v>22.989999771118164</v>
      </c>
      <c r="G55" s="37">
        <v>4.320000171661377</v>
      </c>
      <c r="H55" s="37">
        <v>15.3100004196167</v>
      </c>
      <c r="I55" s="37">
        <v>20.700000762939453</v>
      </c>
      <c r="J55" s="37">
        <v>29.43000030517578</v>
      </c>
      <c r="K55" s="37">
        <v>70.44000244140625</v>
      </c>
    </row>
    <row r="56" ht="14.25" customHeight="1">
      <c r="A56" s="36">
        <v>20502.0</v>
      </c>
      <c r="B56" s="36" t="s">
        <v>81</v>
      </c>
      <c r="C56" s="37">
        <v>34.83000183105469</v>
      </c>
      <c r="D56" s="37">
        <v>38.0</v>
      </c>
      <c r="E56" s="37">
        <v>74.25</v>
      </c>
      <c r="F56" s="37">
        <v>29.770000457763672</v>
      </c>
      <c r="G56" s="37">
        <v>3.7300000190734863</v>
      </c>
      <c r="H56" s="37">
        <v>17.59000015258789</v>
      </c>
      <c r="I56" s="37">
        <v>22.40999984741211</v>
      </c>
      <c r="J56" s="37">
        <v>36.099998474121094</v>
      </c>
      <c r="K56" s="37">
        <v>62.900001525878906</v>
      </c>
    </row>
    <row r="57" ht="14.25" customHeight="1">
      <c r="A57" s="36">
        <v>20503.0</v>
      </c>
      <c r="B57" s="36" t="s">
        <v>82</v>
      </c>
      <c r="C57" s="37">
        <v>27.489999771118164</v>
      </c>
      <c r="D57" s="37">
        <v>47.189998626708984</v>
      </c>
      <c r="E57" s="37">
        <v>66.69999694824219</v>
      </c>
      <c r="F57" s="37">
        <v>28.030000686645508</v>
      </c>
      <c r="G57" s="37">
        <v>5.550000190734863</v>
      </c>
      <c r="H57" s="37">
        <v>19.68000030517578</v>
      </c>
      <c r="I57" s="37">
        <v>15.449999809265137</v>
      </c>
      <c r="J57" s="37">
        <v>25.940000534057617</v>
      </c>
      <c r="K57" s="37">
        <v>81.37999725341797</v>
      </c>
    </row>
    <row r="58" ht="14.25" customHeight="1">
      <c r="A58" s="36">
        <v>20601.0</v>
      </c>
      <c r="B58" s="36" t="s">
        <v>83</v>
      </c>
      <c r="C58" s="37">
        <v>18.729999542236328</v>
      </c>
      <c r="D58" s="37">
        <v>25.6299991607666</v>
      </c>
      <c r="E58" s="37">
        <v>55.220001220703125</v>
      </c>
      <c r="F58" s="37">
        <v>19.809999465942383</v>
      </c>
      <c r="G58" s="37">
        <v>5.53000020980835</v>
      </c>
      <c r="H58" s="37">
        <v>15.779999732971191</v>
      </c>
      <c r="I58" s="37">
        <v>34.099998474121094</v>
      </c>
      <c r="J58" s="37">
        <v>26.760000228881836</v>
      </c>
      <c r="K58" s="37">
        <v>64.80999755859375</v>
      </c>
    </row>
    <row r="59" ht="14.25" customHeight="1">
      <c r="A59" s="36">
        <v>20602.0</v>
      </c>
      <c r="B59" s="36" t="s">
        <v>84</v>
      </c>
      <c r="C59" s="37">
        <v>8.899999618530273</v>
      </c>
      <c r="D59" s="37">
        <v>35.4900016784668</v>
      </c>
      <c r="E59" s="37">
        <v>47.15999984741211</v>
      </c>
      <c r="F59" s="37">
        <v>11.979999542236328</v>
      </c>
      <c r="G59" s="37">
        <v>7.0</v>
      </c>
      <c r="H59" s="37">
        <v>18.530000686645508</v>
      </c>
      <c r="I59" s="37">
        <v>27.3799991607666</v>
      </c>
      <c r="J59" s="37">
        <v>25.68000030517578</v>
      </c>
      <c r="K59" s="37">
        <v>58.43000030517578</v>
      </c>
    </row>
    <row r="60" ht="14.25" customHeight="1">
      <c r="A60" s="36">
        <v>20603.0</v>
      </c>
      <c r="B60" s="36" t="s">
        <v>85</v>
      </c>
      <c r="C60" s="37">
        <v>15.649999618530273</v>
      </c>
      <c r="D60" s="37">
        <v>25.399999618530273</v>
      </c>
      <c r="E60" s="37">
        <v>61.369998931884766</v>
      </c>
      <c r="F60" s="37">
        <v>16.809999465942383</v>
      </c>
      <c r="G60" s="37">
        <v>5.320000171661377</v>
      </c>
      <c r="H60" s="37">
        <v>16.610000610351562</v>
      </c>
      <c r="I60" s="37">
        <v>49.959999084472656</v>
      </c>
      <c r="J60" s="37">
        <v>30.8700008392334</v>
      </c>
      <c r="K60" s="37">
        <v>65.37999725341797</v>
      </c>
    </row>
    <row r="61" ht="14.25" customHeight="1">
      <c r="A61" s="36">
        <v>20604.0</v>
      </c>
      <c r="B61" s="36" t="s">
        <v>86</v>
      </c>
      <c r="C61" s="37">
        <v>19.979999542236328</v>
      </c>
      <c r="D61" s="37">
        <v>29.229999542236328</v>
      </c>
      <c r="E61" s="37">
        <v>45.119998931884766</v>
      </c>
      <c r="F61" s="37">
        <v>24.520000457763672</v>
      </c>
      <c r="G61" s="37">
        <v>4.860000133514404</v>
      </c>
      <c r="H61" s="37">
        <v>13.489999771118164</v>
      </c>
      <c r="I61" s="37">
        <v>51.029998779296875</v>
      </c>
      <c r="J61" s="37">
        <v>25.799999237060547</v>
      </c>
      <c r="K61" s="37">
        <v>64.9800033569336</v>
      </c>
    </row>
    <row r="62" ht="14.25" customHeight="1">
      <c r="A62" s="36">
        <v>20605.0</v>
      </c>
      <c r="B62" s="36" t="s">
        <v>87</v>
      </c>
      <c r="C62" s="37">
        <v>33.29999923706055</v>
      </c>
      <c r="D62" s="37">
        <v>25.09000015258789</v>
      </c>
      <c r="E62" s="37">
        <v>52.97999954223633</v>
      </c>
      <c r="F62" s="37">
        <v>22.459999084472656</v>
      </c>
      <c r="G62" s="37">
        <v>3.0799999237060547</v>
      </c>
      <c r="H62" s="37">
        <v>12.829999923706055</v>
      </c>
      <c r="I62" s="37">
        <v>7.010000228881836</v>
      </c>
      <c r="J62" s="37">
        <v>22.100000381469727</v>
      </c>
      <c r="K62" s="37">
        <v>71.94999694824219</v>
      </c>
    </row>
    <row r="63" ht="14.25" customHeight="1">
      <c r="A63" s="36">
        <v>20606.0</v>
      </c>
      <c r="B63" s="36" t="s">
        <v>88</v>
      </c>
      <c r="C63" s="37">
        <v>5.940000057220459</v>
      </c>
      <c r="D63" s="37">
        <v>33.41999816894531</v>
      </c>
      <c r="E63" s="37">
        <v>20.389999389648438</v>
      </c>
      <c r="F63" s="37">
        <v>5.340000152587891</v>
      </c>
      <c r="G63" s="37">
        <v>5.710000038146973</v>
      </c>
      <c r="H63" s="37">
        <v>13.800000190734863</v>
      </c>
      <c r="I63" s="37">
        <v>30.760000228881836</v>
      </c>
      <c r="J63" s="37">
        <v>8.220000267028809</v>
      </c>
      <c r="K63" s="37">
        <v>70.7300033569336</v>
      </c>
    </row>
    <row r="64" ht="14.25" customHeight="1">
      <c r="A64" s="36">
        <v>20607.0</v>
      </c>
      <c r="B64" s="36" t="s">
        <v>89</v>
      </c>
      <c r="C64" s="37">
        <v>7.800000190734863</v>
      </c>
      <c r="D64" s="37">
        <v>32.29999923706055</v>
      </c>
      <c r="E64" s="37">
        <v>25.389999389648438</v>
      </c>
      <c r="F64" s="37">
        <v>10.369999885559082</v>
      </c>
      <c r="G64" s="37">
        <v>7.380000114440918</v>
      </c>
      <c r="H64" s="37">
        <v>18.110000610351562</v>
      </c>
      <c r="I64" s="37">
        <v>9.779999732971191</v>
      </c>
      <c r="J64" s="37">
        <v>7.019999980926514</v>
      </c>
      <c r="K64" s="37">
        <v>76.63999938964844</v>
      </c>
    </row>
    <row r="65" ht="14.25" customHeight="1">
      <c r="A65" s="36">
        <v>20608.0</v>
      </c>
      <c r="B65" s="36" t="s">
        <v>90</v>
      </c>
      <c r="C65" s="37">
        <v>7.539999961853027</v>
      </c>
      <c r="D65" s="37">
        <v>34.310001373291016</v>
      </c>
      <c r="E65" s="37">
        <v>58.380001068115234</v>
      </c>
      <c r="F65" s="37">
        <v>12.020000457763672</v>
      </c>
      <c r="G65" s="37">
        <v>7.039999961853027</v>
      </c>
      <c r="H65" s="37">
        <v>19.860000610351562</v>
      </c>
      <c r="I65" s="37">
        <v>47.22999954223633</v>
      </c>
      <c r="J65" s="37">
        <v>47.06999969482422</v>
      </c>
      <c r="K65" s="37">
        <v>53.45000076293945</v>
      </c>
    </row>
    <row r="66" ht="14.25" customHeight="1">
      <c r="A66" s="36">
        <v>20701.0</v>
      </c>
      <c r="B66" s="36" t="s">
        <v>91</v>
      </c>
      <c r="C66" s="37">
        <v>14.399999618530273</v>
      </c>
      <c r="D66" s="37">
        <v>41.29999923706055</v>
      </c>
      <c r="E66" s="37">
        <v>58.52000045776367</v>
      </c>
      <c r="F66" s="37">
        <v>27.799999237060547</v>
      </c>
      <c r="G66" s="37">
        <v>6.829999923706055</v>
      </c>
      <c r="H66" s="37">
        <v>19.56999969482422</v>
      </c>
      <c r="I66" s="37">
        <v>29.739999771118164</v>
      </c>
      <c r="J66" s="37">
        <v>31.25</v>
      </c>
      <c r="K66" s="37">
        <v>67.73999786376953</v>
      </c>
    </row>
    <row r="67" ht="14.25" customHeight="1">
      <c r="A67" s="36">
        <v>20702.0</v>
      </c>
      <c r="B67" s="36" t="s">
        <v>92</v>
      </c>
      <c r="C67" s="37">
        <v>16.030000686645508</v>
      </c>
      <c r="D67" s="37">
        <v>20.309999465942383</v>
      </c>
      <c r="E67" s="37">
        <v>84.4800033569336</v>
      </c>
      <c r="F67" s="37">
        <v>27.09000015258789</v>
      </c>
      <c r="G67" s="37">
        <v>4.769999980926514</v>
      </c>
      <c r="H67" s="37">
        <v>19.989999771118164</v>
      </c>
      <c r="I67" s="37">
        <v>63.599998474121094</v>
      </c>
      <c r="J67" s="37">
        <v>44.4900016784668</v>
      </c>
      <c r="K67" s="37">
        <v>62.20000076293945</v>
      </c>
    </row>
    <row r="68" ht="14.25" customHeight="1">
      <c r="A68" s="36">
        <v>20801.0</v>
      </c>
      <c r="B68" s="36" t="s">
        <v>93</v>
      </c>
      <c r="C68" s="37">
        <v>7.71999979019165</v>
      </c>
      <c r="D68" s="37">
        <v>20.670000076293945</v>
      </c>
      <c r="E68" s="37">
        <v>31.989999771118164</v>
      </c>
      <c r="F68" s="37">
        <v>10.34000015258789</v>
      </c>
      <c r="G68" s="37">
        <v>3.880000114440918</v>
      </c>
      <c r="H68" s="37">
        <v>9.729999542236328</v>
      </c>
      <c r="I68" s="37">
        <v>25.850000381469727</v>
      </c>
      <c r="J68" s="37">
        <v>17.059999465942383</v>
      </c>
      <c r="K68" s="37">
        <v>60.7599983215332</v>
      </c>
    </row>
    <row r="69" ht="14.25" customHeight="1">
      <c r="A69" s="36">
        <v>20802.0</v>
      </c>
      <c r="B69" s="36" t="s">
        <v>94</v>
      </c>
      <c r="C69" s="37">
        <v>20.450000762939453</v>
      </c>
      <c r="D69" s="37">
        <v>26.90999984741211</v>
      </c>
      <c r="E69" s="37">
        <v>40.91999816894531</v>
      </c>
      <c r="F69" s="37">
        <v>14.729999542236328</v>
      </c>
      <c r="G69" s="37">
        <v>1.8700000047683716</v>
      </c>
      <c r="H69" s="37">
        <v>9.010000228881836</v>
      </c>
      <c r="I69" s="37">
        <v>20.889999389648438</v>
      </c>
      <c r="J69" s="37">
        <v>16.149999618530273</v>
      </c>
      <c r="K69" s="37">
        <v>61.90999984741211</v>
      </c>
    </row>
    <row r="70" ht="14.25" customHeight="1">
      <c r="A70" s="36">
        <v>20803.0</v>
      </c>
      <c r="B70" s="36" t="s">
        <v>95</v>
      </c>
      <c r="C70" s="37">
        <v>21.5</v>
      </c>
      <c r="D70" s="37">
        <v>16.309999465942383</v>
      </c>
      <c r="E70" s="37">
        <v>43.06999969482422</v>
      </c>
      <c r="F70" s="37">
        <v>24.959999084472656</v>
      </c>
      <c r="G70" s="37">
        <v>4.949999809265137</v>
      </c>
      <c r="H70" s="37">
        <v>16.8700008392334</v>
      </c>
      <c r="I70" s="37">
        <v>37.70000076293945</v>
      </c>
      <c r="J70" s="37">
        <v>21.850000381469727</v>
      </c>
      <c r="K70" s="37">
        <v>62.040000915527344</v>
      </c>
    </row>
    <row r="71" ht="14.25" customHeight="1">
      <c r="A71" s="36">
        <v>20804.0</v>
      </c>
      <c r="B71" s="36" t="s">
        <v>96</v>
      </c>
      <c r="C71" s="37">
        <v>14.069999694824219</v>
      </c>
      <c r="D71" s="37">
        <v>23.940000534057617</v>
      </c>
      <c r="E71" s="37">
        <v>28.68000030517578</v>
      </c>
      <c r="F71" s="37">
        <v>16.719999313354492</v>
      </c>
      <c r="G71" s="37">
        <v>3.5399999618530273</v>
      </c>
      <c r="H71" s="37">
        <v>9.760000228881836</v>
      </c>
      <c r="I71" s="37">
        <v>5.550000190734863</v>
      </c>
      <c r="J71" s="37">
        <v>9.710000038146973</v>
      </c>
      <c r="K71" s="37">
        <v>67.63999938964844</v>
      </c>
    </row>
    <row r="72" ht="14.25" customHeight="1">
      <c r="A72" s="36">
        <v>20805.0</v>
      </c>
      <c r="B72" s="36" t="s">
        <v>97</v>
      </c>
      <c r="C72" s="37">
        <v>15.229999542236328</v>
      </c>
      <c r="D72" s="37">
        <v>17.530000686645508</v>
      </c>
      <c r="E72" s="37">
        <v>76.83000183105469</v>
      </c>
      <c r="F72" s="37">
        <v>14.5</v>
      </c>
      <c r="G72" s="37">
        <v>2.140000104904175</v>
      </c>
      <c r="H72" s="37">
        <v>9.130000114440918</v>
      </c>
      <c r="I72" s="37">
        <v>60.5</v>
      </c>
      <c r="J72" s="37">
        <v>66.2699966430664</v>
      </c>
      <c r="K72" s="37">
        <v>43.91999816894531</v>
      </c>
    </row>
    <row r="73" ht="14.25" customHeight="1">
      <c r="A73" s="36">
        <v>20806.0</v>
      </c>
      <c r="B73" s="36" t="s">
        <v>98</v>
      </c>
      <c r="C73" s="37">
        <v>12.5</v>
      </c>
      <c r="D73" s="37">
        <v>14.739999771118164</v>
      </c>
      <c r="E73" s="37">
        <v>60.540000915527344</v>
      </c>
      <c r="F73" s="37">
        <v>18.329999923706055</v>
      </c>
      <c r="G73" s="37">
        <v>3.880000114440918</v>
      </c>
      <c r="H73" s="37">
        <v>11.5</v>
      </c>
      <c r="I73" s="37">
        <v>45.97999954223633</v>
      </c>
      <c r="J73" s="37">
        <v>39.060001373291016</v>
      </c>
      <c r="K73" s="37">
        <v>32.9900016784668</v>
      </c>
    </row>
    <row r="74" ht="14.25" customHeight="1">
      <c r="A74" s="36">
        <v>20807.0</v>
      </c>
      <c r="B74" s="36" t="s">
        <v>99</v>
      </c>
      <c r="C74" s="37">
        <v>29.56999969482422</v>
      </c>
      <c r="D74" s="37">
        <v>17.309999465942383</v>
      </c>
      <c r="E74" s="37">
        <v>38.18000030517578</v>
      </c>
      <c r="F74" s="37">
        <v>16.850000381469727</v>
      </c>
      <c r="G74" s="37">
        <v>4.110000133514404</v>
      </c>
      <c r="H74" s="37">
        <v>12.869999885559082</v>
      </c>
      <c r="I74" s="37">
        <v>29.709999084472656</v>
      </c>
      <c r="J74" s="37">
        <v>15.710000038146973</v>
      </c>
      <c r="K74" s="37">
        <v>65.62999725341797</v>
      </c>
    </row>
    <row r="75" ht="14.25" customHeight="1">
      <c r="A75" s="36">
        <v>20901.0</v>
      </c>
      <c r="B75" s="36" t="s">
        <v>100</v>
      </c>
      <c r="C75" s="37">
        <v>16.18000030517578</v>
      </c>
      <c r="D75" s="37">
        <v>13.390000343322754</v>
      </c>
      <c r="E75" s="37">
        <v>53.13999938964844</v>
      </c>
      <c r="F75" s="37">
        <v>18.139999389648438</v>
      </c>
      <c r="G75" s="37">
        <v>3.759999990463257</v>
      </c>
      <c r="H75" s="37">
        <v>13.199999809265137</v>
      </c>
      <c r="I75" s="37">
        <v>27.520000457763672</v>
      </c>
      <c r="J75" s="37">
        <v>22.260000228881836</v>
      </c>
      <c r="K75" s="37">
        <v>61.81999969482422</v>
      </c>
    </row>
    <row r="76" ht="14.25" customHeight="1">
      <c r="A76" s="36">
        <v>20902.0</v>
      </c>
      <c r="B76" s="36" t="s">
        <v>101</v>
      </c>
      <c r="C76" s="37">
        <v>16.6299991607666</v>
      </c>
      <c r="D76" s="37">
        <v>25.209999084472656</v>
      </c>
      <c r="E76" s="37">
        <v>70.1500015258789</v>
      </c>
      <c r="F76" s="37">
        <v>20.889999389648438</v>
      </c>
      <c r="G76" s="37">
        <v>3.1700000762939453</v>
      </c>
      <c r="H76" s="37">
        <v>12.90999984741211</v>
      </c>
      <c r="I76" s="37">
        <v>51.779998779296875</v>
      </c>
      <c r="J76" s="37">
        <v>32.220001220703125</v>
      </c>
      <c r="K76" s="37">
        <v>86.41000366210938</v>
      </c>
    </row>
    <row r="77" ht="14.25" customHeight="1">
      <c r="A77" s="36">
        <v>20903.0</v>
      </c>
      <c r="B77" s="36" t="s">
        <v>102</v>
      </c>
      <c r="C77" s="37">
        <v>14.130000114440918</v>
      </c>
      <c r="D77" s="37">
        <v>17.639999389648438</v>
      </c>
      <c r="E77" s="37">
        <v>63.2400016784668</v>
      </c>
      <c r="F77" s="37">
        <v>28.280000686645508</v>
      </c>
      <c r="G77" s="37">
        <v>4.489999771118164</v>
      </c>
      <c r="H77" s="37">
        <v>15.90999984741211</v>
      </c>
      <c r="I77" s="37">
        <v>30.670000076293945</v>
      </c>
      <c r="J77" s="37">
        <v>25.15999984741211</v>
      </c>
      <c r="K77" s="37">
        <v>87.25</v>
      </c>
    </row>
    <row r="78" ht="14.25" customHeight="1">
      <c r="A78" s="36">
        <v>20904.0</v>
      </c>
      <c r="B78" s="36" t="s">
        <v>103</v>
      </c>
      <c r="C78" s="37">
        <v>19.020000457763672</v>
      </c>
      <c r="D78" s="37">
        <v>26.649999618530273</v>
      </c>
      <c r="E78" s="37">
        <v>58.04999923706055</v>
      </c>
      <c r="F78" s="37">
        <v>21.40999984741211</v>
      </c>
      <c r="G78" s="37">
        <v>4.46999979019165</v>
      </c>
      <c r="H78" s="37">
        <v>15.380000114440918</v>
      </c>
      <c r="I78" s="37">
        <v>24.3700008392334</v>
      </c>
      <c r="J78" s="37">
        <v>22.649999618530273</v>
      </c>
      <c r="K78" s="37">
        <v>77.97000122070312</v>
      </c>
    </row>
    <row r="79" ht="14.25" customHeight="1">
      <c r="A79" s="36">
        <v>20905.0</v>
      </c>
      <c r="B79" s="36" t="s">
        <v>104</v>
      </c>
      <c r="C79" s="37">
        <v>16.34000015258789</v>
      </c>
      <c r="D79" s="37">
        <v>24.280000686645508</v>
      </c>
      <c r="E79" s="37">
        <v>41.15999984741211</v>
      </c>
      <c r="F79" s="37">
        <v>25.229999542236328</v>
      </c>
      <c r="G79" s="37">
        <v>4.320000171661377</v>
      </c>
      <c r="H79" s="37">
        <v>18.1200008392334</v>
      </c>
      <c r="I79" s="37">
        <v>21.799999237060547</v>
      </c>
      <c r="J79" s="37">
        <v>16.049999237060547</v>
      </c>
      <c r="K79" s="37">
        <v>81.68000030517578</v>
      </c>
    </row>
    <row r="80" ht="14.25" customHeight="1">
      <c r="A80" s="36">
        <v>21001.0</v>
      </c>
      <c r="B80" s="36" t="s">
        <v>105</v>
      </c>
      <c r="C80" s="37">
        <v>11.380000114440918</v>
      </c>
      <c r="D80" s="37">
        <v>40.66999816894531</v>
      </c>
      <c r="E80" s="37">
        <v>72.80999755859375</v>
      </c>
      <c r="F80" s="37">
        <v>30.420000076293945</v>
      </c>
      <c r="G80" s="37">
        <v>5.269999980926514</v>
      </c>
      <c r="H80" s="37">
        <v>20.0</v>
      </c>
      <c r="I80" s="37">
        <v>52.06999969482422</v>
      </c>
      <c r="J80" s="37">
        <v>58.709999084472656</v>
      </c>
      <c r="K80" s="37">
        <v>82.02999877929688</v>
      </c>
    </row>
    <row r="81" ht="14.25" customHeight="1">
      <c r="A81" s="36">
        <v>21002.0</v>
      </c>
      <c r="B81" s="36" t="s">
        <v>106</v>
      </c>
      <c r="C81" s="37">
        <v>14.829999923706055</v>
      </c>
      <c r="D81" s="37">
        <v>19.43000030517578</v>
      </c>
      <c r="E81" s="37">
        <v>53.36000061035156</v>
      </c>
      <c r="F81" s="37">
        <v>12.729999542236328</v>
      </c>
      <c r="G81" s="37">
        <v>5.199999809265137</v>
      </c>
      <c r="H81" s="37">
        <v>11.789999961853027</v>
      </c>
      <c r="I81" s="37">
        <v>19.90999984741211</v>
      </c>
      <c r="J81" s="37">
        <v>25.899999618530273</v>
      </c>
      <c r="K81" s="37">
        <v>71.87000274658203</v>
      </c>
    </row>
    <row r="82" ht="14.25" customHeight="1">
      <c r="A82" s="36">
        <v>21003.0</v>
      </c>
      <c r="B82" s="36" t="s">
        <v>107</v>
      </c>
      <c r="C82" s="37">
        <v>13.079999923706055</v>
      </c>
      <c r="D82" s="37">
        <v>27.229999542236328</v>
      </c>
      <c r="E82" s="37">
        <v>26.8700008392334</v>
      </c>
      <c r="F82" s="37">
        <v>17.56999969482422</v>
      </c>
      <c r="G82" s="37">
        <v>7.960000038146973</v>
      </c>
      <c r="H82" s="37">
        <v>17.90999984741211</v>
      </c>
      <c r="I82" s="37">
        <v>12.949999809265137</v>
      </c>
      <c r="J82" s="37">
        <v>12.619999885559082</v>
      </c>
      <c r="K82" s="37">
        <v>60.72999954223633</v>
      </c>
    </row>
    <row r="83" ht="14.25" customHeight="1">
      <c r="A83" s="36">
        <v>21004.0</v>
      </c>
      <c r="B83" s="36" t="s">
        <v>108</v>
      </c>
      <c r="C83" s="37">
        <v>16.25</v>
      </c>
      <c r="D83" s="37">
        <v>21.8799991607666</v>
      </c>
      <c r="E83" s="37">
        <v>44.099998474121094</v>
      </c>
      <c r="F83" s="37">
        <v>22.809999465942383</v>
      </c>
      <c r="G83" s="37">
        <v>4.590000152587891</v>
      </c>
      <c r="H83" s="37">
        <v>15.350000381469727</v>
      </c>
      <c r="I83" s="37">
        <v>28.440000534057617</v>
      </c>
      <c r="J83" s="37">
        <v>17.440000534057617</v>
      </c>
      <c r="K83" s="37">
        <v>86.05999755859375</v>
      </c>
    </row>
    <row r="84" ht="14.25" customHeight="1">
      <c r="A84" s="36">
        <v>21005.0</v>
      </c>
      <c r="B84" s="36" t="s">
        <v>109</v>
      </c>
      <c r="C84" s="37">
        <v>18.760000228881836</v>
      </c>
      <c r="D84" s="37">
        <v>26.18000030517578</v>
      </c>
      <c r="E84" s="37">
        <v>71.55000305175781</v>
      </c>
      <c r="F84" s="37">
        <v>32.2400016784668</v>
      </c>
      <c r="G84" s="37">
        <v>3.9600000381469727</v>
      </c>
      <c r="H84" s="37">
        <v>18.18000030517578</v>
      </c>
      <c r="I84" s="37">
        <v>39.90999984741211</v>
      </c>
      <c r="J84" s="37">
        <v>49.09000015258789</v>
      </c>
      <c r="K84" s="37">
        <v>83.9000015258789</v>
      </c>
    </row>
    <row r="85" ht="14.25" customHeight="1">
      <c r="A85" s="36">
        <v>21006.0</v>
      </c>
      <c r="B85" s="36" t="s">
        <v>110</v>
      </c>
      <c r="C85" s="37">
        <v>17.549999237060547</v>
      </c>
      <c r="D85" s="37">
        <v>21.079999923706055</v>
      </c>
      <c r="E85" s="37">
        <v>52.61000061035156</v>
      </c>
      <c r="F85" s="37">
        <v>15.970000267028809</v>
      </c>
      <c r="G85" s="37">
        <v>6.690000057220459</v>
      </c>
      <c r="H85" s="37">
        <v>20.219999313354492</v>
      </c>
      <c r="I85" s="37">
        <v>17.329999923706055</v>
      </c>
      <c r="J85" s="37">
        <v>38.29999923706055</v>
      </c>
      <c r="K85" s="37">
        <v>62.029998779296875</v>
      </c>
    </row>
    <row r="86" ht="14.25" customHeight="1">
      <c r="A86" s="36">
        <v>21101.0</v>
      </c>
      <c r="B86" s="36" t="s">
        <v>111</v>
      </c>
      <c r="C86" s="37">
        <v>9.039999961853027</v>
      </c>
      <c r="D86" s="37">
        <v>25.850000381469727</v>
      </c>
      <c r="E86" s="37">
        <v>28.6200008392334</v>
      </c>
      <c r="F86" s="37">
        <v>9.640000343322754</v>
      </c>
      <c r="G86" s="37">
        <v>5.139999866485596</v>
      </c>
      <c r="H86" s="37">
        <v>13.670000076293945</v>
      </c>
      <c r="I86" s="37">
        <v>15.319999694824219</v>
      </c>
      <c r="J86" s="37">
        <v>14.079999923706055</v>
      </c>
      <c r="K86" s="37">
        <v>58.209999084472656</v>
      </c>
    </row>
    <row r="87" ht="14.25" customHeight="1">
      <c r="A87" s="36">
        <v>21102.0</v>
      </c>
      <c r="B87" s="36" t="s">
        <v>112</v>
      </c>
      <c r="C87" s="37">
        <v>12.15999984741211</v>
      </c>
      <c r="D87" s="37">
        <v>23.700000762939453</v>
      </c>
      <c r="E87" s="37">
        <v>41.93000030517578</v>
      </c>
      <c r="F87" s="37">
        <v>13.600000381469727</v>
      </c>
      <c r="G87" s="37">
        <v>5.210000038146973</v>
      </c>
      <c r="H87" s="37">
        <v>13.15999984741211</v>
      </c>
      <c r="I87" s="37">
        <v>26.579999923706055</v>
      </c>
      <c r="J87" s="37">
        <v>28.040000915527344</v>
      </c>
      <c r="K87" s="37">
        <v>57.65999984741211</v>
      </c>
    </row>
    <row r="88" ht="14.25" customHeight="1">
      <c r="A88" s="36">
        <v>21103.0</v>
      </c>
      <c r="B88" s="36" t="s">
        <v>113</v>
      </c>
      <c r="C88" s="37">
        <v>7.929999828338623</v>
      </c>
      <c r="D88" s="37">
        <v>20.579999923706055</v>
      </c>
      <c r="E88" s="37">
        <v>25.690000534057617</v>
      </c>
      <c r="F88" s="37">
        <v>6.909999847412109</v>
      </c>
      <c r="G88" s="37">
        <v>3.7699999809265137</v>
      </c>
      <c r="H88" s="37">
        <v>11.170000076293945</v>
      </c>
      <c r="I88" s="37">
        <v>29.489999771118164</v>
      </c>
      <c r="J88" s="37">
        <v>13.199999809265137</v>
      </c>
      <c r="K88" s="37">
        <v>40.189998626708984</v>
      </c>
    </row>
    <row r="89" ht="14.25" customHeight="1">
      <c r="A89" s="36">
        <v>21104.0</v>
      </c>
      <c r="B89" s="36" t="s">
        <v>114</v>
      </c>
      <c r="C89" s="37">
        <v>9.149999618530273</v>
      </c>
      <c r="D89" s="37">
        <v>19.770000457763672</v>
      </c>
      <c r="E89" s="37">
        <v>51.939998626708984</v>
      </c>
      <c r="F89" s="37">
        <v>13.229999542236328</v>
      </c>
      <c r="G89" s="37">
        <v>6.230000019073486</v>
      </c>
      <c r="H89" s="37">
        <v>15.319999694824219</v>
      </c>
      <c r="I89" s="37">
        <v>33.04999923706055</v>
      </c>
      <c r="J89" s="37">
        <v>38.349998474121094</v>
      </c>
      <c r="K89" s="37">
        <v>52.09000015258789</v>
      </c>
    </row>
    <row r="90" ht="14.25" customHeight="1">
      <c r="A90" s="36">
        <v>21105.0</v>
      </c>
      <c r="B90" s="36" t="s">
        <v>115</v>
      </c>
      <c r="C90" s="37">
        <v>9.149999618530273</v>
      </c>
      <c r="D90" s="37">
        <v>29.389999389648438</v>
      </c>
      <c r="E90" s="37">
        <v>77.62999725341797</v>
      </c>
      <c r="F90" s="37">
        <v>24.3799991607666</v>
      </c>
      <c r="G90" s="37">
        <v>7.75</v>
      </c>
      <c r="H90" s="37">
        <v>19.68000030517578</v>
      </c>
      <c r="I90" s="37">
        <v>76.19999694824219</v>
      </c>
      <c r="J90" s="37">
        <v>56.4900016784668</v>
      </c>
      <c r="K90" s="37">
        <v>71.12000274658203</v>
      </c>
    </row>
    <row r="91" ht="14.25" customHeight="1">
      <c r="A91" s="36">
        <v>21201.0</v>
      </c>
      <c r="B91" s="36" t="s">
        <v>116</v>
      </c>
      <c r="C91" s="37">
        <v>17.719999313354492</v>
      </c>
      <c r="D91" s="37">
        <v>22.969999313354492</v>
      </c>
      <c r="E91" s="37">
        <v>49.619998931884766</v>
      </c>
      <c r="F91" s="37">
        <v>23.219999313354492</v>
      </c>
      <c r="G91" s="37">
        <v>3.940000057220459</v>
      </c>
      <c r="H91" s="37">
        <v>12.8100004196167</v>
      </c>
      <c r="I91" s="37">
        <v>56.95000076293945</v>
      </c>
      <c r="J91" s="37">
        <v>27.079999923706055</v>
      </c>
      <c r="K91" s="37">
        <v>55.849998474121094</v>
      </c>
    </row>
    <row r="92" ht="14.25" customHeight="1">
      <c r="A92" s="36">
        <v>21202.0</v>
      </c>
      <c r="B92" s="36" t="s">
        <v>117</v>
      </c>
      <c r="C92" s="37">
        <v>18.329999923706055</v>
      </c>
      <c r="D92" s="37">
        <v>26.010000228881836</v>
      </c>
      <c r="E92" s="37">
        <v>51.22999954223633</v>
      </c>
      <c r="F92" s="37">
        <v>19.309999465942383</v>
      </c>
      <c r="G92" s="37">
        <v>3.6700000762939453</v>
      </c>
      <c r="H92" s="37">
        <v>14.010000228881836</v>
      </c>
      <c r="I92" s="37">
        <v>45.86000061035156</v>
      </c>
      <c r="J92" s="37">
        <v>22.989999771118164</v>
      </c>
      <c r="K92" s="37">
        <v>63.15999984741211</v>
      </c>
    </row>
    <row r="93" ht="14.25" customHeight="1">
      <c r="A93" s="36">
        <v>21203.0</v>
      </c>
      <c r="B93" s="36" t="s">
        <v>118</v>
      </c>
      <c r="C93" s="37">
        <v>19.040000915527344</v>
      </c>
      <c r="D93" s="37">
        <v>16.030000686645508</v>
      </c>
      <c r="E93" s="37">
        <v>40.40999984741211</v>
      </c>
      <c r="F93" s="37">
        <v>17.860000610351562</v>
      </c>
      <c r="G93" s="37">
        <v>3.619999885559082</v>
      </c>
      <c r="H93" s="37">
        <v>11.569999694824219</v>
      </c>
      <c r="I93" s="37">
        <v>42.38999938964844</v>
      </c>
      <c r="J93" s="37">
        <v>20.440000534057617</v>
      </c>
      <c r="K93" s="37">
        <v>46.47999954223633</v>
      </c>
    </row>
    <row r="94" ht="14.25" customHeight="1">
      <c r="A94" s="36">
        <v>21204.0</v>
      </c>
      <c r="B94" s="36" t="s">
        <v>119</v>
      </c>
      <c r="C94" s="37">
        <v>25.139999389648438</v>
      </c>
      <c r="D94" s="37">
        <v>12.449999809265137</v>
      </c>
      <c r="E94" s="37">
        <v>43.83000183105469</v>
      </c>
      <c r="F94" s="37">
        <v>19.270000457763672</v>
      </c>
      <c r="G94" s="37">
        <v>2.6600000858306885</v>
      </c>
      <c r="H94" s="37">
        <v>12.050000190734863</v>
      </c>
      <c r="I94" s="37">
        <v>33.540000915527344</v>
      </c>
      <c r="J94" s="37">
        <v>17.420000076293945</v>
      </c>
      <c r="K94" s="37">
        <v>71.86000061035156</v>
      </c>
    </row>
    <row r="95" ht="14.25" customHeight="1">
      <c r="A95" s="36">
        <v>21301.0</v>
      </c>
      <c r="B95" s="36" t="s">
        <v>120</v>
      </c>
      <c r="C95" s="37">
        <v>11.569999694824219</v>
      </c>
      <c r="D95" s="37">
        <v>20.959999084472656</v>
      </c>
      <c r="E95" s="37">
        <v>51.83000183105469</v>
      </c>
      <c r="F95" s="37">
        <v>20.790000915527344</v>
      </c>
      <c r="G95" s="37">
        <v>4.110000133514404</v>
      </c>
      <c r="H95" s="37">
        <v>15.09000015258789</v>
      </c>
      <c r="I95" s="37">
        <v>42.650001525878906</v>
      </c>
      <c r="J95" s="37">
        <v>27.139999389648438</v>
      </c>
      <c r="K95" s="37">
        <v>81.30999755859375</v>
      </c>
    </row>
    <row r="96" ht="14.25" customHeight="1">
      <c r="A96" s="36">
        <v>21302.0</v>
      </c>
      <c r="B96" s="36" t="s">
        <v>121</v>
      </c>
      <c r="C96" s="37">
        <v>14.930000305175781</v>
      </c>
      <c r="D96" s="37">
        <v>25.40999984741211</v>
      </c>
      <c r="E96" s="37">
        <v>57.130001068115234</v>
      </c>
      <c r="F96" s="37">
        <v>19.559999465942383</v>
      </c>
      <c r="G96" s="37">
        <v>3.6700000762939453</v>
      </c>
      <c r="H96" s="37">
        <v>10.640000343322754</v>
      </c>
      <c r="I96" s="37">
        <v>48.72999954223633</v>
      </c>
      <c r="J96" s="37">
        <v>38.11000061035156</v>
      </c>
      <c r="K96" s="37">
        <v>63.540000915527344</v>
      </c>
    </row>
    <row r="97" ht="14.25" customHeight="1">
      <c r="A97" s="36">
        <v>21303.0</v>
      </c>
      <c r="B97" s="36" t="s">
        <v>122</v>
      </c>
      <c r="C97" s="37">
        <v>11.239999771118164</v>
      </c>
      <c r="D97" s="37">
        <v>21.329999923706055</v>
      </c>
      <c r="E97" s="37">
        <v>55.150001525878906</v>
      </c>
      <c r="F97" s="37">
        <v>24.030000686645508</v>
      </c>
      <c r="G97" s="37">
        <v>4.25</v>
      </c>
      <c r="H97" s="37">
        <v>13.489999771118164</v>
      </c>
      <c r="I97" s="37">
        <v>59.939998626708984</v>
      </c>
      <c r="J97" s="37">
        <v>33.34000015258789</v>
      </c>
      <c r="K97" s="37">
        <v>79.43000030517578</v>
      </c>
    </row>
    <row r="98" ht="14.25" customHeight="1">
      <c r="A98" s="36">
        <v>21304.0</v>
      </c>
      <c r="B98" s="36" t="s">
        <v>123</v>
      </c>
      <c r="C98" s="37">
        <v>10.739999771118164</v>
      </c>
      <c r="D98" s="37">
        <v>25.329999923706055</v>
      </c>
      <c r="E98" s="37">
        <v>48.86000061035156</v>
      </c>
      <c r="F98" s="37">
        <v>22.56999969482422</v>
      </c>
      <c r="G98" s="37">
        <v>3.7899999618530273</v>
      </c>
      <c r="H98" s="37">
        <v>13.449999809265137</v>
      </c>
      <c r="I98" s="37">
        <v>34.41999816894531</v>
      </c>
      <c r="J98" s="37">
        <v>25.56999969482422</v>
      </c>
      <c r="K98" s="37">
        <v>71.41999816894531</v>
      </c>
    </row>
    <row r="99" ht="14.25" customHeight="1">
      <c r="A99" s="36">
        <v>21305.0</v>
      </c>
      <c r="B99" s="36" t="s">
        <v>124</v>
      </c>
      <c r="C99" s="37">
        <v>11.920000076293945</v>
      </c>
      <c r="D99" s="37">
        <v>23.670000076293945</v>
      </c>
      <c r="E99" s="37">
        <v>35.7400016784668</v>
      </c>
      <c r="F99" s="37">
        <v>16.709999084472656</v>
      </c>
      <c r="G99" s="37">
        <v>3.930000066757202</v>
      </c>
      <c r="H99" s="37">
        <v>12.4399995803833</v>
      </c>
      <c r="I99" s="37">
        <v>26.059999465942383</v>
      </c>
      <c r="J99" s="37">
        <v>18.950000762939453</v>
      </c>
      <c r="K99" s="37">
        <v>51.7599983215332</v>
      </c>
    </row>
    <row r="100" ht="14.25" customHeight="1">
      <c r="A100" s="36">
        <v>21306.0</v>
      </c>
      <c r="B100" s="36" t="s">
        <v>125</v>
      </c>
      <c r="C100" s="37">
        <v>7.619999885559082</v>
      </c>
      <c r="D100" s="37">
        <v>24.6200008392334</v>
      </c>
      <c r="E100" s="37">
        <v>52.77000045776367</v>
      </c>
      <c r="F100" s="37">
        <v>23.1299991607666</v>
      </c>
      <c r="G100" s="37">
        <v>4.789999961853027</v>
      </c>
      <c r="H100" s="37">
        <v>12.460000038146973</v>
      </c>
      <c r="I100" s="37">
        <v>33.75</v>
      </c>
      <c r="J100" s="37">
        <v>29.520000457763672</v>
      </c>
      <c r="K100" s="37">
        <v>75.87999725341797</v>
      </c>
    </row>
    <row r="101" ht="14.25" customHeight="1">
      <c r="A101" s="36">
        <v>21307.0</v>
      </c>
      <c r="B101" s="36" t="s">
        <v>126</v>
      </c>
      <c r="C101" s="37">
        <v>6.909999847412109</v>
      </c>
      <c r="D101" s="37">
        <v>22.010000228881836</v>
      </c>
      <c r="E101" s="37">
        <v>50.369998931884766</v>
      </c>
      <c r="F101" s="37">
        <v>18.43000030517578</v>
      </c>
      <c r="G101" s="37">
        <v>4.769999980926514</v>
      </c>
      <c r="H101" s="37">
        <v>11.6899995803833</v>
      </c>
      <c r="I101" s="37">
        <v>10.15999984741211</v>
      </c>
      <c r="J101" s="37">
        <v>21.889999389648438</v>
      </c>
      <c r="K101" s="37">
        <v>79.81999969482422</v>
      </c>
    </row>
    <row r="102" ht="14.25" customHeight="1">
      <c r="A102" s="36">
        <v>21401.0</v>
      </c>
      <c r="B102" s="36" t="s">
        <v>127</v>
      </c>
      <c r="C102" s="37">
        <v>9.079999923706055</v>
      </c>
      <c r="D102" s="37">
        <v>17.950000762939453</v>
      </c>
      <c r="E102" s="37">
        <v>42.40999984741211</v>
      </c>
      <c r="F102" s="37">
        <v>9.510000228881836</v>
      </c>
      <c r="G102" s="37">
        <v>4.929999828338623</v>
      </c>
      <c r="H102" s="37">
        <v>11.989999771118164</v>
      </c>
      <c r="I102" s="37">
        <v>29.510000228881836</v>
      </c>
      <c r="J102" s="37">
        <v>22.829999923706055</v>
      </c>
      <c r="K102" s="37">
        <v>52.58000183105469</v>
      </c>
    </row>
    <row r="103" ht="14.25" customHeight="1">
      <c r="A103" s="36">
        <v>21402.0</v>
      </c>
      <c r="B103" s="36" t="s">
        <v>128</v>
      </c>
      <c r="C103" s="37">
        <v>8.9399995803833</v>
      </c>
      <c r="D103" s="37">
        <v>24.729999542236328</v>
      </c>
      <c r="E103" s="37">
        <v>26.979999542236328</v>
      </c>
      <c r="F103" s="37">
        <v>9.960000038146973</v>
      </c>
      <c r="G103" s="37">
        <v>4.800000190734863</v>
      </c>
      <c r="H103" s="37">
        <v>13.09000015258789</v>
      </c>
      <c r="I103" s="37">
        <v>6.610000133514404</v>
      </c>
      <c r="J103" s="37">
        <v>9.90999984741211</v>
      </c>
      <c r="K103" s="37">
        <v>50.97999954223633</v>
      </c>
    </row>
    <row r="104" ht="14.25" customHeight="1">
      <c r="A104" s="36">
        <v>21501.0</v>
      </c>
      <c r="B104" s="36" t="s">
        <v>129</v>
      </c>
      <c r="C104" s="37">
        <v>6.610000133514404</v>
      </c>
      <c r="D104" s="37">
        <v>43.08000183105469</v>
      </c>
      <c r="E104" s="37">
        <v>63.939998626708984</v>
      </c>
      <c r="F104" s="37">
        <v>20.959999084472656</v>
      </c>
      <c r="G104" s="37">
        <v>8.279999732971191</v>
      </c>
      <c r="H104" s="37">
        <v>19.469999313354492</v>
      </c>
      <c r="I104" s="37">
        <v>48.34000015258789</v>
      </c>
      <c r="J104" s="37">
        <v>38.88999938964844</v>
      </c>
      <c r="K104" s="37">
        <v>61.0099983215332</v>
      </c>
    </row>
    <row r="105" ht="14.25" customHeight="1">
      <c r="A105" s="36">
        <v>21502.0</v>
      </c>
      <c r="B105" s="36" t="s">
        <v>130</v>
      </c>
      <c r="C105" s="37">
        <v>10.800000190734863</v>
      </c>
      <c r="D105" s="37">
        <v>43.349998474121094</v>
      </c>
      <c r="E105" s="37">
        <v>41.119998931884766</v>
      </c>
      <c r="F105" s="37">
        <v>15.869999885559082</v>
      </c>
      <c r="G105" s="37">
        <v>9.510000228881836</v>
      </c>
      <c r="H105" s="37">
        <v>20.700000762939453</v>
      </c>
      <c r="I105" s="37">
        <v>11.180000305175781</v>
      </c>
      <c r="J105" s="37">
        <v>29.450000762939453</v>
      </c>
      <c r="K105" s="37">
        <v>38.47999954223633</v>
      </c>
    </row>
    <row r="106" ht="14.25" customHeight="1">
      <c r="A106" s="36">
        <v>21601.0</v>
      </c>
      <c r="B106" s="36" t="s">
        <v>131</v>
      </c>
      <c r="C106" s="37">
        <v>32.91999816894531</v>
      </c>
      <c r="D106" s="37">
        <v>32.369998931884766</v>
      </c>
      <c r="E106" s="37">
        <v>70.30999755859375</v>
      </c>
      <c r="F106" s="37">
        <v>32.619998931884766</v>
      </c>
      <c r="G106" s="37">
        <v>3.9000000953674316</v>
      </c>
      <c r="H106" s="37">
        <v>20.34000015258789</v>
      </c>
      <c r="I106" s="37">
        <v>22.469999313354492</v>
      </c>
      <c r="J106" s="37">
        <v>36.119998931884766</v>
      </c>
      <c r="K106" s="37">
        <v>89.33000183105469</v>
      </c>
    </row>
    <row r="107" ht="14.25" customHeight="1">
      <c r="A107" s="36">
        <v>21602.0</v>
      </c>
      <c r="B107" s="36" t="s">
        <v>132</v>
      </c>
      <c r="C107" s="37">
        <v>24.950000762939453</v>
      </c>
      <c r="D107" s="37">
        <v>41.790000915527344</v>
      </c>
      <c r="E107" s="37">
        <v>73.22000122070312</v>
      </c>
      <c r="F107" s="37">
        <v>36.91999816894531</v>
      </c>
      <c r="G107" s="37">
        <v>4.260000228881836</v>
      </c>
      <c r="H107" s="37">
        <v>19.299999237060547</v>
      </c>
      <c r="I107" s="37">
        <v>24.6299991607666</v>
      </c>
      <c r="J107" s="37">
        <v>42.060001373291016</v>
      </c>
      <c r="K107" s="37">
        <v>74.56999969482422</v>
      </c>
    </row>
    <row r="108" ht="14.25" customHeight="1">
      <c r="A108" s="36">
        <v>21701.0</v>
      </c>
      <c r="B108" s="36" t="s">
        <v>133</v>
      </c>
      <c r="C108" s="37">
        <v>20.06999969482422</v>
      </c>
      <c r="D108" s="37">
        <v>21.139999389648438</v>
      </c>
      <c r="E108" s="37">
        <v>33.83000183105469</v>
      </c>
      <c r="F108" s="37">
        <v>15.210000038146973</v>
      </c>
      <c r="G108" s="37">
        <v>3.880000114440918</v>
      </c>
      <c r="H108" s="37">
        <v>10.039999961853027</v>
      </c>
      <c r="I108" s="37">
        <v>30.59000015258789</v>
      </c>
      <c r="J108" s="37">
        <v>13.6899995803833</v>
      </c>
      <c r="K108" s="37">
        <v>42.4900016784668</v>
      </c>
    </row>
    <row r="109" ht="14.25" customHeight="1">
      <c r="A109" s="36">
        <v>21702.0</v>
      </c>
      <c r="B109" s="36" t="s">
        <v>134</v>
      </c>
      <c r="C109" s="37">
        <v>22.149999618530273</v>
      </c>
      <c r="D109" s="37">
        <v>18.760000228881836</v>
      </c>
      <c r="E109" s="37">
        <v>42.599998474121094</v>
      </c>
      <c r="F109" s="37">
        <v>12.449999809265137</v>
      </c>
      <c r="G109" s="37">
        <v>1.6799999475479126</v>
      </c>
      <c r="H109" s="37">
        <v>10.279999732971191</v>
      </c>
      <c r="I109" s="37">
        <v>32.369998931884766</v>
      </c>
      <c r="J109" s="37">
        <v>24.229999542236328</v>
      </c>
      <c r="K109" s="37">
        <v>79.93000030517578</v>
      </c>
    </row>
    <row r="110" ht="14.25" customHeight="1">
      <c r="A110" s="36">
        <v>21703.0</v>
      </c>
      <c r="B110" s="36" t="s">
        <v>135</v>
      </c>
      <c r="C110" s="37">
        <v>31.809999465942383</v>
      </c>
      <c r="D110" s="37">
        <v>19.920000076293945</v>
      </c>
      <c r="E110" s="37">
        <v>67.93000030517578</v>
      </c>
      <c r="F110" s="37">
        <v>15.039999961853027</v>
      </c>
      <c r="G110" s="37">
        <v>2.6500000953674316</v>
      </c>
      <c r="H110" s="37">
        <v>13.640000343322754</v>
      </c>
      <c r="I110" s="37">
        <v>32.20000076293945</v>
      </c>
      <c r="J110" s="37">
        <v>35.900001525878906</v>
      </c>
      <c r="K110" s="37">
        <v>92.7300033569336</v>
      </c>
    </row>
    <row r="111" ht="14.25" customHeight="1">
      <c r="A111" s="36">
        <v>21801.0</v>
      </c>
      <c r="B111" s="36" t="s">
        <v>136</v>
      </c>
      <c r="C111" s="37">
        <v>9.699999809265137</v>
      </c>
      <c r="D111" s="37">
        <v>12.239999771118164</v>
      </c>
      <c r="E111" s="37">
        <v>67.5999984741211</v>
      </c>
      <c r="F111" s="37">
        <v>21.450000762939453</v>
      </c>
      <c r="G111" s="37">
        <v>4.400000095367432</v>
      </c>
      <c r="H111" s="37">
        <v>14.300000190734863</v>
      </c>
      <c r="I111" s="37">
        <v>64.9800033569336</v>
      </c>
      <c r="J111" s="37">
        <v>50.36000061035156</v>
      </c>
      <c r="K111" s="37">
        <v>82.25</v>
      </c>
    </row>
    <row r="112" ht="14.25" customHeight="1">
      <c r="A112" s="36">
        <v>21802.0</v>
      </c>
      <c r="B112" s="36" t="s">
        <v>137</v>
      </c>
      <c r="C112" s="37">
        <v>12.40999984741211</v>
      </c>
      <c r="D112" s="37">
        <v>19.309999465942383</v>
      </c>
      <c r="E112" s="37">
        <v>56.959999084472656</v>
      </c>
      <c r="F112" s="37">
        <v>19.850000381469727</v>
      </c>
      <c r="G112" s="37">
        <v>3.930000066757202</v>
      </c>
      <c r="H112" s="37">
        <v>12.5</v>
      </c>
      <c r="I112" s="37">
        <v>40.66999816894531</v>
      </c>
      <c r="J112" s="37">
        <v>44.65999984741211</v>
      </c>
      <c r="K112" s="37">
        <v>48.849998474121094</v>
      </c>
    </row>
    <row r="113" ht="14.25" customHeight="1">
      <c r="A113" s="36">
        <v>21803.0</v>
      </c>
      <c r="B113" s="36" t="s">
        <v>138</v>
      </c>
      <c r="C113" s="37">
        <v>9.760000228881836</v>
      </c>
      <c r="D113" s="37">
        <v>19.350000381469727</v>
      </c>
      <c r="E113" s="37">
        <v>63.150001525878906</v>
      </c>
      <c r="F113" s="37">
        <v>18.799999237060547</v>
      </c>
      <c r="G113" s="37">
        <v>3.380000114440918</v>
      </c>
      <c r="H113" s="37">
        <v>10.649999618530273</v>
      </c>
      <c r="I113" s="37">
        <v>95.6500015258789</v>
      </c>
      <c r="J113" s="37">
        <v>37.29999923706055</v>
      </c>
      <c r="K113" s="37">
        <v>96.19999694824219</v>
      </c>
    </row>
    <row r="114" ht="14.25" customHeight="1">
      <c r="A114" s="36">
        <v>21901.0</v>
      </c>
      <c r="B114" s="36" t="s">
        <v>139</v>
      </c>
      <c r="C114" s="37">
        <v>6.550000190734863</v>
      </c>
      <c r="D114" s="37">
        <v>18.729999542236328</v>
      </c>
      <c r="E114" s="37">
        <v>80.58999633789062</v>
      </c>
      <c r="F114" s="37">
        <v>14.600000381469727</v>
      </c>
      <c r="G114" s="37">
        <v>3.200000047683716</v>
      </c>
      <c r="H114" s="37">
        <v>11.279999732971191</v>
      </c>
      <c r="I114" s="37">
        <v>34.27000045776367</v>
      </c>
      <c r="J114" s="37">
        <v>55.63999938964844</v>
      </c>
      <c r="K114" s="37">
        <v>37.29999923706055</v>
      </c>
    </row>
    <row r="115" ht="14.25" customHeight="1">
      <c r="A115" s="36">
        <v>21902.0</v>
      </c>
      <c r="B115" s="36" t="s">
        <v>140</v>
      </c>
      <c r="C115" s="37">
        <v>4.230000019073486</v>
      </c>
      <c r="D115" s="37">
        <v>13.430000305175781</v>
      </c>
      <c r="E115" s="37">
        <v>88.36000061035156</v>
      </c>
      <c r="F115" s="37">
        <v>24.010000228881836</v>
      </c>
      <c r="G115" s="37">
        <v>2.700000047683716</v>
      </c>
      <c r="H115" s="37">
        <v>15.350000381469727</v>
      </c>
      <c r="I115" s="37">
        <v>41.43000030517578</v>
      </c>
      <c r="J115" s="37">
        <v>42.16999816894531</v>
      </c>
      <c r="K115" s="37">
        <v>39.09000015258789</v>
      </c>
    </row>
    <row r="116" ht="14.25" customHeight="1">
      <c r="A116" s="36">
        <v>22001.0</v>
      </c>
      <c r="B116" s="36" t="s">
        <v>141</v>
      </c>
      <c r="C116" s="37">
        <v>9.15999984741211</v>
      </c>
      <c r="D116" s="37">
        <v>27.639999389648438</v>
      </c>
      <c r="E116" s="37">
        <v>56.060001373291016</v>
      </c>
      <c r="F116" s="37">
        <v>12.90999984741211</v>
      </c>
      <c r="G116" s="37">
        <v>5.300000190734863</v>
      </c>
      <c r="H116" s="37">
        <v>15.270000457763672</v>
      </c>
      <c r="I116" s="37">
        <v>34.41999816894531</v>
      </c>
      <c r="J116" s="37">
        <v>39.02000045776367</v>
      </c>
      <c r="K116" s="37">
        <v>41.63999938964844</v>
      </c>
    </row>
    <row r="117" ht="14.25" customHeight="1">
      <c r="A117" s="36">
        <v>22002.0</v>
      </c>
      <c r="B117" s="36" t="s">
        <v>142</v>
      </c>
      <c r="C117" s="37">
        <v>8.9399995803833</v>
      </c>
      <c r="D117" s="37">
        <v>28.610000610351562</v>
      </c>
      <c r="E117" s="37">
        <v>68.20999908447266</v>
      </c>
      <c r="F117" s="37">
        <v>11.039999961853027</v>
      </c>
      <c r="G117" s="37">
        <v>5.53000020980835</v>
      </c>
      <c r="H117" s="37">
        <v>15.9399995803833</v>
      </c>
      <c r="I117" s="37">
        <v>57.349998474121094</v>
      </c>
      <c r="J117" s="37">
        <v>52.41999816894531</v>
      </c>
      <c r="K117" s="37">
        <v>59.45000076293945</v>
      </c>
    </row>
    <row r="118" ht="14.25" customHeight="1">
      <c r="A118" s="36">
        <v>30101.0</v>
      </c>
      <c r="B118" s="36" t="s">
        <v>16</v>
      </c>
      <c r="C118" s="37">
        <v>6.550000190734863</v>
      </c>
      <c r="D118" s="37">
        <v>30.219999313354492</v>
      </c>
      <c r="E118" s="37">
        <v>12.819999694824219</v>
      </c>
      <c r="F118" s="37">
        <v>3.5299999713897705</v>
      </c>
      <c r="G118" s="37">
        <v>4.309999942779541</v>
      </c>
      <c r="H118" s="37">
        <v>10.5</v>
      </c>
      <c r="I118" s="37">
        <v>34.47999954223633</v>
      </c>
      <c r="J118" s="37">
        <v>2.819999933242798</v>
      </c>
      <c r="K118" s="37">
        <v>36.529998779296875</v>
      </c>
    </row>
    <row r="119" ht="14.25" customHeight="1">
      <c r="A119" s="36">
        <v>30201.0</v>
      </c>
      <c r="B119" s="36" t="s">
        <v>143</v>
      </c>
      <c r="C119" s="37">
        <v>21.059999465942383</v>
      </c>
      <c r="D119" s="37">
        <v>19.09000015258789</v>
      </c>
      <c r="E119" s="37">
        <v>55.7400016784668</v>
      </c>
      <c r="F119" s="37">
        <v>16.389999389648438</v>
      </c>
      <c r="G119" s="37">
        <v>5.659999847412109</v>
      </c>
      <c r="H119" s="37">
        <v>21.200000762939453</v>
      </c>
      <c r="I119" s="37">
        <v>27.65999984741211</v>
      </c>
      <c r="J119" s="37">
        <v>37.7400016784668</v>
      </c>
      <c r="K119" s="37">
        <v>56.130001068115234</v>
      </c>
    </row>
    <row r="120" ht="14.25" customHeight="1">
      <c r="A120" s="36">
        <v>30202.0</v>
      </c>
      <c r="B120" s="36" t="s">
        <v>144</v>
      </c>
      <c r="C120" s="37">
        <v>17.43000030517578</v>
      </c>
      <c r="D120" s="37">
        <v>29.329999923706055</v>
      </c>
      <c r="E120" s="37">
        <v>52.529998779296875</v>
      </c>
      <c r="F120" s="37">
        <v>13.130000114440918</v>
      </c>
      <c r="G120" s="37">
        <v>3.7100000381469727</v>
      </c>
      <c r="H120" s="37">
        <v>18.739999771118164</v>
      </c>
      <c r="I120" s="37">
        <v>24.360000610351562</v>
      </c>
      <c r="J120" s="37">
        <v>37.34000015258789</v>
      </c>
      <c r="K120" s="37">
        <v>90.45999908447266</v>
      </c>
    </row>
    <row r="121" ht="14.25" customHeight="1">
      <c r="A121" s="36">
        <v>30203.0</v>
      </c>
      <c r="B121" s="36" t="s">
        <v>145</v>
      </c>
      <c r="C121" s="37">
        <v>18.309999465942383</v>
      </c>
      <c r="D121" s="37">
        <v>45.779998779296875</v>
      </c>
      <c r="E121" s="37">
        <v>34.529998779296875</v>
      </c>
      <c r="F121" s="37">
        <v>11.989999771118164</v>
      </c>
      <c r="G121" s="37">
        <v>6.239999771118164</v>
      </c>
      <c r="H121" s="37">
        <v>28.100000381469727</v>
      </c>
      <c r="I121" s="37">
        <v>21.56999969482422</v>
      </c>
      <c r="J121" s="37">
        <v>20.190000534057617</v>
      </c>
      <c r="K121" s="37">
        <v>46.45000076293945</v>
      </c>
    </row>
    <row r="122" ht="14.25" customHeight="1">
      <c r="A122" s="36">
        <v>30301.0</v>
      </c>
      <c r="B122" s="36" t="s">
        <v>146</v>
      </c>
      <c r="C122" s="37">
        <v>27.149999618530273</v>
      </c>
      <c r="D122" s="37">
        <v>35.060001373291016</v>
      </c>
      <c r="E122" s="37">
        <v>63.2400016784668</v>
      </c>
      <c r="F122" s="37">
        <v>24.270000457763672</v>
      </c>
      <c r="G122" s="37">
        <v>5.429999828338623</v>
      </c>
      <c r="H122" s="37">
        <v>19.290000915527344</v>
      </c>
      <c r="I122" s="37">
        <v>39.560001373291016</v>
      </c>
      <c r="J122" s="37">
        <v>50.880001068115234</v>
      </c>
      <c r="K122" s="37">
        <v>85.70999908447266</v>
      </c>
    </row>
    <row r="123" ht="14.25" customHeight="1">
      <c r="A123" s="36">
        <v>30302.0</v>
      </c>
      <c r="B123" s="36" t="s">
        <v>147</v>
      </c>
      <c r="C123" s="37">
        <v>27.90999984741211</v>
      </c>
      <c r="D123" s="37">
        <v>52.7599983215332</v>
      </c>
      <c r="E123" s="37">
        <v>69.51000213623047</v>
      </c>
      <c r="F123" s="37">
        <v>25.139999389648438</v>
      </c>
      <c r="G123" s="37">
        <v>6.389999866485596</v>
      </c>
      <c r="H123" s="37">
        <v>24.489999771118164</v>
      </c>
      <c r="I123" s="37">
        <v>50.439998626708984</v>
      </c>
      <c r="J123" s="37">
        <v>53.290000915527344</v>
      </c>
      <c r="K123" s="37">
        <v>70.66999816894531</v>
      </c>
    </row>
    <row r="124" ht="14.25" customHeight="1">
      <c r="A124" s="36">
        <v>30303.0</v>
      </c>
      <c r="B124" s="36" t="s">
        <v>148</v>
      </c>
      <c r="C124" s="37">
        <v>20.290000915527344</v>
      </c>
      <c r="D124" s="37">
        <v>52.34000015258789</v>
      </c>
      <c r="E124" s="37">
        <v>77.26000213623047</v>
      </c>
      <c r="F124" s="37">
        <v>34.45000076293945</v>
      </c>
      <c r="G124" s="37">
        <v>6.650000095367432</v>
      </c>
      <c r="H124" s="37">
        <v>33.72999954223633</v>
      </c>
      <c r="I124" s="37">
        <v>66.05000305175781</v>
      </c>
      <c r="J124" s="37">
        <v>42.540000915527344</v>
      </c>
      <c r="K124" s="37">
        <v>72.33000183105469</v>
      </c>
    </row>
    <row r="125" ht="14.25" customHeight="1">
      <c r="A125" s="36">
        <v>30401.0</v>
      </c>
      <c r="B125" s="36" t="s">
        <v>149</v>
      </c>
      <c r="C125" s="37">
        <v>16.979999542236328</v>
      </c>
      <c r="D125" s="37">
        <v>40.7599983215332</v>
      </c>
      <c r="E125" s="37">
        <v>39.720001220703125</v>
      </c>
      <c r="F125" s="37">
        <v>8.300000190734863</v>
      </c>
      <c r="G125" s="37">
        <v>4.849999904632568</v>
      </c>
      <c r="H125" s="37">
        <v>14.079999923706055</v>
      </c>
      <c r="I125" s="37">
        <v>17.270000457763672</v>
      </c>
      <c r="J125" s="37">
        <v>22.709999084472656</v>
      </c>
      <c r="K125" s="37">
        <v>53.88999938964844</v>
      </c>
    </row>
    <row r="126" ht="14.25" customHeight="1">
      <c r="A126" s="36">
        <v>30402.0</v>
      </c>
      <c r="B126" s="36" t="s">
        <v>150</v>
      </c>
      <c r="C126" s="37">
        <v>25.760000228881836</v>
      </c>
      <c r="D126" s="37">
        <v>36.880001068115234</v>
      </c>
      <c r="E126" s="37">
        <v>69.27999877929688</v>
      </c>
      <c r="F126" s="37">
        <v>22.75</v>
      </c>
      <c r="G126" s="37">
        <v>5.239999771118164</v>
      </c>
      <c r="H126" s="37">
        <v>17.389999389648438</v>
      </c>
      <c r="I126" s="37">
        <v>45.56999969482422</v>
      </c>
      <c r="J126" s="37">
        <v>43.369998931884766</v>
      </c>
      <c r="K126" s="37">
        <v>80.0</v>
      </c>
    </row>
    <row r="127" ht="14.25" customHeight="1">
      <c r="A127" s="36">
        <v>30403.0</v>
      </c>
      <c r="B127" s="36" t="s">
        <v>151</v>
      </c>
      <c r="C127" s="37">
        <v>14.300000190734863</v>
      </c>
      <c r="D127" s="37">
        <v>36.849998474121094</v>
      </c>
      <c r="E127" s="37">
        <v>34.029998779296875</v>
      </c>
      <c r="F127" s="37">
        <v>8.680000305175781</v>
      </c>
      <c r="G127" s="37">
        <v>5.610000133514404</v>
      </c>
      <c r="H127" s="37">
        <v>11.930000305175781</v>
      </c>
      <c r="I127" s="37">
        <v>38.630001068115234</v>
      </c>
      <c r="J127" s="37">
        <v>17.979999542236328</v>
      </c>
      <c r="K127" s="37">
        <v>50.63999938964844</v>
      </c>
    </row>
    <row r="128" ht="14.25" customHeight="1">
      <c r="A128" s="36">
        <v>30404.0</v>
      </c>
      <c r="B128" s="36" t="s">
        <v>152</v>
      </c>
      <c r="C128" s="37">
        <v>20.670000076293945</v>
      </c>
      <c r="D128" s="37">
        <v>38.189998626708984</v>
      </c>
      <c r="E128" s="37">
        <v>67.44999694824219</v>
      </c>
      <c r="F128" s="37">
        <v>18.170000076293945</v>
      </c>
      <c r="G128" s="37">
        <v>4.960000038146973</v>
      </c>
      <c r="H128" s="37">
        <v>16.25</v>
      </c>
      <c r="I128" s="37">
        <v>32.31999969482422</v>
      </c>
      <c r="J128" s="37">
        <v>47.4900016784668</v>
      </c>
      <c r="K128" s="37">
        <v>69.6500015258789</v>
      </c>
    </row>
    <row r="129" ht="14.25" customHeight="1">
      <c r="A129" s="36">
        <v>30501.0</v>
      </c>
      <c r="B129" s="36" t="s">
        <v>153</v>
      </c>
      <c r="C129" s="37">
        <v>20.530000686645508</v>
      </c>
      <c r="D129" s="37">
        <v>36.54999923706055</v>
      </c>
      <c r="E129" s="37">
        <v>32.56999969482422</v>
      </c>
      <c r="F129" s="37">
        <v>5.579999923706055</v>
      </c>
      <c r="G129" s="37">
        <v>3.8399999141693115</v>
      </c>
      <c r="H129" s="37">
        <v>10.289999961853027</v>
      </c>
      <c r="I129" s="37">
        <v>12.039999961853027</v>
      </c>
      <c r="J129" s="37">
        <v>13.770000457763672</v>
      </c>
      <c r="K129" s="37">
        <v>43.310001373291016</v>
      </c>
    </row>
    <row r="130" ht="14.25" customHeight="1">
      <c r="A130" s="36">
        <v>30502.0</v>
      </c>
      <c r="B130" s="36" t="s">
        <v>154</v>
      </c>
      <c r="C130" s="37">
        <v>27.450000762939453</v>
      </c>
      <c r="D130" s="37">
        <v>38.31999969482422</v>
      </c>
      <c r="E130" s="37">
        <v>51.77000045776367</v>
      </c>
      <c r="F130" s="37">
        <v>16.700000762939453</v>
      </c>
      <c r="G130" s="37">
        <v>5.210000038146973</v>
      </c>
      <c r="H130" s="37">
        <v>13.25</v>
      </c>
      <c r="I130" s="37">
        <v>22.350000381469727</v>
      </c>
      <c r="J130" s="37">
        <v>27.8700008392334</v>
      </c>
      <c r="K130" s="37">
        <v>71.9800033569336</v>
      </c>
    </row>
    <row r="131" ht="14.25" customHeight="1">
      <c r="A131" s="36">
        <v>30601.0</v>
      </c>
      <c r="B131" s="36" t="s">
        <v>155</v>
      </c>
      <c r="C131" s="37">
        <v>39.79999923706055</v>
      </c>
      <c r="D131" s="37">
        <v>36.31999969482422</v>
      </c>
      <c r="E131" s="37">
        <v>73.62999725341797</v>
      </c>
      <c r="F131" s="37">
        <v>39.810001373291016</v>
      </c>
      <c r="G131" s="37">
        <v>4.789999961853027</v>
      </c>
      <c r="H131" s="37">
        <v>25.459999084472656</v>
      </c>
      <c r="I131" s="37">
        <v>45.310001373291016</v>
      </c>
      <c r="J131" s="37">
        <v>57.189998626708984</v>
      </c>
      <c r="K131" s="37">
        <v>81.41999816894531</v>
      </c>
    </row>
    <row r="132" ht="14.25" customHeight="1">
      <c r="A132" s="36">
        <v>30602.0</v>
      </c>
      <c r="B132" s="36" t="s">
        <v>156</v>
      </c>
      <c r="C132" s="37">
        <v>34.43000030517578</v>
      </c>
      <c r="D132" s="37">
        <v>39.439998626708984</v>
      </c>
      <c r="E132" s="37">
        <v>79.87000274658203</v>
      </c>
      <c r="F132" s="37">
        <v>27.31999969482422</v>
      </c>
      <c r="G132" s="37">
        <v>3.509999990463257</v>
      </c>
      <c r="H132" s="37">
        <v>24.520000457763672</v>
      </c>
      <c r="I132" s="37">
        <v>15.119999885559082</v>
      </c>
      <c r="J132" s="37">
        <v>48.86000061035156</v>
      </c>
      <c r="K132" s="37">
        <v>56.220001220703125</v>
      </c>
    </row>
    <row r="133" ht="14.25" customHeight="1">
      <c r="A133" s="36">
        <v>30701.0</v>
      </c>
      <c r="B133" s="36" t="s">
        <v>157</v>
      </c>
      <c r="C133" s="37">
        <v>17.780000686645508</v>
      </c>
      <c r="D133" s="37">
        <v>34.45000076293945</v>
      </c>
      <c r="E133" s="37">
        <v>34.0099983215332</v>
      </c>
      <c r="F133" s="37">
        <v>10.869999885559082</v>
      </c>
      <c r="G133" s="37">
        <v>6.409999847412109</v>
      </c>
      <c r="H133" s="37">
        <v>13.539999961853027</v>
      </c>
      <c r="I133" s="37">
        <v>17.739999771118164</v>
      </c>
      <c r="J133" s="37">
        <v>19.280000686645508</v>
      </c>
      <c r="K133" s="37">
        <v>52.790000915527344</v>
      </c>
    </row>
    <row r="134" ht="14.25" customHeight="1">
      <c r="A134" s="36">
        <v>30702.0</v>
      </c>
      <c r="B134" s="36" t="s">
        <v>158</v>
      </c>
      <c r="C134" s="37">
        <v>15.899999618530273</v>
      </c>
      <c r="D134" s="37">
        <v>27.920000076293945</v>
      </c>
      <c r="E134" s="37">
        <v>42.97999954223633</v>
      </c>
      <c r="F134" s="37">
        <v>6.130000114440918</v>
      </c>
      <c r="G134" s="37">
        <v>6.230000019073486</v>
      </c>
      <c r="H134" s="37">
        <v>11.069999694824219</v>
      </c>
      <c r="I134" s="37">
        <v>18.90999984741211</v>
      </c>
      <c r="J134" s="37">
        <v>22.110000610351562</v>
      </c>
      <c r="K134" s="37">
        <v>43.5</v>
      </c>
    </row>
    <row r="135" ht="14.25" customHeight="1">
      <c r="A135" s="36">
        <v>30703.0</v>
      </c>
      <c r="B135" s="36" t="s">
        <v>159</v>
      </c>
      <c r="C135" s="37">
        <v>26.229999542236328</v>
      </c>
      <c r="D135" s="37">
        <v>26.450000762939453</v>
      </c>
      <c r="E135" s="37">
        <v>58.810001373291016</v>
      </c>
      <c r="F135" s="37">
        <v>23.510000228881836</v>
      </c>
      <c r="G135" s="37">
        <v>6.679999828338623</v>
      </c>
      <c r="H135" s="37">
        <v>20.15999984741211</v>
      </c>
      <c r="I135" s="37">
        <v>26.65999984741211</v>
      </c>
      <c r="J135" s="37">
        <v>41.04999923706055</v>
      </c>
      <c r="K135" s="37">
        <v>68.5199966430664</v>
      </c>
    </row>
    <row r="136" ht="14.25" customHeight="1">
      <c r="A136" s="36">
        <v>30801.0</v>
      </c>
      <c r="B136" s="36" t="s">
        <v>160</v>
      </c>
      <c r="C136" s="37">
        <v>15.239999771118164</v>
      </c>
      <c r="D136" s="37">
        <v>39.52000045776367</v>
      </c>
      <c r="E136" s="37">
        <v>19.65999984741211</v>
      </c>
      <c r="F136" s="37">
        <v>3.640000104904175</v>
      </c>
      <c r="G136" s="37">
        <v>4.849999904632568</v>
      </c>
      <c r="H136" s="37">
        <v>11.529999732971191</v>
      </c>
      <c r="I136" s="37">
        <v>2.0899999141693115</v>
      </c>
      <c r="J136" s="37">
        <v>4.0</v>
      </c>
      <c r="K136" s="37">
        <v>30.34000015258789</v>
      </c>
    </row>
    <row r="137" ht="14.25" customHeight="1">
      <c r="A137" s="36">
        <v>30802.0</v>
      </c>
      <c r="B137" s="36" t="s">
        <v>161</v>
      </c>
      <c r="C137" s="37">
        <v>24.260000228881836</v>
      </c>
      <c r="D137" s="37">
        <v>34.08000183105469</v>
      </c>
      <c r="E137" s="37">
        <v>36.209999084472656</v>
      </c>
      <c r="F137" s="37">
        <v>4.840000152587891</v>
      </c>
      <c r="G137" s="37">
        <v>2.680000066757202</v>
      </c>
      <c r="H137" s="37">
        <v>10.65999984741211</v>
      </c>
      <c r="I137" s="37">
        <v>7.820000171661377</v>
      </c>
      <c r="J137" s="37">
        <v>9.640000343322754</v>
      </c>
      <c r="K137" s="37">
        <v>50.45000076293945</v>
      </c>
    </row>
    <row r="138" ht="14.25" customHeight="1">
      <c r="A138" s="36">
        <v>30803.0</v>
      </c>
      <c r="B138" s="36" t="s">
        <v>162</v>
      </c>
      <c r="C138" s="37">
        <v>12.630000114440918</v>
      </c>
      <c r="D138" s="37">
        <v>34.52000045776367</v>
      </c>
      <c r="E138" s="37">
        <v>16.219999313354492</v>
      </c>
      <c r="F138" s="37">
        <v>2.700000047683716</v>
      </c>
      <c r="G138" s="37">
        <v>5.28000020980835</v>
      </c>
      <c r="H138" s="37">
        <v>12.75</v>
      </c>
      <c r="I138" s="37">
        <v>23.020000457763672</v>
      </c>
      <c r="J138" s="37">
        <v>3.880000114440918</v>
      </c>
      <c r="K138" s="37">
        <v>55.36000061035156</v>
      </c>
    </row>
    <row r="139" ht="14.25" customHeight="1">
      <c r="A139" s="36">
        <v>30901.0</v>
      </c>
      <c r="B139" s="36" t="s">
        <v>163</v>
      </c>
      <c r="C139" s="37">
        <v>8.4399995803833</v>
      </c>
      <c r="D139" s="37">
        <v>30.030000686645508</v>
      </c>
      <c r="E139" s="37">
        <v>15.180000305175781</v>
      </c>
      <c r="F139" s="37">
        <v>4.03000020980835</v>
      </c>
      <c r="G139" s="37">
        <v>5.110000133514404</v>
      </c>
      <c r="H139" s="37">
        <v>11.869999885559082</v>
      </c>
      <c r="I139" s="37">
        <v>19.670000076293945</v>
      </c>
      <c r="J139" s="37">
        <v>3.0</v>
      </c>
      <c r="K139" s="37">
        <v>38.439998626708984</v>
      </c>
    </row>
    <row r="140" ht="14.25" customHeight="1">
      <c r="A140" s="36">
        <v>30902.0</v>
      </c>
      <c r="B140" s="36" t="s">
        <v>164</v>
      </c>
      <c r="C140" s="37">
        <v>15.449999809265137</v>
      </c>
      <c r="D140" s="37">
        <v>32.810001373291016</v>
      </c>
      <c r="E140" s="37">
        <v>29.520000457763672</v>
      </c>
      <c r="F140" s="37">
        <v>9.09000015258789</v>
      </c>
      <c r="G140" s="37">
        <v>6.380000114440918</v>
      </c>
      <c r="H140" s="37">
        <v>15.010000228881836</v>
      </c>
      <c r="I140" s="37">
        <v>14.829999923706055</v>
      </c>
      <c r="J140" s="37">
        <v>11.760000228881836</v>
      </c>
      <c r="K140" s="37">
        <v>45.75</v>
      </c>
    </row>
    <row r="141" ht="14.25" customHeight="1">
      <c r="A141" s="36">
        <v>30903.0</v>
      </c>
      <c r="B141" s="36" t="s">
        <v>165</v>
      </c>
      <c r="C141" s="37">
        <v>9.180000305175781</v>
      </c>
      <c r="D141" s="37">
        <v>34.880001068115234</v>
      </c>
      <c r="E141" s="37">
        <v>19.020000457763672</v>
      </c>
      <c r="F141" s="37">
        <v>5.320000171661377</v>
      </c>
      <c r="G141" s="37">
        <v>5.389999866485596</v>
      </c>
      <c r="H141" s="37">
        <v>12.930000305175781</v>
      </c>
      <c r="I141" s="37">
        <v>21.93000030517578</v>
      </c>
      <c r="J141" s="37">
        <v>5.760000228881836</v>
      </c>
      <c r="K141" s="37">
        <v>63.900001525878906</v>
      </c>
    </row>
    <row r="142" ht="14.25" customHeight="1">
      <c r="A142" s="36">
        <v>30904.0</v>
      </c>
      <c r="B142" s="36" t="s">
        <v>166</v>
      </c>
      <c r="C142" s="37">
        <v>11.359999656677246</v>
      </c>
      <c r="D142" s="37">
        <v>34.81999969482422</v>
      </c>
      <c r="E142" s="37">
        <v>21.329999923706055</v>
      </c>
      <c r="F142" s="37">
        <v>6.199999809265137</v>
      </c>
      <c r="G142" s="37">
        <v>5.679999828338623</v>
      </c>
      <c r="H142" s="37">
        <v>12.880000114440918</v>
      </c>
      <c r="I142" s="37">
        <v>18.239999771118164</v>
      </c>
      <c r="J142" s="37">
        <v>7.110000133514404</v>
      </c>
      <c r="K142" s="37">
        <v>67.08000183105469</v>
      </c>
    </row>
    <row r="143" ht="14.25" customHeight="1">
      <c r="A143" s="36">
        <v>30905.0</v>
      </c>
      <c r="B143" s="36" t="s">
        <v>167</v>
      </c>
      <c r="C143" s="37">
        <v>6.21999979019165</v>
      </c>
      <c r="D143" s="37">
        <v>32.18000030517578</v>
      </c>
      <c r="E143" s="37">
        <v>10.710000038146973</v>
      </c>
      <c r="F143" s="37">
        <v>1.840000033378601</v>
      </c>
      <c r="G143" s="37">
        <v>4.610000133514404</v>
      </c>
      <c r="H143" s="37">
        <v>10.699999809265137</v>
      </c>
      <c r="I143" s="37">
        <v>18.299999237060547</v>
      </c>
      <c r="J143" s="37">
        <v>0.5699999928474426</v>
      </c>
      <c r="K143" s="37">
        <v>28.90999984741211</v>
      </c>
    </row>
    <row r="144" ht="14.25" customHeight="1">
      <c r="A144" s="36">
        <v>31001.0</v>
      </c>
      <c r="B144" s="36" t="s">
        <v>168</v>
      </c>
      <c r="C144" s="37">
        <v>9.869999885559082</v>
      </c>
      <c r="D144" s="37">
        <v>33.189998626708984</v>
      </c>
      <c r="E144" s="37">
        <v>19.280000686645508</v>
      </c>
      <c r="F144" s="37">
        <v>4.139999866485596</v>
      </c>
      <c r="G144" s="37">
        <v>5.239999771118164</v>
      </c>
      <c r="H144" s="37">
        <v>12.489999771118164</v>
      </c>
      <c r="I144" s="37">
        <v>27.280000686645508</v>
      </c>
      <c r="J144" s="37">
        <v>6.659999847412109</v>
      </c>
      <c r="K144" s="37">
        <v>42.189998626708984</v>
      </c>
    </row>
    <row r="145" ht="14.25" customHeight="1">
      <c r="A145" s="36">
        <v>31002.0</v>
      </c>
      <c r="B145" s="36" t="s">
        <v>169</v>
      </c>
      <c r="C145" s="37">
        <v>19.93000030517578</v>
      </c>
      <c r="D145" s="37">
        <v>44.459999084472656</v>
      </c>
      <c r="E145" s="37">
        <v>45.7400016784668</v>
      </c>
      <c r="F145" s="37">
        <v>12.649999618530273</v>
      </c>
      <c r="G145" s="37">
        <v>6.329999923706055</v>
      </c>
      <c r="H145" s="37">
        <v>17.1299991607666</v>
      </c>
      <c r="I145" s="37">
        <v>30.979999542236328</v>
      </c>
      <c r="J145" s="37">
        <v>23.889999389648438</v>
      </c>
      <c r="K145" s="37">
        <v>35.45000076293945</v>
      </c>
    </row>
    <row r="146" ht="14.25" customHeight="1">
      <c r="A146" s="36">
        <v>31003.0</v>
      </c>
      <c r="B146" s="36" t="s">
        <v>170</v>
      </c>
      <c r="C146" s="37">
        <v>10.529999732971191</v>
      </c>
      <c r="D146" s="37">
        <v>40.720001220703125</v>
      </c>
      <c r="E146" s="37">
        <v>58.970001220703125</v>
      </c>
      <c r="F146" s="37">
        <v>11.369999885559082</v>
      </c>
      <c r="G146" s="37">
        <v>7.079999923706055</v>
      </c>
      <c r="H146" s="37">
        <v>15.979999542236328</v>
      </c>
      <c r="I146" s="37">
        <v>63.65999984741211</v>
      </c>
      <c r="J146" s="37">
        <v>45.29999923706055</v>
      </c>
      <c r="K146" s="37">
        <v>35.810001373291016</v>
      </c>
    </row>
    <row r="147" ht="14.25" customHeight="1">
      <c r="A147" s="36">
        <v>31101.0</v>
      </c>
      <c r="B147" s="36" t="s">
        <v>171</v>
      </c>
      <c r="C147" s="37">
        <v>31.489999771118164</v>
      </c>
      <c r="D147" s="37">
        <v>31.8799991607666</v>
      </c>
      <c r="E147" s="37">
        <v>78.04000091552734</v>
      </c>
      <c r="F147" s="37">
        <v>30.739999771118164</v>
      </c>
      <c r="G147" s="37">
        <v>4.849999904632568</v>
      </c>
      <c r="H147" s="37">
        <v>21.649999618530273</v>
      </c>
      <c r="I147" s="37">
        <v>46.5</v>
      </c>
      <c r="J147" s="37">
        <v>62.959999084472656</v>
      </c>
      <c r="K147" s="37">
        <v>87.44000244140625</v>
      </c>
    </row>
    <row r="148" ht="14.25" customHeight="1">
      <c r="A148" s="36">
        <v>31201.0</v>
      </c>
      <c r="B148" s="36" t="s">
        <v>172</v>
      </c>
      <c r="C148" s="37">
        <v>21.8700008392334</v>
      </c>
      <c r="D148" s="37">
        <v>35.4900016784668</v>
      </c>
      <c r="E148" s="37">
        <v>66.66000366210938</v>
      </c>
      <c r="F148" s="37">
        <v>16.850000381469727</v>
      </c>
      <c r="G148" s="37">
        <v>7.480000019073486</v>
      </c>
      <c r="H148" s="37">
        <v>30.600000381469727</v>
      </c>
      <c r="I148" s="37">
        <v>55.95000076293945</v>
      </c>
      <c r="J148" s="37">
        <v>49.119998931884766</v>
      </c>
      <c r="K148" s="37">
        <v>77.19000244140625</v>
      </c>
    </row>
    <row r="149" ht="14.25" customHeight="1">
      <c r="A149" s="36">
        <v>31202.0</v>
      </c>
      <c r="B149" s="36" t="s">
        <v>173</v>
      </c>
      <c r="C149" s="37">
        <v>17.299999237060547</v>
      </c>
      <c r="D149" s="37">
        <v>44.630001068115234</v>
      </c>
      <c r="E149" s="37">
        <v>62.33000183105469</v>
      </c>
      <c r="F149" s="37">
        <v>17.06999969482422</v>
      </c>
      <c r="G149" s="37">
        <v>8.029999732971191</v>
      </c>
      <c r="H149" s="37">
        <v>25.790000915527344</v>
      </c>
      <c r="I149" s="37">
        <v>65.2300033569336</v>
      </c>
      <c r="J149" s="37">
        <v>46.25</v>
      </c>
      <c r="K149" s="37">
        <v>74.52999877929688</v>
      </c>
    </row>
    <row r="150" ht="14.25" customHeight="1">
      <c r="A150" s="36">
        <v>31203.0</v>
      </c>
      <c r="B150" s="36" t="s">
        <v>174</v>
      </c>
      <c r="C150" s="37">
        <v>21.15999984741211</v>
      </c>
      <c r="D150" s="37">
        <v>36.90999984741211</v>
      </c>
      <c r="E150" s="37">
        <v>51.220001220703125</v>
      </c>
      <c r="F150" s="37">
        <v>11.6899995803833</v>
      </c>
      <c r="G150" s="37">
        <v>6.349999904632568</v>
      </c>
      <c r="H150" s="37">
        <v>20.010000228881836</v>
      </c>
      <c r="I150" s="37">
        <v>29.3799991607666</v>
      </c>
      <c r="J150" s="37">
        <v>25.139999389648438</v>
      </c>
      <c r="K150" s="37">
        <v>65.81999969482422</v>
      </c>
    </row>
    <row r="151" ht="14.25" customHeight="1">
      <c r="A151" s="36">
        <v>31204.0</v>
      </c>
      <c r="B151" s="36" t="s">
        <v>175</v>
      </c>
      <c r="C151" s="37">
        <v>8.420000076293945</v>
      </c>
      <c r="D151" s="37">
        <v>41.95000076293945</v>
      </c>
      <c r="E151" s="37">
        <v>55.349998474121094</v>
      </c>
      <c r="F151" s="37">
        <v>9.039999961853027</v>
      </c>
      <c r="G151" s="37">
        <v>8.229999542236328</v>
      </c>
      <c r="H151" s="37">
        <v>18.149999618530273</v>
      </c>
      <c r="I151" s="37">
        <v>52.16999816894531</v>
      </c>
      <c r="J151" s="37">
        <v>37.349998474121094</v>
      </c>
      <c r="K151" s="37">
        <v>46.41999816894531</v>
      </c>
    </row>
    <row r="152" ht="14.25" customHeight="1">
      <c r="A152" s="36">
        <v>31205.0</v>
      </c>
      <c r="B152" s="36" t="s">
        <v>176</v>
      </c>
      <c r="C152" s="37">
        <v>11.479999542236328</v>
      </c>
      <c r="D152" s="37">
        <v>44.31999969482422</v>
      </c>
      <c r="E152" s="37">
        <v>48.13999938964844</v>
      </c>
      <c r="F152" s="37">
        <v>6.570000171661377</v>
      </c>
      <c r="G152" s="37">
        <v>7.789999961853027</v>
      </c>
      <c r="H152" s="37">
        <v>18.3700008392334</v>
      </c>
      <c r="I152" s="37">
        <v>41.72999954223633</v>
      </c>
      <c r="J152" s="37">
        <v>34.630001068115234</v>
      </c>
      <c r="K152" s="37">
        <v>47.619998931884766</v>
      </c>
    </row>
    <row r="153" ht="14.25" customHeight="1">
      <c r="A153" s="36">
        <v>31206.0</v>
      </c>
      <c r="B153" s="36" t="s">
        <v>177</v>
      </c>
      <c r="C153" s="37">
        <v>9.739999771118164</v>
      </c>
      <c r="D153" s="37">
        <v>42.189998626708984</v>
      </c>
      <c r="E153" s="37">
        <v>50.790000915527344</v>
      </c>
      <c r="F153" s="37">
        <v>5.880000114440918</v>
      </c>
      <c r="G153" s="37">
        <v>6.860000133514404</v>
      </c>
      <c r="H153" s="37">
        <v>16.049999237060547</v>
      </c>
      <c r="I153" s="37">
        <v>38.84000015258789</v>
      </c>
      <c r="J153" s="37">
        <v>35.93000030517578</v>
      </c>
      <c r="K153" s="37">
        <v>55.400001525878906</v>
      </c>
    </row>
    <row r="154" ht="14.25" customHeight="1">
      <c r="A154" s="36">
        <v>31301.0</v>
      </c>
      <c r="B154" s="36" t="s">
        <v>178</v>
      </c>
      <c r="C154" s="37">
        <v>24.329999923706055</v>
      </c>
      <c r="D154" s="37">
        <v>41.060001373291016</v>
      </c>
      <c r="E154" s="37">
        <v>49.599998474121094</v>
      </c>
      <c r="F154" s="37">
        <v>13.15999984741211</v>
      </c>
      <c r="G154" s="37">
        <v>7.369999885559082</v>
      </c>
      <c r="H154" s="37">
        <v>21.829999923706055</v>
      </c>
      <c r="I154" s="37">
        <v>28.639999389648438</v>
      </c>
      <c r="J154" s="37">
        <v>33.540000915527344</v>
      </c>
      <c r="K154" s="37">
        <v>79.30999755859375</v>
      </c>
    </row>
    <row r="155" ht="14.25" customHeight="1">
      <c r="A155" s="36">
        <v>31302.0</v>
      </c>
      <c r="B155" s="36" t="s">
        <v>179</v>
      </c>
      <c r="C155" s="37">
        <v>36.36000061035156</v>
      </c>
      <c r="D155" s="37">
        <v>59.36000061035156</v>
      </c>
      <c r="E155" s="37">
        <v>84.19000244140625</v>
      </c>
      <c r="F155" s="37">
        <v>28.100000381469727</v>
      </c>
      <c r="G155" s="37">
        <v>5.650000095367432</v>
      </c>
      <c r="H155" s="37">
        <v>27.1200008392334</v>
      </c>
      <c r="I155" s="37">
        <v>43.130001068115234</v>
      </c>
      <c r="J155" s="37">
        <v>74.3499984741211</v>
      </c>
      <c r="K155" s="37">
        <v>78.63999938964844</v>
      </c>
    </row>
    <row r="156" ht="14.25" customHeight="1">
      <c r="A156" s="36">
        <v>31303.0</v>
      </c>
      <c r="B156" s="36" t="s">
        <v>180</v>
      </c>
      <c r="C156" s="37">
        <v>31.8700008392334</v>
      </c>
      <c r="D156" s="37">
        <v>54.5099983215332</v>
      </c>
      <c r="E156" s="37">
        <v>89.98999786376953</v>
      </c>
      <c r="F156" s="37">
        <v>28.110000610351562</v>
      </c>
      <c r="G156" s="37">
        <v>6.360000133514404</v>
      </c>
      <c r="H156" s="37">
        <v>28.040000915527344</v>
      </c>
      <c r="I156" s="37">
        <v>33.7599983215332</v>
      </c>
      <c r="J156" s="37">
        <v>85.27999877929688</v>
      </c>
      <c r="K156" s="37">
        <v>86.4000015258789</v>
      </c>
    </row>
    <row r="157" ht="14.25" customHeight="1">
      <c r="A157" s="36">
        <v>31304.0</v>
      </c>
      <c r="B157" s="36" t="s">
        <v>181</v>
      </c>
      <c r="C157" s="37">
        <v>40.869998931884766</v>
      </c>
      <c r="D157" s="37">
        <v>63.34000015258789</v>
      </c>
      <c r="E157" s="37">
        <v>87.27999877929688</v>
      </c>
      <c r="F157" s="37">
        <v>42.27000045776367</v>
      </c>
      <c r="G157" s="37">
        <v>6.349999904632568</v>
      </c>
      <c r="H157" s="37">
        <v>25.420000076293945</v>
      </c>
      <c r="I157" s="37">
        <v>77.91000366210938</v>
      </c>
      <c r="J157" s="37">
        <v>77.11000061035156</v>
      </c>
      <c r="K157" s="37">
        <v>96.66999816894531</v>
      </c>
    </row>
    <row r="158" ht="14.25" customHeight="1">
      <c r="A158" s="36">
        <v>31401.0</v>
      </c>
      <c r="B158" s="36" t="s">
        <v>182</v>
      </c>
      <c r="C158" s="37">
        <v>13.420000076293945</v>
      </c>
      <c r="D158" s="37">
        <v>23.639999389648438</v>
      </c>
      <c r="E158" s="37">
        <v>17.899999618530273</v>
      </c>
      <c r="F158" s="37">
        <v>2.9600000381469727</v>
      </c>
      <c r="G158" s="37">
        <v>3.9200000762939453</v>
      </c>
      <c r="H158" s="37">
        <v>10.0600004196167</v>
      </c>
      <c r="I158" s="37">
        <v>12.010000228881836</v>
      </c>
      <c r="J158" s="37">
        <v>3.3499999046325684</v>
      </c>
      <c r="K158" s="37">
        <v>38.47999954223633</v>
      </c>
    </row>
    <row r="159" ht="14.25" customHeight="1">
      <c r="A159" s="36">
        <v>31402.0</v>
      </c>
      <c r="B159" s="36" t="s">
        <v>183</v>
      </c>
      <c r="C159" s="37">
        <v>16.979999542236328</v>
      </c>
      <c r="D159" s="37">
        <v>36.060001373291016</v>
      </c>
      <c r="E159" s="37">
        <v>31.059999465942383</v>
      </c>
      <c r="F159" s="37">
        <v>7.360000133514404</v>
      </c>
      <c r="G159" s="37">
        <v>4.539999961853027</v>
      </c>
      <c r="H159" s="37">
        <v>9.890000343322754</v>
      </c>
      <c r="I159" s="37">
        <v>11.460000038146973</v>
      </c>
      <c r="J159" s="37">
        <v>9.380000114440918</v>
      </c>
      <c r="K159" s="37">
        <v>56.41999816894531</v>
      </c>
    </row>
    <row r="160" ht="14.25" customHeight="1">
      <c r="A160" s="36">
        <v>31403.0</v>
      </c>
      <c r="B160" s="36" t="s">
        <v>184</v>
      </c>
      <c r="C160" s="37">
        <v>15.680000305175781</v>
      </c>
      <c r="D160" s="37">
        <v>35.349998474121094</v>
      </c>
      <c r="E160" s="37">
        <v>20.90999984741211</v>
      </c>
      <c r="F160" s="37">
        <v>4.429999828338623</v>
      </c>
      <c r="G160" s="37">
        <v>3.5999999046325684</v>
      </c>
      <c r="H160" s="37">
        <v>12.449999809265137</v>
      </c>
      <c r="I160" s="37">
        <v>7.5</v>
      </c>
      <c r="J160" s="37">
        <v>6.619999885559082</v>
      </c>
      <c r="K160" s="37">
        <v>65.61000061035156</v>
      </c>
    </row>
    <row r="161" ht="14.25" customHeight="1">
      <c r="A161" s="36">
        <v>31404.0</v>
      </c>
      <c r="B161" s="36" t="s">
        <v>185</v>
      </c>
      <c r="C161" s="37">
        <v>15.199999809265137</v>
      </c>
      <c r="D161" s="37">
        <v>43.75</v>
      </c>
      <c r="E161" s="37">
        <v>41.439998626708984</v>
      </c>
      <c r="F161" s="37">
        <v>5.28000020980835</v>
      </c>
      <c r="G161" s="37">
        <v>4.800000190734863</v>
      </c>
      <c r="H161" s="37">
        <v>16.59000015258789</v>
      </c>
      <c r="I161" s="37">
        <v>34.95000076293945</v>
      </c>
      <c r="J161" s="37">
        <v>10.34000015258789</v>
      </c>
      <c r="K161" s="37">
        <v>77.01000213623047</v>
      </c>
    </row>
    <row r="162" ht="14.25" customHeight="1">
      <c r="A162" s="36">
        <v>31405.0</v>
      </c>
      <c r="B162" s="36" t="s">
        <v>186</v>
      </c>
      <c r="C162" s="37">
        <v>19.329999923706055</v>
      </c>
      <c r="D162" s="37">
        <v>43.040000915527344</v>
      </c>
      <c r="E162" s="37">
        <v>60.95000076293945</v>
      </c>
      <c r="F162" s="37">
        <v>10.4399995803833</v>
      </c>
      <c r="G162" s="37">
        <v>2.4700000286102295</v>
      </c>
      <c r="H162" s="37">
        <v>9.390000343322754</v>
      </c>
      <c r="I162" s="37">
        <v>25.020000457763672</v>
      </c>
      <c r="J162" s="37">
        <v>33.900001525878906</v>
      </c>
      <c r="K162" s="37">
        <v>62.5099983215332</v>
      </c>
    </row>
    <row r="163" ht="14.25" customHeight="1">
      <c r="A163" s="36">
        <v>31501.0</v>
      </c>
      <c r="B163" s="36" t="s">
        <v>187</v>
      </c>
      <c r="C163" s="37">
        <v>30.329999923706055</v>
      </c>
      <c r="D163" s="37">
        <v>34.369998931884766</v>
      </c>
      <c r="E163" s="37">
        <v>70.69000244140625</v>
      </c>
      <c r="F163" s="37">
        <v>30.350000381469727</v>
      </c>
      <c r="G163" s="37">
        <v>3.440000057220459</v>
      </c>
      <c r="H163" s="37">
        <v>26.420000076293945</v>
      </c>
      <c r="I163" s="37">
        <v>17.3799991607666</v>
      </c>
      <c r="J163" s="37">
        <v>45.61000061035156</v>
      </c>
      <c r="K163" s="37">
        <v>94.08999633789062</v>
      </c>
    </row>
    <row r="164" ht="14.25" customHeight="1">
      <c r="A164" s="36">
        <v>31601.0</v>
      </c>
      <c r="B164" s="36" t="s">
        <v>188</v>
      </c>
      <c r="C164" s="37">
        <v>18.469999313354492</v>
      </c>
      <c r="D164" s="37">
        <v>50.540000915527344</v>
      </c>
      <c r="E164" s="37">
        <v>42.40999984741211</v>
      </c>
      <c r="F164" s="37">
        <v>13.960000038146973</v>
      </c>
      <c r="G164" s="37">
        <v>5.78000020980835</v>
      </c>
      <c r="H164" s="37">
        <v>17.8700008392334</v>
      </c>
      <c r="I164" s="37">
        <v>18.5</v>
      </c>
      <c r="J164" s="37">
        <v>19.110000610351562</v>
      </c>
      <c r="K164" s="37">
        <v>51.59000015258789</v>
      </c>
    </row>
    <row r="165" ht="14.25" customHeight="1">
      <c r="A165" s="36">
        <v>31602.0</v>
      </c>
      <c r="B165" s="36" t="s">
        <v>189</v>
      </c>
      <c r="C165" s="37">
        <v>11.770000457763672</v>
      </c>
      <c r="D165" s="37">
        <v>44.86000061035156</v>
      </c>
      <c r="E165" s="37">
        <v>49.61000061035156</v>
      </c>
      <c r="F165" s="37">
        <v>4.590000152587891</v>
      </c>
      <c r="G165" s="37">
        <v>8.15999984741211</v>
      </c>
      <c r="H165" s="37">
        <v>16.780000686645508</v>
      </c>
      <c r="I165" s="37">
        <v>31.34000015258789</v>
      </c>
      <c r="J165" s="37">
        <v>34.93000030517578</v>
      </c>
      <c r="K165" s="37">
        <v>27.540000915527344</v>
      </c>
    </row>
    <row r="166" ht="14.25" customHeight="1">
      <c r="A166" s="36">
        <v>40101.0</v>
      </c>
      <c r="B166" s="36" t="s">
        <v>18</v>
      </c>
      <c r="C166" s="37">
        <v>5.650000095367432</v>
      </c>
      <c r="D166" s="37">
        <v>22.940000534057617</v>
      </c>
      <c r="E166" s="37">
        <v>15.359999656677246</v>
      </c>
      <c r="F166" s="37">
        <v>4.800000190734863</v>
      </c>
      <c r="G166" s="37">
        <v>3.7899999618530273</v>
      </c>
      <c r="H166" s="37">
        <v>9.119999885559082</v>
      </c>
      <c r="I166" s="37">
        <v>4.210000038146973</v>
      </c>
      <c r="J166" s="37">
        <v>4.440000057220459</v>
      </c>
      <c r="K166" s="37">
        <v>30.860000610351562</v>
      </c>
    </row>
    <row r="167" ht="14.25" customHeight="1">
      <c r="A167" s="36">
        <v>40102.0</v>
      </c>
      <c r="B167" s="36" t="s">
        <v>190</v>
      </c>
      <c r="C167" s="37">
        <v>10.210000038146973</v>
      </c>
      <c r="D167" s="37">
        <v>28.6200008392334</v>
      </c>
      <c r="E167" s="37">
        <v>45.790000915527344</v>
      </c>
      <c r="F167" s="37">
        <v>15.520000457763672</v>
      </c>
      <c r="G167" s="37">
        <v>4.0</v>
      </c>
      <c r="H167" s="37">
        <v>13.479999542236328</v>
      </c>
      <c r="I167" s="37">
        <v>49.38999938964844</v>
      </c>
      <c r="J167" s="37">
        <v>26.219999313354492</v>
      </c>
      <c r="K167" s="37">
        <v>74.31999969482422</v>
      </c>
    </row>
    <row r="168" ht="14.25" customHeight="1">
      <c r="A168" s="36">
        <v>40103.0</v>
      </c>
      <c r="B168" s="36" t="s">
        <v>191</v>
      </c>
      <c r="C168" s="37">
        <v>7.699999809265137</v>
      </c>
      <c r="D168" s="37">
        <v>19.049999237060547</v>
      </c>
      <c r="E168" s="37">
        <v>86.06999969482422</v>
      </c>
      <c r="F168" s="37">
        <v>15.210000038146973</v>
      </c>
      <c r="G168" s="37">
        <v>3.2799999713897705</v>
      </c>
      <c r="H168" s="37">
        <v>11.069999694824219</v>
      </c>
      <c r="I168" s="37">
        <v>97.0</v>
      </c>
      <c r="J168" s="37">
        <v>80.08999633789062</v>
      </c>
      <c r="K168" s="37">
        <v>97.54000091552734</v>
      </c>
    </row>
    <row r="169" ht="14.25" customHeight="1">
      <c r="A169" s="36">
        <v>40104.0</v>
      </c>
      <c r="B169" s="36" t="s">
        <v>192</v>
      </c>
      <c r="C169" s="37">
        <v>15.8100004196167</v>
      </c>
      <c r="D169" s="37">
        <v>29.209999084472656</v>
      </c>
      <c r="E169" s="37">
        <v>46.630001068115234</v>
      </c>
      <c r="F169" s="37">
        <v>18.719999313354492</v>
      </c>
      <c r="G169" s="37">
        <v>3.6700000762939453</v>
      </c>
      <c r="H169" s="37">
        <v>19.549999237060547</v>
      </c>
      <c r="I169" s="37">
        <v>25.540000915527344</v>
      </c>
      <c r="J169" s="37">
        <v>18.899999618530273</v>
      </c>
      <c r="K169" s="37">
        <v>91.30999755859375</v>
      </c>
    </row>
    <row r="170" ht="14.25" customHeight="1">
      <c r="A170" s="36">
        <v>40201.0</v>
      </c>
      <c r="B170" s="36" t="s">
        <v>193</v>
      </c>
      <c r="C170" s="37">
        <v>16.459999084472656</v>
      </c>
      <c r="D170" s="37">
        <v>14.539999961853027</v>
      </c>
      <c r="E170" s="37">
        <v>53.7599983215332</v>
      </c>
      <c r="F170" s="37">
        <v>17.8700008392334</v>
      </c>
      <c r="G170" s="37">
        <v>4.230000019073486</v>
      </c>
      <c r="H170" s="37">
        <v>15.59000015258789</v>
      </c>
      <c r="I170" s="37">
        <v>25.639999389648438</v>
      </c>
      <c r="J170" s="37">
        <v>27.6200008392334</v>
      </c>
      <c r="K170" s="37">
        <v>71.91999816894531</v>
      </c>
    </row>
    <row r="171" ht="14.25" customHeight="1">
      <c r="A171" s="36">
        <v>40202.0</v>
      </c>
      <c r="B171" s="36" t="s">
        <v>194</v>
      </c>
      <c r="C171" s="37">
        <v>8.460000038146973</v>
      </c>
      <c r="D171" s="37">
        <v>20.989999771118164</v>
      </c>
      <c r="E171" s="37">
        <v>50.459999084472656</v>
      </c>
      <c r="F171" s="37">
        <v>13.600000381469727</v>
      </c>
      <c r="G171" s="37">
        <v>3.049999952316284</v>
      </c>
      <c r="H171" s="37">
        <v>8.300000190734863</v>
      </c>
      <c r="I171" s="37">
        <v>39.630001068115234</v>
      </c>
      <c r="J171" s="37">
        <v>35.38999938964844</v>
      </c>
      <c r="K171" s="37">
        <v>76.5999984741211</v>
      </c>
    </row>
    <row r="172" ht="14.25" customHeight="1">
      <c r="A172" s="36">
        <v>40301.0</v>
      </c>
      <c r="B172" s="36" t="s">
        <v>195</v>
      </c>
      <c r="C172" s="37">
        <v>11.430000305175781</v>
      </c>
      <c r="D172" s="37">
        <v>20.31999969482422</v>
      </c>
      <c r="E172" s="37">
        <v>67.94000244140625</v>
      </c>
      <c r="F172" s="37">
        <v>18.690000534057617</v>
      </c>
      <c r="G172" s="37">
        <v>3.9700000286102295</v>
      </c>
      <c r="H172" s="37">
        <v>9.380000114440918</v>
      </c>
      <c r="I172" s="37">
        <v>68.2699966430664</v>
      </c>
      <c r="J172" s="37">
        <v>51.84000015258789</v>
      </c>
      <c r="K172" s="37">
        <v>95.52999877929688</v>
      </c>
    </row>
    <row r="173" ht="14.25" customHeight="1">
      <c r="A173" s="36">
        <v>40302.0</v>
      </c>
      <c r="B173" s="36" t="s">
        <v>196</v>
      </c>
      <c r="C173" s="37">
        <v>11.729999542236328</v>
      </c>
      <c r="D173" s="37">
        <v>28.040000915527344</v>
      </c>
      <c r="E173" s="37">
        <v>72.66999816894531</v>
      </c>
      <c r="F173" s="37">
        <v>16.860000610351562</v>
      </c>
      <c r="G173" s="37">
        <v>3.5299999713897705</v>
      </c>
      <c r="H173" s="37">
        <v>11.5</v>
      </c>
      <c r="I173" s="37">
        <v>63.5</v>
      </c>
      <c r="J173" s="37">
        <v>52.11000061035156</v>
      </c>
      <c r="K173" s="37">
        <v>81.12999725341797</v>
      </c>
    </row>
    <row r="174" ht="14.25" customHeight="1">
      <c r="A174" s="36">
        <v>40401.0</v>
      </c>
      <c r="B174" s="36" t="s">
        <v>197</v>
      </c>
      <c r="C174" s="37">
        <v>11.779999732971191</v>
      </c>
      <c r="D174" s="37">
        <v>9.119999885559082</v>
      </c>
      <c r="E174" s="37">
        <v>51.560001373291016</v>
      </c>
      <c r="F174" s="37">
        <v>16.6200008392334</v>
      </c>
      <c r="G174" s="37">
        <v>6.53000020980835</v>
      </c>
      <c r="H174" s="37">
        <v>10.550000190734863</v>
      </c>
      <c r="I174" s="37">
        <v>36.40999984741211</v>
      </c>
      <c r="J174" s="37">
        <v>29.719999313354492</v>
      </c>
      <c r="K174" s="37">
        <v>61.4900016784668</v>
      </c>
    </row>
    <row r="175" ht="14.25" customHeight="1">
      <c r="A175" s="36">
        <v>40402.0</v>
      </c>
      <c r="B175" s="36" t="s">
        <v>198</v>
      </c>
      <c r="C175" s="37">
        <v>9.399999618530273</v>
      </c>
      <c r="D175" s="37">
        <v>15.489999771118164</v>
      </c>
      <c r="E175" s="37">
        <v>55.61000061035156</v>
      </c>
      <c r="F175" s="37">
        <v>16.6200008392334</v>
      </c>
      <c r="G175" s="37">
        <v>4.420000076293945</v>
      </c>
      <c r="H175" s="37">
        <v>8.920000076293945</v>
      </c>
      <c r="I175" s="37">
        <v>57.09000015258789</v>
      </c>
      <c r="J175" s="37">
        <v>38.84000015258789</v>
      </c>
      <c r="K175" s="37">
        <v>69.91999816894531</v>
      </c>
    </row>
    <row r="176" ht="14.25" customHeight="1">
      <c r="A176" s="36">
        <v>40501.0</v>
      </c>
      <c r="B176" s="36" t="s">
        <v>199</v>
      </c>
      <c r="C176" s="37">
        <v>4.5</v>
      </c>
      <c r="D176" s="37">
        <v>8.25</v>
      </c>
      <c r="E176" s="37">
        <v>29.690000534057617</v>
      </c>
      <c r="F176" s="37">
        <v>6.289999961853027</v>
      </c>
      <c r="G176" s="37">
        <v>1.5299999713897705</v>
      </c>
      <c r="H176" s="37">
        <v>5.400000095367432</v>
      </c>
      <c r="I176" s="37">
        <v>3.299999952316284</v>
      </c>
      <c r="J176" s="37">
        <v>4.949999809265137</v>
      </c>
      <c r="K176" s="37">
        <v>22.940000534057617</v>
      </c>
    </row>
    <row r="177" ht="14.25" customHeight="1">
      <c r="A177" s="36">
        <v>40502.0</v>
      </c>
      <c r="B177" s="36" t="s">
        <v>200</v>
      </c>
      <c r="C177" s="37">
        <v>6.670000076293945</v>
      </c>
      <c r="D177" s="37">
        <v>18.1200008392334</v>
      </c>
      <c r="E177" s="37">
        <v>69.80000305175781</v>
      </c>
      <c r="F177" s="37">
        <v>20.149999618530273</v>
      </c>
      <c r="G177" s="37">
        <v>1.7899999618530273</v>
      </c>
      <c r="H177" s="37">
        <v>9.239999771118164</v>
      </c>
      <c r="I177" s="37">
        <v>65.66000366210938</v>
      </c>
      <c r="J177" s="37">
        <v>47.060001373291016</v>
      </c>
      <c r="K177" s="37">
        <v>94.69000244140625</v>
      </c>
    </row>
    <row r="178" ht="14.25" customHeight="1">
      <c r="A178" s="36">
        <v>40503.0</v>
      </c>
      <c r="B178" s="36" t="s">
        <v>201</v>
      </c>
      <c r="C178" s="37">
        <v>6.039999961853027</v>
      </c>
      <c r="D178" s="37">
        <v>15.670000076293945</v>
      </c>
      <c r="E178" s="37">
        <v>74.08999633789062</v>
      </c>
      <c r="F178" s="37">
        <v>21.209999084472656</v>
      </c>
      <c r="G178" s="37">
        <v>3.0399999618530273</v>
      </c>
      <c r="H178" s="37">
        <v>12.1899995803833</v>
      </c>
      <c r="I178" s="37">
        <v>34.40999984741211</v>
      </c>
      <c r="J178" s="37">
        <v>52.02000045776367</v>
      </c>
      <c r="K178" s="37">
        <v>94.11000061035156</v>
      </c>
    </row>
    <row r="179" ht="14.25" customHeight="1">
      <c r="A179" s="36">
        <v>40504.0</v>
      </c>
      <c r="B179" s="36" t="s">
        <v>202</v>
      </c>
      <c r="C179" s="37">
        <v>0.0</v>
      </c>
      <c r="D179" s="37">
        <v>10.140000343322754</v>
      </c>
      <c r="E179" s="37">
        <v>71.7300033569336</v>
      </c>
      <c r="F179" s="37">
        <v>22.68000030517578</v>
      </c>
      <c r="G179" s="37">
        <v>4.130000114440918</v>
      </c>
      <c r="H179" s="37">
        <v>8.579999923706055</v>
      </c>
      <c r="I179" s="37">
        <v>23.979999542236328</v>
      </c>
      <c r="J179" s="37">
        <v>50.099998474121094</v>
      </c>
      <c r="K179" s="37">
        <v>98.44000244140625</v>
      </c>
    </row>
    <row r="180" ht="14.25" customHeight="1">
      <c r="A180" s="36">
        <v>40505.0</v>
      </c>
      <c r="B180" s="36" t="s">
        <v>203</v>
      </c>
      <c r="C180" s="37">
        <v>4.320000171661377</v>
      </c>
      <c r="D180" s="37">
        <v>16.739999771118164</v>
      </c>
      <c r="E180" s="37">
        <v>44.310001373291016</v>
      </c>
      <c r="F180" s="37">
        <v>17.959999084472656</v>
      </c>
      <c r="G180" s="37">
        <v>2.7200000286102295</v>
      </c>
      <c r="H180" s="37">
        <v>12.829999923706055</v>
      </c>
      <c r="I180" s="37">
        <v>16.110000610351562</v>
      </c>
      <c r="J180" s="37">
        <v>17.6299991607666</v>
      </c>
      <c r="K180" s="37">
        <v>87.91000366210938</v>
      </c>
    </row>
    <row r="181" ht="14.25" customHeight="1">
      <c r="A181" s="36">
        <v>40601.0</v>
      </c>
      <c r="B181" s="36" t="s">
        <v>204</v>
      </c>
      <c r="C181" s="37">
        <v>12.079999923706055</v>
      </c>
      <c r="D181" s="37">
        <v>13.289999961853027</v>
      </c>
      <c r="E181" s="37">
        <v>44.709999084472656</v>
      </c>
      <c r="F181" s="37">
        <v>6.539999961853027</v>
      </c>
      <c r="G181" s="37">
        <v>3.6700000762939453</v>
      </c>
      <c r="H181" s="37">
        <v>8.510000228881836</v>
      </c>
      <c r="I181" s="37">
        <v>20.25</v>
      </c>
      <c r="J181" s="37">
        <v>23.389999389648438</v>
      </c>
      <c r="K181" s="37">
        <v>68.0</v>
      </c>
    </row>
    <row r="182" ht="14.25" customHeight="1">
      <c r="A182" s="36">
        <v>40602.0</v>
      </c>
      <c r="B182" s="36" t="s">
        <v>205</v>
      </c>
      <c r="C182" s="37">
        <v>13.109999656677246</v>
      </c>
      <c r="D182" s="37">
        <v>20.280000686645508</v>
      </c>
      <c r="E182" s="37">
        <v>32.95000076293945</v>
      </c>
      <c r="F182" s="37">
        <v>9.869999885559082</v>
      </c>
      <c r="G182" s="37">
        <v>3.8499999046325684</v>
      </c>
      <c r="H182" s="37">
        <v>7.590000152587891</v>
      </c>
      <c r="I182" s="37">
        <v>26.34000015258789</v>
      </c>
      <c r="J182" s="37">
        <v>16.469999313354492</v>
      </c>
      <c r="K182" s="37">
        <v>84.6500015258789</v>
      </c>
    </row>
    <row r="183" ht="14.25" customHeight="1">
      <c r="A183" s="36">
        <v>40603.0</v>
      </c>
      <c r="B183" s="36" t="s">
        <v>206</v>
      </c>
      <c r="C183" s="37">
        <v>7.809999942779541</v>
      </c>
      <c r="D183" s="37">
        <v>23.8799991607666</v>
      </c>
      <c r="E183" s="37">
        <v>30.200000762939453</v>
      </c>
      <c r="F183" s="37">
        <v>7.75</v>
      </c>
      <c r="G183" s="37">
        <v>3.430000066757202</v>
      </c>
      <c r="H183" s="37">
        <v>6.840000152587891</v>
      </c>
      <c r="I183" s="37">
        <v>18.09000015258789</v>
      </c>
      <c r="J183" s="37">
        <v>13.40999984741211</v>
      </c>
      <c r="K183" s="37">
        <v>69.1500015258789</v>
      </c>
    </row>
    <row r="184" ht="14.25" customHeight="1">
      <c r="A184" s="36">
        <v>40701.0</v>
      </c>
      <c r="B184" s="36" t="s">
        <v>207</v>
      </c>
      <c r="C184" s="37">
        <v>7.489999771118164</v>
      </c>
      <c r="D184" s="37">
        <v>32.630001068115234</v>
      </c>
      <c r="E184" s="37">
        <v>18.479999542236328</v>
      </c>
      <c r="F184" s="37">
        <v>5.460000038146973</v>
      </c>
      <c r="G184" s="37">
        <v>4.710000038146973</v>
      </c>
      <c r="H184" s="37">
        <v>9.3100004196167</v>
      </c>
      <c r="I184" s="37">
        <v>9.329999923706055</v>
      </c>
      <c r="J184" s="37">
        <v>3.490000009536743</v>
      </c>
      <c r="K184" s="37">
        <v>53.86000061035156</v>
      </c>
    </row>
    <row r="185" ht="14.25" customHeight="1">
      <c r="A185" s="36">
        <v>40702.0</v>
      </c>
      <c r="B185" s="36" t="s">
        <v>208</v>
      </c>
      <c r="C185" s="37">
        <v>11.550000190734863</v>
      </c>
      <c r="D185" s="37">
        <v>21.3700008392334</v>
      </c>
      <c r="E185" s="37">
        <v>24.920000076293945</v>
      </c>
      <c r="F185" s="37">
        <v>5.800000190734863</v>
      </c>
      <c r="G185" s="37">
        <v>3.240000009536743</v>
      </c>
      <c r="H185" s="37">
        <v>7.550000190734863</v>
      </c>
      <c r="I185" s="37">
        <v>23.989999771118164</v>
      </c>
      <c r="J185" s="37">
        <v>8.520000457763672</v>
      </c>
      <c r="K185" s="37">
        <v>58.27000045776367</v>
      </c>
    </row>
    <row r="186" ht="14.25" customHeight="1">
      <c r="A186" s="36">
        <v>40801.0</v>
      </c>
      <c r="B186" s="36" t="s">
        <v>209</v>
      </c>
      <c r="C186" s="37">
        <v>5.980000019073486</v>
      </c>
      <c r="D186" s="37">
        <v>19.770000457763672</v>
      </c>
      <c r="E186" s="37">
        <v>58.540000915527344</v>
      </c>
      <c r="F186" s="37">
        <v>14.279999732971191</v>
      </c>
      <c r="G186" s="37">
        <v>3.930000066757202</v>
      </c>
      <c r="H186" s="37">
        <v>11.5</v>
      </c>
      <c r="I186" s="37">
        <v>42.720001220703125</v>
      </c>
      <c r="J186" s="37">
        <v>31.829999923706055</v>
      </c>
      <c r="K186" s="37">
        <v>84.27999877929688</v>
      </c>
    </row>
    <row r="187" ht="14.25" customHeight="1">
      <c r="A187" s="36">
        <v>40802.0</v>
      </c>
      <c r="B187" s="36" t="s">
        <v>210</v>
      </c>
      <c r="C187" s="37">
        <v>13.609999656677246</v>
      </c>
      <c r="D187" s="37">
        <v>25.270000457763672</v>
      </c>
      <c r="E187" s="37">
        <v>50.9900016784668</v>
      </c>
      <c r="F187" s="37">
        <v>17.219999313354492</v>
      </c>
      <c r="G187" s="37">
        <v>3.8299999237060547</v>
      </c>
      <c r="H187" s="37">
        <v>10.539999961853027</v>
      </c>
      <c r="I187" s="37">
        <v>51.709999084472656</v>
      </c>
      <c r="J187" s="37">
        <v>35.5</v>
      </c>
      <c r="K187" s="37">
        <v>80.45999908447266</v>
      </c>
    </row>
    <row r="188" ht="14.25" customHeight="1">
      <c r="A188" s="36">
        <v>40901.0</v>
      </c>
      <c r="B188" s="36" t="s">
        <v>211</v>
      </c>
      <c r="C188" s="37">
        <v>4.309999942779541</v>
      </c>
      <c r="D188" s="37">
        <v>13.989999771118164</v>
      </c>
      <c r="E188" s="37">
        <v>51.91999816894531</v>
      </c>
      <c r="F188" s="37">
        <v>21.600000381469727</v>
      </c>
      <c r="G188" s="37">
        <v>3.5799999237060547</v>
      </c>
      <c r="H188" s="37">
        <v>10.390000343322754</v>
      </c>
      <c r="I188" s="37">
        <v>34.970001220703125</v>
      </c>
      <c r="J188" s="37">
        <v>24.760000228881836</v>
      </c>
      <c r="K188" s="37">
        <v>89.20999908447266</v>
      </c>
    </row>
    <row r="189" ht="14.25" customHeight="1">
      <c r="A189" s="36">
        <v>40902.0</v>
      </c>
      <c r="B189" s="36" t="s">
        <v>212</v>
      </c>
      <c r="C189" s="37">
        <v>0.6899999976158142</v>
      </c>
      <c r="D189" s="37">
        <v>15.220000267028809</v>
      </c>
      <c r="E189" s="37">
        <v>33.40999984741211</v>
      </c>
      <c r="F189" s="37">
        <v>17.549999237060547</v>
      </c>
      <c r="G189" s="37">
        <v>8.479999542236328</v>
      </c>
      <c r="H189" s="37">
        <v>9.270000457763672</v>
      </c>
      <c r="I189" s="37">
        <v>86.04000091552734</v>
      </c>
      <c r="J189" s="37">
        <v>21.850000381469727</v>
      </c>
      <c r="K189" s="37">
        <v>97.4800033569336</v>
      </c>
    </row>
    <row r="190" ht="14.25" customHeight="1">
      <c r="A190" s="36">
        <v>40903.0</v>
      </c>
      <c r="B190" s="36" t="s">
        <v>213</v>
      </c>
      <c r="C190" s="37">
        <v>5.210000038146973</v>
      </c>
      <c r="D190" s="37">
        <v>18.940000534057617</v>
      </c>
      <c r="E190" s="37">
        <v>53.84000015258789</v>
      </c>
      <c r="F190" s="37">
        <v>21.200000762939453</v>
      </c>
      <c r="G190" s="37">
        <v>9.770000457763672</v>
      </c>
      <c r="H190" s="37">
        <v>22.799999237060547</v>
      </c>
      <c r="I190" s="37">
        <v>52.880001068115234</v>
      </c>
      <c r="J190" s="37">
        <v>24.600000381469727</v>
      </c>
      <c r="K190" s="37">
        <v>63.029998779296875</v>
      </c>
    </row>
    <row r="191" ht="14.25" customHeight="1">
      <c r="A191" s="36">
        <v>41001.0</v>
      </c>
      <c r="B191" s="36" t="s">
        <v>214</v>
      </c>
      <c r="C191" s="37">
        <v>9.010000228881836</v>
      </c>
      <c r="D191" s="37">
        <v>17.790000915527344</v>
      </c>
      <c r="E191" s="37">
        <v>73.4000015258789</v>
      </c>
      <c r="F191" s="37">
        <v>12.680000305175781</v>
      </c>
      <c r="G191" s="37">
        <v>2.5899999141693115</v>
      </c>
      <c r="H191" s="37">
        <v>8.890000343322754</v>
      </c>
      <c r="I191" s="37">
        <v>75.54000091552734</v>
      </c>
      <c r="J191" s="37">
        <v>57.310001373291016</v>
      </c>
      <c r="K191" s="37">
        <v>93.44000244140625</v>
      </c>
    </row>
    <row r="192" ht="14.25" customHeight="1">
      <c r="A192" s="36">
        <v>41101.0</v>
      </c>
      <c r="B192" s="36" t="s">
        <v>215</v>
      </c>
      <c r="C192" s="37">
        <v>11.449999809265137</v>
      </c>
      <c r="D192" s="37">
        <v>24.889999389648438</v>
      </c>
      <c r="E192" s="37">
        <v>39.33000183105469</v>
      </c>
      <c r="F192" s="37">
        <v>13.539999961853027</v>
      </c>
      <c r="G192" s="37">
        <v>3.5299999713897705</v>
      </c>
      <c r="H192" s="37">
        <v>11.5</v>
      </c>
      <c r="I192" s="37">
        <v>27.600000381469727</v>
      </c>
      <c r="J192" s="37">
        <v>15.229999542236328</v>
      </c>
      <c r="K192" s="37">
        <v>86.06999969482422</v>
      </c>
    </row>
    <row r="193" ht="14.25" customHeight="1">
      <c r="A193" s="36">
        <v>41201.0</v>
      </c>
      <c r="B193" s="36" t="s">
        <v>216</v>
      </c>
      <c r="C193" s="37">
        <v>10.600000381469727</v>
      </c>
      <c r="D193" s="37">
        <v>16.860000610351562</v>
      </c>
      <c r="E193" s="37">
        <v>70.36000061035156</v>
      </c>
      <c r="F193" s="37">
        <v>14.760000228881836</v>
      </c>
      <c r="G193" s="37">
        <v>2.9200000762939453</v>
      </c>
      <c r="H193" s="37">
        <v>8.720000267028809</v>
      </c>
      <c r="I193" s="37">
        <v>57.54999923706055</v>
      </c>
      <c r="J193" s="37">
        <v>51.91999816894531</v>
      </c>
      <c r="K193" s="37">
        <v>94.43000030517578</v>
      </c>
    </row>
    <row r="194" ht="14.25" customHeight="1">
      <c r="A194" s="36">
        <v>41202.0</v>
      </c>
      <c r="B194" s="36" t="s">
        <v>217</v>
      </c>
      <c r="C194" s="37">
        <v>9.65999984741211</v>
      </c>
      <c r="D194" s="37">
        <v>20.420000076293945</v>
      </c>
      <c r="E194" s="37">
        <v>73.16000366210938</v>
      </c>
      <c r="F194" s="37">
        <v>12.4399995803833</v>
      </c>
      <c r="G194" s="37">
        <v>3.4700000286102295</v>
      </c>
      <c r="H194" s="37">
        <v>7.230000019073486</v>
      </c>
      <c r="I194" s="37">
        <v>37.97999954223633</v>
      </c>
      <c r="J194" s="37">
        <v>31.709999084472656</v>
      </c>
      <c r="K194" s="37">
        <v>97.88999938964844</v>
      </c>
    </row>
    <row r="195" ht="14.25" customHeight="1">
      <c r="A195" s="36">
        <v>41301.0</v>
      </c>
      <c r="B195" s="36" t="s">
        <v>172</v>
      </c>
      <c r="C195" s="37">
        <v>9.279999732971191</v>
      </c>
      <c r="D195" s="37">
        <v>19.329999923706055</v>
      </c>
      <c r="E195" s="37">
        <v>71.45999908447266</v>
      </c>
      <c r="F195" s="37">
        <v>20.989999771118164</v>
      </c>
      <c r="G195" s="37">
        <v>5.480000019073486</v>
      </c>
      <c r="H195" s="37">
        <v>11.300000190734863</v>
      </c>
      <c r="I195" s="37">
        <v>58.970001220703125</v>
      </c>
      <c r="J195" s="37">
        <v>52.220001220703125</v>
      </c>
      <c r="K195" s="37">
        <v>86.94999694824219</v>
      </c>
    </row>
    <row r="196" ht="14.25" customHeight="1">
      <c r="A196" s="36">
        <v>41401.0</v>
      </c>
      <c r="B196" s="36" t="s">
        <v>218</v>
      </c>
      <c r="C196" s="37">
        <v>16.809999465942383</v>
      </c>
      <c r="D196" s="37">
        <v>20.700000762939453</v>
      </c>
      <c r="E196" s="37">
        <v>55.7400016784668</v>
      </c>
      <c r="F196" s="37">
        <v>13.90999984741211</v>
      </c>
      <c r="G196" s="37">
        <v>3.8399999141693115</v>
      </c>
      <c r="H196" s="37">
        <v>11.979999542236328</v>
      </c>
      <c r="I196" s="37">
        <v>38.68000030517578</v>
      </c>
      <c r="J196" s="37">
        <v>36.060001373291016</v>
      </c>
      <c r="K196" s="37">
        <v>76.11000061035156</v>
      </c>
    </row>
    <row r="197" ht="14.25" customHeight="1">
      <c r="A197" s="36">
        <v>41501.0</v>
      </c>
      <c r="B197" s="36" t="s">
        <v>219</v>
      </c>
      <c r="C197" s="37">
        <v>7.099999904632568</v>
      </c>
      <c r="D197" s="37">
        <v>12.619999885559082</v>
      </c>
      <c r="E197" s="37">
        <v>63.310001373291016</v>
      </c>
      <c r="F197" s="37">
        <v>21.15999984741211</v>
      </c>
      <c r="G197" s="37">
        <v>4.550000190734863</v>
      </c>
      <c r="H197" s="37">
        <v>10.260000228881836</v>
      </c>
      <c r="I197" s="37">
        <v>58.189998626708984</v>
      </c>
      <c r="J197" s="37">
        <v>48.720001220703125</v>
      </c>
      <c r="K197" s="37">
        <v>85.5999984741211</v>
      </c>
    </row>
    <row r="198" ht="14.25" customHeight="1">
      <c r="A198" s="36">
        <v>41502.0</v>
      </c>
      <c r="B198" s="36" t="s">
        <v>220</v>
      </c>
      <c r="C198" s="37">
        <v>1.659999966621399</v>
      </c>
      <c r="D198" s="37">
        <v>11.350000381469727</v>
      </c>
      <c r="E198" s="37">
        <v>64.30000305175781</v>
      </c>
      <c r="F198" s="37">
        <v>26.219999313354492</v>
      </c>
      <c r="G198" s="37">
        <v>3.7899999618530273</v>
      </c>
      <c r="H198" s="37">
        <v>9.380000114440918</v>
      </c>
      <c r="I198" s="37">
        <v>70.80000305175781</v>
      </c>
      <c r="J198" s="37">
        <v>55.52000045776367</v>
      </c>
      <c r="K198" s="37">
        <v>90.62000274658203</v>
      </c>
    </row>
    <row r="199" ht="14.25" customHeight="1">
      <c r="A199" s="36">
        <v>41503.0</v>
      </c>
      <c r="B199" s="36" t="s">
        <v>221</v>
      </c>
      <c r="C199" s="37">
        <v>1.4299999475479126</v>
      </c>
      <c r="D199" s="37">
        <v>29.290000915527344</v>
      </c>
      <c r="E199" s="37">
        <v>74.76000213623047</v>
      </c>
      <c r="F199" s="37">
        <v>14.819999694824219</v>
      </c>
      <c r="G199" s="37">
        <v>5.480000019073486</v>
      </c>
      <c r="H199" s="37">
        <v>13.6899995803833</v>
      </c>
      <c r="I199" s="37">
        <v>78.56999969482422</v>
      </c>
      <c r="J199" s="37">
        <v>48.93000030517578</v>
      </c>
      <c r="K199" s="37">
        <v>95.36000061035156</v>
      </c>
    </row>
    <row r="200" ht="14.25" customHeight="1">
      <c r="A200" s="36">
        <v>41601.0</v>
      </c>
      <c r="B200" s="36" t="s">
        <v>222</v>
      </c>
      <c r="C200" s="37">
        <v>11.460000038146973</v>
      </c>
      <c r="D200" s="37">
        <v>17.040000915527344</v>
      </c>
      <c r="E200" s="37">
        <v>78.25</v>
      </c>
      <c r="F200" s="37">
        <v>13.15999984741211</v>
      </c>
      <c r="G200" s="37">
        <v>3.859999895095825</v>
      </c>
      <c r="H200" s="37">
        <v>8.5</v>
      </c>
      <c r="I200" s="37">
        <v>61.13999938964844</v>
      </c>
      <c r="J200" s="37">
        <v>63.16999816894531</v>
      </c>
      <c r="K200" s="37">
        <v>92.81999969482422</v>
      </c>
    </row>
    <row r="201" ht="14.25" customHeight="1">
      <c r="A201" s="36">
        <v>50101.0</v>
      </c>
      <c r="B201" s="36" t="s">
        <v>20</v>
      </c>
      <c r="C201" s="37">
        <v>10.390000343322754</v>
      </c>
      <c r="D201" s="37">
        <v>31.020000457763672</v>
      </c>
      <c r="E201" s="37">
        <v>15.920000076293945</v>
      </c>
      <c r="F201" s="37">
        <v>5.909999847412109</v>
      </c>
      <c r="G201" s="37">
        <v>4.860000133514404</v>
      </c>
      <c r="H201" s="37">
        <v>10.140000343322754</v>
      </c>
      <c r="I201" s="37">
        <v>4.449999809265137</v>
      </c>
      <c r="J201" s="37">
        <v>3.950000047683716</v>
      </c>
      <c r="K201" s="37">
        <v>18.110000610351562</v>
      </c>
    </row>
    <row r="202" ht="14.25" customHeight="1">
      <c r="A202" s="36">
        <v>50102.0</v>
      </c>
      <c r="B202" s="36" t="s">
        <v>223</v>
      </c>
      <c r="C202" s="37">
        <v>49.349998474121094</v>
      </c>
      <c r="D202" s="37">
        <v>55.439998626708984</v>
      </c>
      <c r="E202" s="37">
        <v>86.51000213623047</v>
      </c>
      <c r="F202" s="37">
        <v>32.68000030517578</v>
      </c>
      <c r="G202" s="37">
        <v>3.5899999141693115</v>
      </c>
      <c r="H202" s="37">
        <v>28.219999313354492</v>
      </c>
      <c r="I202" s="37">
        <v>34.58000183105469</v>
      </c>
      <c r="J202" s="37">
        <v>59.279998779296875</v>
      </c>
      <c r="K202" s="37">
        <v>88.97000122070312</v>
      </c>
    </row>
    <row r="203" ht="14.25" customHeight="1">
      <c r="A203" s="36">
        <v>50103.0</v>
      </c>
      <c r="B203" s="36" t="s">
        <v>224</v>
      </c>
      <c r="C203" s="37">
        <v>23.229999542236328</v>
      </c>
      <c r="D203" s="37">
        <v>23.290000915527344</v>
      </c>
      <c r="E203" s="37">
        <v>48.959999084472656</v>
      </c>
      <c r="F203" s="37">
        <v>7.670000076293945</v>
      </c>
      <c r="G203" s="37">
        <v>5.269999980926514</v>
      </c>
      <c r="H203" s="37">
        <v>11.09000015258789</v>
      </c>
      <c r="I203" s="37">
        <v>11.369999885559082</v>
      </c>
      <c r="J203" s="37">
        <v>17.350000381469727</v>
      </c>
      <c r="K203" s="37">
        <v>69.83000183105469</v>
      </c>
    </row>
    <row r="204" ht="14.25" customHeight="1">
      <c r="A204" s="36">
        <v>50104.0</v>
      </c>
      <c r="B204" s="36" t="s">
        <v>225</v>
      </c>
      <c r="C204" s="37">
        <v>14.170000076293945</v>
      </c>
      <c r="D204" s="37">
        <v>15.430000305175781</v>
      </c>
      <c r="E204" s="37">
        <v>68.55000305175781</v>
      </c>
      <c r="F204" s="37">
        <v>15.609999656677246</v>
      </c>
      <c r="G204" s="37">
        <v>2.0</v>
      </c>
      <c r="H204" s="37">
        <v>10.930000305175781</v>
      </c>
      <c r="I204" s="37">
        <v>47.86000061035156</v>
      </c>
      <c r="J204" s="37">
        <v>46.95000076293945</v>
      </c>
      <c r="K204" s="37">
        <v>86.81999969482422</v>
      </c>
    </row>
    <row r="205" ht="14.25" customHeight="1">
      <c r="A205" s="36">
        <v>50201.0</v>
      </c>
      <c r="B205" s="36" t="s">
        <v>226</v>
      </c>
      <c r="C205" s="37">
        <v>28.020000457763672</v>
      </c>
      <c r="D205" s="37">
        <v>39.70000076293945</v>
      </c>
      <c r="E205" s="37">
        <v>52.68000030517578</v>
      </c>
      <c r="F205" s="37">
        <v>16.799999237060547</v>
      </c>
      <c r="G205" s="37">
        <v>4.190000057220459</v>
      </c>
      <c r="H205" s="37">
        <v>12.5</v>
      </c>
      <c r="I205" s="37">
        <v>13.40999984741211</v>
      </c>
      <c r="J205" s="37">
        <v>22.09000015258789</v>
      </c>
      <c r="K205" s="37">
        <v>60.0</v>
      </c>
    </row>
    <row r="206" ht="14.25" customHeight="1">
      <c r="A206" s="36">
        <v>50202.0</v>
      </c>
      <c r="B206" s="36" t="s">
        <v>227</v>
      </c>
      <c r="C206" s="37">
        <v>30.350000381469727</v>
      </c>
      <c r="D206" s="37">
        <v>45.18000030517578</v>
      </c>
      <c r="E206" s="37">
        <v>57.2400016784668</v>
      </c>
      <c r="F206" s="37">
        <v>24.65999984741211</v>
      </c>
      <c r="G206" s="37">
        <v>4.909999847412109</v>
      </c>
      <c r="H206" s="37">
        <v>15.300000190734863</v>
      </c>
      <c r="I206" s="37">
        <v>6.019999980926514</v>
      </c>
      <c r="J206" s="37">
        <v>18.989999771118164</v>
      </c>
      <c r="K206" s="37">
        <v>80.55999755859375</v>
      </c>
    </row>
    <row r="207" ht="14.25" customHeight="1">
      <c r="A207" s="36">
        <v>50203.0</v>
      </c>
      <c r="B207" s="36" t="s">
        <v>228</v>
      </c>
      <c r="C207" s="37">
        <v>14.449999809265137</v>
      </c>
      <c r="D207" s="37">
        <v>34.63999938964844</v>
      </c>
      <c r="E207" s="37">
        <v>31.93000030517578</v>
      </c>
      <c r="F207" s="37">
        <v>9.760000228881836</v>
      </c>
      <c r="G207" s="37">
        <v>5.119999885559082</v>
      </c>
      <c r="H207" s="37">
        <v>11.760000228881836</v>
      </c>
      <c r="I207" s="37">
        <v>6.760000228881836</v>
      </c>
      <c r="J207" s="37">
        <v>11.470000267028809</v>
      </c>
      <c r="K207" s="37">
        <v>44.16999816894531</v>
      </c>
    </row>
    <row r="208" ht="14.25" customHeight="1">
      <c r="A208" s="36">
        <v>50204.0</v>
      </c>
      <c r="B208" s="36" t="s">
        <v>229</v>
      </c>
      <c r="C208" s="37">
        <v>29.68000030517578</v>
      </c>
      <c r="D208" s="37">
        <v>45.5099983215332</v>
      </c>
      <c r="E208" s="37">
        <v>71.5199966430664</v>
      </c>
      <c r="F208" s="37">
        <v>33.13999938964844</v>
      </c>
      <c r="G208" s="37">
        <v>4.940000057220459</v>
      </c>
      <c r="H208" s="37">
        <v>17.209999084472656</v>
      </c>
      <c r="I208" s="37">
        <v>30.479999542236328</v>
      </c>
      <c r="J208" s="37">
        <v>26.809999465942383</v>
      </c>
      <c r="K208" s="37">
        <v>94.02999877929688</v>
      </c>
    </row>
    <row r="209" ht="14.25" customHeight="1">
      <c r="A209" s="36">
        <v>50301.0</v>
      </c>
      <c r="B209" s="36" t="s">
        <v>230</v>
      </c>
      <c r="C209" s="37">
        <v>31.110000610351562</v>
      </c>
      <c r="D209" s="37">
        <v>43.54999923706055</v>
      </c>
      <c r="E209" s="37">
        <v>49.9900016784668</v>
      </c>
      <c r="F209" s="37">
        <v>17.40999984741211</v>
      </c>
      <c r="G209" s="37">
        <v>4.980000019073486</v>
      </c>
      <c r="H209" s="37">
        <v>19.09000015258789</v>
      </c>
      <c r="I209" s="37">
        <v>43.97999954223633</v>
      </c>
      <c r="J209" s="37">
        <v>26.40999984741211</v>
      </c>
      <c r="K209" s="37">
        <v>72.87999725341797</v>
      </c>
    </row>
    <row r="210" ht="14.25" customHeight="1">
      <c r="A210" s="36">
        <v>50302.0</v>
      </c>
      <c r="B210" s="36" t="s">
        <v>231</v>
      </c>
      <c r="C210" s="37">
        <v>31.770000457763672</v>
      </c>
      <c r="D210" s="37">
        <v>32.529998779296875</v>
      </c>
      <c r="E210" s="37">
        <v>55.56999969482422</v>
      </c>
      <c r="F210" s="37">
        <v>11.920000076293945</v>
      </c>
      <c r="G210" s="37">
        <v>4.420000076293945</v>
      </c>
      <c r="H210" s="37">
        <v>14.15999984741211</v>
      </c>
      <c r="I210" s="37">
        <v>36.09000015258789</v>
      </c>
      <c r="J210" s="37">
        <v>25.40999984741211</v>
      </c>
      <c r="K210" s="37">
        <v>70.37999725341797</v>
      </c>
    </row>
    <row r="211" ht="14.25" customHeight="1">
      <c r="A211" s="36">
        <v>50303.0</v>
      </c>
      <c r="B211" s="36" t="s">
        <v>232</v>
      </c>
      <c r="C211" s="37">
        <v>41.7599983215332</v>
      </c>
      <c r="D211" s="37">
        <v>45.189998626708984</v>
      </c>
      <c r="E211" s="37">
        <v>93.69999694824219</v>
      </c>
      <c r="F211" s="37">
        <v>25.6299991607666</v>
      </c>
      <c r="G211" s="37">
        <v>3.359999895095825</v>
      </c>
      <c r="H211" s="37">
        <v>17.610000610351562</v>
      </c>
      <c r="I211" s="37">
        <v>56.619998931884766</v>
      </c>
      <c r="J211" s="37">
        <v>66.93000030517578</v>
      </c>
      <c r="K211" s="37">
        <v>98.45999908447266</v>
      </c>
    </row>
    <row r="212" ht="14.25" customHeight="1">
      <c r="A212" s="36">
        <v>50401.0</v>
      </c>
      <c r="B212" s="36" t="s">
        <v>233</v>
      </c>
      <c r="C212" s="37">
        <v>38.849998474121094</v>
      </c>
      <c r="D212" s="37">
        <v>63.08000183105469</v>
      </c>
      <c r="E212" s="37">
        <v>71.56999969482422</v>
      </c>
      <c r="F212" s="37">
        <v>24.530000686645508</v>
      </c>
      <c r="G212" s="37">
        <v>5.010000228881836</v>
      </c>
      <c r="H212" s="37">
        <v>23.440000534057617</v>
      </c>
      <c r="I212" s="37">
        <v>34.619998931884766</v>
      </c>
      <c r="J212" s="37">
        <v>44.439998626708984</v>
      </c>
      <c r="K212" s="37">
        <v>75.70999908447266</v>
      </c>
    </row>
    <row r="213" ht="14.25" customHeight="1">
      <c r="A213" s="36">
        <v>50402.0</v>
      </c>
      <c r="B213" s="36" t="s">
        <v>234</v>
      </c>
      <c r="C213" s="37">
        <v>51.20000076293945</v>
      </c>
      <c r="D213" s="37">
        <v>60.369998931884766</v>
      </c>
      <c r="E213" s="37">
        <v>83.95999908447266</v>
      </c>
      <c r="F213" s="37">
        <v>21.84000015258789</v>
      </c>
      <c r="G213" s="37">
        <v>4.139999866485596</v>
      </c>
      <c r="H213" s="37">
        <v>20.399999618530273</v>
      </c>
      <c r="I213" s="37">
        <v>28.790000915527344</v>
      </c>
      <c r="J213" s="37">
        <v>67.94999694824219</v>
      </c>
      <c r="K213" s="37">
        <v>73.69000244140625</v>
      </c>
    </row>
    <row r="214" ht="14.25" customHeight="1">
      <c r="A214" s="36">
        <v>50403.0</v>
      </c>
      <c r="B214" s="36" t="s">
        <v>235</v>
      </c>
      <c r="C214" s="37">
        <v>29.3799991607666</v>
      </c>
      <c r="D214" s="37">
        <v>33.31999969482422</v>
      </c>
      <c r="E214" s="37">
        <v>79.80999755859375</v>
      </c>
      <c r="F214" s="37">
        <v>27.270000457763672</v>
      </c>
      <c r="G214" s="37">
        <v>3.380000114440918</v>
      </c>
      <c r="H214" s="37">
        <v>15.920000076293945</v>
      </c>
      <c r="I214" s="37">
        <v>33.959999084472656</v>
      </c>
      <c r="J214" s="37">
        <v>47.040000915527344</v>
      </c>
      <c r="K214" s="37">
        <v>88.33999633789062</v>
      </c>
    </row>
    <row r="215" ht="14.25" customHeight="1">
      <c r="A215" s="36">
        <v>50404.0</v>
      </c>
      <c r="B215" s="36" t="s">
        <v>236</v>
      </c>
      <c r="C215" s="37">
        <v>51.58000183105469</v>
      </c>
      <c r="D215" s="37">
        <v>61.900001525878906</v>
      </c>
      <c r="E215" s="37">
        <v>83.12000274658203</v>
      </c>
      <c r="F215" s="37">
        <v>29.6200008392334</v>
      </c>
      <c r="G215" s="37">
        <v>3.5</v>
      </c>
      <c r="H215" s="37">
        <v>23.68000030517578</v>
      </c>
      <c r="I215" s="37">
        <v>37.90999984741211</v>
      </c>
      <c r="J215" s="37">
        <v>58.0099983215332</v>
      </c>
      <c r="K215" s="37">
        <v>85.55000305175781</v>
      </c>
    </row>
    <row r="216" ht="14.25" customHeight="1">
      <c r="A216" s="36">
        <v>50405.0</v>
      </c>
      <c r="B216" s="36" t="s">
        <v>237</v>
      </c>
      <c r="C216" s="37">
        <v>44.20000076293945</v>
      </c>
      <c r="D216" s="37">
        <v>56.0099983215332</v>
      </c>
      <c r="E216" s="37">
        <v>76.27999877929688</v>
      </c>
      <c r="F216" s="37">
        <v>30.780000686645508</v>
      </c>
      <c r="G216" s="37">
        <v>4.309999942779541</v>
      </c>
      <c r="H216" s="37">
        <v>23.829999923706055</v>
      </c>
      <c r="I216" s="37">
        <v>38.66999816894531</v>
      </c>
      <c r="J216" s="37">
        <v>32.630001068115234</v>
      </c>
      <c r="K216" s="37">
        <v>80.44000244140625</v>
      </c>
    </row>
    <row r="217" ht="14.25" customHeight="1">
      <c r="A217" s="36">
        <v>50501.0</v>
      </c>
      <c r="B217" s="36" t="s">
        <v>238</v>
      </c>
      <c r="C217" s="37">
        <v>32.7400016784668</v>
      </c>
      <c r="D217" s="37">
        <v>61.04999923706055</v>
      </c>
      <c r="E217" s="37">
        <v>92.9000015258789</v>
      </c>
      <c r="F217" s="37">
        <v>31.15999984741211</v>
      </c>
      <c r="G217" s="37">
        <v>5.639999866485596</v>
      </c>
      <c r="H217" s="37">
        <v>22.3700008392334</v>
      </c>
      <c r="I217" s="37">
        <v>42.209999084472656</v>
      </c>
      <c r="J217" s="37">
        <v>78.44000244140625</v>
      </c>
      <c r="K217" s="37">
        <v>93.16000366210938</v>
      </c>
    </row>
    <row r="218" ht="14.25" customHeight="1">
      <c r="A218" s="36">
        <v>50502.0</v>
      </c>
      <c r="B218" s="36" t="s">
        <v>239</v>
      </c>
      <c r="C218" s="37">
        <v>31.770000457763672</v>
      </c>
      <c r="D218" s="37">
        <v>49.540000915527344</v>
      </c>
      <c r="E218" s="37">
        <v>80.38999938964844</v>
      </c>
      <c r="F218" s="37">
        <v>29.829999923706055</v>
      </c>
      <c r="G218" s="37">
        <v>6.130000114440918</v>
      </c>
      <c r="H218" s="37">
        <v>19.309999465942383</v>
      </c>
      <c r="I218" s="37">
        <v>30.31999969482422</v>
      </c>
      <c r="J218" s="37">
        <v>64.7300033569336</v>
      </c>
      <c r="K218" s="37">
        <v>79.29000091552734</v>
      </c>
    </row>
    <row r="219" ht="14.25" customHeight="1">
      <c r="A219" s="36">
        <v>50601.0</v>
      </c>
      <c r="B219" s="36" t="s">
        <v>240</v>
      </c>
      <c r="C219" s="37">
        <v>21.440000534057617</v>
      </c>
      <c r="D219" s="37">
        <v>29.989999771118164</v>
      </c>
      <c r="E219" s="37">
        <v>76.01000213623047</v>
      </c>
      <c r="F219" s="37">
        <v>13.489999771118164</v>
      </c>
      <c r="G219" s="37">
        <v>5.559999942779541</v>
      </c>
      <c r="H219" s="37">
        <v>17.420000076293945</v>
      </c>
      <c r="I219" s="37">
        <v>32.72999954223633</v>
      </c>
      <c r="J219" s="37">
        <v>24.770000457763672</v>
      </c>
      <c r="K219" s="37">
        <v>69.58999633789062</v>
      </c>
    </row>
    <row r="220" ht="14.25" customHeight="1">
      <c r="A220" s="36">
        <v>50602.0</v>
      </c>
      <c r="B220" s="36" t="s">
        <v>241</v>
      </c>
      <c r="C220" s="37">
        <v>32.83000183105469</v>
      </c>
      <c r="D220" s="37">
        <v>22.700000762939453</v>
      </c>
      <c r="E220" s="37">
        <v>54.02000045776367</v>
      </c>
      <c r="F220" s="37">
        <v>19.979999542236328</v>
      </c>
      <c r="G220" s="37">
        <v>5.230000019073486</v>
      </c>
      <c r="H220" s="37">
        <v>18.229999542236328</v>
      </c>
      <c r="I220" s="37">
        <v>27.709999084472656</v>
      </c>
      <c r="J220" s="37">
        <v>17.020000457763672</v>
      </c>
      <c r="K220" s="37">
        <v>67.47000122070312</v>
      </c>
    </row>
    <row r="221" ht="14.25" customHeight="1">
      <c r="A221" s="36">
        <v>50701.0</v>
      </c>
      <c r="B221" s="36" t="s">
        <v>242</v>
      </c>
      <c r="C221" s="37">
        <v>30.399999618530273</v>
      </c>
      <c r="D221" s="37">
        <v>43.40999984741211</v>
      </c>
      <c r="E221" s="37">
        <v>75.5199966430664</v>
      </c>
      <c r="F221" s="37">
        <v>28.739999771118164</v>
      </c>
      <c r="G221" s="37">
        <v>4.409999847412109</v>
      </c>
      <c r="H221" s="37">
        <v>23.709999084472656</v>
      </c>
      <c r="I221" s="37">
        <v>24.489999771118164</v>
      </c>
      <c r="J221" s="37">
        <v>39.810001373291016</v>
      </c>
      <c r="K221" s="37">
        <v>87.19000244140625</v>
      </c>
    </row>
    <row r="222" ht="14.25" customHeight="1">
      <c r="A222" s="36">
        <v>50702.0</v>
      </c>
      <c r="B222" s="36" t="s">
        <v>243</v>
      </c>
      <c r="C222" s="37">
        <v>24.040000915527344</v>
      </c>
      <c r="D222" s="37">
        <v>29.079999923706055</v>
      </c>
      <c r="E222" s="37">
        <v>75.20999908447266</v>
      </c>
      <c r="F222" s="37">
        <v>33.849998474121094</v>
      </c>
      <c r="G222" s="37">
        <v>3.8399999141693115</v>
      </c>
      <c r="H222" s="37">
        <v>16.020000457763672</v>
      </c>
      <c r="I222" s="37">
        <v>11.6899995803833</v>
      </c>
      <c r="J222" s="37">
        <v>48.95000076293945</v>
      </c>
      <c r="K222" s="37">
        <v>86.1500015258789</v>
      </c>
    </row>
    <row r="223" ht="14.25" customHeight="1">
      <c r="A223" s="36">
        <v>50801.0</v>
      </c>
      <c r="B223" s="36" t="s">
        <v>244</v>
      </c>
      <c r="C223" s="37">
        <v>15.819999694824219</v>
      </c>
      <c r="D223" s="37">
        <v>37.380001068115234</v>
      </c>
      <c r="E223" s="37">
        <v>40.7400016784668</v>
      </c>
      <c r="F223" s="37">
        <v>10.34000015258789</v>
      </c>
      <c r="G223" s="37">
        <v>5.860000133514404</v>
      </c>
      <c r="H223" s="37">
        <v>13.260000228881836</v>
      </c>
      <c r="I223" s="37">
        <v>13.850000381469727</v>
      </c>
      <c r="J223" s="37">
        <v>11.079999923706055</v>
      </c>
      <c r="K223" s="37">
        <v>34.08000183105469</v>
      </c>
    </row>
    <row r="224" ht="14.25" customHeight="1">
      <c r="A224" s="36">
        <v>50802.0</v>
      </c>
      <c r="B224" s="36" t="s">
        <v>245</v>
      </c>
      <c r="C224" s="37">
        <v>7.340000152587891</v>
      </c>
      <c r="D224" s="37">
        <v>29.6200008392334</v>
      </c>
      <c r="E224" s="37">
        <v>18.520000457763672</v>
      </c>
      <c r="F224" s="37">
        <v>7.050000190734863</v>
      </c>
      <c r="G224" s="37">
        <v>5.760000228881836</v>
      </c>
      <c r="H224" s="37">
        <v>8.680000305175781</v>
      </c>
      <c r="I224" s="37">
        <v>11.6899995803833</v>
      </c>
      <c r="J224" s="37">
        <v>4.400000095367432</v>
      </c>
      <c r="K224" s="37">
        <v>77.41999816894531</v>
      </c>
    </row>
    <row r="225" ht="14.25" customHeight="1">
      <c r="A225" s="36">
        <v>50901.0</v>
      </c>
      <c r="B225" s="36" t="s">
        <v>246</v>
      </c>
      <c r="C225" s="37">
        <v>11.460000038146973</v>
      </c>
      <c r="D225" s="37">
        <v>31.15999984741211</v>
      </c>
      <c r="E225" s="37">
        <v>54.279998779296875</v>
      </c>
      <c r="F225" s="37">
        <v>22.6200008392334</v>
      </c>
      <c r="G225" s="37">
        <v>7.590000152587891</v>
      </c>
      <c r="H225" s="37">
        <v>14.1899995803833</v>
      </c>
      <c r="I225" s="37">
        <v>23.68000030517578</v>
      </c>
      <c r="J225" s="37">
        <v>22.790000915527344</v>
      </c>
      <c r="K225" s="37">
        <v>69.58999633789062</v>
      </c>
    </row>
    <row r="226" ht="14.25" customHeight="1">
      <c r="A226" s="36">
        <v>50902.0</v>
      </c>
      <c r="B226" s="36" t="s">
        <v>247</v>
      </c>
      <c r="C226" s="37">
        <v>5.130000114440918</v>
      </c>
      <c r="D226" s="37">
        <v>15.380000114440918</v>
      </c>
      <c r="E226" s="37">
        <v>58.689998626708984</v>
      </c>
      <c r="F226" s="37">
        <v>9.40999984741211</v>
      </c>
      <c r="G226" s="37">
        <v>3.3299999237060547</v>
      </c>
      <c r="H226" s="37">
        <v>9.149999618530273</v>
      </c>
      <c r="I226" s="37">
        <v>27.239999771118164</v>
      </c>
      <c r="J226" s="37">
        <v>31.459999084472656</v>
      </c>
      <c r="K226" s="37">
        <v>69.55000305175781</v>
      </c>
    </row>
    <row r="227" ht="14.25" customHeight="1">
      <c r="A227" s="36">
        <v>51001.0</v>
      </c>
      <c r="B227" s="36" t="s">
        <v>248</v>
      </c>
      <c r="C227" s="37">
        <v>8.90999984741211</v>
      </c>
      <c r="D227" s="37">
        <v>38.779998779296875</v>
      </c>
      <c r="E227" s="37">
        <v>71.4000015258789</v>
      </c>
      <c r="F227" s="37">
        <v>30.709999084472656</v>
      </c>
      <c r="G227" s="37">
        <v>7.690000057220459</v>
      </c>
      <c r="H227" s="37">
        <v>17.969999313354492</v>
      </c>
      <c r="I227" s="37">
        <v>34.47999954223633</v>
      </c>
      <c r="J227" s="37">
        <v>18.190000534057617</v>
      </c>
      <c r="K227" s="37">
        <v>78.33000183105469</v>
      </c>
    </row>
    <row r="228" ht="14.25" customHeight="1">
      <c r="A228" s="36">
        <v>51002.0</v>
      </c>
      <c r="B228" s="36" t="s">
        <v>249</v>
      </c>
      <c r="C228" s="37">
        <v>7.150000095367432</v>
      </c>
      <c r="D228" s="37">
        <v>40.83000183105469</v>
      </c>
      <c r="E228" s="37">
        <v>77.33000183105469</v>
      </c>
      <c r="F228" s="37">
        <v>31.68000030517578</v>
      </c>
      <c r="G228" s="37">
        <v>6.130000114440918</v>
      </c>
      <c r="H228" s="37">
        <v>15.380000114440918</v>
      </c>
      <c r="I228" s="37">
        <v>49.06999969482422</v>
      </c>
      <c r="J228" s="37">
        <v>61.119998931884766</v>
      </c>
      <c r="K228" s="37">
        <v>64.18000030517578</v>
      </c>
    </row>
    <row r="229" ht="14.25" customHeight="1">
      <c r="A229" s="36">
        <v>51003.0</v>
      </c>
      <c r="B229" s="36" t="s">
        <v>250</v>
      </c>
      <c r="C229" s="37">
        <v>13.859999656677246</v>
      </c>
      <c r="D229" s="37">
        <v>25.59000015258789</v>
      </c>
      <c r="E229" s="37">
        <v>75.12000274658203</v>
      </c>
      <c r="F229" s="37">
        <v>31.760000228881836</v>
      </c>
      <c r="G229" s="37">
        <v>5.610000133514404</v>
      </c>
      <c r="H229" s="37">
        <v>22.639999389648438</v>
      </c>
      <c r="I229" s="37">
        <v>24.610000610351562</v>
      </c>
      <c r="J229" s="37">
        <v>25.229999542236328</v>
      </c>
      <c r="K229" s="37">
        <v>65.16000366210938</v>
      </c>
    </row>
    <row r="230" ht="14.25" customHeight="1">
      <c r="A230" s="36">
        <v>51101.0</v>
      </c>
      <c r="B230" s="36" t="s">
        <v>251</v>
      </c>
      <c r="C230" s="37">
        <v>25.690000534057617</v>
      </c>
      <c r="D230" s="37">
        <v>29.440000534057617</v>
      </c>
      <c r="E230" s="37">
        <v>47.15999984741211</v>
      </c>
      <c r="F230" s="37">
        <v>16.290000915527344</v>
      </c>
      <c r="G230" s="37">
        <v>5.079999923706055</v>
      </c>
      <c r="H230" s="37">
        <v>14.989999771118164</v>
      </c>
      <c r="I230" s="37">
        <v>36.0</v>
      </c>
      <c r="J230" s="37">
        <v>23.56999969482422</v>
      </c>
      <c r="K230" s="37">
        <v>67.8499984741211</v>
      </c>
    </row>
    <row r="231" ht="14.25" customHeight="1">
      <c r="A231" s="36">
        <v>51102.0</v>
      </c>
      <c r="B231" s="36" t="s">
        <v>252</v>
      </c>
      <c r="C231" s="37">
        <v>18.209999084472656</v>
      </c>
      <c r="D231" s="37">
        <v>22.010000228881836</v>
      </c>
      <c r="E231" s="37">
        <v>54.720001220703125</v>
      </c>
      <c r="F231" s="37">
        <v>12.319999694824219</v>
      </c>
      <c r="G231" s="37">
        <v>4.510000228881836</v>
      </c>
      <c r="H231" s="37">
        <v>13.279999732971191</v>
      </c>
      <c r="I231" s="37">
        <v>27.190000534057617</v>
      </c>
      <c r="J231" s="37">
        <v>25.739999771118164</v>
      </c>
      <c r="K231" s="37">
        <v>71.54000091552734</v>
      </c>
    </row>
    <row r="232" ht="14.25" customHeight="1">
      <c r="A232" s="36">
        <v>51103.0</v>
      </c>
      <c r="B232" s="36" t="s">
        <v>253</v>
      </c>
      <c r="C232" s="37">
        <v>36.20000076293945</v>
      </c>
      <c r="D232" s="37">
        <v>60.5099983215332</v>
      </c>
      <c r="E232" s="37">
        <v>68.31999969482422</v>
      </c>
      <c r="F232" s="37">
        <v>36.04999923706055</v>
      </c>
      <c r="G232" s="37">
        <v>7.039999961853027</v>
      </c>
      <c r="H232" s="37">
        <v>28.200000762939453</v>
      </c>
      <c r="I232" s="37">
        <v>71.80000305175781</v>
      </c>
      <c r="J232" s="37">
        <v>45.720001220703125</v>
      </c>
      <c r="K232" s="37">
        <v>94.33999633789062</v>
      </c>
    </row>
    <row r="233" ht="14.25" customHeight="1">
      <c r="A233" s="36">
        <v>51201.0</v>
      </c>
      <c r="B233" s="36" t="s">
        <v>254</v>
      </c>
      <c r="C233" s="37">
        <v>8.649999618530273</v>
      </c>
      <c r="D233" s="37">
        <v>30.459999084472656</v>
      </c>
      <c r="E233" s="37">
        <v>36.459999084472656</v>
      </c>
      <c r="F233" s="37">
        <v>12.5</v>
      </c>
      <c r="G233" s="37">
        <v>5.460000038146973</v>
      </c>
      <c r="H233" s="37">
        <v>10.859999656677246</v>
      </c>
      <c r="I233" s="37">
        <v>25.360000610351562</v>
      </c>
      <c r="J233" s="37">
        <v>17.479999542236328</v>
      </c>
      <c r="K233" s="37">
        <v>83.22000122070312</v>
      </c>
    </row>
    <row r="234" ht="14.25" customHeight="1">
      <c r="A234" s="36">
        <v>51202.0</v>
      </c>
      <c r="B234" s="36" t="s">
        <v>255</v>
      </c>
      <c r="C234" s="37">
        <v>16.709999084472656</v>
      </c>
      <c r="D234" s="37">
        <v>33.04999923706055</v>
      </c>
      <c r="E234" s="37">
        <v>75.66000366210938</v>
      </c>
      <c r="F234" s="37">
        <v>15.800000190734863</v>
      </c>
      <c r="G234" s="37">
        <v>4.960000038146973</v>
      </c>
      <c r="H234" s="37">
        <v>10.859999656677246</v>
      </c>
      <c r="I234" s="37">
        <v>43.0099983215332</v>
      </c>
      <c r="J234" s="37">
        <v>35.22999954223633</v>
      </c>
      <c r="K234" s="37">
        <v>92.3499984741211</v>
      </c>
    </row>
    <row r="235" ht="14.25" customHeight="1">
      <c r="A235" s="36">
        <v>51203.0</v>
      </c>
      <c r="B235" s="36" t="s">
        <v>256</v>
      </c>
      <c r="C235" s="37">
        <v>7.599999904632568</v>
      </c>
      <c r="D235" s="37">
        <v>32.43000030517578</v>
      </c>
      <c r="E235" s="37">
        <v>34.58000183105469</v>
      </c>
      <c r="F235" s="37">
        <v>9.880000114440918</v>
      </c>
      <c r="G235" s="37">
        <v>6.039999961853027</v>
      </c>
      <c r="H235" s="37">
        <v>10.630000114440918</v>
      </c>
      <c r="I235" s="37">
        <v>21.09000015258789</v>
      </c>
      <c r="J235" s="37">
        <v>17.100000381469727</v>
      </c>
      <c r="K235" s="37">
        <v>37.13999938964844</v>
      </c>
    </row>
    <row r="236" ht="14.25" customHeight="1">
      <c r="A236" s="36">
        <v>51204.0</v>
      </c>
      <c r="B236" s="36" t="s">
        <v>257</v>
      </c>
      <c r="C236" s="37">
        <v>21.399999618530273</v>
      </c>
      <c r="D236" s="37">
        <v>40.70000076293945</v>
      </c>
      <c r="E236" s="37">
        <v>67.37000274658203</v>
      </c>
      <c r="F236" s="37">
        <v>19.860000610351562</v>
      </c>
      <c r="G236" s="37">
        <v>5.289999961853027</v>
      </c>
      <c r="H236" s="37">
        <v>11.649999618530273</v>
      </c>
      <c r="I236" s="37">
        <v>47.630001068115234</v>
      </c>
      <c r="J236" s="37">
        <v>27.65999984741211</v>
      </c>
      <c r="K236" s="37">
        <v>89.72000122070312</v>
      </c>
    </row>
    <row r="237" ht="14.25" customHeight="1">
      <c r="A237" s="36">
        <v>51301.0</v>
      </c>
      <c r="B237" s="36" t="s">
        <v>258</v>
      </c>
      <c r="C237" s="37">
        <v>20.670000076293945</v>
      </c>
      <c r="D237" s="37">
        <v>54.130001068115234</v>
      </c>
      <c r="E237" s="37">
        <v>77.9800033569336</v>
      </c>
      <c r="F237" s="37">
        <v>28.06999969482422</v>
      </c>
      <c r="G237" s="37">
        <v>7.579999923706055</v>
      </c>
      <c r="H237" s="37">
        <v>23.360000610351562</v>
      </c>
      <c r="I237" s="37">
        <v>26.030000686645508</v>
      </c>
      <c r="J237" s="37">
        <v>52.939998626708984</v>
      </c>
      <c r="K237" s="37">
        <v>81.37999725341797</v>
      </c>
    </row>
    <row r="238" ht="14.25" customHeight="1">
      <c r="A238" s="36">
        <v>51302.0</v>
      </c>
      <c r="B238" s="36" t="s">
        <v>259</v>
      </c>
      <c r="C238" s="37">
        <v>21.3700008392334</v>
      </c>
      <c r="D238" s="37">
        <v>44.9900016784668</v>
      </c>
      <c r="E238" s="37">
        <v>68.86000061035156</v>
      </c>
      <c r="F238" s="37">
        <v>22.030000686645508</v>
      </c>
      <c r="G238" s="37">
        <v>4.949999809265137</v>
      </c>
      <c r="H238" s="37">
        <v>21.610000610351562</v>
      </c>
      <c r="I238" s="37">
        <v>27.399999618530273</v>
      </c>
      <c r="J238" s="37">
        <v>35.5</v>
      </c>
      <c r="K238" s="37">
        <v>89.8499984741211</v>
      </c>
    </row>
    <row r="239" ht="14.25" customHeight="1">
      <c r="A239" s="36">
        <v>51401.0</v>
      </c>
      <c r="B239" s="36" t="s">
        <v>260</v>
      </c>
      <c r="C239" s="37">
        <v>3.3399999141693115</v>
      </c>
      <c r="D239" s="37">
        <v>21.25</v>
      </c>
      <c r="E239" s="37">
        <v>64.79000091552734</v>
      </c>
      <c r="F239" s="37">
        <v>11.550000190734863</v>
      </c>
      <c r="G239" s="37">
        <v>6.71999979019165</v>
      </c>
      <c r="H239" s="37">
        <v>10.720000267028809</v>
      </c>
      <c r="I239" s="37">
        <v>32.77000045776367</v>
      </c>
      <c r="J239" s="37">
        <v>41.90999984741211</v>
      </c>
      <c r="K239" s="37">
        <v>76.13999938964844</v>
      </c>
    </row>
    <row r="240" ht="14.25" customHeight="1">
      <c r="A240" s="36">
        <v>51402.0</v>
      </c>
      <c r="B240" s="36" t="s">
        <v>261</v>
      </c>
      <c r="C240" s="37">
        <v>4.489999771118164</v>
      </c>
      <c r="D240" s="37">
        <v>15.729999542236328</v>
      </c>
      <c r="E240" s="37">
        <v>45.279998779296875</v>
      </c>
      <c r="F240" s="37">
        <v>16.479999542236328</v>
      </c>
      <c r="G240" s="37">
        <v>4.210000038146973</v>
      </c>
      <c r="H240" s="37">
        <v>8.010000228881836</v>
      </c>
      <c r="I240" s="37">
        <v>22.309999465942383</v>
      </c>
      <c r="J240" s="37">
        <v>22.850000381469727</v>
      </c>
      <c r="K240" s="37">
        <v>91.98999786376953</v>
      </c>
    </row>
    <row r="241" ht="14.25" customHeight="1">
      <c r="A241" s="36">
        <v>51501.0</v>
      </c>
      <c r="B241" s="36" t="s">
        <v>262</v>
      </c>
      <c r="C241" s="37">
        <v>15.380000114440918</v>
      </c>
      <c r="D241" s="37">
        <v>31.959999084472656</v>
      </c>
      <c r="E241" s="37">
        <v>31.350000381469727</v>
      </c>
      <c r="F241" s="37">
        <v>7.78000020980835</v>
      </c>
      <c r="G241" s="37">
        <v>5.460000038146973</v>
      </c>
      <c r="H241" s="37">
        <v>13.760000228881836</v>
      </c>
      <c r="I241" s="37">
        <v>17.65999984741211</v>
      </c>
      <c r="J241" s="37">
        <v>10.5600004196167</v>
      </c>
      <c r="K241" s="37">
        <v>29.8700008392334</v>
      </c>
    </row>
    <row r="242" ht="14.25" customHeight="1">
      <c r="A242" s="36">
        <v>51601.0</v>
      </c>
      <c r="B242" s="36" t="s">
        <v>263</v>
      </c>
      <c r="C242" s="37">
        <v>15.229999542236328</v>
      </c>
      <c r="D242" s="37">
        <v>31.739999771118164</v>
      </c>
      <c r="E242" s="37">
        <v>74.94000244140625</v>
      </c>
      <c r="F242" s="37">
        <v>24.0</v>
      </c>
      <c r="G242" s="37">
        <v>6.769999980926514</v>
      </c>
      <c r="H242" s="37">
        <v>13.109999656677246</v>
      </c>
      <c r="I242" s="37">
        <v>16.690000534057617</v>
      </c>
      <c r="J242" s="37">
        <v>27.670000076293945</v>
      </c>
      <c r="K242" s="37">
        <v>67.72000122070312</v>
      </c>
    </row>
    <row r="243" ht="14.25" customHeight="1">
      <c r="A243" s="36">
        <v>60101.0</v>
      </c>
      <c r="B243" s="36" t="s">
        <v>22</v>
      </c>
      <c r="C243" s="37">
        <v>10.949999809265137</v>
      </c>
      <c r="D243" s="37">
        <v>17.350000381469727</v>
      </c>
      <c r="E243" s="37">
        <v>15.380000114440918</v>
      </c>
      <c r="F243" s="37">
        <v>2.130000114440918</v>
      </c>
      <c r="G243" s="37">
        <v>4.960000038146973</v>
      </c>
      <c r="H243" s="37">
        <v>13.220000267028809</v>
      </c>
      <c r="I243" s="37">
        <v>5.400000095367432</v>
      </c>
      <c r="J243" s="37">
        <v>4.670000076293945</v>
      </c>
      <c r="K243" s="37">
        <v>22.639999389648438</v>
      </c>
    </row>
    <row r="244" ht="14.25" customHeight="1">
      <c r="A244" s="36">
        <v>60201.0</v>
      </c>
      <c r="B244" s="36" t="s">
        <v>264</v>
      </c>
      <c r="C244" s="37">
        <v>20.829999923706055</v>
      </c>
      <c r="D244" s="37">
        <v>20.979999542236328</v>
      </c>
      <c r="E244" s="37">
        <v>50.36000061035156</v>
      </c>
      <c r="F244" s="37">
        <v>10.079999923706055</v>
      </c>
      <c r="G244" s="37">
        <v>7.099999904632568</v>
      </c>
      <c r="H244" s="37">
        <v>24.260000228881836</v>
      </c>
      <c r="I244" s="37">
        <v>14.640000343322754</v>
      </c>
      <c r="J244" s="37">
        <v>13.529999732971191</v>
      </c>
      <c r="K244" s="37">
        <v>47.88999938964844</v>
      </c>
    </row>
    <row r="245" ht="14.25" customHeight="1">
      <c r="A245" s="36">
        <v>60202.0</v>
      </c>
      <c r="B245" s="36" t="s">
        <v>265</v>
      </c>
      <c r="C245" s="37">
        <v>13.210000038146973</v>
      </c>
      <c r="D245" s="37">
        <v>13.319999694824219</v>
      </c>
      <c r="E245" s="37">
        <v>21.709999084472656</v>
      </c>
      <c r="F245" s="37">
        <v>2.5</v>
      </c>
      <c r="G245" s="37">
        <v>6.349999904632568</v>
      </c>
      <c r="H245" s="37">
        <v>16.75</v>
      </c>
      <c r="I245" s="37">
        <v>6.070000171661377</v>
      </c>
      <c r="J245" s="37">
        <v>4.800000190734863</v>
      </c>
      <c r="K245" s="37">
        <v>23.690000534057617</v>
      </c>
    </row>
    <row r="246" ht="14.25" customHeight="1">
      <c r="A246" s="36">
        <v>60301.0</v>
      </c>
      <c r="B246" s="36" t="s">
        <v>266</v>
      </c>
      <c r="C246" s="37">
        <v>13.1899995803833</v>
      </c>
      <c r="D246" s="37">
        <v>23.81999969482422</v>
      </c>
      <c r="E246" s="37">
        <v>23.200000762939453</v>
      </c>
      <c r="F246" s="37">
        <v>4.369999885559082</v>
      </c>
      <c r="G246" s="37">
        <v>6.190000057220459</v>
      </c>
      <c r="H246" s="37">
        <v>17.799999237060547</v>
      </c>
      <c r="I246" s="37">
        <v>7.690000057220459</v>
      </c>
      <c r="J246" s="37">
        <v>5.840000152587891</v>
      </c>
      <c r="K246" s="37">
        <v>25.389999389648438</v>
      </c>
    </row>
    <row r="247" ht="14.25" customHeight="1">
      <c r="A247" s="36">
        <v>60302.0</v>
      </c>
      <c r="B247" s="36" t="s">
        <v>267</v>
      </c>
      <c r="C247" s="37">
        <v>12.739999771118164</v>
      </c>
      <c r="D247" s="37">
        <v>14.84000015258789</v>
      </c>
      <c r="E247" s="37">
        <v>32.5</v>
      </c>
      <c r="F247" s="37">
        <v>6.880000114440918</v>
      </c>
      <c r="G247" s="37">
        <v>5.190000057220459</v>
      </c>
      <c r="H247" s="37">
        <v>16.149999618530273</v>
      </c>
      <c r="I247" s="37">
        <v>8.529999732971191</v>
      </c>
      <c r="J247" s="37">
        <v>11.9399995803833</v>
      </c>
      <c r="K247" s="37">
        <v>17.75</v>
      </c>
    </row>
    <row r="248" ht="14.25" customHeight="1">
      <c r="A248" s="36">
        <v>60303.0</v>
      </c>
      <c r="B248" s="36" t="s">
        <v>268</v>
      </c>
      <c r="C248" s="37">
        <v>9.0</v>
      </c>
      <c r="D248" s="37">
        <v>25.299999237060547</v>
      </c>
      <c r="E248" s="37">
        <v>29.440000534057617</v>
      </c>
      <c r="F248" s="37">
        <v>3.4200000762939453</v>
      </c>
      <c r="G248" s="37">
        <v>7.46999979019165</v>
      </c>
      <c r="H248" s="37">
        <v>16.350000381469727</v>
      </c>
      <c r="I248" s="37">
        <v>9.760000228881836</v>
      </c>
      <c r="J248" s="37">
        <v>10.800000190734863</v>
      </c>
      <c r="K248" s="37">
        <v>48.310001373291016</v>
      </c>
    </row>
    <row r="249" ht="14.25" customHeight="1">
      <c r="A249" s="36">
        <v>60401.0</v>
      </c>
      <c r="B249" s="36" t="s">
        <v>269</v>
      </c>
      <c r="C249" s="37">
        <v>20.690000534057617</v>
      </c>
      <c r="D249" s="37">
        <v>14.380000114440918</v>
      </c>
      <c r="E249" s="37">
        <v>40.77000045776367</v>
      </c>
      <c r="F249" s="37">
        <v>5.159999847412109</v>
      </c>
      <c r="G249" s="37">
        <v>7.769999980926514</v>
      </c>
      <c r="H249" s="37">
        <v>23.43000030517578</v>
      </c>
      <c r="I249" s="37">
        <v>21.280000686645508</v>
      </c>
      <c r="J249" s="37">
        <v>21.030000686645508</v>
      </c>
      <c r="K249" s="37">
        <v>38.63999938964844</v>
      </c>
    </row>
    <row r="250" ht="14.25" customHeight="1">
      <c r="A250" s="36">
        <v>60402.0</v>
      </c>
      <c r="B250" s="36" t="s">
        <v>270</v>
      </c>
      <c r="C250" s="37">
        <v>28.510000228881836</v>
      </c>
      <c r="D250" s="37">
        <v>15.869999885559082</v>
      </c>
      <c r="E250" s="37">
        <v>42.54999923706055</v>
      </c>
      <c r="F250" s="37">
        <v>23.549999237060547</v>
      </c>
      <c r="G250" s="37">
        <v>8.380000114440918</v>
      </c>
      <c r="H250" s="37">
        <v>32.4900016784668</v>
      </c>
      <c r="I250" s="37">
        <v>25.149999618530273</v>
      </c>
      <c r="J250" s="37">
        <v>17.969999313354492</v>
      </c>
      <c r="K250" s="37">
        <v>25.010000228881836</v>
      </c>
    </row>
    <row r="251" ht="14.25" customHeight="1">
      <c r="A251" s="36">
        <v>60501.0</v>
      </c>
      <c r="B251" s="36" t="s">
        <v>271</v>
      </c>
      <c r="C251" s="37">
        <v>26.6200008392334</v>
      </c>
      <c r="D251" s="37">
        <v>18.030000686645508</v>
      </c>
      <c r="E251" s="37">
        <v>36.18000030517578</v>
      </c>
      <c r="F251" s="37">
        <v>6.349999904632568</v>
      </c>
      <c r="G251" s="37">
        <v>5.150000095367432</v>
      </c>
      <c r="H251" s="37">
        <v>20.329999923706055</v>
      </c>
      <c r="I251" s="37">
        <v>17.100000381469727</v>
      </c>
      <c r="J251" s="37">
        <v>19.290000915527344</v>
      </c>
      <c r="K251" s="37">
        <v>35.939998626708984</v>
      </c>
    </row>
    <row r="252" ht="14.25" customHeight="1">
      <c r="A252" s="36">
        <v>60502.0</v>
      </c>
      <c r="B252" s="36" t="s">
        <v>272</v>
      </c>
      <c r="C252" s="37">
        <v>26.1200008392334</v>
      </c>
      <c r="D252" s="37">
        <v>20.100000381469727</v>
      </c>
      <c r="E252" s="37">
        <v>46.529998779296875</v>
      </c>
      <c r="F252" s="37">
        <v>11.470000267028809</v>
      </c>
      <c r="G252" s="37">
        <v>6.150000095367432</v>
      </c>
      <c r="H252" s="37">
        <v>25.56999969482422</v>
      </c>
      <c r="I252" s="37">
        <v>26.90999984741211</v>
      </c>
      <c r="J252" s="37">
        <v>12.779999732971191</v>
      </c>
      <c r="K252" s="37">
        <v>19.709999084472656</v>
      </c>
    </row>
    <row r="253" ht="14.25" customHeight="1">
      <c r="A253" s="36">
        <v>60601.0</v>
      </c>
      <c r="B253" s="36" t="s">
        <v>177</v>
      </c>
      <c r="C253" s="37">
        <v>21.059999465942383</v>
      </c>
      <c r="D253" s="37">
        <v>28.59000015258789</v>
      </c>
      <c r="E253" s="37">
        <v>62.630001068115234</v>
      </c>
      <c r="F253" s="37">
        <v>10.0</v>
      </c>
      <c r="G253" s="37">
        <v>7.230000019073486</v>
      </c>
      <c r="H253" s="37">
        <v>21.81999969482422</v>
      </c>
      <c r="I253" s="37">
        <v>14.369999885559082</v>
      </c>
      <c r="J253" s="37">
        <v>31.829999923706055</v>
      </c>
      <c r="K253" s="37">
        <v>42.9900016784668</v>
      </c>
    </row>
    <row r="254" ht="14.25" customHeight="1">
      <c r="A254" s="36">
        <v>70101.0</v>
      </c>
      <c r="B254" s="36" t="s">
        <v>273</v>
      </c>
      <c r="C254" s="37">
        <v>4.570000171661377</v>
      </c>
      <c r="D254" s="37">
        <v>37.400001525878906</v>
      </c>
      <c r="E254" s="37">
        <v>12.579999923706055</v>
      </c>
      <c r="F254" s="37">
        <v>2.319999933242798</v>
      </c>
      <c r="G254" s="37">
        <v>6.519999980926514</v>
      </c>
      <c r="H254" s="37">
        <v>16.18000030517578</v>
      </c>
      <c r="I254" s="37">
        <v>0.7200000286102295</v>
      </c>
      <c r="J254" s="37">
        <v>0.9800000190734863</v>
      </c>
      <c r="K254" s="37">
        <v>48.06999969482422</v>
      </c>
    </row>
    <row r="255" ht="14.25" customHeight="1">
      <c r="A255" s="36">
        <v>70102.0</v>
      </c>
      <c r="B255" s="36" t="s">
        <v>274</v>
      </c>
      <c r="C255" s="37">
        <v>9.0</v>
      </c>
      <c r="D255" s="37">
        <v>48.86000061035156</v>
      </c>
      <c r="E255" s="37">
        <v>19.59000015258789</v>
      </c>
      <c r="F255" s="37">
        <v>4.650000095367432</v>
      </c>
      <c r="G255" s="37">
        <v>8.970000267028809</v>
      </c>
      <c r="H255" s="37">
        <v>20.940000534057617</v>
      </c>
      <c r="I255" s="37">
        <v>4.260000228881836</v>
      </c>
      <c r="J255" s="37">
        <v>5.480000019073486</v>
      </c>
      <c r="K255" s="37">
        <v>61.220001220703125</v>
      </c>
    </row>
    <row r="256" ht="14.25" customHeight="1">
      <c r="A256" s="36">
        <v>70103.0</v>
      </c>
      <c r="B256" s="36" t="s">
        <v>275</v>
      </c>
      <c r="C256" s="37">
        <v>10.289999961853027</v>
      </c>
      <c r="D256" s="37">
        <v>43.61000061035156</v>
      </c>
      <c r="E256" s="37">
        <v>34.029998779296875</v>
      </c>
      <c r="F256" s="37">
        <v>5.050000190734863</v>
      </c>
      <c r="G256" s="37">
        <v>7.989999771118164</v>
      </c>
      <c r="H256" s="37">
        <v>21.219999313354492</v>
      </c>
      <c r="I256" s="37">
        <v>15.460000038146973</v>
      </c>
      <c r="J256" s="37">
        <v>14.010000228881836</v>
      </c>
      <c r="K256" s="37">
        <v>38.95000076293945</v>
      </c>
    </row>
    <row r="257" ht="14.25" customHeight="1">
      <c r="A257" s="36">
        <v>70104.0</v>
      </c>
      <c r="B257" s="36" t="s">
        <v>276</v>
      </c>
      <c r="C257" s="37">
        <v>7.989999771118164</v>
      </c>
      <c r="D257" s="37">
        <v>40.58000183105469</v>
      </c>
      <c r="E257" s="37">
        <v>18.420000076293945</v>
      </c>
      <c r="F257" s="37">
        <v>2.950000047683716</v>
      </c>
      <c r="G257" s="37">
        <v>7.400000095367432</v>
      </c>
      <c r="H257" s="37">
        <v>18.959999084472656</v>
      </c>
      <c r="I257" s="37">
        <v>3.5899999141693115</v>
      </c>
      <c r="J257" s="37">
        <v>3.549999952316284</v>
      </c>
      <c r="K257" s="37">
        <v>89.33000183105469</v>
      </c>
    </row>
    <row r="258" ht="14.25" customHeight="1">
      <c r="A258" s="36">
        <v>70105.0</v>
      </c>
      <c r="B258" s="36" t="s">
        <v>277</v>
      </c>
      <c r="C258" s="37">
        <v>15.479999542236328</v>
      </c>
      <c r="D258" s="37">
        <v>37.33000183105469</v>
      </c>
      <c r="E258" s="37">
        <v>29.540000915527344</v>
      </c>
      <c r="F258" s="37">
        <v>4.360000133514404</v>
      </c>
      <c r="G258" s="37">
        <v>8.829999923706055</v>
      </c>
      <c r="H258" s="37">
        <v>20.31999969482422</v>
      </c>
      <c r="I258" s="37">
        <v>12.510000228881836</v>
      </c>
      <c r="J258" s="37">
        <v>10.789999961853027</v>
      </c>
      <c r="K258" s="37">
        <v>58.33000183105469</v>
      </c>
    </row>
    <row r="259" ht="14.25" customHeight="1">
      <c r="A259" s="36">
        <v>70201.0</v>
      </c>
      <c r="B259" s="36" t="s">
        <v>278</v>
      </c>
      <c r="C259" s="37">
        <v>8.399999618530273</v>
      </c>
      <c r="D259" s="37">
        <v>41.63999938964844</v>
      </c>
      <c r="E259" s="37">
        <v>24.170000076293945</v>
      </c>
      <c r="F259" s="37">
        <v>3.880000114440918</v>
      </c>
      <c r="G259" s="37">
        <v>9.460000038146973</v>
      </c>
      <c r="H259" s="37">
        <v>20.520000457763672</v>
      </c>
      <c r="I259" s="37">
        <v>2.869999885559082</v>
      </c>
      <c r="J259" s="37">
        <v>5.190000057220459</v>
      </c>
      <c r="K259" s="37">
        <v>67.44999694824219</v>
      </c>
    </row>
    <row r="260" ht="14.25" customHeight="1">
      <c r="A260" s="36">
        <v>70202.0</v>
      </c>
      <c r="B260" s="36" t="s">
        <v>279</v>
      </c>
      <c r="C260" s="37">
        <v>9.869999885559082</v>
      </c>
      <c r="D260" s="37">
        <v>43.08000183105469</v>
      </c>
      <c r="E260" s="37">
        <v>25.399999618530273</v>
      </c>
      <c r="F260" s="37">
        <v>7.400000095367432</v>
      </c>
      <c r="G260" s="37">
        <v>10.180000305175781</v>
      </c>
      <c r="H260" s="37">
        <v>22.110000610351562</v>
      </c>
      <c r="I260" s="37">
        <v>5.53000020980835</v>
      </c>
      <c r="J260" s="37">
        <v>6.809999942779541</v>
      </c>
      <c r="K260" s="37">
        <v>57.16999816894531</v>
      </c>
    </row>
    <row r="261" ht="14.25" customHeight="1">
      <c r="A261" s="36">
        <v>70301.0</v>
      </c>
      <c r="B261" s="36" t="s">
        <v>280</v>
      </c>
      <c r="C261" s="37">
        <v>10.989999771118164</v>
      </c>
      <c r="D261" s="37">
        <v>54.869998931884766</v>
      </c>
      <c r="E261" s="37">
        <v>52.439998626708984</v>
      </c>
      <c r="F261" s="37">
        <v>14.0</v>
      </c>
      <c r="G261" s="37">
        <v>12.180000305175781</v>
      </c>
      <c r="H261" s="37">
        <v>26.110000610351562</v>
      </c>
      <c r="I261" s="37">
        <v>15.039999961853027</v>
      </c>
      <c r="J261" s="37">
        <v>26.3799991607666</v>
      </c>
      <c r="K261" s="37">
        <v>38.619998931884766</v>
      </c>
    </row>
    <row r="262" ht="14.25" customHeight="1">
      <c r="A262" s="36">
        <v>70302.0</v>
      </c>
      <c r="B262" s="36" t="s">
        <v>281</v>
      </c>
      <c r="C262" s="37">
        <v>12.289999961853027</v>
      </c>
      <c r="D262" s="37">
        <v>43.439998626708984</v>
      </c>
      <c r="E262" s="37">
        <v>63.369998931884766</v>
      </c>
      <c r="F262" s="37">
        <v>9.300000190734863</v>
      </c>
      <c r="G262" s="37">
        <v>11.390000343322754</v>
      </c>
      <c r="H262" s="37">
        <v>22.75</v>
      </c>
      <c r="I262" s="37">
        <v>30.989999771118164</v>
      </c>
      <c r="J262" s="37">
        <v>48.97999954223633</v>
      </c>
      <c r="K262" s="37">
        <v>52.29999923706055</v>
      </c>
    </row>
    <row r="263" ht="14.25" customHeight="1">
      <c r="A263" s="36">
        <v>70303.0</v>
      </c>
      <c r="B263" s="36" t="s">
        <v>282</v>
      </c>
      <c r="C263" s="37">
        <v>10.630000114440918</v>
      </c>
      <c r="D263" s="37">
        <v>51.40999984741211</v>
      </c>
      <c r="E263" s="37">
        <v>56.13999938964844</v>
      </c>
      <c r="F263" s="37">
        <v>7.789999961853027</v>
      </c>
      <c r="G263" s="37">
        <v>11.430000305175781</v>
      </c>
      <c r="H263" s="37">
        <v>27.399999618530273</v>
      </c>
      <c r="I263" s="37">
        <v>28.350000381469727</v>
      </c>
      <c r="J263" s="37">
        <v>33.7400016784668</v>
      </c>
      <c r="K263" s="37">
        <v>64.79000091552734</v>
      </c>
    </row>
    <row r="264" ht="14.25" customHeight="1">
      <c r="A264" s="36">
        <v>70401.0</v>
      </c>
      <c r="B264" s="36" t="s">
        <v>283</v>
      </c>
      <c r="C264" s="37">
        <v>13.90999984741211</v>
      </c>
      <c r="D264" s="37">
        <v>43.33000183105469</v>
      </c>
      <c r="E264" s="37">
        <v>32.400001525878906</v>
      </c>
      <c r="F264" s="37">
        <v>5.460000038146973</v>
      </c>
      <c r="G264" s="37">
        <v>8.770000457763672</v>
      </c>
      <c r="H264" s="37">
        <v>20.770000457763672</v>
      </c>
      <c r="I264" s="37">
        <v>13.75</v>
      </c>
      <c r="J264" s="37">
        <v>17.170000076293945</v>
      </c>
      <c r="K264" s="37">
        <v>35.5099983215332</v>
      </c>
    </row>
    <row r="265" ht="14.25" customHeight="1">
      <c r="A265" s="36">
        <v>70402.0</v>
      </c>
      <c r="B265" s="36" t="s">
        <v>284</v>
      </c>
      <c r="C265" s="37">
        <v>14.850000381469727</v>
      </c>
      <c r="D265" s="37">
        <v>52.83000183105469</v>
      </c>
      <c r="E265" s="37">
        <v>35.599998474121094</v>
      </c>
      <c r="F265" s="37">
        <v>6.570000171661377</v>
      </c>
      <c r="G265" s="37">
        <v>9.619999885559082</v>
      </c>
      <c r="H265" s="37">
        <v>20.739999771118164</v>
      </c>
      <c r="I265" s="37">
        <v>11.869999885559082</v>
      </c>
      <c r="J265" s="37">
        <v>18.1200008392334</v>
      </c>
      <c r="K265" s="37">
        <v>77.0199966430664</v>
      </c>
    </row>
    <row r="266" ht="14.25" customHeight="1">
      <c r="A266" s="36">
        <v>70403.0</v>
      </c>
      <c r="B266" s="36" t="s">
        <v>285</v>
      </c>
      <c r="C266" s="37">
        <v>12.930000305175781</v>
      </c>
      <c r="D266" s="37">
        <v>39.290000915527344</v>
      </c>
      <c r="E266" s="37">
        <v>44.099998474121094</v>
      </c>
      <c r="F266" s="37">
        <v>4.650000095367432</v>
      </c>
      <c r="G266" s="37">
        <v>8.989999771118164</v>
      </c>
      <c r="H266" s="37">
        <v>19.65999984741211</v>
      </c>
      <c r="I266" s="37">
        <v>29.75</v>
      </c>
      <c r="J266" s="37">
        <v>29.790000915527344</v>
      </c>
      <c r="K266" s="37">
        <v>70.12000274658203</v>
      </c>
    </row>
    <row r="267" ht="14.25" customHeight="1">
      <c r="A267" s="36">
        <v>70404.0</v>
      </c>
      <c r="B267" s="36" t="s">
        <v>286</v>
      </c>
      <c r="C267" s="37">
        <v>10.029999732971191</v>
      </c>
      <c r="D267" s="37">
        <v>52.459999084472656</v>
      </c>
      <c r="E267" s="37">
        <v>38.2599983215332</v>
      </c>
      <c r="F267" s="37">
        <v>5.199999809265137</v>
      </c>
      <c r="G267" s="37">
        <v>8.760000228881836</v>
      </c>
      <c r="H267" s="37">
        <v>20.799999237060547</v>
      </c>
      <c r="I267" s="37">
        <v>22.950000762939453</v>
      </c>
      <c r="J267" s="37">
        <v>21.959999084472656</v>
      </c>
      <c r="K267" s="37">
        <v>62.47999954223633</v>
      </c>
    </row>
    <row r="268" ht="14.25" customHeight="1">
      <c r="A268" s="36">
        <v>70501.0</v>
      </c>
      <c r="B268" s="36" t="s">
        <v>287</v>
      </c>
      <c r="C268" s="37">
        <v>5.420000076293945</v>
      </c>
      <c r="D268" s="37">
        <v>40.25</v>
      </c>
      <c r="E268" s="37">
        <v>46.79999923706055</v>
      </c>
      <c r="F268" s="37">
        <v>10.229999542236328</v>
      </c>
      <c r="G268" s="37">
        <v>7.989999771118164</v>
      </c>
      <c r="H268" s="37">
        <v>24.34000015258789</v>
      </c>
      <c r="I268" s="37">
        <v>4.420000076293945</v>
      </c>
      <c r="J268" s="37">
        <v>8.489999771118164</v>
      </c>
      <c r="K268" s="37">
        <v>61.68000030517578</v>
      </c>
    </row>
    <row r="269" ht="14.25" customHeight="1">
      <c r="A269" s="36">
        <v>70502.0</v>
      </c>
      <c r="B269" s="36" t="s">
        <v>288</v>
      </c>
      <c r="C269" s="37">
        <v>5.289999961853027</v>
      </c>
      <c r="D269" s="37">
        <v>42.040000915527344</v>
      </c>
      <c r="E269" s="37">
        <v>60.150001525878906</v>
      </c>
      <c r="F269" s="37">
        <v>10.029999732971191</v>
      </c>
      <c r="G269" s="37">
        <v>5.949999809265137</v>
      </c>
      <c r="H269" s="37">
        <v>31.229999542236328</v>
      </c>
      <c r="I269" s="37">
        <v>7.610000133514404</v>
      </c>
      <c r="J269" s="37">
        <v>17.850000381469727</v>
      </c>
      <c r="K269" s="37">
        <v>32.15999984741211</v>
      </c>
    </row>
    <row r="270" ht="14.25" customHeight="1">
      <c r="A270" s="36">
        <v>70503.0</v>
      </c>
      <c r="B270" s="36" t="s">
        <v>289</v>
      </c>
      <c r="C270" s="37">
        <v>5.860000133514404</v>
      </c>
      <c r="D270" s="37">
        <v>35.7400016784668</v>
      </c>
      <c r="E270" s="37">
        <v>25.59000015258789</v>
      </c>
      <c r="F270" s="37">
        <v>3.9200000762939453</v>
      </c>
      <c r="G270" s="37">
        <v>7.03000020980835</v>
      </c>
      <c r="H270" s="37">
        <v>13.399999618530273</v>
      </c>
      <c r="I270" s="37">
        <v>11.460000038146973</v>
      </c>
      <c r="J270" s="37">
        <v>10.420000076293945</v>
      </c>
      <c r="K270" s="37">
        <v>55.84000015258789</v>
      </c>
    </row>
    <row r="271" ht="14.25" customHeight="1">
      <c r="A271" s="36">
        <v>70601.0</v>
      </c>
      <c r="B271" s="36" t="s">
        <v>290</v>
      </c>
      <c r="C271" s="37">
        <v>9.65999984741211</v>
      </c>
      <c r="D271" s="37">
        <v>39.779998779296875</v>
      </c>
      <c r="E271" s="37">
        <v>22.809999465942383</v>
      </c>
      <c r="F271" s="37">
        <v>2.009999990463257</v>
      </c>
      <c r="G271" s="37">
        <v>11.09000015258789</v>
      </c>
      <c r="H271" s="37">
        <v>18.040000915527344</v>
      </c>
      <c r="I271" s="37">
        <v>5.929999828338623</v>
      </c>
      <c r="J271" s="37">
        <v>5.599999904632568</v>
      </c>
      <c r="K271" s="37">
        <v>42.040000915527344</v>
      </c>
    </row>
    <row r="272" ht="14.25" customHeight="1">
      <c r="A272" s="36">
        <v>70602.0</v>
      </c>
      <c r="B272" s="36" t="s">
        <v>291</v>
      </c>
      <c r="C272" s="37">
        <v>14.869999885559082</v>
      </c>
      <c r="D272" s="37">
        <v>53.16999816894531</v>
      </c>
      <c r="E272" s="37">
        <v>51.599998474121094</v>
      </c>
      <c r="F272" s="37">
        <v>5.860000133514404</v>
      </c>
      <c r="G272" s="37">
        <v>9.520000457763672</v>
      </c>
      <c r="H272" s="37">
        <v>23.1299991607666</v>
      </c>
      <c r="I272" s="37">
        <v>26.209999084472656</v>
      </c>
      <c r="J272" s="37">
        <v>33.90999984741211</v>
      </c>
      <c r="K272" s="37">
        <v>54.97999954223633</v>
      </c>
    </row>
    <row r="273" ht="14.25" customHeight="1">
      <c r="A273" s="36">
        <v>70603.0</v>
      </c>
      <c r="B273" s="36" t="s">
        <v>292</v>
      </c>
      <c r="C273" s="37">
        <v>6.71999979019165</v>
      </c>
      <c r="D273" s="37">
        <v>40.709999084472656</v>
      </c>
      <c r="E273" s="37">
        <v>26.979999542236328</v>
      </c>
      <c r="F273" s="37">
        <v>5.119999885559082</v>
      </c>
      <c r="G273" s="37">
        <v>9.3100004196167</v>
      </c>
      <c r="H273" s="37">
        <v>21.010000228881836</v>
      </c>
      <c r="I273" s="37">
        <v>12.34000015258789</v>
      </c>
      <c r="J273" s="37">
        <v>8.270000457763672</v>
      </c>
      <c r="K273" s="37">
        <v>83.2699966430664</v>
      </c>
    </row>
    <row r="274" ht="14.25" customHeight="1">
      <c r="A274" s="36">
        <v>70701.0</v>
      </c>
      <c r="B274" s="36" t="s">
        <v>293</v>
      </c>
      <c r="C274" s="37">
        <v>20.200000762939453</v>
      </c>
      <c r="D274" s="37">
        <v>35.18000030517578</v>
      </c>
      <c r="E274" s="37">
        <v>59.20000076293945</v>
      </c>
      <c r="F274" s="37">
        <v>13.140000343322754</v>
      </c>
      <c r="G274" s="37">
        <v>11.859999656677246</v>
      </c>
      <c r="H274" s="37">
        <v>20.90999984741211</v>
      </c>
      <c r="I274" s="37">
        <v>24.969999313354492</v>
      </c>
      <c r="J274" s="37">
        <v>42.56999969482422</v>
      </c>
      <c r="K274" s="37">
        <v>44.86000061035156</v>
      </c>
    </row>
    <row r="275" ht="14.25" customHeight="1">
      <c r="A275" s="36">
        <v>70702.0</v>
      </c>
      <c r="B275" s="36" t="s">
        <v>294</v>
      </c>
      <c r="C275" s="37">
        <v>9.210000038146973</v>
      </c>
      <c r="D275" s="37">
        <v>47.79999923706055</v>
      </c>
      <c r="E275" s="37">
        <v>80.19999694824219</v>
      </c>
      <c r="F275" s="37">
        <v>11.720000267028809</v>
      </c>
      <c r="G275" s="37">
        <v>6.159999847412109</v>
      </c>
      <c r="H275" s="37">
        <v>28.989999771118164</v>
      </c>
      <c r="I275" s="37">
        <v>9.079999923706055</v>
      </c>
      <c r="J275" s="37">
        <v>46.93000030517578</v>
      </c>
      <c r="K275" s="37">
        <v>34.130001068115234</v>
      </c>
    </row>
    <row r="276" ht="14.25" customHeight="1">
      <c r="A276" s="36">
        <v>70703.0</v>
      </c>
      <c r="B276" s="36" t="s">
        <v>295</v>
      </c>
      <c r="C276" s="37">
        <v>9.65999984741211</v>
      </c>
      <c r="D276" s="37">
        <v>41.77000045776367</v>
      </c>
      <c r="E276" s="37">
        <v>58.75</v>
      </c>
      <c r="F276" s="37">
        <v>12.460000038146973</v>
      </c>
      <c r="G276" s="37">
        <v>6.590000152587891</v>
      </c>
      <c r="H276" s="37">
        <v>30.110000610351562</v>
      </c>
      <c r="I276" s="37">
        <v>10.550000190734863</v>
      </c>
      <c r="J276" s="37">
        <v>18.420000076293945</v>
      </c>
      <c r="K276" s="37">
        <v>36.130001068115234</v>
      </c>
    </row>
    <row r="277" ht="14.25" customHeight="1">
      <c r="A277" s="36">
        <v>70704.0</v>
      </c>
      <c r="B277" s="36" t="s">
        <v>296</v>
      </c>
      <c r="C277" s="37">
        <v>17.43000030517578</v>
      </c>
      <c r="D277" s="37">
        <v>45.16999816894531</v>
      </c>
      <c r="E277" s="37">
        <v>57.0099983215332</v>
      </c>
      <c r="F277" s="37">
        <v>10.850000381469727</v>
      </c>
      <c r="G277" s="37">
        <v>5.429999828338623</v>
      </c>
      <c r="H277" s="37">
        <v>13.390000343322754</v>
      </c>
      <c r="I277" s="37">
        <v>23.139999389648438</v>
      </c>
      <c r="J277" s="37">
        <v>37.79999923706055</v>
      </c>
      <c r="K277" s="37">
        <v>78.05000305175781</v>
      </c>
    </row>
    <row r="278" ht="14.25" customHeight="1">
      <c r="A278" s="36">
        <v>70705.0</v>
      </c>
      <c r="B278" s="36" t="s">
        <v>297</v>
      </c>
      <c r="C278" s="37">
        <v>15.84000015258789</v>
      </c>
      <c r="D278" s="37">
        <v>39.61000061035156</v>
      </c>
      <c r="E278" s="37">
        <v>76.94999694824219</v>
      </c>
      <c r="F278" s="37">
        <v>22.040000915527344</v>
      </c>
      <c r="G278" s="37">
        <v>10.100000381469727</v>
      </c>
      <c r="H278" s="37">
        <v>20.450000762939453</v>
      </c>
      <c r="I278" s="37">
        <v>42.25</v>
      </c>
      <c r="J278" s="37">
        <v>64.86000061035156</v>
      </c>
      <c r="K278" s="37">
        <v>49.47999954223633</v>
      </c>
    </row>
    <row r="279" ht="14.25" customHeight="1">
      <c r="A279" s="36">
        <v>70706.0</v>
      </c>
      <c r="B279" s="36" t="s">
        <v>298</v>
      </c>
      <c r="C279" s="37">
        <v>9.220000267028809</v>
      </c>
      <c r="D279" s="37">
        <v>29.209999084472656</v>
      </c>
      <c r="E279" s="37">
        <v>20.1200008392334</v>
      </c>
      <c r="F279" s="37">
        <v>2.700000047683716</v>
      </c>
      <c r="G279" s="37">
        <v>6.869999885559082</v>
      </c>
      <c r="H279" s="37">
        <v>12.859999656677246</v>
      </c>
      <c r="I279" s="37">
        <v>3.2799999713897705</v>
      </c>
      <c r="J279" s="37">
        <v>6.880000114440918</v>
      </c>
      <c r="K279" s="37">
        <v>38.65999984741211</v>
      </c>
    </row>
    <row r="280" ht="14.25" customHeight="1">
      <c r="A280" s="36">
        <v>70707.0</v>
      </c>
      <c r="B280" s="36" t="s">
        <v>299</v>
      </c>
      <c r="C280" s="37">
        <v>11.569999694824219</v>
      </c>
      <c r="D280" s="37">
        <v>37.4900016784668</v>
      </c>
      <c r="E280" s="37">
        <v>54.5</v>
      </c>
      <c r="F280" s="37">
        <v>6.139999866485596</v>
      </c>
      <c r="G280" s="37">
        <v>8.270000457763672</v>
      </c>
      <c r="H280" s="37">
        <v>23.030000686645508</v>
      </c>
      <c r="I280" s="37">
        <v>21.309999465942383</v>
      </c>
      <c r="J280" s="37">
        <v>39.689998626708984</v>
      </c>
      <c r="K280" s="37">
        <v>59.310001373291016</v>
      </c>
    </row>
    <row r="281" ht="14.25" customHeight="1">
      <c r="A281" s="36">
        <v>70801.0</v>
      </c>
      <c r="B281" s="36" t="s">
        <v>300</v>
      </c>
      <c r="C281" s="37">
        <v>11.34000015258789</v>
      </c>
      <c r="D281" s="37">
        <v>33.099998474121094</v>
      </c>
      <c r="E281" s="37">
        <v>40.279998779296875</v>
      </c>
      <c r="F281" s="37">
        <v>3.0799999237060547</v>
      </c>
      <c r="G281" s="37">
        <v>6.570000171661377</v>
      </c>
      <c r="H281" s="37">
        <v>14.489999771118164</v>
      </c>
      <c r="I281" s="37">
        <v>12.90999984741211</v>
      </c>
      <c r="J281" s="37">
        <v>22.969999313354492</v>
      </c>
      <c r="K281" s="37">
        <v>36.56999969482422</v>
      </c>
    </row>
    <row r="282" ht="14.25" customHeight="1">
      <c r="A282" s="36">
        <v>70802.0</v>
      </c>
      <c r="B282" s="36" t="s">
        <v>301</v>
      </c>
      <c r="C282" s="37">
        <v>8.760000228881836</v>
      </c>
      <c r="D282" s="37">
        <v>22.8700008392334</v>
      </c>
      <c r="E282" s="37">
        <v>32.599998474121094</v>
      </c>
      <c r="F282" s="37">
        <v>5.900000095367432</v>
      </c>
      <c r="G282" s="37">
        <v>5.650000095367432</v>
      </c>
      <c r="H282" s="37">
        <v>13.479999542236328</v>
      </c>
      <c r="I282" s="37">
        <v>10.539999961853027</v>
      </c>
      <c r="J282" s="37">
        <v>13.670000076293945</v>
      </c>
      <c r="K282" s="37">
        <v>34.52000045776367</v>
      </c>
    </row>
    <row r="283" ht="14.25" customHeight="1">
      <c r="A283" s="36">
        <v>70803.0</v>
      </c>
      <c r="B283" s="36" t="s">
        <v>302</v>
      </c>
      <c r="C283" s="37">
        <v>17.15999984741211</v>
      </c>
      <c r="D283" s="37">
        <v>32.22999954223633</v>
      </c>
      <c r="E283" s="37">
        <v>45.56999969482422</v>
      </c>
      <c r="F283" s="37">
        <v>3.7300000190734863</v>
      </c>
      <c r="G283" s="37">
        <v>6.159999847412109</v>
      </c>
      <c r="H283" s="37">
        <v>16.68000030517578</v>
      </c>
      <c r="I283" s="37">
        <v>38.65999984741211</v>
      </c>
      <c r="J283" s="37">
        <v>34.45000076293945</v>
      </c>
      <c r="K283" s="37">
        <v>45.599998474121094</v>
      </c>
    </row>
    <row r="284" ht="14.25" customHeight="1">
      <c r="A284" s="36">
        <v>70804.0</v>
      </c>
      <c r="B284" s="36" t="s">
        <v>303</v>
      </c>
      <c r="C284" s="37">
        <v>22.90999984741211</v>
      </c>
      <c r="D284" s="37">
        <v>50.369998931884766</v>
      </c>
      <c r="E284" s="37">
        <v>56.77000045776367</v>
      </c>
      <c r="F284" s="37">
        <v>6.170000076293945</v>
      </c>
      <c r="G284" s="37">
        <v>6.980000019073486</v>
      </c>
      <c r="H284" s="37">
        <v>17.889999389648438</v>
      </c>
      <c r="I284" s="37">
        <v>42.970001220703125</v>
      </c>
      <c r="J284" s="37">
        <v>33.47999954223633</v>
      </c>
      <c r="K284" s="37">
        <v>55.59000015258789</v>
      </c>
    </row>
    <row r="285" ht="14.25" customHeight="1">
      <c r="A285" s="36">
        <v>70805.0</v>
      </c>
      <c r="B285" s="36" t="s">
        <v>304</v>
      </c>
      <c r="C285" s="37">
        <v>11.720000267028809</v>
      </c>
      <c r="D285" s="37">
        <v>32.470001220703125</v>
      </c>
      <c r="E285" s="37">
        <v>59.470001220703125</v>
      </c>
      <c r="F285" s="37">
        <v>5.710000038146973</v>
      </c>
      <c r="G285" s="37">
        <v>6.460000038146973</v>
      </c>
      <c r="H285" s="37">
        <v>16.059999465942383</v>
      </c>
      <c r="I285" s="37">
        <v>21.829999923706055</v>
      </c>
      <c r="J285" s="37">
        <v>40.720001220703125</v>
      </c>
      <c r="K285" s="37">
        <v>68.06999969482422</v>
      </c>
    </row>
    <row r="286" ht="14.25" customHeight="1">
      <c r="A286" s="36">
        <v>70901.0</v>
      </c>
      <c r="B286" s="36" t="s">
        <v>305</v>
      </c>
      <c r="C286" s="37">
        <v>14.010000228881836</v>
      </c>
      <c r="D286" s="37">
        <v>36.16999816894531</v>
      </c>
      <c r="E286" s="37">
        <v>41.11000061035156</v>
      </c>
      <c r="F286" s="37">
        <v>4.119999885559082</v>
      </c>
      <c r="G286" s="37">
        <v>5.769999980926514</v>
      </c>
      <c r="H286" s="37">
        <v>13.800000190734863</v>
      </c>
      <c r="I286" s="37">
        <v>25.93000030517578</v>
      </c>
      <c r="J286" s="37">
        <v>19.780000686645508</v>
      </c>
      <c r="K286" s="37">
        <v>50.619998931884766</v>
      </c>
    </row>
    <row r="287" ht="14.25" customHeight="1">
      <c r="A287" s="36">
        <v>70902.0</v>
      </c>
      <c r="B287" s="36" t="s">
        <v>306</v>
      </c>
      <c r="C287" s="37">
        <v>14.350000381469727</v>
      </c>
      <c r="D287" s="37">
        <v>35.66999816894531</v>
      </c>
      <c r="E287" s="37">
        <v>39.13999938964844</v>
      </c>
      <c r="F287" s="37">
        <v>7.800000190734863</v>
      </c>
      <c r="G287" s="37">
        <v>5.679999828338623</v>
      </c>
      <c r="H287" s="37">
        <v>20.1299991607666</v>
      </c>
      <c r="I287" s="37">
        <v>12.970000267028809</v>
      </c>
      <c r="J287" s="37">
        <v>16.579999923706055</v>
      </c>
      <c r="K287" s="37">
        <v>59.060001373291016</v>
      </c>
    </row>
    <row r="288" ht="14.25" customHeight="1">
      <c r="A288" s="36">
        <v>70903.0</v>
      </c>
      <c r="B288" s="36" t="s">
        <v>307</v>
      </c>
      <c r="C288" s="37">
        <v>12.670000076293945</v>
      </c>
      <c r="D288" s="37">
        <v>36.13999938964844</v>
      </c>
      <c r="E288" s="37">
        <v>22.739999771118164</v>
      </c>
      <c r="F288" s="37">
        <v>3.7899999618530273</v>
      </c>
      <c r="G288" s="37">
        <v>7.0</v>
      </c>
      <c r="H288" s="37">
        <v>15.529999732971191</v>
      </c>
      <c r="I288" s="37">
        <v>6.079999923706055</v>
      </c>
      <c r="J288" s="37">
        <v>11.279999732971191</v>
      </c>
      <c r="K288" s="37">
        <v>77.45999908447266</v>
      </c>
    </row>
    <row r="289" ht="14.25" customHeight="1">
      <c r="A289" s="36">
        <v>70904.0</v>
      </c>
      <c r="B289" s="36" t="s">
        <v>308</v>
      </c>
      <c r="C289" s="37">
        <v>12.930000305175781</v>
      </c>
      <c r="D289" s="37">
        <v>40.95000076293945</v>
      </c>
      <c r="E289" s="37">
        <v>41.7400016784668</v>
      </c>
      <c r="F289" s="37">
        <v>1.9299999475479126</v>
      </c>
      <c r="G289" s="37">
        <v>4.900000095367432</v>
      </c>
      <c r="H289" s="37">
        <v>20.610000610351562</v>
      </c>
      <c r="I289" s="37">
        <v>17.06999969482422</v>
      </c>
      <c r="J289" s="37">
        <v>19.739999771118164</v>
      </c>
      <c r="K289" s="37">
        <v>36.290000915527344</v>
      </c>
    </row>
    <row r="290" ht="14.25" customHeight="1">
      <c r="A290" s="36">
        <v>71001.0</v>
      </c>
      <c r="B290" s="36" t="s">
        <v>309</v>
      </c>
      <c r="C290" s="37">
        <v>8.380000114440918</v>
      </c>
      <c r="D290" s="37">
        <v>37.290000915527344</v>
      </c>
      <c r="E290" s="37">
        <v>21.139999389648438</v>
      </c>
      <c r="F290" s="37">
        <v>2.859999895095825</v>
      </c>
      <c r="G290" s="37">
        <v>8.289999961853027</v>
      </c>
      <c r="H290" s="37">
        <v>17.670000076293945</v>
      </c>
      <c r="I290" s="37">
        <v>4.71999979019165</v>
      </c>
      <c r="J290" s="37">
        <v>4.480000019073486</v>
      </c>
      <c r="K290" s="37">
        <v>54.25</v>
      </c>
    </row>
    <row r="291" ht="14.25" customHeight="1">
      <c r="A291" s="36">
        <v>71002.0</v>
      </c>
      <c r="B291" s="36" t="s">
        <v>310</v>
      </c>
      <c r="C291" s="37">
        <v>14.720000267028809</v>
      </c>
      <c r="D291" s="37">
        <v>45.45000076293945</v>
      </c>
      <c r="E291" s="37">
        <v>36.41999816894531</v>
      </c>
      <c r="F291" s="37">
        <v>5.199999809265137</v>
      </c>
      <c r="G291" s="37">
        <v>9.109999656677246</v>
      </c>
      <c r="H291" s="37">
        <v>21.389999389648438</v>
      </c>
      <c r="I291" s="37">
        <v>7.019999980926514</v>
      </c>
      <c r="J291" s="37">
        <v>14.399999618530273</v>
      </c>
      <c r="K291" s="37">
        <v>52.16999816894531</v>
      </c>
    </row>
    <row r="292" ht="14.25" customHeight="1">
      <c r="A292" s="36">
        <v>71003.0</v>
      </c>
      <c r="B292" s="36" t="s">
        <v>311</v>
      </c>
      <c r="C292" s="37">
        <v>11.40999984741211</v>
      </c>
      <c r="D292" s="37">
        <v>50.369998931884766</v>
      </c>
      <c r="E292" s="37">
        <v>32.02000045776367</v>
      </c>
      <c r="F292" s="37">
        <v>3.990000009536743</v>
      </c>
      <c r="G292" s="37">
        <v>9.819999694824219</v>
      </c>
      <c r="H292" s="37">
        <v>22.6200008392334</v>
      </c>
      <c r="I292" s="37">
        <v>3.700000047683716</v>
      </c>
      <c r="J292" s="37">
        <v>10.199999809265137</v>
      </c>
      <c r="K292" s="37">
        <v>83.6500015258789</v>
      </c>
    </row>
    <row r="293" ht="14.25" customHeight="1">
      <c r="A293" s="36">
        <v>71004.0</v>
      </c>
      <c r="B293" s="36" t="s">
        <v>312</v>
      </c>
      <c r="C293" s="37">
        <v>16.209999084472656</v>
      </c>
      <c r="D293" s="37">
        <v>39.93000030517578</v>
      </c>
      <c r="E293" s="37">
        <v>34.220001220703125</v>
      </c>
      <c r="F293" s="37">
        <v>3.1700000762939453</v>
      </c>
      <c r="G293" s="37">
        <v>8.550000190734863</v>
      </c>
      <c r="H293" s="37">
        <v>19.959999084472656</v>
      </c>
      <c r="I293" s="37">
        <v>5.449999809265137</v>
      </c>
      <c r="J293" s="37">
        <v>10.850000381469727</v>
      </c>
      <c r="K293" s="37">
        <v>73.7699966430664</v>
      </c>
    </row>
    <row r="294" ht="14.25" customHeight="1">
      <c r="A294" s="36">
        <v>71005.0</v>
      </c>
      <c r="B294" s="36" t="s">
        <v>238</v>
      </c>
      <c r="C294" s="37">
        <v>17.479999542236328</v>
      </c>
      <c r="D294" s="37">
        <v>50.52000045776367</v>
      </c>
      <c r="E294" s="37">
        <v>27.770000457763672</v>
      </c>
      <c r="F294" s="37">
        <v>3.819999933242798</v>
      </c>
      <c r="G294" s="37">
        <v>9.40999984741211</v>
      </c>
      <c r="H294" s="37">
        <v>21.219999313354492</v>
      </c>
      <c r="I294" s="37">
        <v>2.559999942779541</v>
      </c>
      <c r="J294" s="37">
        <v>8.569999694824219</v>
      </c>
      <c r="K294" s="37">
        <v>49.04999923706055</v>
      </c>
    </row>
    <row r="295" ht="14.25" customHeight="1">
      <c r="A295" s="36">
        <v>71101.0</v>
      </c>
      <c r="B295" s="36" t="s">
        <v>313</v>
      </c>
      <c r="C295" s="37">
        <v>15.34000015258789</v>
      </c>
      <c r="D295" s="37">
        <v>29.770000457763672</v>
      </c>
      <c r="E295" s="37">
        <v>57.11000061035156</v>
      </c>
      <c r="F295" s="37">
        <v>11.529999732971191</v>
      </c>
      <c r="G295" s="37">
        <v>11.029999732971191</v>
      </c>
      <c r="H295" s="37">
        <v>21.270000457763672</v>
      </c>
      <c r="I295" s="37">
        <v>37.06999969482422</v>
      </c>
      <c r="J295" s="37">
        <v>36.97999954223633</v>
      </c>
      <c r="K295" s="37">
        <v>62.18000030517578</v>
      </c>
    </row>
    <row r="296" ht="14.25" customHeight="1">
      <c r="A296" s="36">
        <v>71102.0</v>
      </c>
      <c r="B296" s="36" t="s">
        <v>314</v>
      </c>
      <c r="C296" s="37">
        <v>16.40999984741211</v>
      </c>
      <c r="D296" s="37">
        <v>44.25</v>
      </c>
      <c r="E296" s="37">
        <v>42.77000045776367</v>
      </c>
      <c r="F296" s="37">
        <v>7.769999980926514</v>
      </c>
      <c r="G296" s="37">
        <v>12.09000015258789</v>
      </c>
      <c r="H296" s="37">
        <v>23.899999618530273</v>
      </c>
      <c r="I296" s="37">
        <v>39.93000030517578</v>
      </c>
      <c r="J296" s="37">
        <v>28.3700008392334</v>
      </c>
      <c r="K296" s="37">
        <v>62.279998779296875</v>
      </c>
    </row>
    <row r="297" ht="14.25" customHeight="1">
      <c r="A297" s="36">
        <v>71103.0</v>
      </c>
      <c r="B297" s="36" t="s">
        <v>315</v>
      </c>
      <c r="C297" s="37">
        <v>13.609999656677246</v>
      </c>
      <c r="D297" s="37">
        <v>41.77000045776367</v>
      </c>
      <c r="E297" s="37">
        <v>46.83000183105469</v>
      </c>
      <c r="F297" s="37">
        <v>5.420000076293945</v>
      </c>
      <c r="G297" s="37">
        <v>8.729999542236328</v>
      </c>
      <c r="H297" s="37">
        <v>20.850000381469727</v>
      </c>
      <c r="I297" s="37">
        <v>8.399999618530273</v>
      </c>
      <c r="J297" s="37">
        <v>27.3799991607666</v>
      </c>
      <c r="K297" s="37">
        <v>54.04999923706055</v>
      </c>
    </row>
    <row r="298" ht="14.25" customHeight="1">
      <c r="A298" s="36">
        <v>71104.0</v>
      </c>
      <c r="B298" s="36" t="s">
        <v>316</v>
      </c>
      <c r="C298" s="37">
        <v>15.5600004196167</v>
      </c>
      <c r="D298" s="37">
        <v>33.45000076293945</v>
      </c>
      <c r="E298" s="37">
        <v>65.20999908447266</v>
      </c>
      <c r="F298" s="37">
        <v>19.450000762939453</v>
      </c>
      <c r="G298" s="37">
        <v>9.600000381469727</v>
      </c>
      <c r="H298" s="37">
        <v>17.739999771118164</v>
      </c>
      <c r="I298" s="37">
        <v>18.799999237060547</v>
      </c>
      <c r="J298" s="37">
        <v>17.729999542236328</v>
      </c>
      <c r="K298" s="37">
        <v>14.84000015258789</v>
      </c>
    </row>
    <row r="299" ht="14.25" customHeight="1">
      <c r="A299" s="36">
        <v>71105.0</v>
      </c>
      <c r="B299" s="36" t="s">
        <v>317</v>
      </c>
      <c r="C299" s="37">
        <v>12.300000190734863</v>
      </c>
      <c r="D299" s="37">
        <v>36.779998779296875</v>
      </c>
      <c r="E299" s="37">
        <v>38.66999816894531</v>
      </c>
      <c r="F299" s="37">
        <v>3.799999952316284</v>
      </c>
      <c r="G299" s="37">
        <v>11.289999961853027</v>
      </c>
      <c r="H299" s="37">
        <v>21.59000015258789</v>
      </c>
      <c r="I299" s="37">
        <v>17.100000381469727</v>
      </c>
      <c r="J299" s="37">
        <v>19.170000076293945</v>
      </c>
      <c r="K299" s="37">
        <v>92.23999786376953</v>
      </c>
    </row>
    <row r="300" ht="14.25" customHeight="1">
      <c r="A300" s="36">
        <v>71106.0</v>
      </c>
      <c r="B300" s="36" t="s">
        <v>318</v>
      </c>
      <c r="C300" s="37">
        <v>10.670000076293945</v>
      </c>
      <c r="D300" s="37">
        <v>41.63999938964844</v>
      </c>
      <c r="E300" s="37">
        <v>39.25</v>
      </c>
      <c r="F300" s="37">
        <v>4.739999771118164</v>
      </c>
      <c r="G300" s="37">
        <v>6.869999885559082</v>
      </c>
      <c r="H300" s="37">
        <v>27.399999618530273</v>
      </c>
      <c r="I300" s="37">
        <v>2.4000000953674316</v>
      </c>
      <c r="J300" s="37">
        <v>12.869999885559082</v>
      </c>
      <c r="K300" s="37">
        <v>45.849998474121094</v>
      </c>
    </row>
    <row r="301" ht="14.25" customHeight="1">
      <c r="A301" s="36">
        <v>71201.0</v>
      </c>
      <c r="B301" s="36" t="s">
        <v>319</v>
      </c>
      <c r="C301" s="37">
        <v>6.420000076293945</v>
      </c>
      <c r="D301" s="37">
        <v>56.95000076293945</v>
      </c>
      <c r="E301" s="37">
        <v>51.79999923706055</v>
      </c>
      <c r="F301" s="37">
        <v>13.5600004196167</v>
      </c>
      <c r="G301" s="37">
        <v>9.470000267028809</v>
      </c>
      <c r="H301" s="37">
        <v>24.360000610351562</v>
      </c>
      <c r="I301" s="37">
        <v>42.619998931884766</v>
      </c>
      <c r="J301" s="37">
        <v>24.489999771118164</v>
      </c>
      <c r="K301" s="37">
        <v>53.279998779296875</v>
      </c>
    </row>
    <row r="302" ht="14.25" customHeight="1">
      <c r="A302" s="36">
        <v>71301.0</v>
      </c>
      <c r="B302" s="36" t="s">
        <v>320</v>
      </c>
      <c r="C302" s="37">
        <v>13.899999618530273</v>
      </c>
      <c r="D302" s="37">
        <v>40.7400016784668</v>
      </c>
      <c r="E302" s="37">
        <v>30.3700008392334</v>
      </c>
      <c r="F302" s="37">
        <v>5.050000190734863</v>
      </c>
      <c r="G302" s="37">
        <v>7.230000019073486</v>
      </c>
      <c r="H302" s="37">
        <v>17.290000915527344</v>
      </c>
      <c r="I302" s="37">
        <v>31.100000381469727</v>
      </c>
      <c r="J302" s="37">
        <v>18.139999389648438</v>
      </c>
      <c r="K302" s="37">
        <v>37.099998474121094</v>
      </c>
    </row>
    <row r="303" ht="14.25" customHeight="1">
      <c r="A303" s="36">
        <v>71302.0</v>
      </c>
      <c r="B303" s="36" t="s">
        <v>321</v>
      </c>
      <c r="C303" s="37">
        <v>14.829999923706055</v>
      </c>
      <c r="D303" s="37">
        <v>41.2400016784668</v>
      </c>
      <c r="E303" s="37">
        <v>28.18000030517578</v>
      </c>
      <c r="F303" s="37">
        <v>8.40999984741211</v>
      </c>
      <c r="G303" s="37">
        <v>8.140000343322754</v>
      </c>
      <c r="H303" s="37">
        <v>20.479999542236328</v>
      </c>
      <c r="I303" s="37">
        <v>8.380000114440918</v>
      </c>
      <c r="J303" s="37">
        <v>14.270000457763672</v>
      </c>
      <c r="K303" s="37">
        <v>79.06999969482422</v>
      </c>
    </row>
    <row r="304" ht="14.25" customHeight="1">
      <c r="A304" s="36">
        <v>71401.0</v>
      </c>
      <c r="B304" s="36" t="s">
        <v>322</v>
      </c>
      <c r="C304" s="37">
        <v>3.5</v>
      </c>
      <c r="D304" s="37">
        <v>26.389999389648438</v>
      </c>
      <c r="E304" s="37">
        <v>31.360000610351562</v>
      </c>
      <c r="F304" s="37">
        <v>3.299999952316284</v>
      </c>
      <c r="G304" s="37">
        <v>7.260000228881836</v>
      </c>
      <c r="H304" s="37">
        <v>16.93000030517578</v>
      </c>
      <c r="I304" s="37">
        <v>4.849999904632568</v>
      </c>
      <c r="J304" s="37">
        <v>8.390000343322754</v>
      </c>
      <c r="K304" s="37">
        <v>83.02999877929688</v>
      </c>
    </row>
    <row r="305" ht="14.25" customHeight="1">
      <c r="A305" s="36">
        <v>71402.0</v>
      </c>
      <c r="B305" s="36" t="s">
        <v>323</v>
      </c>
      <c r="C305" s="37">
        <v>4.519999980926514</v>
      </c>
      <c r="D305" s="37">
        <v>33.88999938964844</v>
      </c>
      <c r="E305" s="37">
        <v>28.139999389648438</v>
      </c>
      <c r="F305" s="37">
        <v>3.440000057220459</v>
      </c>
      <c r="G305" s="37">
        <v>8.760000228881836</v>
      </c>
      <c r="H305" s="37">
        <v>19.540000915527344</v>
      </c>
      <c r="I305" s="37">
        <v>1.190000057220459</v>
      </c>
      <c r="J305" s="37">
        <v>5.829999923706055</v>
      </c>
      <c r="K305" s="37">
        <v>96.68000030517578</v>
      </c>
    </row>
    <row r="306" ht="14.25" customHeight="1">
      <c r="A306" s="36">
        <v>71403.0</v>
      </c>
      <c r="B306" s="36" t="s">
        <v>324</v>
      </c>
      <c r="C306" s="37">
        <v>6.460000038146973</v>
      </c>
      <c r="D306" s="37">
        <v>33.869998931884766</v>
      </c>
      <c r="E306" s="37">
        <v>51.810001373291016</v>
      </c>
      <c r="F306" s="37">
        <v>10.850000381469727</v>
      </c>
      <c r="G306" s="37">
        <v>8.270000457763672</v>
      </c>
      <c r="H306" s="37">
        <v>28.309999465942383</v>
      </c>
      <c r="I306" s="37">
        <v>30.290000915527344</v>
      </c>
      <c r="J306" s="37">
        <v>29.829999923706055</v>
      </c>
      <c r="K306" s="37">
        <v>56.08000183105469</v>
      </c>
    </row>
    <row r="307" ht="14.25" customHeight="1">
      <c r="A307" s="36">
        <v>71501.0</v>
      </c>
      <c r="B307" s="36" t="s">
        <v>325</v>
      </c>
      <c r="C307" s="37">
        <v>8.270000457763672</v>
      </c>
      <c r="D307" s="37">
        <v>48.45000076293945</v>
      </c>
      <c r="E307" s="37">
        <v>44.59000015258789</v>
      </c>
      <c r="F307" s="37">
        <v>8.470000267028809</v>
      </c>
      <c r="G307" s="37">
        <v>11.779999732971191</v>
      </c>
      <c r="H307" s="37">
        <v>23.239999771118164</v>
      </c>
      <c r="I307" s="37">
        <v>61.47999954223633</v>
      </c>
      <c r="J307" s="37">
        <v>15.960000038146973</v>
      </c>
      <c r="K307" s="37">
        <v>80.62000274658203</v>
      </c>
    </row>
    <row r="308" ht="14.25" customHeight="1">
      <c r="A308" s="36">
        <v>71502.0</v>
      </c>
      <c r="B308" s="36" t="s">
        <v>326</v>
      </c>
      <c r="C308" s="37">
        <v>8.239999771118164</v>
      </c>
      <c r="D308" s="37">
        <v>37.18000030517578</v>
      </c>
      <c r="E308" s="37">
        <v>49.349998474121094</v>
      </c>
      <c r="F308" s="37">
        <v>14.640000343322754</v>
      </c>
      <c r="G308" s="37">
        <v>10.630000114440918</v>
      </c>
      <c r="H308" s="37">
        <v>23.709999084472656</v>
      </c>
      <c r="I308" s="37">
        <v>34.9900016784668</v>
      </c>
      <c r="J308" s="37">
        <v>19.959999084472656</v>
      </c>
      <c r="K308" s="37">
        <v>93.69000244140625</v>
      </c>
    </row>
    <row r="309" ht="14.25" customHeight="1">
      <c r="A309" s="36">
        <v>71503.0</v>
      </c>
      <c r="B309" s="36" t="s">
        <v>272</v>
      </c>
      <c r="C309" s="37">
        <v>12.260000228881836</v>
      </c>
      <c r="D309" s="37">
        <v>38.540000915527344</v>
      </c>
      <c r="E309" s="37">
        <v>73.52999877929688</v>
      </c>
      <c r="F309" s="37">
        <v>6.639999866485596</v>
      </c>
      <c r="G309" s="37">
        <v>8.300000190734863</v>
      </c>
      <c r="H309" s="37">
        <v>22.3799991607666</v>
      </c>
      <c r="I309" s="37">
        <v>39.2599983215332</v>
      </c>
      <c r="J309" s="37">
        <v>52.439998626708984</v>
      </c>
      <c r="K309" s="37">
        <v>57.310001373291016</v>
      </c>
    </row>
    <row r="310" ht="14.25" customHeight="1">
      <c r="A310" s="36">
        <v>80101.0</v>
      </c>
      <c r="B310" s="36" t="s">
        <v>327</v>
      </c>
      <c r="C310" s="37">
        <v>4.849999904632568</v>
      </c>
      <c r="D310" s="37">
        <v>43.220001220703125</v>
      </c>
      <c r="E310" s="37">
        <v>26.459999084472656</v>
      </c>
      <c r="F310" s="37">
        <v>3.059999942779541</v>
      </c>
      <c r="G310" s="37">
        <v>8.710000038146973</v>
      </c>
      <c r="H310" s="37">
        <v>17.34000015258789</v>
      </c>
      <c r="I310" s="37">
        <v>33.7400016784668</v>
      </c>
      <c r="J310" s="37">
        <v>5.679999828338623</v>
      </c>
      <c r="K310" s="37">
        <v>68.02999877929688</v>
      </c>
    </row>
    <row r="311" ht="14.25" customHeight="1">
      <c r="A311" s="36">
        <v>80102.0</v>
      </c>
      <c r="B311" s="36" t="s">
        <v>314</v>
      </c>
      <c r="C311" s="37">
        <v>6.590000152587891</v>
      </c>
      <c r="D311" s="37">
        <v>54.38999938964844</v>
      </c>
      <c r="E311" s="37">
        <v>76.20999908447266</v>
      </c>
      <c r="F311" s="37">
        <v>14.649999618530273</v>
      </c>
      <c r="G311" s="37">
        <v>10.399999618530273</v>
      </c>
      <c r="H311" s="37">
        <v>26.479999542236328</v>
      </c>
      <c r="I311" s="37">
        <v>47.75</v>
      </c>
      <c r="J311" s="37">
        <v>37.689998626708984</v>
      </c>
      <c r="K311" s="37">
        <v>12.119999885559082</v>
      </c>
    </row>
    <row r="312" ht="14.25" customHeight="1">
      <c r="A312" s="36">
        <v>80201.0</v>
      </c>
      <c r="B312" s="36" t="s">
        <v>328</v>
      </c>
      <c r="C312" s="37">
        <v>6.130000114440918</v>
      </c>
      <c r="D312" s="37">
        <v>58.5</v>
      </c>
      <c r="E312" s="37">
        <v>40.40999984741211</v>
      </c>
      <c r="F312" s="37">
        <v>7.519999980926514</v>
      </c>
      <c r="G312" s="37">
        <v>11.59000015258789</v>
      </c>
      <c r="H312" s="37">
        <v>21.540000915527344</v>
      </c>
      <c r="I312" s="37">
        <v>81.33000183105469</v>
      </c>
      <c r="J312" s="37">
        <v>11.800000190734863</v>
      </c>
      <c r="K312" s="37">
        <v>73.38999938964844</v>
      </c>
    </row>
    <row r="313" ht="14.25" customHeight="1">
      <c r="A313" s="36">
        <v>80202.0</v>
      </c>
      <c r="B313" s="36" t="s">
        <v>329</v>
      </c>
      <c r="C313" s="37">
        <v>5.409999847412109</v>
      </c>
      <c r="D313" s="37">
        <v>53.77000045776367</v>
      </c>
      <c r="E313" s="37">
        <v>35.38999938964844</v>
      </c>
      <c r="F313" s="37">
        <v>4.369999885559082</v>
      </c>
      <c r="G313" s="37">
        <v>10.510000228881836</v>
      </c>
      <c r="H313" s="37">
        <v>20.280000686645508</v>
      </c>
      <c r="I313" s="37">
        <v>18.84000015258789</v>
      </c>
      <c r="J313" s="37">
        <v>9.020000457763672</v>
      </c>
      <c r="K313" s="37">
        <v>62.959999084472656</v>
      </c>
    </row>
    <row r="314" ht="14.25" customHeight="1">
      <c r="A314" s="36">
        <v>80301.0</v>
      </c>
      <c r="B314" s="36" t="s">
        <v>330</v>
      </c>
      <c r="C314" s="37">
        <v>7.760000228881836</v>
      </c>
      <c r="D314" s="37">
        <v>46.9900016784668</v>
      </c>
      <c r="E314" s="37">
        <v>56.65999984741211</v>
      </c>
      <c r="F314" s="37">
        <v>12.529999732971191</v>
      </c>
      <c r="G314" s="37">
        <v>8.600000381469727</v>
      </c>
      <c r="H314" s="37">
        <v>21.149999618530273</v>
      </c>
      <c r="I314" s="37">
        <v>67.05999755859375</v>
      </c>
      <c r="J314" s="37">
        <v>29.6299991607666</v>
      </c>
      <c r="K314" s="37">
        <v>66.76000213623047</v>
      </c>
    </row>
    <row r="315" ht="14.25" customHeight="1">
      <c r="A315" s="36">
        <v>80302.0</v>
      </c>
      <c r="B315" s="36" t="s">
        <v>331</v>
      </c>
      <c r="C315" s="37">
        <v>18.940000534057617</v>
      </c>
      <c r="D315" s="37">
        <v>63.22999954223633</v>
      </c>
      <c r="E315" s="37">
        <v>53.08000183105469</v>
      </c>
      <c r="F315" s="37">
        <v>22.200000762939453</v>
      </c>
      <c r="G315" s="37">
        <v>9.210000038146973</v>
      </c>
      <c r="H315" s="37">
        <v>24.190000534057617</v>
      </c>
      <c r="I315" s="37">
        <v>43.939998626708984</v>
      </c>
      <c r="J315" s="37">
        <v>36.529998779296875</v>
      </c>
      <c r="K315" s="37">
        <v>83.7300033569336</v>
      </c>
    </row>
    <row r="316" ht="14.25" customHeight="1">
      <c r="A316" s="36">
        <v>80303.0</v>
      </c>
      <c r="B316" s="36" t="s">
        <v>291</v>
      </c>
      <c r="C316" s="37">
        <v>10.350000381469727</v>
      </c>
      <c r="D316" s="37">
        <v>47.400001525878906</v>
      </c>
      <c r="E316" s="37">
        <v>56.7400016784668</v>
      </c>
      <c r="F316" s="37">
        <v>13.619999885559082</v>
      </c>
      <c r="G316" s="37">
        <v>11.899999618530273</v>
      </c>
      <c r="H316" s="37">
        <v>24.780000686645508</v>
      </c>
      <c r="I316" s="37">
        <v>22.75</v>
      </c>
      <c r="J316" s="37">
        <v>16.260000228881836</v>
      </c>
      <c r="K316" s="37">
        <v>54.619998931884766</v>
      </c>
    </row>
    <row r="317" ht="14.25" customHeight="1">
      <c r="A317" s="36">
        <v>80304.0</v>
      </c>
      <c r="B317" s="36" t="s">
        <v>332</v>
      </c>
      <c r="C317" s="37">
        <v>6.869999885559082</v>
      </c>
      <c r="D317" s="37">
        <v>45.81999969482422</v>
      </c>
      <c r="E317" s="37">
        <v>40.779998779296875</v>
      </c>
      <c r="F317" s="37">
        <v>8.579999923706055</v>
      </c>
      <c r="G317" s="37">
        <v>8.359999656677246</v>
      </c>
      <c r="H317" s="37">
        <v>18.610000610351562</v>
      </c>
      <c r="I317" s="37">
        <v>15.020000457763672</v>
      </c>
      <c r="J317" s="37">
        <v>23.549999237060547</v>
      </c>
      <c r="K317" s="37">
        <v>55.15999984741211</v>
      </c>
    </row>
    <row r="318" ht="14.25" customHeight="1">
      <c r="A318" s="36">
        <v>80401.0</v>
      </c>
      <c r="B318" s="36" t="s">
        <v>333</v>
      </c>
      <c r="C318" s="37">
        <v>16.59000015258789</v>
      </c>
      <c r="D318" s="37">
        <v>53.0</v>
      </c>
      <c r="E318" s="37">
        <v>35.779998779296875</v>
      </c>
      <c r="F318" s="37">
        <v>10.130000114440918</v>
      </c>
      <c r="G318" s="37">
        <v>11.920000076293945</v>
      </c>
      <c r="H318" s="37">
        <v>23.40999984741211</v>
      </c>
      <c r="I318" s="37">
        <v>27.540000915527344</v>
      </c>
      <c r="J318" s="37">
        <v>13.449999809265137</v>
      </c>
      <c r="K318" s="37">
        <v>42.59000015258789</v>
      </c>
    </row>
    <row r="319" ht="14.25" customHeight="1">
      <c r="A319" s="36">
        <v>80402.0</v>
      </c>
      <c r="B319" s="36" t="s">
        <v>334</v>
      </c>
      <c r="C319" s="37">
        <v>19.100000381469727</v>
      </c>
      <c r="D319" s="37">
        <v>74.62999725341797</v>
      </c>
      <c r="E319" s="37">
        <v>76.62000274658203</v>
      </c>
      <c r="F319" s="37">
        <v>24.200000762939453</v>
      </c>
      <c r="G319" s="37">
        <v>14.979999542236328</v>
      </c>
      <c r="H319" s="37">
        <v>35.27000045776367</v>
      </c>
      <c r="I319" s="37">
        <v>63.939998626708984</v>
      </c>
      <c r="J319" s="37">
        <v>26.5</v>
      </c>
      <c r="K319" s="37">
        <v>17.3799991607666</v>
      </c>
    </row>
    <row r="320" ht="14.25" customHeight="1">
      <c r="A320" s="36">
        <v>80501.0</v>
      </c>
      <c r="B320" s="36" t="s">
        <v>280</v>
      </c>
      <c r="C320" s="37">
        <v>15.930000305175781</v>
      </c>
      <c r="D320" s="37">
        <v>58.560001373291016</v>
      </c>
      <c r="E320" s="37">
        <v>48.93000030517578</v>
      </c>
      <c r="F320" s="37">
        <v>17.3700008392334</v>
      </c>
      <c r="G320" s="37">
        <v>11.930000305175781</v>
      </c>
      <c r="H320" s="37">
        <v>23.040000915527344</v>
      </c>
      <c r="I320" s="37">
        <v>65.58999633789062</v>
      </c>
      <c r="J320" s="37">
        <v>27.399999618530273</v>
      </c>
      <c r="K320" s="37">
        <v>69.0199966430664</v>
      </c>
    </row>
    <row r="321" ht="14.25" customHeight="1">
      <c r="A321" s="36">
        <v>80601.0</v>
      </c>
      <c r="B321" s="36" t="s">
        <v>335</v>
      </c>
      <c r="C321" s="37">
        <v>12.0</v>
      </c>
      <c r="D321" s="37">
        <v>50.29999923706055</v>
      </c>
      <c r="E321" s="37">
        <v>77.16999816894531</v>
      </c>
      <c r="F321" s="37">
        <v>29.559999465942383</v>
      </c>
      <c r="G321" s="37">
        <v>13.289999961853027</v>
      </c>
      <c r="H321" s="37">
        <v>30.790000915527344</v>
      </c>
      <c r="I321" s="37">
        <v>58.61000061035156</v>
      </c>
      <c r="J321" s="37">
        <v>43.47999954223633</v>
      </c>
      <c r="K321" s="37">
        <v>17.889999389648438</v>
      </c>
    </row>
    <row r="322" ht="14.25" customHeight="1">
      <c r="A322" s="36">
        <v>80602.0</v>
      </c>
      <c r="B322" s="36" t="s">
        <v>336</v>
      </c>
      <c r="C322" s="37">
        <v>9.449999809265137</v>
      </c>
      <c r="D322" s="37">
        <v>47.38999938964844</v>
      </c>
      <c r="E322" s="37">
        <v>60.06999969482422</v>
      </c>
      <c r="F322" s="37">
        <v>12.09000015258789</v>
      </c>
      <c r="G322" s="37">
        <v>10.460000038146973</v>
      </c>
      <c r="H322" s="37">
        <v>24.209999084472656</v>
      </c>
      <c r="I322" s="37">
        <v>36.83000183105469</v>
      </c>
      <c r="J322" s="37">
        <v>34.2599983215332</v>
      </c>
      <c r="K322" s="37">
        <v>34.41999816894531</v>
      </c>
    </row>
    <row r="323" ht="14.25" customHeight="1">
      <c r="A323" s="36">
        <v>80701.0</v>
      </c>
      <c r="B323" s="36" t="s">
        <v>337</v>
      </c>
      <c r="C323" s="37">
        <v>6.110000133514404</v>
      </c>
      <c r="D323" s="37">
        <v>51.18000030517578</v>
      </c>
      <c r="E323" s="37">
        <v>41.70000076293945</v>
      </c>
      <c r="F323" s="37">
        <v>6.650000095367432</v>
      </c>
      <c r="G323" s="37">
        <v>12.220000267028809</v>
      </c>
      <c r="H323" s="37">
        <v>26.610000610351562</v>
      </c>
      <c r="I323" s="37">
        <v>51.150001525878906</v>
      </c>
      <c r="J323" s="37">
        <v>13.1899995803833</v>
      </c>
      <c r="K323" s="37">
        <v>67.69999694824219</v>
      </c>
    </row>
    <row r="324" ht="14.25" customHeight="1">
      <c r="A324" s="36">
        <v>80702.0</v>
      </c>
      <c r="B324" s="36" t="s">
        <v>315</v>
      </c>
      <c r="C324" s="37">
        <v>8.859999656677246</v>
      </c>
      <c r="D324" s="37">
        <v>60.72999954223633</v>
      </c>
      <c r="E324" s="37">
        <v>35.45000076293945</v>
      </c>
      <c r="F324" s="37">
        <v>3.309999942779541</v>
      </c>
      <c r="G324" s="37">
        <v>9.630000114440918</v>
      </c>
      <c r="H324" s="37">
        <v>16.309999465942383</v>
      </c>
      <c r="I324" s="37">
        <v>34.869998931884766</v>
      </c>
      <c r="J324" s="37">
        <v>15.90999984741211</v>
      </c>
      <c r="K324" s="37">
        <v>74.95999908447266</v>
      </c>
    </row>
    <row r="325" ht="14.25" customHeight="1">
      <c r="A325" s="36">
        <v>80703.0</v>
      </c>
      <c r="B325" s="36" t="s">
        <v>338</v>
      </c>
      <c r="C325" s="37">
        <v>12.460000038146973</v>
      </c>
      <c r="D325" s="37">
        <v>59.15999984741211</v>
      </c>
      <c r="E325" s="37">
        <v>53.40999984741211</v>
      </c>
      <c r="F325" s="37">
        <v>11.979999542236328</v>
      </c>
      <c r="G325" s="37">
        <v>10.430000305175781</v>
      </c>
      <c r="H325" s="37">
        <v>23.829999923706055</v>
      </c>
      <c r="I325" s="37">
        <v>37.959999084472656</v>
      </c>
      <c r="J325" s="37">
        <v>22.6299991607666</v>
      </c>
      <c r="K325" s="37">
        <v>11.619999885559082</v>
      </c>
    </row>
    <row r="326" ht="14.25" customHeight="1">
      <c r="A326" s="36">
        <v>80801.0</v>
      </c>
      <c r="B326" s="36" t="s">
        <v>339</v>
      </c>
      <c r="C326" s="37">
        <v>8.760000228881836</v>
      </c>
      <c r="D326" s="37">
        <v>58.470001220703125</v>
      </c>
      <c r="E326" s="37">
        <v>35.77000045776367</v>
      </c>
      <c r="F326" s="37">
        <v>13.5600004196167</v>
      </c>
      <c r="G326" s="37">
        <v>10.319999694824219</v>
      </c>
      <c r="H326" s="37">
        <v>22.079999923706055</v>
      </c>
      <c r="I326" s="37">
        <v>61.29999923706055</v>
      </c>
      <c r="J326" s="37">
        <v>9.75</v>
      </c>
      <c r="K326" s="37">
        <v>74.43000030517578</v>
      </c>
    </row>
    <row r="327" ht="14.25" customHeight="1">
      <c r="A327" s="36">
        <v>80802.0</v>
      </c>
      <c r="B327" s="36" t="s">
        <v>340</v>
      </c>
      <c r="C327" s="37">
        <v>8.90999984741211</v>
      </c>
      <c r="D327" s="37">
        <v>30.75</v>
      </c>
      <c r="E327" s="37">
        <v>54.91999816894531</v>
      </c>
      <c r="F327" s="37">
        <v>5.590000152587891</v>
      </c>
      <c r="G327" s="37">
        <v>9.720000267028809</v>
      </c>
      <c r="H327" s="37">
        <v>18.479999542236328</v>
      </c>
      <c r="I327" s="37">
        <v>72.45999908447266</v>
      </c>
      <c r="J327" s="37">
        <v>16.09000015258789</v>
      </c>
      <c r="K327" s="37">
        <v>49.209999084472656</v>
      </c>
    </row>
    <row r="328" ht="14.25" customHeight="1">
      <c r="A328" s="36">
        <v>80803.0</v>
      </c>
      <c r="B328" s="36" t="s">
        <v>341</v>
      </c>
      <c r="C328" s="37">
        <v>8.40999984741211</v>
      </c>
      <c r="D328" s="37">
        <v>53.310001373291016</v>
      </c>
      <c r="E328" s="37">
        <v>33.18000030517578</v>
      </c>
      <c r="F328" s="37">
        <v>10.8100004196167</v>
      </c>
      <c r="G328" s="37">
        <v>10.579999923706055</v>
      </c>
      <c r="H328" s="37">
        <v>26.270000457763672</v>
      </c>
      <c r="I328" s="37">
        <v>64.8499984741211</v>
      </c>
      <c r="J328" s="37">
        <v>12.020000457763672</v>
      </c>
      <c r="K328" s="37">
        <v>58.2400016784668</v>
      </c>
    </row>
    <row r="329" ht="14.25" customHeight="1">
      <c r="A329" s="36">
        <v>80901.0</v>
      </c>
      <c r="B329" s="36" t="s">
        <v>342</v>
      </c>
      <c r="C329" s="37">
        <v>22.049999237060547</v>
      </c>
      <c r="D329" s="37">
        <v>59.7400016784668</v>
      </c>
      <c r="E329" s="37">
        <v>97.87000274658203</v>
      </c>
      <c r="F329" s="37">
        <v>42.099998474121094</v>
      </c>
      <c r="G329" s="37">
        <v>10.920000076293945</v>
      </c>
      <c r="H329" s="37">
        <v>29.350000381469727</v>
      </c>
      <c r="I329" s="37">
        <v>90.58000183105469</v>
      </c>
      <c r="J329" s="37">
        <v>55.040000915527344</v>
      </c>
      <c r="K329" s="37">
        <v>28.899999618530273</v>
      </c>
    </row>
    <row r="330" ht="14.25" customHeight="1">
      <c r="A330" s="36">
        <v>90101.0</v>
      </c>
      <c r="B330" s="36" t="s">
        <v>343</v>
      </c>
      <c r="C330" s="37">
        <v>3.130000114440918</v>
      </c>
      <c r="D330" s="37">
        <v>27.06999969482422</v>
      </c>
      <c r="E330" s="37">
        <v>23.0</v>
      </c>
      <c r="F330" s="37">
        <v>2.9800000190734863</v>
      </c>
      <c r="G330" s="37">
        <v>9.779999732971191</v>
      </c>
      <c r="H330" s="37">
        <v>16.709999084472656</v>
      </c>
      <c r="I330" s="37">
        <v>25.440000534057617</v>
      </c>
      <c r="J330" s="37">
        <v>7.710000038146973</v>
      </c>
      <c r="K330" s="37">
        <v>71.18000030517578</v>
      </c>
    </row>
    <row r="331" ht="14.25" customHeight="1">
      <c r="A331" s="36">
        <v>90102.0</v>
      </c>
      <c r="B331" s="36" t="s">
        <v>344</v>
      </c>
      <c r="C331" s="37">
        <v>5.690000057220459</v>
      </c>
      <c r="D331" s="37">
        <v>29.809999465942383</v>
      </c>
      <c r="E331" s="37">
        <v>44.4900016784668</v>
      </c>
      <c r="F331" s="37">
        <v>5.880000114440918</v>
      </c>
      <c r="G331" s="37">
        <v>9.899999618530273</v>
      </c>
      <c r="H331" s="37">
        <v>20.780000686645508</v>
      </c>
      <c r="I331" s="37">
        <v>31.8799991607666</v>
      </c>
      <c r="J331" s="37">
        <v>20.459999084472656</v>
      </c>
      <c r="K331" s="37">
        <v>60.720001220703125</v>
      </c>
    </row>
    <row r="332" ht="14.25" customHeight="1">
      <c r="A332" s="36">
        <v>90103.0</v>
      </c>
      <c r="B332" s="36" t="s">
        <v>345</v>
      </c>
      <c r="C332" s="37">
        <v>20.920000076293945</v>
      </c>
      <c r="D332" s="37">
        <v>41.63999938964844</v>
      </c>
      <c r="E332" s="37">
        <v>95.58000183105469</v>
      </c>
      <c r="F332" s="37">
        <v>10.779999732971191</v>
      </c>
      <c r="G332" s="37">
        <v>13.739999771118164</v>
      </c>
      <c r="H332" s="37">
        <v>25.170000076293945</v>
      </c>
      <c r="I332" s="37">
        <v>83.97000122070312</v>
      </c>
      <c r="J332" s="37">
        <v>48.150001525878906</v>
      </c>
      <c r="K332" s="37">
        <v>28.09000015258789</v>
      </c>
    </row>
    <row r="333" ht="14.25" customHeight="1">
      <c r="A333" s="36">
        <v>90104.0</v>
      </c>
      <c r="B333" s="36" t="s">
        <v>346</v>
      </c>
      <c r="C333" s="37">
        <v>12.039999961853027</v>
      </c>
      <c r="D333" s="37">
        <v>41.630001068115234</v>
      </c>
      <c r="E333" s="37">
        <v>66.44999694824219</v>
      </c>
      <c r="F333" s="37">
        <v>10.670000076293945</v>
      </c>
      <c r="G333" s="37">
        <v>10.5600004196167</v>
      </c>
      <c r="H333" s="37">
        <v>28.18000030517578</v>
      </c>
      <c r="I333" s="37">
        <v>72.87000274658203</v>
      </c>
      <c r="J333" s="37">
        <v>38.93000030517578</v>
      </c>
      <c r="K333" s="37">
        <v>26.030000686645508</v>
      </c>
    </row>
    <row r="334" ht="14.25" customHeight="1">
      <c r="A334" s="36">
        <v>90201.0</v>
      </c>
      <c r="B334" s="36" t="s">
        <v>347</v>
      </c>
      <c r="C334" s="37">
        <v>6.800000190734863</v>
      </c>
      <c r="D334" s="37">
        <v>39.779998779296875</v>
      </c>
      <c r="E334" s="37">
        <v>61.79999923706055</v>
      </c>
      <c r="F334" s="37">
        <v>15.079999923706055</v>
      </c>
      <c r="G334" s="37">
        <v>12.720000267028809</v>
      </c>
      <c r="H334" s="37">
        <v>16.809999465942383</v>
      </c>
      <c r="I334" s="37">
        <v>38.619998931884766</v>
      </c>
      <c r="J334" s="37">
        <v>30.200000762939453</v>
      </c>
      <c r="K334" s="37">
        <v>48.86000061035156</v>
      </c>
    </row>
    <row r="335" ht="14.25" customHeight="1">
      <c r="A335" s="36">
        <v>90202.0</v>
      </c>
      <c r="B335" s="36" t="s">
        <v>238</v>
      </c>
      <c r="C335" s="37">
        <v>11.420000076293945</v>
      </c>
      <c r="D335" s="37">
        <v>64.70999908447266</v>
      </c>
      <c r="E335" s="37">
        <v>95.3499984741211</v>
      </c>
      <c r="F335" s="37">
        <v>28.81999969482422</v>
      </c>
      <c r="G335" s="37">
        <v>8.710000038146973</v>
      </c>
      <c r="H335" s="37">
        <v>28.8700008392334</v>
      </c>
      <c r="I335" s="37">
        <v>92.62999725341797</v>
      </c>
      <c r="J335" s="37">
        <v>68.12999725341797</v>
      </c>
      <c r="K335" s="37">
        <v>39.13999938964844</v>
      </c>
    </row>
    <row r="336" ht="14.25" customHeight="1">
      <c r="A336" s="36">
        <v>90203.0</v>
      </c>
      <c r="B336" s="36" t="s">
        <v>348</v>
      </c>
      <c r="C336" s="37">
        <v>7.5</v>
      </c>
      <c r="D336" s="37">
        <v>37.779998779296875</v>
      </c>
      <c r="E336" s="37">
        <v>83.80999755859375</v>
      </c>
      <c r="F336" s="37">
        <v>16.139999389648438</v>
      </c>
      <c r="G336" s="37">
        <v>13.729999542236328</v>
      </c>
      <c r="H336" s="37">
        <v>22.530000686645508</v>
      </c>
      <c r="I336" s="37">
        <v>78.81999969482422</v>
      </c>
      <c r="J336" s="37">
        <v>40.369998931884766</v>
      </c>
      <c r="K336" s="37">
        <v>16.81999969482422</v>
      </c>
    </row>
    <row r="337" ht="14.25" customHeight="1">
      <c r="A337" s="36">
        <v>90301.0</v>
      </c>
      <c r="B337" s="36" t="s">
        <v>349</v>
      </c>
      <c r="C337" s="37">
        <v>7.980000019073486</v>
      </c>
      <c r="D337" s="37">
        <v>62.90999984741211</v>
      </c>
      <c r="E337" s="37">
        <v>72.80000305175781</v>
      </c>
      <c r="F337" s="37">
        <v>21.229999542236328</v>
      </c>
      <c r="G337" s="37">
        <v>17.75</v>
      </c>
      <c r="H337" s="37">
        <v>33.810001373291016</v>
      </c>
      <c r="I337" s="37">
        <v>77.69000244140625</v>
      </c>
      <c r="J337" s="37">
        <v>36.130001068115234</v>
      </c>
      <c r="K337" s="37">
        <v>17.389999389648438</v>
      </c>
    </row>
    <row r="338" ht="14.25" customHeight="1">
      <c r="A338" s="36">
        <v>90302.0</v>
      </c>
      <c r="B338" s="36" t="s">
        <v>271</v>
      </c>
      <c r="C338" s="37">
        <v>8.930000305175781</v>
      </c>
      <c r="D338" s="37">
        <v>56.70000076293945</v>
      </c>
      <c r="E338" s="37">
        <v>78.66000366210938</v>
      </c>
      <c r="F338" s="37">
        <v>25.850000381469727</v>
      </c>
      <c r="G338" s="37">
        <v>14.069999694824219</v>
      </c>
      <c r="H338" s="37">
        <v>23.479999542236328</v>
      </c>
      <c r="I338" s="37">
        <v>90.45999908447266</v>
      </c>
      <c r="J338" s="37">
        <v>37.279998779296875</v>
      </c>
      <c r="K338" s="37">
        <v>18.010000228881836</v>
      </c>
    </row>
    <row r="339" ht="14.25" customHeight="1">
      <c r="A339" s="36">
        <v>90303.0</v>
      </c>
      <c r="B339" s="36" t="s">
        <v>350</v>
      </c>
      <c r="C339" s="37">
        <v>10.100000381469727</v>
      </c>
      <c r="D339" s="37">
        <v>51.27000045776367</v>
      </c>
      <c r="E339" s="37">
        <v>93.31999969482422</v>
      </c>
      <c r="F339" s="37">
        <v>26.459999084472656</v>
      </c>
      <c r="G339" s="37">
        <v>13.920000076293945</v>
      </c>
      <c r="H339" s="37">
        <v>27.479999542236328</v>
      </c>
      <c r="I339" s="37">
        <v>98.4800033569336</v>
      </c>
      <c r="J339" s="37">
        <v>83.37000274658203</v>
      </c>
      <c r="K339" s="37">
        <v>61.06999969482422</v>
      </c>
    </row>
    <row r="340" ht="14.25" customHeight="1">
      <c r="A340" s="36">
        <v>90401.0</v>
      </c>
      <c r="B340" s="36" t="s">
        <v>291</v>
      </c>
      <c r="C340" s="37">
        <v>9.130000114440918</v>
      </c>
      <c r="D340" s="37">
        <v>32.15999984741211</v>
      </c>
      <c r="E340" s="37">
        <v>67.37999725341797</v>
      </c>
      <c r="F340" s="37">
        <v>10.869999885559082</v>
      </c>
      <c r="G340" s="37">
        <v>11.029999732971191</v>
      </c>
      <c r="H340" s="37">
        <v>21.6200008392334</v>
      </c>
      <c r="I340" s="37">
        <v>71.08999633789062</v>
      </c>
      <c r="J340" s="37">
        <v>24.549999237060547</v>
      </c>
      <c r="K340" s="37">
        <v>18.639999389648438</v>
      </c>
    </row>
    <row r="341" ht="14.25" customHeight="1">
      <c r="A341" s="36">
        <v>90402.0</v>
      </c>
      <c r="B341" s="36" t="s">
        <v>351</v>
      </c>
      <c r="C341" s="37">
        <v>6.739999771118164</v>
      </c>
      <c r="D341" s="37">
        <v>64.1500015258789</v>
      </c>
      <c r="E341" s="37">
        <v>76.88999938964844</v>
      </c>
      <c r="F341" s="37">
        <v>18.0</v>
      </c>
      <c r="G341" s="37">
        <v>17.799999237060547</v>
      </c>
      <c r="H341" s="37">
        <v>34.97999954223633</v>
      </c>
      <c r="I341" s="37">
        <v>61.43000030517578</v>
      </c>
      <c r="J341" s="37">
        <v>32.5099983215332</v>
      </c>
      <c r="K341" s="37">
        <v>18.479999542236328</v>
      </c>
    </row>
    <row r="342" ht="14.25" customHeight="1">
      <c r="A342" s="36">
        <v>90501.0</v>
      </c>
      <c r="B342" s="36" t="s">
        <v>352</v>
      </c>
      <c r="C342" s="37">
        <v>8.270000457763672</v>
      </c>
      <c r="D342" s="37">
        <v>61.11000061035156</v>
      </c>
      <c r="E342" s="37">
        <v>73.88999938964844</v>
      </c>
      <c r="F342" s="37">
        <v>10.59000015258789</v>
      </c>
      <c r="G342" s="37">
        <v>9.279999732971191</v>
      </c>
      <c r="H342" s="37">
        <v>22.450000762939453</v>
      </c>
      <c r="I342" s="37">
        <v>90.55000305175781</v>
      </c>
      <c r="J342" s="37">
        <v>40.18000030517578</v>
      </c>
      <c r="K342" s="37">
        <v>29.3799991607666</v>
      </c>
    </row>
    <row r="343" ht="14.25" customHeight="1">
      <c r="A343" s="36">
        <v>90502.0</v>
      </c>
      <c r="B343" s="36" t="s">
        <v>353</v>
      </c>
      <c r="C343" s="37">
        <v>8.25</v>
      </c>
      <c r="D343" s="37">
        <v>70.86000061035156</v>
      </c>
      <c r="E343" s="37">
        <v>76.45999908447266</v>
      </c>
      <c r="F343" s="37">
        <v>19.639999389648438</v>
      </c>
      <c r="G343" s="37">
        <v>11.739999771118164</v>
      </c>
      <c r="H343" s="37">
        <v>26.3700008392334</v>
      </c>
      <c r="I343" s="37">
        <v>85.9000015258789</v>
      </c>
      <c r="J343" s="37">
        <v>44.91999816894531</v>
      </c>
      <c r="K343" s="37">
        <v>23.75</v>
      </c>
    </row>
    <row r="344" ht="14.25" customHeight="1">
      <c r="A344" s="36">
        <v>90503.0</v>
      </c>
      <c r="B344" s="36" t="s">
        <v>354</v>
      </c>
      <c r="C344" s="37">
        <v>7.570000171661377</v>
      </c>
      <c r="D344" s="37">
        <v>65.62000274658203</v>
      </c>
      <c r="E344" s="37">
        <v>90.5999984741211</v>
      </c>
      <c r="F344" s="37">
        <v>17.56999969482422</v>
      </c>
      <c r="G344" s="37">
        <v>12.460000038146973</v>
      </c>
      <c r="H344" s="37">
        <v>29.049999237060547</v>
      </c>
      <c r="I344" s="37">
        <v>81.41000366210938</v>
      </c>
      <c r="J344" s="37">
        <v>46.41999816894531</v>
      </c>
      <c r="K344" s="37">
        <v>21.18000030517578</v>
      </c>
    </row>
    <row r="345" ht="14.25" customHeight="1">
      <c r="A345" s="38"/>
      <c r="B345" s="38"/>
      <c r="C345" s="39"/>
      <c r="D345" s="39"/>
      <c r="E345" s="39"/>
      <c r="F345" s="39"/>
      <c r="G345" s="39"/>
      <c r="H345" s="39"/>
      <c r="I345" s="39"/>
      <c r="J345" s="39"/>
      <c r="K345" s="39"/>
      <c r="O345" s="17"/>
      <c r="P345" s="17"/>
      <c r="Q345" s="17"/>
      <c r="R345" s="17"/>
      <c r="S345" s="17"/>
      <c r="T345" s="17"/>
      <c r="U345" s="17"/>
      <c r="V345" s="17"/>
    </row>
    <row r="346" ht="14.25" customHeight="1">
      <c r="A346" s="38"/>
      <c r="B346" s="38"/>
      <c r="C346" s="39"/>
      <c r="D346" s="39"/>
      <c r="E346" s="39"/>
      <c r="F346" s="39"/>
      <c r="G346" s="39"/>
      <c r="H346" s="39"/>
      <c r="I346" s="39"/>
      <c r="J346" s="39"/>
      <c r="K346" s="39"/>
      <c r="O346" s="17"/>
      <c r="P346" s="17"/>
      <c r="Q346" s="17"/>
      <c r="R346" s="17"/>
      <c r="S346" s="17"/>
      <c r="T346" s="17"/>
      <c r="U346" s="17"/>
      <c r="V346" s="17"/>
    </row>
    <row r="347" ht="14.25" customHeight="1">
      <c r="A347" s="38"/>
      <c r="B347" s="38"/>
      <c r="C347" s="39"/>
      <c r="D347" s="39"/>
      <c r="E347" s="39"/>
      <c r="F347" s="39"/>
      <c r="G347" s="39"/>
      <c r="H347" s="39"/>
      <c r="I347" s="39"/>
      <c r="J347" s="39"/>
      <c r="K347" s="39"/>
      <c r="O347" s="17"/>
      <c r="P347" s="17"/>
      <c r="Q347" s="17"/>
      <c r="R347" s="17"/>
      <c r="S347" s="17"/>
      <c r="T347" s="17"/>
      <c r="U347" s="17"/>
      <c r="V347" s="17"/>
    </row>
    <row r="348" ht="14.25" customHeight="1">
      <c r="A348" s="38"/>
      <c r="B348" s="38"/>
      <c r="C348" s="39"/>
      <c r="D348" s="39"/>
      <c r="E348" s="39"/>
      <c r="F348" s="39"/>
      <c r="G348" s="39"/>
      <c r="H348" s="39"/>
      <c r="I348" s="39"/>
      <c r="J348" s="39"/>
      <c r="K348" s="39"/>
      <c r="O348" s="17"/>
      <c r="P348" s="17"/>
      <c r="Q348" s="17"/>
      <c r="R348" s="17"/>
      <c r="S348" s="17"/>
      <c r="T348" s="17"/>
      <c r="U348" s="17"/>
      <c r="V348" s="17"/>
    </row>
    <row r="349" ht="14.25" customHeight="1">
      <c r="A349" s="38"/>
      <c r="B349" s="38"/>
      <c r="C349" s="39"/>
      <c r="D349" s="39"/>
      <c r="E349" s="39"/>
      <c r="F349" s="39"/>
      <c r="G349" s="39"/>
      <c r="H349" s="39"/>
      <c r="I349" s="39"/>
      <c r="J349" s="39"/>
      <c r="K349" s="39"/>
      <c r="O349" s="17"/>
      <c r="P349" s="17"/>
      <c r="Q349" s="17"/>
      <c r="R349" s="17"/>
      <c r="S349" s="17"/>
      <c r="T349" s="17"/>
      <c r="U349" s="17"/>
      <c r="V349" s="17"/>
    </row>
    <row r="350" ht="14.25" customHeight="1">
      <c r="A350" s="38"/>
      <c r="B350" s="38"/>
      <c r="C350" s="39"/>
      <c r="D350" s="39"/>
      <c r="E350" s="39"/>
      <c r="F350" s="39"/>
      <c r="G350" s="39"/>
      <c r="H350" s="39"/>
      <c r="I350" s="39"/>
      <c r="J350" s="39"/>
      <c r="K350" s="39"/>
      <c r="O350" s="17"/>
      <c r="P350" s="17"/>
      <c r="Q350" s="17"/>
      <c r="R350" s="17"/>
      <c r="S350" s="17"/>
      <c r="T350" s="17"/>
      <c r="U350" s="17"/>
      <c r="V350" s="17"/>
    </row>
    <row r="351" ht="14.25" customHeight="1">
      <c r="A351" s="38"/>
      <c r="B351" s="38"/>
      <c r="C351" s="39"/>
      <c r="D351" s="39"/>
      <c r="E351" s="39"/>
      <c r="F351" s="39"/>
      <c r="G351" s="39"/>
      <c r="H351" s="39"/>
      <c r="I351" s="39"/>
      <c r="J351" s="39"/>
      <c r="K351" s="39"/>
      <c r="O351" s="17"/>
      <c r="P351" s="17"/>
      <c r="Q351" s="17"/>
      <c r="R351" s="17"/>
      <c r="S351" s="17"/>
      <c r="T351" s="17"/>
      <c r="U351" s="17"/>
      <c r="V351" s="17"/>
    </row>
    <row r="352" ht="14.25" customHeight="1">
      <c r="A352" s="38"/>
      <c r="B352" s="38"/>
      <c r="C352" s="39"/>
      <c r="D352" s="39"/>
      <c r="E352" s="39"/>
      <c r="F352" s="39"/>
      <c r="G352" s="39"/>
      <c r="H352" s="39"/>
      <c r="I352" s="39"/>
      <c r="J352" s="39"/>
      <c r="K352" s="39"/>
      <c r="O352" s="17"/>
      <c r="P352" s="17"/>
      <c r="Q352" s="17"/>
      <c r="R352" s="17"/>
      <c r="S352" s="17"/>
      <c r="T352" s="17"/>
      <c r="U352" s="17"/>
      <c r="V352" s="17"/>
    </row>
    <row r="353" ht="14.25" customHeight="1">
      <c r="A353" s="38"/>
      <c r="B353" s="38"/>
      <c r="C353" s="39"/>
      <c r="D353" s="39"/>
      <c r="E353" s="39"/>
      <c r="F353" s="39"/>
      <c r="G353" s="39"/>
      <c r="H353" s="39"/>
      <c r="I353" s="39"/>
      <c r="J353" s="39"/>
      <c r="K353" s="39"/>
      <c r="O353" s="17"/>
      <c r="P353" s="17"/>
      <c r="Q353" s="17"/>
      <c r="R353" s="17"/>
      <c r="S353" s="17"/>
      <c r="T353" s="17"/>
      <c r="U353" s="17"/>
      <c r="V353" s="17"/>
    </row>
    <row r="354" ht="14.25" customHeight="1">
      <c r="A354" s="38"/>
      <c r="B354" s="38"/>
      <c r="C354" s="39"/>
      <c r="D354" s="39"/>
      <c r="E354" s="39"/>
      <c r="F354" s="39"/>
      <c r="G354" s="39"/>
      <c r="H354" s="39"/>
      <c r="I354" s="39"/>
      <c r="J354" s="39"/>
      <c r="K354" s="39"/>
      <c r="O354" s="17"/>
      <c r="P354" s="17"/>
      <c r="Q354" s="17"/>
      <c r="R354" s="17"/>
      <c r="S354" s="17"/>
      <c r="T354" s="17"/>
      <c r="U354" s="17"/>
      <c r="V354" s="17"/>
    </row>
    <row r="355" ht="14.25" customHeight="1">
      <c r="A355" s="38"/>
      <c r="B355" s="38"/>
      <c r="C355" s="39"/>
      <c r="D355" s="39"/>
      <c r="E355" s="39"/>
      <c r="F355" s="39"/>
      <c r="G355" s="39"/>
      <c r="H355" s="39"/>
      <c r="I355" s="39"/>
      <c r="J355" s="39"/>
      <c r="K355" s="39"/>
      <c r="O355" s="17"/>
      <c r="P355" s="17"/>
      <c r="Q355" s="17"/>
      <c r="R355" s="17"/>
      <c r="S355" s="17"/>
      <c r="T355" s="17"/>
      <c r="U355" s="17"/>
      <c r="V355" s="17"/>
    </row>
    <row r="356" ht="14.25" customHeight="1">
      <c r="A356" s="38"/>
      <c r="B356" s="38"/>
      <c r="C356" s="39"/>
      <c r="D356" s="39"/>
      <c r="E356" s="39"/>
      <c r="F356" s="39"/>
      <c r="G356" s="39"/>
      <c r="H356" s="39"/>
      <c r="I356" s="39"/>
      <c r="J356" s="39"/>
      <c r="K356" s="39"/>
      <c r="O356" s="17"/>
      <c r="P356" s="17"/>
      <c r="Q356" s="17"/>
      <c r="R356" s="17"/>
      <c r="S356" s="17"/>
      <c r="T356" s="17"/>
      <c r="U356" s="17"/>
      <c r="V356" s="17"/>
    </row>
    <row r="357" ht="14.25" customHeight="1">
      <c r="A357" s="38"/>
      <c r="B357" s="38"/>
      <c r="C357" s="39"/>
      <c r="D357" s="39"/>
      <c r="E357" s="39"/>
      <c r="F357" s="39"/>
      <c r="G357" s="39"/>
      <c r="H357" s="39"/>
      <c r="I357" s="39"/>
      <c r="J357" s="39"/>
      <c r="K357" s="39"/>
      <c r="O357" s="17"/>
      <c r="P357" s="17"/>
      <c r="Q357" s="17"/>
      <c r="R357" s="17"/>
      <c r="S357" s="17"/>
      <c r="T357" s="17"/>
      <c r="U357" s="17"/>
      <c r="V357" s="17"/>
    </row>
    <row r="358" ht="14.25" customHeight="1">
      <c r="A358" s="38"/>
      <c r="B358" s="38"/>
      <c r="C358" s="39"/>
      <c r="D358" s="39"/>
      <c r="E358" s="39"/>
      <c r="F358" s="39"/>
      <c r="G358" s="39"/>
      <c r="H358" s="39"/>
      <c r="I358" s="39"/>
      <c r="J358" s="39"/>
      <c r="K358" s="39"/>
      <c r="O358" s="17"/>
      <c r="P358" s="17"/>
      <c r="Q358" s="17"/>
      <c r="R358" s="17"/>
      <c r="S358" s="17"/>
      <c r="T358" s="17"/>
      <c r="U358" s="17"/>
      <c r="V358" s="17"/>
    </row>
    <row r="359" ht="14.25" customHeight="1">
      <c r="A359" s="38"/>
      <c r="B359" s="38"/>
      <c r="C359" s="39"/>
      <c r="D359" s="39"/>
      <c r="E359" s="39"/>
      <c r="F359" s="39"/>
      <c r="G359" s="39"/>
      <c r="H359" s="39"/>
      <c r="I359" s="39"/>
      <c r="J359" s="39"/>
      <c r="K359" s="39"/>
      <c r="O359" s="17"/>
      <c r="P359" s="17"/>
      <c r="Q359" s="17"/>
      <c r="R359" s="17"/>
      <c r="S359" s="17"/>
      <c r="T359" s="17"/>
      <c r="U359" s="17"/>
      <c r="V359" s="17"/>
    </row>
    <row r="360" ht="14.25" customHeight="1">
      <c r="A360" s="38"/>
      <c r="B360" s="38"/>
      <c r="C360" s="39"/>
      <c r="D360" s="39"/>
      <c r="E360" s="39"/>
      <c r="F360" s="39"/>
      <c r="G360" s="39"/>
      <c r="H360" s="39"/>
      <c r="I360" s="39"/>
      <c r="J360" s="39"/>
      <c r="K360" s="39"/>
      <c r="O360" s="17"/>
      <c r="P360" s="17"/>
      <c r="Q360" s="17"/>
      <c r="R360" s="17"/>
      <c r="S360" s="17"/>
      <c r="T360" s="17"/>
      <c r="U360" s="17"/>
      <c r="V360" s="17"/>
    </row>
    <row r="361" ht="14.25" customHeight="1">
      <c r="A361" s="38"/>
      <c r="B361" s="38"/>
      <c r="C361" s="39"/>
      <c r="D361" s="39"/>
      <c r="E361" s="39"/>
      <c r="F361" s="39"/>
      <c r="G361" s="39"/>
      <c r="H361" s="39"/>
      <c r="I361" s="39"/>
      <c r="J361" s="39"/>
      <c r="K361" s="39"/>
      <c r="O361" s="17"/>
      <c r="P361" s="17"/>
      <c r="Q361" s="17"/>
      <c r="R361" s="17"/>
      <c r="S361" s="17"/>
      <c r="T361" s="17"/>
      <c r="U361" s="17"/>
      <c r="V361" s="17"/>
    </row>
    <row r="362" ht="14.25" customHeight="1">
      <c r="A362" s="38"/>
      <c r="B362" s="38"/>
      <c r="C362" s="39"/>
      <c r="D362" s="39"/>
      <c r="E362" s="39"/>
      <c r="F362" s="39"/>
      <c r="G362" s="39"/>
      <c r="H362" s="39"/>
      <c r="I362" s="39"/>
      <c r="J362" s="39"/>
      <c r="K362" s="39"/>
      <c r="O362" s="17"/>
      <c r="P362" s="17"/>
      <c r="Q362" s="17"/>
      <c r="R362" s="17"/>
      <c r="S362" s="17"/>
      <c r="T362" s="17"/>
      <c r="U362" s="17"/>
      <c r="V362" s="17"/>
    </row>
    <row r="363" ht="14.25" customHeight="1">
      <c r="A363" s="38"/>
      <c r="B363" s="38"/>
      <c r="C363" s="39"/>
      <c r="D363" s="39"/>
      <c r="E363" s="39"/>
      <c r="F363" s="39"/>
      <c r="G363" s="39"/>
      <c r="H363" s="39"/>
      <c r="I363" s="39"/>
      <c r="J363" s="39"/>
      <c r="K363" s="39"/>
      <c r="O363" s="17"/>
      <c r="P363" s="17"/>
      <c r="Q363" s="17"/>
      <c r="R363" s="17"/>
      <c r="S363" s="17"/>
      <c r="T363" s="17"/>
      <c r="U363" s="17"/>
      <c r="V363" s="17"/>
    </row>
    <row r="364" ht="14.25" customHeight="1">
      <c r="A364" s="38"/>
      <c r="B364" s="38"/>
      <c r="C364" s="39"/>
      <c r="D364" s="39"/>
      <c r="E364" s="39"/>
      <c r="F364" s="39"/>
      <c r="G364" s="39"/>
      <c r="H364" s="39"/>
      <c r="I364" s="39"/>
      <c r="J364" s="39"/>
      <c r="K364" s="39"/>
      <c r="O364" s="17"/>
      <c r="P364" s="17"/>
      <c r="Q364" s="17"/>
      <c r="R364" s="17"/>
      <c r="S364" s="17"/>
      <c r="T364" s="17"/>
      <c r="U364" s="17"/>
      <c r="V364" s="17"/>
    </row>
    <row r="365" ht="14.25" customHeight="1">
      <c r="A365" s="38"/>
      <c r="B365" s="38"/>
      <c r="C365" s="39"/>
      <c r="D365" s="39"/>
      <c r="E365" s="39"/>
      <c r="F365" s="39"/>
      <c r="G365" s="39"/>
      <c r="H365" s="39"/>
      <c r="I365" s="39"/>
      <c r="J365" s="39"/>
      <c r="K365" s="39"/>
      <c r="O365" s="17"/>
      <c r="P365" s="17"/>
      <c r="Q365" s="17"/>
      <c r="R365" s="17"/>
      <c r="S365" s="17"/>
      <c r="T365" s="17"/>
      <c r="U365" s="17"/>
      <c r="V365" s="17"/>
    </row>
    <row r="366" ht="14.25" customHeight="1">
      <c r="A366" s="38"/>
      <c r="B366" s="38"/>
      <c r="C366" s="39"/>
      <c r="D366" s="39"/>
      <c r="E366" s="39"/>
      <c r="F366" s="39"/>
      <c r="G366" s="39"/>
      <c r="H366" s="39"/>
      <c r="I366" s="39"/>
      <c r="J366" s="39"/>
      <c r="K366" s="39"/>
      <c r="O366" s="17"/>
      <c r="P366" s="17"/>
      <c r="Q366" s="17"/>
      <c r="R366" s="17"/>
      <c r="S366" s="17"/>
      <c r="T366" s="17"/>
      <c r="U366" s="17"/>
      <c r="V366" s="17"/>
    </row>
    <row r="367" ht="14.25" customHeight="1">
      <c r="A367" s="38"/>
      <c r="B367" s="38"/>
      <c r="C367" s="39"/>
      <c r="D367" s="39"/>
      <c r="E367" s="39"/>
      <c r="F367" s="39"/>
      <c r="G367" s="39"/>
      <c r="H367" s="39"/>
      <c r="I367" s="39"/>
      <c r="J367" s="39"/>
      <c r="K367" s="39"/>
      <c r="O367" s="17"/>
      <c r="P367" s="17"/>
      <c r="Q367" s="17"/>
      <c r="R367" s="17"/>
      <c r="S367" s="17"/>
      <c r="T367" s="17"/>
      <c r="U367" s="17"/>
      <c r="V367" s="17"/>
    </row>
    <row r="368" ht="14.25" customHeight="1">
      <c r="A368" s="38"/>
      <c r="B368" s="38"/>
      <c r="C368" s="39"/>
      <c r="D368" s="39"/>
      <c r="E368" s="39"/>
      <c r="F368" s="39"/>
      <c r="G368" s="39"/>
      <c r="H368" s="39"/>
      <c r="I368" s="39"/>
      <c r="J368" s="39"/>
      <c r="K368" s="39"/>
      <c r="O368" s="17"/>
      <c r="P368" s="17"/>
      <c r="Q368" s="17"/>
      <c r="R368" s="17"/>
      <c r="S368" s="17"/>
      <c r="T368" s="17"/>
      <c r="U368" s="17"/>
      <c r="V368" s="17"/>
    </row>
    <row r="369" ht="14.25" customHeight="1">
      <c r="A369" s="38"/>
      <c r="B369" s="38"/>
      <c r="C369" s="39"/>
      <c r="D369" s="39"/>
      <c r="E369" s="39"/>
      <c r="F369" s="39"/>
      <c r="G369" s="39"/>
      <c r="H369" s="39"/>
      <c r="I369" s="39"/>
      <c r="J369" s="39"/>
      <c r="K369" s="39"/>
      <c r="O369" s="17"/>
      <c r="P369" s="17"/>
      <c r="Q369" s="17"/>
      <c r="R369" s="17"/>
      <c r="S369" s="17"/>
      <c r="T369" s="17"/>
      <c r="U369" s="17"/>
      <c r="V369" s="17"/>
    </row>
    <row r="370" ht="14.25" customHeight="1">
      <c r="A370" s="38"/>
      <c r="B370" s="38"/>
      <c r="C370" s="39"/>
      <c r="D370" s="39"/>
      <c r="E370" s="39"/>
      <c r="F370" s="39"/>
      <c r="G370" s="39"/>
      <c r="H370" s="39"/>
      <c r="I370" s="39"/>
      <c r="J370" s="39"/>
      <c r="K370" s="39"/>
      <c r="O370" s="17"/>
      <c r="P370" s="17"/>
      <c r="Q370" s="17"/>
      <c r="R370" s="17"/>
      <c r="S370" s="17"/>
      <c r="T370" s="17"/>
      <c r="U370" s="17"/>
      <c r="V370" s="17"/>
    </row>
    <row r="371" ht="14.25" customHeight="1">
      <c r="A371" s="38"/>
      <c r="B371" s="38"/>
      <c r="C371" s="39"/>
      <c r="D371" s="39"/>
      <c r="E371" s="39"/>
      <c r="F371" s="39"/>
      <c r="G371" s="39"/>
      <c r="H371" s="39"/>
      <c r="I371" s="39"/>
      <c r="J371" s="39"/>
      <c r="K371" s="39"/>
      <c r="O371" s="17"/>
      <c r="P371" s="17"/>
      <c r="Q371" s="17"/>
      <c r="R371" s="17"/>
      <c r="S371" s="17"/>
      <c r="T371" s="17"/>
      <c r="U371" s="17"/>
      <c r="V371" s="17"/>
    </row>
    <row r="372" ht="14.25" customHeight="1">
      <c r="A372" s="38"/>
      <c r="B372" s="38"/>
      <c r="C372" s="39"/>
      <c r="D372" s="39"/>
      <c r="E372" s="39"/>
      <c r="F372" s="39"/>
      <c r="G372" s="39"/>
      <c r="H372" s="39"/>
      <c r="I372" s="39"/>
      <c r="J372" s="39"/>
      <c r="K372" s="39"/>
      <c r="O372" s="17"/>
      <c r="P372" s="17"/>
      <c r="Q372" s="17"/>
      <c r="R372" s="17"/>
      <c r="S372" s="17"/>
      <c r="T372" s="17"/>
      <c r="U372" s="17"/>
      <c r="V372" s="17"/>
    </row>
    <row r="373" ht="14.25" customHeight="1">
      <c r="A373" s="38"/>
      <c r="B373" s="38"/>
      <c r="C373" s="39"/>
      <c r="D373" s="39"/>
      <c r="E373" s="39"/>
      <c r="F373" s="39"/>
      <c r="G373" s="39"/>
      <c r="H373" s="39"/>
      <c r="I373" s="39"/>
      <c r="J373" s="39"/>
      <c r="K373" s="39"/>
      <c r="O373" s="17"/>
      <c r="P373" s="17"/>
      <c r="Q373" s="17"/>
      <c r="R373" s="17"/>
      <c r="S373" s="17"/>
      <c r="T373" s="17"/>
      <c r="U373" s="17"/>
      <c r="V373" s="17"/>
    </row>
    <row r="374" ht="14.25" customHeight="1">
      <c r="A374" s="38"/>
      <c r="B374" s="38"/>
      <c r="C374" s="39"/>
      <c r="D374" s="39"/>
      <c r="E374" s="39"/>
      <c r="F374" s="39"/>
      <c r="G374" s="39"/>
      <c r="H374" s="39"/>
      <c r="I374" s="39"/>
      <c r="J374" s="39"/>
      <c r="K374" s="39"/>
      <c r="O374" s="17"/>
      <c r="P374" s="17"/>
      <c r="Q374" s="17"/>
      <c r="R374" s="17"/>
      <c r="S374" s="17"/>
      <c r="T374" s="17"/>
      <c r="U374" s="17"/>
      <c r="V374" s="17"/>
    </row>
    <row r="375" ht="14.25" customHeight="1">
      <c r="A375" s="38"/>
      <c r="B375" s="38"/>
      <c r="C375" s="39"/>
      <c r="D375" s="39"/>
      <c r="E375" s="39"/>
      <c r="F375" s="39"/>
      <c r="G375" s="39"/>
      <c r="H375" s="39"/>
      <c r="I375" s="39"/>
      <c r="J375" s="39"/>
      <c r="K375" s="39"/>
      <c r="O375" s="17"/>
      <c r="P375" s="17"/>
      <c r="Q375" s="17"/>
      <c r="R375" s="17"/>
      <c r="S375" s="17"/>
      <c r="T375" s="17"/>
      <c r="U375" s="17"/>
      <c r="V375" s="17"/>
    </row>
    <row r="376" ht="14.25" customHeight="1">
      <c r="A376" s="38"/>
      <c r="B376" s="38"/>
      <c r="C376" s="39"/>
      <c r="D376" s="39"/>
      <c r="E376" s="39"/>
      <c r="F376" s="39"/>
      <c r="G376" s="39"/>
      <c r="H376" s="39"/>
      <c r="I376" s="39"/>
      <c r="J376" s="39"/>
      <c r="K376" s="39"/>
      <c r="O376" s="17"/>
      <c r="P376" s="17"/>
      <c r="Q376" s="17"/>
      <c r="R376" s="17"/>
      <c r="S376" s="17"/>
      <c r="T376" s="17"/>
      <c r="U376" s="17"/>
      <c r="V376" s="17"/>
    </row>
    <row r="377" ht="14.25" customHeight="1">
      <c r="A377" s="38"/>
      <c r="B377" s="38"/>
      <c r="C377" s="39"/>
      <c r="D377" s="39"/>
      <c r="E377" s="39"/>
      <c r="F377" s="39"/>
      <c r="G377" s="39"/>
      <c r="H377" s="39"/>
      <c r="I377" s="39"/>
      <c r="J377" s="39"/>
      <c r="K377" s="39"/>
      <c r="O377" s="17"/>
      <c r="P377" s="17"/>
      <c r="Q377" s="17"/>
      <c r="R377" s="17"/>
      <c r="S377" s="17"/>
      <c r="T377" s="17"/>
      <c r="U377" s="17"/>
      <c r="V377" s="17"/>
    </row>
    <row r="378" ht="14.25" customHeight="1">
      <c r="A378" s="38"/>
      <c r="B378" s="38"/>
      <c r="C378" s="39"/>
      <c r="D378" s="39"/>
      <c r="E378" s="39"/>
      <c r="F378" s="39"/>
      <c r="G378" s="39"/>
      <c r="H378" s="39"/>
      <c r="I378" s="39"/>
      <c r="J378" s="39"/>
      <c r="K378" s="39"/>
      <c r="O378" s="17"/>
      <c r="P378" s="17"/>
      <c r="Q378" s="17"/>
      <c r="R378" s="17"/>
      <c r="S378" s="17"/>
      <c r="T378" s="17"/>
      <c r="U378" s="17"/>
      <c r="V378" s="17"/>
    </row>
    <row r="379" ht="14.25" customHeight="1">
      <c r="A379" s="38"/>
      <c r="B379" s="38"/>
      <c r="C379" s="39"/>
      <c r="D379" s="39"/>
      <c r="E379" s="39"/>
      <c r="F379" s="39"/>
      <c r="G379" s="39"/>
      <c r="H379" s="39"/>
      <c r="I379" s="39"/>
      <c r="J379" s="39"/>
      <c r="K379" s="39"/>
      <c r="O379" s="17"/>
      <c r="P379" s="17"/>
      <c r="Q379" s="17"/>
      <c r="R379" s="17"/>
      <c r="S379" s="17"/>
      <c r="T379" s="17"/>
      <c r="U379" s="17"/>
      <c r="V379" s="17"/>
    </row>
    <row r="380" ht="14.25" customHeight="1">
      <c r="A380" s="38"/>
      <c r="B380" s="38"/>
      <c r="C380" s="39"/>
      <c r="D380" s="39"/>
      <c r="E380" s="39"/>
      <c r="F380" s="39"/>
      <c r="G380" s="39"/>
      <c r="H380" s="39"/>
      <c r="I380" s="39"/>
      <c r="J380" s="39"/>
      <c r="K380" s="39"/>
      <c r="O380" s="17"/>
      <c r="P380" s="17"/>
      <c r="Q380" s="17"/>
      <c r="R380" s="17"/>
      <c r="S380" s="17"/>
      <c r="T380" s="17"/>
      <c r="U380" s="17"/>
      <c r="V380" s="17"/>
    </row>
    <row r="381" ht="14.25" customHeight="1">
      <c r="A381" s="38"/>
      <c r="B381" s="38"/>
      <c r="C381" s="39"/>
      <c r="D381" s="39"/>
      <c r="E381" s="39"/>
      <c r="F381" s="39"/>
      <c r="G381" s="39"/>
      <c r="H381" s="39"/>
      <c r="I381" s="39"/>
      <c r="J381" s="39"/>
      <c r="K381" s="39"/>
      <c r="O381" s="17"/>
      <c r="P381" s="17"/>
      <c r="Q381" s="17"/>
      <c r="R381" s="17"/>
      <c r="S381" s="17"/>
      <c r="T381" s="17"/>
      <c r="U381" s="17"/>
      <c r="V381" s="17"/>
    </row>
    <row r="382" ht="14.25" customHeight="1">
      <c r="A382" s="38"/>
      <c r="B382" s="38"/>
      <c r="C382" s="39"/>
      <c r="D382" s="39"/>
      <c r="E382" s="39"/>
      <c r="F382" s="39"/>
      <c r="G382" s="39"/>
      <c r="H382" s="39"/>
      <c r="I382" s="39"/>
      <c r="J382" s="39"/>
      <c r="K382" s="39"/>
      <c r="O382" s="17"/>
      <c r="P382" s="17"/>
      <c r="Q382" s="17"/>
      <c r="R382" s="17"/>
      <c r="S382" s="17"/>
      <c r="T382" s="17"/>
      <c r="U382" s="17"/>
      <c r="V382" s="17"/>
    </row>
    <row r="383" ht="14.25" customHeight="1">
      <c r="A383" s="38"/>
      <c r="B383" s="38"/>
      <c r="C383" s="39"/>
      <c r="D383" s="39"/>
      <c r="E383" s="39"/>
      <c r="F383" s="39"/>
      <c r="G383" s="39"/>
      <c r="H383" s="39"/>
      <c r="I383" s="39"/>
      <c r="J383" s="39"/>
      <c r="K383" s="39"/>
      <c r="O383" s="17"/>
      <c r="P383" s="17"/>
      <c r="Q383" s="17"/>
      <c r="R383" s="17"/>
      <c r="S383" s="17"/>
      <c r="T383" s="17"/>
      <c r="U383" s="17"/>
      <c r="V383" s="17"/>
    </row>
    <row r="384" ht="14.25" customHeight="1">
      <c r="A384" s="38"/>
      <c r="B384" s="38"/>
      <c r="C384" s="39"/>
      <c r="D384" s="39"/>
      <c r="E384" s="39"/>
      <c r="F384" s="39"/>
      <c r="G384" s="39"/>
      <c r="H384" s="39"/>
      <c r="I384" s="39"/>
      <c r="J384" s="39"/>
      <c r="K384" s="39"/>
      <c r="O384" s="17"/>
      <c r="P384" s="17"/>
      <c r="Q384" s="17"/>
      <c r="R384" s="17"/>
      <c r="S384" s="17"/>
      <c r="T384" s="17"/>
      <c r="U384" s="17"/>
      <c r="V384" s="17"/>
    </row>
    <row r="385" ht="14.25" customHeight="1">
      <c r="A385" s="38"/>
      <c r="B385" s="38"/>
      <c r="C385" s="39"/>
      <c r="D385" s="39"/>
      <c r="E385" s="39"/>
      <c r="F385" s="39"/>
      <c r="G385" s="39"/>
      <c r="H385" s="39"/>
      <c r="I385" s="39"/>
      <c r="J385" s="39"/>
      <c r="K385" s="39"/>
      <c r="O385" s="17"/>
      <c r="P385" s="17"/>
      <c r="Q385" s="17"/>
      <c r="R385" s="17"/>
      <c r="S385" s="17"/>
      <c r="T385" s="17"/>
      <c r="U385" s="17"/>
      <c r="V385" s="17"/>
    </row>
    <row r="386" ht="14.25" customHeight="1">
      <c r="A386" s="38"/>
      <c r="B386" s="38"/>
      <c r="C386" s="39"/>
      <c r="D386" s="39"/>
      <c r="E386" s="39"/>
      <c r="F386" s="39"/>
      <c r="G386" s="39"/>
      <c r="H386" s="39"/>
      <c r="I386" s="39"/>
      <c r="J386" s="39"/>
      <c r="K386" s="39"/>
      <c r="O386" s="17"/>
      <c r="P386" s="17"/>
      <c r="Q386" s="17"/>
      <c r="R386" s="17"/>
      <c r="S386" s="17"/>
      <c r="T386" s="17"/>
      <c r="U386" s="17"/>
      <c r="V386" s="17"/>
    </row>
    <row r="387" ht="14.25" customHeight="1">
      <c r="A387" s="38"/>
      <c r="B387" s="38"/>
      <c r="C387" s="39"/>
      <c r="D387" s="39"/>
      <c r="E387" s="39"/>
      <c r="F387" s="39"/>
      <c r="G387" s="39"/>
      <c r="H387" s="39"/>
      <c r="I387" s="39"/>
      <c r="J387" s="39"/>
      <c r="K387" s="39"/>
      <c r="O387" s="17"/>
      <c r="P387" s="17"/>
      <c r="Q387" s="17"/>
      <c r="R387" s="17"/>
      <c r="S387" s="17"/>
      <c r="T387" s="17"/>
      <c r="U387" s="17"/>
      <c r="V387" s="17"/>
    </row>
    <row r="388" ht="14.25" customHeight="1">
      <c r="A388" s="38"/>
      <c r="B388" s="38"/>
      <c r="C388" s="39"/>
      <c r="D388" s="39"/>
      <c r="E388" s="39"/>
      <c r="F388" s="39"/>
      <c r="G388" s="39"/>
      <c r="H388" s="39"/>
      <c r="I388" s="39"/>
      <c r="J388" s="39"/>
      <c r="K388" s="39"/>
      <c r="O388" s="17"/>
      <c r="P388" s="17"/>
      <c r="Q388" s="17"/>
      <c r="R388" s="17"/>
      <c r="S388" s="17"/>
      <c r="T388" s="17"/>
      <c r="U388" s="17"/>
      <c r="V388" s="17"/>
    </row>
    <row r="389" ht="14.25" customHeight="1">
      <c r="A389" s="38"/>
      <c r="B389" s="38"/>
      <c r="C389" s="39"/>
      <c r="D389" s="39"/>
      <c r="E389" s="39"/>
      <c r="F389" s="39"/>
      <c r="G389" s="39"/>
      <c r="H389" s="39"/>
      <c r="I389" s="39"/>
      <c r="J389" s="39"/>
      <c r="K389" s="39"/>
      <c r="O389" s="17"/>
      <c r="P389" s="17"/>
      <c r="Q389" s="17"/>
      <c r="R389" s="17"/>
      <c r="S389" s="17"/>
      <c r="T389" s="17"/>
      <c r="U389" s="17"/>
      <c r="V389" s="17"/>
    </row>
    <row r="390" ht="14.25" customHeight="1">
      <c r="A390" s="38"/>
      <c r="B390" s="38"/>
      <c r="C390" s="39"/>
      <c r="D390" s="39"/>
      <c r="E390" s="39"/>
      <c r="F390" s="39"/>
      <c r="G390" s="39"/>
      <c r="H390" s="39"/>
      <c r="I390" s="39"/>
      <c r="J390" s="39"/>
      <c r="K390" s="39"/>
      <c r="O390" s="17"/>
      <c r="P390" s="17"/>
      <c r="Q390" s="17"/>
      <c r="R390" s="17"/>
      <c r="S390" s="17"/>
      <c r="T390" s="17"/>
      <c r="U390" s="17"/>
      <c r="V390" s="17"/>
    </row>
    <row r="391" ht="14.25" customHeight="1">
      <c r="A391" s="38"/>
      <c r="B391" s="38"/>
      <c r="C391" s="39"/>
      <c r="D391" s="39"/>
      <c r="E391" s="39"/>
      <c r="F391" s="39"/>
      <c r="G391" s="39"/>
      <c r="H391" s="39"/>
      <c r="I391" s="39"/>
      <c r="J391" s="39"/>
      <c r="K391" s="39"/>
      <c r="O391" s="17"/>
      <c r="P391" s="17"/>
      <c r="Q391" s="17"/>
      <c r="R391" s="17"/>
      <c r="S391" s="17"/>
      <c r="T391" s="17"/>
      <c r="U391" s="17"/>
      <c r="V391" s="17"/>
    </row>
    <row r="392" ht="14.25" customHeight="1">
      <c r="A392" s="38"/>
      <c r="B392" s="38"/>
      <c r="C392" s="39"/>
      <c r="D392" s="39"/>
      <c r="E392" s="39"/>
      <c r="F392" s="39"/>
      <c r="G392" s="39"/>
      <c r="H392" s="39"/>
      <c r="I392" s="39"/>
      <c r="J392" s="39"/>
      <c r="K392" s="39"/>
      <c r="O392" s="17"/>
      <c r="P392" s="17"/>
      <c r="Q392" s="17"/>
      <c r="R392" s="17"/>
      <c r="S392" s="17"/>
      <c r="T392" s="17"/>
      <c r="U392" s="17"/>
      <c r="V392" s="17"/>
    </row>
    <row r="393" ht="14.25" customHeight="1">
      <c r="A393" s="38"/>
      <c r="B393" s="38"/>
      <c r="C393" s="39"/>
      <c r="D393" s="39"/>
      <c r="E393" s="39"/>
      <c r="F393" s="39"/>
      <c r="G393" s="39"/>
      <c r="H393" s="39"/>
      <c r="I393" s="39"/>
      <c r="J393" s="39"/>
      <c r="K393" s="39"/>
      <c r="O393" s="17"/>
      <c r="P393" s="17"/>
      <c r="Q393" s="17"/>
      <c r="R393" s="17"/>
      <c r="S393" s="17"/>
      <c r="T393" s="17"/>
      <c r="U393" s="17"/>
      <c r="V393" s="17"/>
    </row>
    <row r="394" ht="14.25" customHeight="1">
      <c r="A394" s="38"/>
      <c r="B394" s="38"/>
      <c r="C394" s="39"/>
      <c r="D394" s="39"/>
      <c r="E394" s="39"/>
      <c r="F394" s="39"/>
      <c r="G394" s="39"/>
      <c r="H394" s="39"/>
      <c r="I394" s="39"/>
      <c r="J394" s="39"/>
      <c r="K394" s="39"/>
      <c r="O394" s="17"/>
      <c r="P394" s="17"/>
      <c r="Q394" s="17"/>
      <c r="R394" s="17"/>
      <c r="S394" s="17"/>
      <c r="T394" s="17"/>
      <c r="U394" s="17"/>
      <c r="V394" s="17"/>
    </row>
    <row r="395" ht="14.25" customHeight="1">
      <c r="A395" s="38"/>
      <c r="B395" s="38"/>
      <c r="C395" s="39"/>
      <c r="D395" s="39"/>
      <c r="E395" s="39"/>
      <c r="F395" s="39"/>
      <c r="G395" s="39"/>
      <c r="H395" s="39"/>
      <c r="I395" s="39"/>
      <c r="J395" s="39"/>
      <c r="K395" s="39"/>
      <c r="O395" s="17"/>
      <c r="P395" s="17"/>
      <c r="Q395" s="17"/>
      <c r="R395" s="17"/>
      <c r="S395" s="17"/>
      <c r="T395" s="17"/>
      <c r="U395" s="17"/>
      <c r="V395" s="17"/>
    </row>
    <row r="396" ht="14.25" customHeight="1">
      <c r="A396" s="38"/>
      <c r="B396" s="38"/>
      <c r="C396" s="39"/>
      <c r="D396" s="39"/>
      <c r="E396" s="39"/>
      <c r="F396" s="39"/>
      <c r="G396" s="39"/>
      <c r="H396" s="39"/>
      <c r="I396" s="39"/>
      <c r="J396" s="39"/>
      <c r="K396" s="39"/>
      <c r="O396" s="17"/>
      <c r="P396" s="17"/>
      <c r="Q396" s="17"/>
      <c r="R396" s="17"/>
      <c r="S396" s="17"/>
      <c r="T396" s="17"/>
      <c r="U396" s="17"/>
      <c r="V396" s="17"/>
    </row>
    <row r="397" ht="14.25" customHeight="1">
      <c r="A397" s="38"/>
      <c r="B397" s="38"/>
      <c r="C397" s="39"/>
      <c r="D397" s="39"/>
      <c r="E397" s="39"/>
      <c r="F397" s="39"/>
      <c r="G397" s="39"/>
      <c r="H397" s="39"/>
      <c r="I397" s="39"/>
      <c r="J397" s="39"/>
      <c r="K397" s="39"/>
      <c r="O397" s="17"/>
      <c r="P397" s="17"/>
      <c r="Q397" s="17"/>
      <c r="R397" s="17"/>
      <c r="S397" s="17"/>
      <c r="T397" s="17"/>
      <c r="U397" s="17"/>
      <c r="V397" s="17"/>
    </row>
    <row r="398" ht="14.25" customHeight="1">
      <c r="A398" s="38"/>
      <c r="B398" s="38"/>
      <c r="C398" s="39"/>
      <c r="D398" s="39"/>
      <c r="E398" s="39"/>
      <c r="F398" s="39"/>
      <c r="G398" s="39"/>
      <c r="H398" s="39"/>
      <c r="I398" s="39"/>
      <c r="J398" s="39"/>
      <c r="K398" s="39"/>
      <c r="O398" s="17"/>
      <c r="P398" s="17"/>
      <c r="Q398" s="17"/>
      <c r="R398" s="17"/>
      <c r="S398" s="17"/>
      <c r="T398" s="17"/>
      <c r="U398" s="17"/>
      <c r="V398" s="17"/>
    </row>
    <row r="399" ht="14.25" customHeight="1">
      <c r="A399" s="38"/>
      <c r="B399" s="38"/>
      <c r="C399" s="39"/>
      <c r="D399" s="39"/>
      <c r="E399" s="39"/>
      <c r="F399" s="39"/>
      <c r="G399" s="39"/>
      <c r="H399" s="39"/>
      <c r="I399" s="39"/>
      <c r="J399" s="39"/>
      <c r="K399" s="39"/>
      <c r="O399" s="17"/>
      <c r="P399" s="17"/>
      <c r="Q399" s="17"/>
      <c r="R399" s="17"/>
      <c r="S399" s="17"/>
      <c r="T399" s="17"/>
      <c r="U399" s="17"/>
      <c r="V399" s="17"/>
    </row>
    <row r="400" ht="14.25" customHeight="1">
      <c r="A400" s="38"/>
      <c r="B400" s="38"/>
      <c r="C400" s="39"/>
      <c r="D400" s="39"/>
      <c r="E400" s="39"/>
      <c r="F400" s="39"/>
      <c r="G400" s="39"/>
      <c r="H400" s="39"/>
      <c r="I400" s="39"/>
      <c r="J400" s="39"/>
      <c r="K400" s="39"/>
      <c r="O400" s="17"/>
      <c r="P400" s="17"/>
      <c r="Q400" s="17"/>
      <c r="R400" s="17"/>
      <c r="S400" s="17"/>
      <c r="T400" s="17"/>
      <c r="U400" s="17"/>
      <c r="V400" s="17"/>
    </row>
    <row r="401" ht="14.25" customHeight="1">
      <c r="A401" s="38"/>
      <c r="B401" s="38"/>
      <c r="C401" s="39"/>
      <c r="D401" s="39"/>
      <c r="E401" s="39"/>
      <c r="F401" s="39"/>
      <c r="G401" s="39"/>
      <c r="H401" s="39"/>
      <c r="I401" s="39"/>
      <c r="J401" s="39"/>
      <c r="K401" s="39"/>
      <c r="O401" s="17"/>
      <c r="P401" s="17"/>
      <c r="Q401" s="17"/>
      <c r="R401" s="17"/>
      <c r="S401" s="17"/>
      <c r="T401" s="17"/>
      <c r="U401" s="17"/>
      <c r="V401" s="17"/>
    </row>
    <row r="402" ht="14.25" customHeight="1">
      <c r="A402" s="38"/>
      <c r="B402" s="38"/>
      <c r="C402" s="39"/>
      <c r="D402" s="39"/>
      <c r="E402" s="39"/>
      <c r="F402" s="39"/>
      <c r="G402" s="39"/>
      <c r="H402" s="39"/>
      <c r="I402" s="39"/>
      <c r="J402" s="39"/>
      <c r="K402" s="39"/>
      <c r="O402" s="17"/>
      <c r="P402" s="17"/>
      <c r="Q402" s="17"/>
      <c r="R402" s="17"/>
      <c r="S402" s="17"/>
      <c r="T402" s="17"/>
      <c r="U402" s="17"/>
      <c r="V402" s="17"/>
    </row>
    <row r="403" ht="14.25" customHeight="1">
      <c r="A403" s="38"/>
      <c r="B403" s="38"/>
      <c r="C403" s="39"/>
      <c r="D403" s="39"/>
      <c r="E403" s="39"/>
      <c r="F403" s="39"/>
      <c r="G403" s="39"/>
      <c r="H403" s="39"/>
      <c r="I403" s="39"/>
      <c r="J403" s="39"/>
      <c r="K403" s="39"/>
      <c r="O403" s="17"/>
      <c r="P403" s="17"/>
      <c r="Q403" s="17"/>
      <c r="R403" s="17"/>
      <c r="S403" s="17"/>
      <c r="T403" s="17"/>
      <c r="U403" s="17"/>
      <c r="V403" s="17"/>
    </row>
    <row r="404" ht="14.25" customHeight="1">
      <c r="A404" s="38"/>
      <c r="B404" s="38"/>
      <c r="C404" s="39"/>
      <c r="D404" s="39"/>
      <c r="E404" s="39"/>
      <c r="F404" s="39"/>
      <c r="G404" s="39"/>
      <c r="H404" s="39"/>
      <c r="I404" s="39"/>
      <c r="J404" s="39"/>
      <c r="K404" s="39"/>
      <c r="O404" s="17"/>
      <c r="P404" s="17"/>
      <c r="Q404" s="17"/>
      <c r="R404" s="17"/>
      <c r="S404" s="17"/>
      <c r="T404" s="17"/>
      <c r="U404" s="17"/>
      <c r="V404" s="17"/>
    </row>
    <row r="405" ht="14.25" customHeight="1">
      <c r="A405" s="38"/>
      <c r="B405" s="38"/>
      <c r="C405" s="39"/>
      <c r="D405" s="39"/>
      <c r="E405" s="39"/>
      <c r="F405" s="39"/>
      <c r="G405" s="39"/>
      <c r="H405" s="39"/>
      <c r="I405" s="39"/>
      <c r="J405" s="39"/>
      <c r="K405" s="39"/>
      <c r="O405" s="17"/>
      <c r="P405" s="17"/>
      <c r="Q405" s="17"/>
      <c r="R405" s="17"/>
      <c r="S405" s="17"/>
      <c r="T405" s="17"/>
      <c r="U405" s="17"/>
      <c r="V405" s="17"/>
    </row>
    <row r="406" ht="14.25" customHeight="1">
      <c r="A406" s="38"/>
      <c r="B406" s="38"/>
      <c r="C406" s="39"/>
      <c r="D406" s="39"/>
      <c r="E406" s="39"/>
      <c r="F406" s="39"/>
      <c r="G406" s="39"/>
      <c r="H406" s="39"/>
      <c r="I406" s="39"/>
      <c r="J406" s="39"/>
      <c r="K406" s="39"/>
      <c r="O406" s="17"/>
      <c r="P406" s="17"/>
      <c r="Q406" s="17"/>
      <c r="R406" s="17"/>
      <c r="S406" s="17"/>
      <c r="T406" s="17"/>
      <c r="U406" s="17"/>
      <c r="V406" s="17"/>
    </row>
    <row r="407" ht="14.25" customHeight="1">
      <c r="A407" s="38"/>
      <c r="B407" s="38"/>
      <c r="C407" s="39"/>
      <c r="D407" s="39"/>
      <c r="E407" s="39"/>
      <c r="F407" s="39"/>
      <c r="G407" s="39"/>
      <c r="H407" s="39"/>
      <c r="I407" s="39"/>
      <c r="J407" s="39"/>
      <c r="K407" s="39"/>
      <c r="O407" s="17"/>
      <c r="P407" s="17"/>
      <c r="Q407" s="17"/>
      <c r="R407" s="17"/>
      <c r="S407" s="17"/>
      <c r="T407" s="17"/>
      <c r="U407" s="17"/>
      <c r="V407" s="17"/>
    </row>
    <row r="408" ht="14.25" customHeight="1">
      <c r="A408" s="38"/>
      <c r="B408" s="38"/>
      <c r="C408" s="39"/>
      <c r="D408" s="39"/>
      <c r="E408" s="39"/>
      <c r="F408" s="39"/>
      <c r="G408" s="39"/>
      <c r="H408" s="39"/>
      <c r="I408" s="39"/>
      <c r="J408" s="39"/>
      <c r="K408" s="39"/>
      <c r="O408" s="17"/>
      <c r="P408" s="17"/>
      <c r="Q408" s="17"/>
      <c r="R408" s="17"/>
      <c r="S408" s="17"/>
      <c r="T408" s="17"/>
      <c r="U408" s="17"/>
      <c r="V408" s="17"/>
    </row>
    <row r="409" ht="14.25" customHeight="1">
      <c r="A409" s="38"/>
      <c r="B409" s="38"/>
      <c r="C409" s="39"/>
      <c r="D409" s="39"/>
      <c r="E409" s="39"/>
      <c r="F409" s="39"/>
      <c r="G409" s="39"/>
      <c r="H409" s="39"/>
      <c r="I409" s="39"/>
      <c r="J409" s="39"/>
      <c r="K409" s="39"/>
      <c r="O409" s="17"/>
      <c r="P409" s="17"/>
      <c r="Q409" s="17"/>
      <c r="R409" s="17"/>
      <c r="S409" s="17"/>
      <c r="T409" s="17"/>
      <c r="U409" s="17"/>
      <c r="V409" s="17"/>
    </row>
    <row r="410" ht="14.25" customHeight="1">
      <c r="A410" s="38"/>
      <c r="B410" s="38"/>
      <c r="C410" s="39"/>
      <c r="D410" s="39"/>
      <c r="E410" s="39"/>
      <c r="F410" s="39"/>
      <c r="G410" s="39"/>
      <c r="H410" s="39"/>
      <c r="I410" s="39"/>
      <c r="J410" s="39"/>
      <c r="K410" s="39"/>
      <c r="O410" s="17"/>
      <c r="P410" s="17"/>
      <c r="Q410" s="17"/>
      <c r="R410" s="17"/>
      <c r="S410" s="17"/>
      <c r="T410" s="17"/>
      <c r="U410" s="17"/>
      <c r="V410" s="17"/>
    </row>
    <row r="411" ht="14.25" customHeight="1">
      <c r="A411" s="38"/>
      <c r="B411" s="38"/>
      <c r="C411" s="39"/>
      <c r="D411" s="39"/>
      <c r="E411" s="39"/>
      <c r="F411" s="39"/>
      <c r="G411" s="39"/>
      <c r="H411" s="39"/>
      <c r="I411" s="39"/>
      <c r="J411" s="39"/>
      <c r="K411" s="39"/>
      <c r="O411" s="17"/>
      <c r="P411" s="17"/>
      <c r="Q411" s="17"/>
      <c r="R411" s="17"/>
      <c r="S411" s="17"/>
      <c r="T411" s="17"/>
      <c r="U411" s="17"/>
      <c r="V411" s="17"/>
    </row>
    <row r="412" ht="14.25" customHeight="1">
      <c r="A412" s="38"/>
      <c r="B412" s="38"/>
      <c r="C412" s="39"/>
      <c r="D412" s="39"/>
      <c r="E412" s="39"/>
      <c r="F412" s="39"/>
      <c r="G412" s="39"/>
      <c r="H412" s="39"/>
      <c r="I412" s="39"/>
      <c r="J412" s="39"/>
      <c r="K412" s="39"/>
      <c r="O412" s="17"/>
      <c r="P412" s="17"/>
      <c r="Q412" s="17"/>
      <c r="R412" s="17"/>
      <c r="S412" s="17"/>
      <c r="T412" s="17"/>
      <c r="U412" s="17"/>
      <c r="V412" s="17"/>
    </row>
    <row r="413" ht="14.25" customHeight="1">
      <c r="A413" s="38"/>
      <c r="B413" s="38"/>
      <c r="C413" s="39"/>
      <c r="D413" s="39"/>
      <c r="E413" s="39"/>
      <c r="F413" s="39"/>
      <c r="G413" s="39"/>
      <c r="H413" s="39"/>
      <c r="I413" s="39"/>
      <c r="J413" s="39"/>
      <c r="K413" s="39"/>
      <c r="O413" s="17"/>
      <c r="P413" s="17"/>
      <c r="Q413" s="17"/>
      <c r="R413" s="17"/>
      <c r="S413" s="17"/>
      <c r="T413" s="17"/>
      <c r="U413" s="17"/>
      <c r="V413" s="17"/>
    </row>
    <row r="414" ht="14.25" customHeight="1">
      <c r="A414" s="38"/>
      <c r="B414" s="38"/>
      <c r="C414" s="39"/>
      <c r="D414" s="39"/>
      <c r="E414" s="39"/>
      <c r="F414" s="39"/>
      <c r="G414" s="39"/>
      <c r="H414" s="39"/>
      <c r="I414" s="39"/>
      <c r="J414" s="39"/>
      <c r="K414" s="39"/>
      <c r="O414" s="17"/>
      <c r="P414" s="17"/>
      <c r="Q414" s="17"/>
      <c r="R414" s="17"/>
      <c r="S414" s="17"/>
      <c r="T414" s="17"/>
      <c r="U414" s="17"/>
      <c r="V414" s="17"/>
    </row>
    <row r="415" ht="14.25" customHeight="1">
      <c r="A415" s="38"/>
      <c r="B415" s="38"/>
      <c r="C415" s="39"/>
      <c r="D415" s="39"/>
      <c r="E415" s="39"/>
      <c r="F415" s="39"/>
      <c r="G415" s="39"/>
      <c r="H415" s="39"/>
      <c r="I415" s="39"/>
      <c r="J415" s="39"/>
      <c r="K415" s="39"/>
      <c r="O415" s="17"/>
      <c r="P415" s="17"/>
      <c r="Q415" s="17"/>
      <c r="R415" s="17"/>
      <c r="S415" s="17"/>
      <c r="T415" s="17"/>
      <c r="U415" s="17"/>
      <c r="V415" s="17"/>
    </row>
    <row r="416" ht="14.25" customHeight="1">
      <c r="A416" s="38"/>
      <c r="B416" s="38"/>
      <c r="C416" s="39"/>
      <c r="D416" s="39"/>
      <c r="E416" s="39"/>
      <c r="F416" s="39"/>
      <c r="G416" s="39"/>
      <c r="H416" s="39"/>
      <c r="I416" s="39"/>
      <c r="J416" s="39"/>
      <c r="K416" s="39"/>
      <c r="O416" s="17"/>
      <c r="P416" s="17"/>
      <c r="Q416" s="17"/>
      <c r="R416" s="17"/>
      <c r="S416" s="17"/>
      <c r="T416" s="17"/>
      <c r="U416" s="17"/>
      <c r="V416" s="17"/>
    </row>
    <row r="417" ht="14.25" customHeight="1">
      <c r="A417" s="38"/>
      <c r="B417" s="38"/>
      <c r="C417" s="39"/>
      <c r="D417" s="39"/>
      <c r="E417" s="39"/>
      <c r="F417" s="39"/>
      <c r="G417" s="39"/>
      <c r="H417" s="39"/>
      <c r="I417" s="39"/>
      <c r="J417" s="39"/>
      <c r="K417" s="39"/>
      <c r="O417" s="17"/>
      <c r="P417" s="17"/>
      <c r="Q417" s="17"/>
      <c r="R417" s="17"/>
      <c r="S417" s="17"/>
      <c r="T417" s="17"/>
      <c r="U417" s="17"/>
      <c r="V417" s="17"/>
    </row>
    <row r="418" ht="14.25" customHeight="1">
      <c r="A418" s="38"/>
      <c r="B418" s="38"/>
      <c r="C418" s="39"/>
      <c r="D418" s="39"/>
      <c r="E418" s="39"/>
      <c r="F418" s="39"/>
      <c r="G418" s="39"/>
      <c r="H418" s="39"/>
      <c r="I418" s="39"/>
      <c r="J418" s="39"/>
      <c r="K418" s="39"/>
      <c r="O418" s="17"/>
      <c r="P418" s="17"/>
      <c r="Q418" s="17"/>
      <c r="R418" s="17"/>
      <c r="S418" s="17"/>
      <c r="T418" s="17"/>
      <c r="U418" s="17"/>
      <c r="V418" s="17"/>
    </row>
    <row r="419" ht="14.25" customHeight="1">
      <c r="A419" s="38"/>
      <c r="B419" s="38"/>
      <c r="C419" s="39"/>
      <c r="D419" s="39"/>
      <c r="E419" s="39"/>
      <c r="F419" s="39"/>
      <c r="G419" s="39"/>
      <c r="H419" s="39"/>
      <c r="I419" s="39"/>
      <c r="J419" s="39"/>
      <c r="K419" s="39"/>
      <c r="O419" s="17"/>
      <c r="P419" s="17"/>
      <c r="Q419" s="17"/>
      <c r="R419" s="17"/>
      <c r="S419" s="17"/>
      <c r="T419" s="17"/>
      <c r="U419" s="17"/>
      <c r="V419" s="17"/>
    </row>
    <row r="420" ht="14.25" customHeight="1">
      <c r="A420" s="38"/>
      <c r="B420" s="38"/>
      <c r="C420" s="39"/>
      <c r="D420" s="39"/>
      <c r="E420" s="39"/>
      <c r="F420" s="39"/>
      <c r="G420" s="39"/>
      <c r="H420" s="39"/>
      <c r="I420" s="39"/>
      <c r="J420" s="39"/>
      <c r="K420" s="39"/>
      <c r="O420" s="17"/>
      <c r="P420" s="17"/>
      <c r="Q420" s="17"/>
      <c r="R420" s="17"/>
      <c r="S420" s="17"/>
      <c r="T420" s="17"/>
      <c r="U420" s="17"/>
      <c r="V420" s="17"/>
    </row>
    <row r="421" ht="14.25" customHeight="1">
      <c r="A421" s="38"/>
      <c r="B421" s="38"/>
      <c r="C421" s="39"/>
      <c r="D421" s="39"/>
      <c r="E421" s="39"/>
      <c r="F421" s="39"/>
      <c r="G421" s="39"/>
      <c r="H421" s="39"/>
      <c r="I421" s="39"/>
      <c r="J421" s="39"/>
      <c r="K421" s="39"/>
      <c r="O421" s="17"/>
      <c r="P421" s="17"/>
      <c r="Q421" s="17"/>
      <c r="R421" s="17"/>
      <c r="S421" s="17"/>
      <c r="T421" s="17"/>
      <c r="U421" s="17"/>
      <c r="V421" s="17"/>
    </row>
    <row r="422" ht="14.25" customHeight="1">
      <c r="A422" s="38"/>
      <c r="B422" s="38"/>
      <c r="C422" s="39"/>
      <c r="D422" s="39"/>
      <c r="E422" s="39"/>
      <c r="F422" s="39"/>
      <c r="G422" s="39"/>
      <c r="H422" s="39"/>
      <c r="I422" s="39"/>
      <c r="J422" s="39"/>
      <c r="K422" s="39"/>
      <c r="O422" s="17"/>
      <c r="P422" s="17"/>
      <c r="Q422" s="17"/>
      <c r="R422" s="17"/>
      <c r="S422" s="17"/>
      <c r="T422" s="17"/>
      <c r="U422" s="17"/>
      <c r="V422" s="17"/>
    </row>
    <row r="423" ht="14.25" customHeight="1">
      <c r="A423" s="38"/>
      <c r="B423" s="38"/>
      <c r="C423" s="39"/>
      <c r="D423" s="39"/>
      <c r="E423" s="39"/>
      <c r="F423" s="39"/>
      <c r="G423" s="39"/>
      <c r="H423" s="39"/>
      <c r="I423" s="39"/>
      <c r="J423" s="39"/>
      <c r="K423" s="39"/>
      <c r="O423" s="17"/>
      <c r="P423" s="17"/>
      <c r="Q423" s="17"/>
      <c r="R423" s="17"/>
      <c r="S423" s="17"/>
      <c r="T423" s="17"/>
      <c r="U423" s="17"/>
      <c r="V423" s="17"/>
    </row>
    <row r="424" ht="14.25" customHeight="1">
      <c r="A424" s="38"/>
      <c r="B424" s="38"/>
      <c r="C424" s="39"/>
      <c r="D424" s="39"/>
      <c r="E424" s="39"/>
      <c r="F424" s="39"/>
      <c r="G424" s="39"/>
      <c r="H424" s="39"/>
      <c r="I424" s="39"/>
      <c r="J424" s="39"/>
      <c r="K424" s="39"/>
      <c r="O424" s="17"/>
      <c r="P424" s="17"/>
      <c r="Q424" s="17"/>
      <c r="R424" s="17"/>
      <c r="S424" s="17"/>
      <c r="T424" s="17"/>
      <c r="U424" s="17"/>
      <c r="V424" s="17"/>
    </row>
    <row r="425" ht="14.25" customHeight="1">
      <c r="A425" s="38"/>
      <c r="B425" s="38"/>
      <c r="C425" s="39"/>
      <c r="D425" s="39"/>
      <c r="E425" s="39"/>
      <c r="F425" s="39"/>
      <c r="G425" s="39"/>
      <c r="H425" s="39"/>
      <c r="I425" s="39"/>
      <c r="J425" s="39"/>
      <c r="K425" s="39"/>
      <c r="O425" s="17"/>
      <c r="P425" s="17"/>
      <c r="Q425" s="17"/>
      <c r="R425" s="17"/>
      <c r="S425" s="17"/>
      <c r="T425" s="17"/>
      <c r="U425" s="17"/>
      <c r="V425" s="17"/>
    </row>
    <row r="426" ht="14.25" customHeight="1">
      <c r="A426" s="38"/>
      <c r="B426" s="38"/>
      <c r="C426" s="39"/>
      <c r="D426" s="39"/>
      <c r="E426" s="39"/>
      <c r="F426" s="39"/>
      <c r="G426" s="39"/>
      <c r="H426" s="39"/>
      <c r="I426" s="39"/>
      <c r="J426" s="39"/>
      <c r="K426" s="39"/>
      <c r="O426" s="17"/>
      <c r="P426" s="17"/>
      <c r="Q426" s="17"/>
      <c r="R426" s="17"/>
      <c r="S426" s="17"/>
      <c r="T426" s="17"/>
      <c r="U426" s="17"/>
      <c r="V426" s="17"/>
    </row>
    <row r="427" ht="14.25" customHeight="1">
      <c r="A427" s="38"/>
      <c r="B427" s="38"/>
      <c r="C427" s="39"/>
      <c r="D427" s="39"/>
      <c r="E427" s="39"/>
      <c r="F427" s="39"/>
      <c r="G427" s="39"/>
      <c r="H427" s="39"/>
      <c r="I427" s="39"/>
      <c r="J427" s="39"/>
      <c r="K427" s="39"/>
      <c r="O427" s="17"/>
      <c r="P427" s="17"/>
      <c r="Q427" s="17"/>
      <c r="R427" s="17"/>
      <c r="S427" s="17"/>
      <c r="T427" s="17"/>
      <c r="U427" s="17"/>
      <c r="V427" s="17"/>
    </row>
    <row r="428" ht="14.25" customHeight="1">
      <c r="A428" s="38"/>
      <c r="B428" s="38"/>
      <c r="C428" s="39"/>
      <c r="D428" s="39"/>
      <c r="E428" s="39"/>
      <c r="F428" s="39"/>
      <c r="G428" s="39"/>
      <c r="H428" s="39"/>
      <c r="I428" s="39"/>
      <c r="J428" s="39"/>
      <c r="K428" s="39"/>
      <c r="O428" s="17"/>
      <c r="P428" s="17"/>
      <c r="Q428" s="17"/>
      <c r="R428" s="17"/>
      <c r="S428" s="17"/>
      <c r="T428" s="17"/>
      <c r="U428" s="17"/>
      <c r="V428" s="17"/>
    </row>
    <row r="429" ht="14.25" customHeight="1">
      <c r="A429" s="38"/>
      <c r="B429" s="38"/>
      <c r="C429" s="39"/>
      <c r="D429" s="39"/>
      <c r="E429" s="39"/>
      <c r="F429" s="39"/>
      <c r="G429" s="39"/>
      <c r="H429" s="39"/>
      <c r="I429" s="39"/>
      <c r="J429" s="39"/>
      <c r="K429" s="39"/>
      <c r="O429" s="17"/>
      <c r="P429" s="17"/>
      <c r="Q429" s="17"/>
      <c r="R429" s="17"/>
      <c r="S429" s="17"/>
      <c r="T429" s="17"/>
      <c r="U429" s="17"/>
      <c r="V429" s="17"/>
    </row>
    <row r="430" ht="14.25" customHeight="1">
      <c r="A430" s="38"/>
      <c r="B430" s="38"/>
      <c r="C430" s="39"/>
      <c r="D430" s="39"/>
      <c r="E430" s="39"/>
      <c r="F430" s="39"/>
      <c r="G430" s="39"/>
      <c r="H430" s="39"/>
      <c r="I430" s="39"/>
      <c r="J430" s="39"/>
      <c r="K430" s="39"/>
      <c r="O430" s="17"/>
      <c r="P430" s="17"/>
      <c r="Q430" s="17"/>
      <c r="R430" s="17"/>
      <c r="S430" s="17"/>
      <c r="T430" s="17"/>
      <c r="U430" s="17"/>
      <c r="V430" s="17"/>
    </row>
    <row r="431" ht="14.25" customHeight="1">
      <c r="A431" s="38"/>
      <c r="B431" s="38"/>
      <c r="C431" s="39"/>
      <c r="D431" s="39"/>
      <c r="E431" s="39"/>
      <c r="F431" s="39"/>
      <c r="G431" s="39"/>
      <c r="H431" s="39"/>
      <c r="I431" s="39"/>
      <c r="J431" s="39"/>
      <c r="K431" s="39"/>
      <c r="O431" s="17"/>
      <c r="P431" s="17"/>
      <c r="Q431" s="17"/>
      <c r="R431" s="17"/>
      <c r="S431" s="17"/>
      <c r="T431" s="17"/>
      <c r="U431" s="17"/>
      <c r="V431" s="17"/>
    </row>
    <row r="432" ht="14.25" customHeight="1">
      <c r="A432" s="38"/>
      <c r="B432" s="38"/>
      <c r="C432" s="39"/>
      <c r="D432" s="39"/>
      <c r="E432" s="39"/>
      <c r="F432" s="39"/>
      <c r="G432" s="39"/>
      <c r="H432" s="39"/>
      <c r="I432" s="39"/>
      <c r="J432" s="39"/>
      <c r="K432" s="39"/>
      <c r="O432" s="17"/>
      <c r="P432" s="17"/>
      <c r="Q432" s="17"/>
      <c r="R432" s="17"/>
      <c r="S432" s="17"/>
      <c r="T432" s="17"/>
      <c r="U432" s="17"/>
      <c r="V432" s="17"/>
    </row>
    <row r="433" ht="14.25" customHeight="1">
      <c r="A433" s="38"/>
      <c r="B433" s="38"/>
      <c r="C433" s="39"/>
      <c r="D433" s="39"/>
      <c r="E433" s="39"/>
      <c r="F433" s="39"/>
      <c r="G433" s="39"/>
      <c r="H433" s="39"/>
      <c r="I433" s="39"/>
      <c r="J433" s="39"/>
      <c r="K433" s="39"/>
      <c r="O433" s="17"/>
      <c r="P433" s="17"/>
      <c r="Q433" s="17"/>
      <c r="R433" s="17"/>
      <c r="S433" s="17"/>
      <c r="T433" s="17"/>
      <c r="U433" s="17"/>
      <c r="V433" s="17"/>
    </row>
    <row r="434" ht="14.25" customHeight="1">
      <c r="A434" s="38"/>
      <c r="B434" s="38"/>
      <c r="C434" s="39"/>
      <c r="D434" s="39"/>
      <c r="E434" s="39"/>
      <c r="F434" s="39"/>
      <c r="G434" s="39"/>
      <c r="H434" s="39"/>
      <c r="I434" s="39"/>
      <c r="J434" s="39"/>
      <c r="K434" s="39"/>
      <c r="O434" s="17"/>
      <c r="P434" s="17"/>
      <c r="Q434" s="17"/>
      <c r="R434" s="17"/>
      <c r="S434" s="17"/>
      <c r="T434" s="17"/>
      <c r="U434" s="17"/>
      <c r="V434" s="17"/>
    </row>
    <row r="435" ht="14.25" customHeight="1">
      <c r="A435" s="38"/>
      <c r="B435" s="38"/>
      <c r="C435" s="39"/>
      <c r="D435" s="39"/>
      <c r="E435" s="39"/>
      <c r="F435" s="39"/>
      <c r="G435" s="39"/>
      <c r="H435" s="39"/>
      <c r="I435" s="39"/>
      <c r="J435" s="39"/>
      <c r="K435" s="39"/>
      <c r="O435" s="17"/>
      <c r="P435" s="17"/>
      <c r="Q435" s="17"/>
      <c r="R435" s="17"/>
      <c r="S435" s="17"/>
      <c r="T435" s="17"/>
      <c r="U435" s="17"/>
      <c r="V435" s="17"/>
    </row>
    <row r="436" ht="14.25" customHeight="1">
      <c r="A436" s="38"/>
      <c r="B436" s="38"/>
      <c r="C436" s="39"/>
      <c r="D436" s="39"/>
      <c r="E436" s="39"/>
      <c r="F436" s="39"/>
      <c r="G436" s="39"/>
      <c r="H436" s="39"/>
      <c r="I436" s="39"/>
      <c r="J436" s="39"/>
      <c r="K436" s="39"/>
      <c r="O436" s="17"/>
      <c r="P436" s="17"/>
      <c r="Q436" s="17"/>
      <c r="R436" s="17"/>
      <c r="S436" s="17"/>
      <c r="T436" s="17"/>
      <c r="U436" s="17"/>
      <c r="V436" s="17"/>
    </row>
    <row r="437" ht="14.25" customHeight="1">
      <c r="A437" s="38"/>
      <c r="B437" s="38"/>
      <c r="C437" s="39"/>
      <c r="D437" s="39"/>
      <c r="E437" s="39"/>
      <c r="F437" s="39"/>
      <c r="G437" s="39"/>
      <c r="H437" s="39"/>
      <c r="I437" s="39"/>
      <c r="J437" s="39"/>
      <c r="K437" s="39"/>
      <c r="O437" s="17"/>
      <c r="P437" s="17"/>
      <c r="Q437" s="17"/>
      <c r="R437" s="17"/>
      <c r="S437" s="17"/>
      <c r="T437" s="17"/>
      <c r="U437" s="17"/>
      <c r="V437" s="17"/>
    </row>
    <row r="438" ht="14.25" customHeight="1">
      <c r="A438" s="38"/>
      <c r="B438" s="38"/>
      <c r="C438" s="39"/>
      <c r="D438" s="39"/>
      <c r="E438" s="39"/>
      <c r="F438" s="39"/>
      <c r="G438" s="39"/>
      <c r="H438" s="39"/>
      <c r="I438" s="39"/>
      <c r="J438" s="39"/>
      <c r="K438" s="39"/>
      <c r="O438" s="17"/>
      <c r="P438" s="17"/>
      <c r="Q438" s="17"/>
      <c r="R438" s="17"/>
      <c r="S438" s="17"/>
      <c r="T438" s="17"/>
      <c r="U438" s="17"/>
      <c r="V438" s="17"/>
    </row>
    <row r="439" ht="14.25" customHeight="1">
      <c r="A439" s="38"/>
      <c r="B439" s="38"/>
      <c r="C439" s="39"/>
      <c r="D439" s="39"/>
      <c r="E439" s="39"/>
      <c r="F439" s="39"/>
      <c r="G439" s="39"/>
      <c r="H439" s="39"/>
      <c r="I439" s="39"/>
      <c r="J439" s="39"/>
      <c r="K439" s="39"/>
      <c r="O439" s="17"/>
      <c r="P439" s="17"/>
      <c r="Q439" s="17"/>
      <c r="R439" s="17"/>
      <c r="S439" s="17"/>
      <c r="T439" s="17"/>
      <c r="U439" s="17"/>
      <c r="V439" s="17"/>
    </row>
    <row r="440" ht="14.25" customHeight="1">
      <c r="A440" s="38"/>
      <c r="B440" s="38"/>
      <c r="C440" s="39"/>
      <c r="D440" s="39"/>
      <c r="E440" s="39"/>
      <c r="F440" s="39"/>
      <c r="G440" s="39"/>
      <c r="H440" s="39"/>
      <c r="I440" s="39"/>
      <c r="J440" s="39"/>
      <c r="K440" s="39"/>
      <c r="O440" s="17"/>
      <c r="P440" s="17"/>
      <c r="Q440" s="17"/>
      <c r="R440" s="17"/>
      <c r="S440" s="17"/>
      <c r="T440" s="17"/>
      <c r="U440" s="17"/>
      <c r="V440" s="17"/>
    </row>
    <row r="441" ht="14.25" customHeight="1">
      <c r="A441" s="38"/>
      <c r="B441" s="38"/>
      <c r="C441" s="39"/>
      <c r="D441" s="39"/>
      <c r="E441" s="39"/>
      <c r="F441" s="39"/>
      <c r="G441" s="39"/>
      <c r="H441" s="39"/>
      <c r="I441" s="39"/>
      <c r="J441" s="39"/>
      <c r="K441" s="39"/>
      <c r="O441" s="17"/>
      <c r="P441" s="17"/>
      <c r="Q441" s="17"/>
      <c r="R441" s="17"/>
      <c r="S441" s="17"/>
      <c r="T441" s="17"/>
      <c r="U441" s="17"/>
      <c r="V441" s="17"/>
    </row>
    <row r="442" ht="14.25" customHeight="1">
      <c r="A442" s="38"/>
      <c r="B442" s="38"/>
      <c r="C442" s="39"/>
      <c r="D442" s="39"/>
      <c r="E442" s="39"/>
      <c r="F442" s="39"/>
      <c r="G442" s="39"/>
      <c r="H442" s="39"/>
      <c r="I442" s="39"/>
      <c r="J442" s="39"/>
      <c r="K442" s="39"/>
      <c r="O442" s="17"/>
      <c r="P442" s="17"/>
      <c r="Q442" s="17"/>
      <c r="R442" s="17"/>
      <c r="S442" s="17"/>
      <c r="T442" s="17"/>
      <c r="U442" s="17"/>
      <c r="V442" s="17"/>
    </row>
    <row r="443" ht="14.25" customHeight="1">
      <c r="A443" s="38"/>
      <c r="B443" s="38"/>
      <c r="C443" s="39"/>
      <c r="D443" s="39"/>
      <c r="E443" s="39"/>
      <c r="F443" s="39"/>
      <c r="G443" s="39"/>
      <c r="H443" s="39"/>
      <c r="I443" s="39"/>
      <c r="J443" s="39"/>
      <c r="K443" s="39"/>
      <c r="O443" s="17"/>
      <c r="P443" s="17"/>
      <c r="Q443" s="17"/>
      <c r="R443" s="17"/>
      <c r="S443" s="17"/>
      <c r="T443" s="17"/>
      <c r="U443" s="17"/>
      <c r="V443" s="17"/>
    </row>
    <row r="444" ht="14.25" customHeight="1">
      <c r="A444" s="38"/>
      <c r="B444" s="38"/>
      <c r="C444" s="39"/>
      <c r="D444" s="39"/>
      <c r="E444" s="39"/>
      <c r="F444" s="39"/>
      <c r="G444" s="39"/>
      <c r="H444" s="39"/>
      <c r="I444" s="39"/>
      <c r="J444" s="39"/>
      <c r="K444" s="39"/>
      <c r="O444" s="17"/>
      <c r="P444" s="17"/>
      <c r="Q444" s="17"/>
      <c r="R444" s="17"/>
      <c r="S444" s="17"/>
      <c r="T444" s="17"/>
      <c r="U444" s="17"/>
      <c r="V444" s="17"/>
    </row>
    <row r="445" ht="14.25" customHeight="1">
      <c r="A445" s="38"/>
      <c r="B445" s="38"/>
      <c r="C445" s="39"/>
      <c r="D445" s="39"/>
      <c r="E445" s="39"/>
      <c r="F445" s="39"/>
      <c r="G445" s="39"/>
      <c r="H445" s="39"/>
      <c r="I445" s="39"/>
      <c r="J445" s="39"/>
      <c r="K445" s="39"/>
      <c r="O445" s="17"/>
      <c r="P445" s="17"/>
      <c r="Q445" s="17"/>
      <c r="R445" s="17"/>
      <c r="S445" s="17"/>
      <c r="T445" s="17"/>
      <c r="U445" s="17"/>
      <c r="V445" s="17"/>
    </row>
    <row r="446" ht="14.25" customHeight="1">
      <c r="A446" s="38"/>
      <c r="B446" s="38"/>
      <c r="C446" s="39"/>
      <c r="D446" s="39"/>
      <c r="E446" s="39"/>
      <c r="F446" s="39"/>
      <c r="G446" s="39"/>
      <c r="H446" s="39"/>
      <c r="I446" s="39"/>
      <c r="J446" s="39"/>
      <c r="K446" s="39"/>
      <c r="O446" s="17"/>
      <c r="P446" s="17"/>
      <c r="Q446" s="17"/>
      <c r="R446" s="17"/>
      <c r="S446" s="17"/>
      <c r="T446" s="17"/>
      <c r="U446" s="17"/>
      <c r="V446" s="17"/>
    </row>
    <row r="447" ht="14.25" customHeight="1">
      <c r="A447" s="38"/>
      <c r="B447" s="38"/>
      <c r="C447" s="39"/>
      <c r="D447" s="39"/>
      <c r="E447" s="39"/>
      <c r="F447" s="39"/>
      <c r="G447" s="39"/>
      <c r="H447" s="39"/>
      <c r="I447" s="39"/>
      <c r="J447" s="39"/>
      <c r="K447" s="39"/>
      <c r="O447" s="17"/>
      <c r="P447" s="17"/>
      <c r="Q447" s="17"/>
      <c r="R447" s="17"/>
      <c r="S447" s="17"/>
      <c r="T447" s="17"/>
      <c r="U447" s="17"/>
      <c r="V447" s="17"/>
    </row>
    <row r="448" ht="14.25" customHeight="1">
      <c r="A448" s="38"/>
      <c r="B448" s="38"/>
      <c r="C448" s="39"/>
      <c r="D448" s="39"/>
      <c r="E448" s="39"/>
      <c r="F448" s="39"/>
      <c r="G448" s="39"/>
      <c r="H448" s="39"/>
      <c r="I448" s="39"/>
      <c r="J448" s="39"/>
      <c r="K448" s="39"/>
      <c r="O448" s="17"/>
      <c r="P448" s="17"/>
      <c r="Q448" s="17"/>
      <c r="R448" s="17"/>
      <c r="S448" s="17"/>
      <c r="T448" s="17"/>
      <c r="U448" s="17"/>
      <c r="V448" s="17"/>
    </row>
    <row r="449" ht="14.25" customHeight="1">
      <c r="A449" s="38"/>
      <c r="B449" s="38"/>
      <c r="C449" s="39"/>
      <c r="D449" s="39"/>
      <c r="E449" s="39"/>
      <c r="F449" s="39"/>
      <c r="G449" s="39"/>
      <c r="H449" s="39"/>
      <c r="I449" s="39"/>
      <c r="J449" s="39"/>
      <c r="K449" s="39"/>
      <c r="O449" s="17"/>
      <c r="P449" s="17"/>
      <c r="Q449" s="17"/>
      <c r="R449" s="17"/>
      <c r="S449" s="17"/>
      <c r="T449" s="17"/>
      <c r="U449" s="17"/>
      <c r="V449" s="17"/>
    </row>
    <row r="450" ht="14.25" customHeight="1">
      <c r="A450" s="38"/>
      <c r="B450" s="38"/>
      <c r="C450" s="39"/>
      <c r="D450" s="39"/>
      <c r="E450" s="39"/>
      <c r="F450" s="39"/>
      <c r="G450" s="39"/>
      <c r="H450" s="39"/>
      <c r="I450" s="39"/>
      <c r="J450" s="39"/>
      <c r="K450" s="39"/>
      <c r="O450" s="17"/>
      <c r="P450" s="17"/>
      <c r="Q450" s="17"/>
      <c r="R450" s="17"/>
      <c r="S450" s="17"/>
      <c r="T450" s="17"/>
      <c r="U450" s="17"/>
      <c r="V450" s="17"/>
    </row>
    <row r="451" ht="14.25" customHeight="1">
      <c r="A451" s="38"/>
      <c r="B451" s="38"/>
      <c r="C451" s="39"/>
      <c r="D451" s="39"/>
      <c r="E451" s="39"/>
      <c r="F451" s="39"/>
      <c r="G451" s="39"/>
      <c r="H451" s="39"/>
      <c r="I451" s="39"/>
      <c r="J451" s="39"/>
      <c r="K451" s="39"/>
      <c r="O451" s="17"/>
      <c r="P451" s="17"/>
      <c r="Q451" s="17"/>
      <c r="R451" s="17"/>
      <c r="S451" s="17"/>
      <c r="T451" s="17"/>
      <c r="U451" s="17"/>
      <c r="V451" s="17"/>
    </row>
    <row r="452" ht="14.25" customHeight="1">
      <c r="A452" s="38"/>
      <c r="B452" s="38"/>
      <c r="C452" s="39"/>
      <c r="D452" s="39"/>
      <c r="E452" s="39"/>
      <c r="F452" s="39"/>
      <c r="G452" s="39"/>
      <c r="H452" s="39"/>
      <c r="I452" s="39"/>
      <c r="J452" s="39"/>
      <c r="K452" s="39"/>
      <c r="O452" s="17"/>
      <c r="P452" s="17"/>
      <c r="Q452" s="17"/>
      <c r="R452" s="17"/>
      <c r="S452" s="17"/>
      <c r="T452" s="17"/>
      <c r="U452" s="17"/>
      <c r="V452" s="17"/>
    </row>
    <row r="453" ht="14.25" customHeight="1">
      <c r="A453" s="38"/>
      <c r="B453" s="38"/>
      <c r="C453" s="39"/>
      <c r="D453" s="39"/>
      <c r="E453" s="39"/>
      <c r="F453" s="39"/>
      <c r="G453" s="39"/>
      <c r="H453" s="39"/>
      <c r="I453" s="39"/>
      <c r="J453" s="39"/>
      <c r="K453" s="39"/>
      <c r="O453" s="17"/>
      <c r="P453" s="17"/>
      <c r="Q453" s="17"/>
      <c r="R453" s="17"/>
      <c r="S453" s="17"/>
      <c r="T453" s="17"/>
      <c r="U453" s="17"/>
      <c r="V453" s="17"/>
    </row>
    <row r="454" ht="14.25" customHeight="1">
      <c r="A454" s="38"/>
      <c r="B454" s="38"/>
      <c r="C454" s="39"/>
      <c r="D454" s="39"/>
      <c r="E454" s="39"/>
      <c r="F454" s="39"/>
      <c r="G454" s="39"/>
      <c r="H454" s="39"/>
      <c r="I454" s="39"/>
      <c r="J454" s="39"/>
      <c r="K454" s="39"/>
      <c r="O454" s="17"/>
      <c r="P454" s="17"/>
      <c r="Q454" s="17"/>
      <c r="R454" s="17"/>
      <c r="S454" s="17"/>
      <c r="T454" s="17"/>
      <c r="U454" s="17"/>
      <c r="V454" s="17"/>
    </row>
    <row r="455" ht="14.25" customHeight="1">
      <c r="A455" s="38"/>
      <c r="B455" s="38"/>
      <c r="C455" s="39"/>
      <c r="D455" s="39"/>
      <c r="E455" s="39"/>
      <c r="F455" s="39"/>
      <c r="G455" s="39"/>
      <c r="H455" s="39"/>
      <c r="I455" s="39"/>
      <c r="J455" s="39"/>
      <c r="K455" s="39"/>
      <c r="O455" s="17"/>
      <c r="P455" s="17"/>
      <c r="Q455" s="17"/>
      <c r="R455" s="17"/>
      <c r="S455" s="17"/>
      <c r="T455" s="17"/>
      <c r="U455" s="17"/>
      <c r="V455" s="17"/>
    </row>
    <row r="456" ht="14.25" customHeight="1">
      <c r="A456" s="38"/>
      <c r="B456" s="38"/>
      <c r="C456" s="39"/>
      <c r="D456" s="39"/>
      <c r="E456" s="39"/>
      <c r="F456" s="39"/>
      <c r="G456" s="39"/>
      <c r="H456" s="39"/>
      <c r="I456" s="39"/>
      <c r="J456" s="39"/>
      <c r="K456" s="39"/>
      <c r="O456" s="17"/>
      <c r="P456" s="17"/>
      <c r="Q456" s="17"/>
      <c r="R456" s="17"/>
      <c r="S456" s="17"/>
      <c r="T456" s="17"/>
      <c r="U456" s="17"/>
      <c r="V456" s="17"/>
    </row>
    <row r="457" ht="14.25" customHeight="1">
      <c r="A457" s="38"/>
      <c r="B457" s="38"/>
      <c r="C457" s="39"/>
      <c r="D457" s="39"/>
      <c r="E457" s="39"/>
      <c r="F457" s="39"/>
      <c r="G457" s="39"/>
      <c r="H457" s="39"/>
      <c r="I457" s="39"/>
      <c r="J457" s="39"/>
      <c r="K457" s="39"/>
      <c r="O457" s="17"/>
      <c r="P457" s="17"/>
      <c r="Q457" s="17"/>
      <c r="R457" s="17"/>
      <c r="S457" s="17"/>
      <c r="T457" s="17"/>
      <c r="U457" s="17"/>
      <c r="V457" s="17"/>
    </row>
    <row r="458" ht="14.25" customHeight="1">
      <c r="A458" s="38"/>
      <c r="B458" s="38"/>
      <c r="C458" s="39"/>
      <c r="D458" s="39"/>
      <c r="E458" s="39"/>
      <c r="F458" s="39"/>
      <c r="G458" s="39"/>
      <c r="H458" s="39"/>
      <c r="I458" s="39"/>
      <c r="J458" s="39"/>
      <c r="K458" s="39"/>
      <c r="O458" s="17"/>
      <c r="P458" s="17"/>
      <c r="Q458" s="17"/>
      <c r="R458" s="17"/>
      <c r="S458" s="17"/>
      <c r="T458" s="17"/>
      <c r="U458" s="17"/>
      <c r="V458" s="17"/>
    </row>
    <row r="459" ht="14.25" customHeight="1">
      <c r="A459" s="38"/>
      <c r="B459" s="38"/>
      <c r="C459" s="39"/>
      <c r="D459" s="39"/>
      <c r="E459" s="39"/>
      <c r="F459" s="39"/>
      <c r="G459" s="39"/>
      <c r="H459" s="39"/>
      <c r="I459" s="39"/>
      <c r="J459" s="39"/>
      <c r="K459" s="39"/>
      <c r="O459" s="17"/>
      <c r="P459" s="17"/>
      <c r="Q459" s="17"/>
      <c r="R459" s="17"/>
      <c r="S459" s="17"/>
      <c r="T459" s="17"/>
      <c r="U459" s="17"/>
      <c r="V459" s="17"/>
    </row>
    <row r="460" ht="14.25" customHeight="1">
      <c r="A460" s="38"/>
      <c r="B460" s="38"/>
      <c r="C460" s="39"/>
      <c r="D460" s="39"/>
      <c r="E460" s="39"/>
      <c r="F460" s="39"/>
      <c r="G460" s="39"/>
      <c r="H460" s="39"/>
      <c r="I460" s="39"/>
      <c r="J460" s="39"/>
      <c r="K460" s="39"/>
      <c r="O460" s="17"/>
      <c r="P460" s="17"/>
      <c r="Q460" s="17"/>
      <c r="R460" s="17"/>
      <c r="S460" s="17"/>
      <c r="T460" s="17"/>
      <c r="U460" s="17"/>
      <c r="V460" s="17"/>
    </row>
    <row r="461" ht="14.25" customHeight="1">
      <c r="A461" s="38"/>
      <c r="B461" s="38"/>
      <c r="C461" s="39"/>
      <c r="D461" s="39"/>
      <c r="E461" s="39"/>
      <c r="F461" s="39"/>
      <c r="G461" s="39"/>
      <c r="H461" s="39"/>
      <c r="I461" s="39"/>
      <c r="J461" s="39"/>
      <c r="K461" s="39"/>
      <c r="O461" s="17"/>
      <c r="P461" s="17"/>
      <c r="Q461" s="17"/>
      <c r="R461" s="17"/>
      <c r="S461" s="17"/>
      <c r="T461" s="17"/>
      <c r="U461" s="17"/>
      <c r="V461" s="17"/>
    </row>
    <row r="462" ht="14.25" customHeight="1">
      <c r="A462" s="38"/>
      <c r="B462" s="38"/>
      <c r="C462" s="39"/>
      <c r="D462" s="39"/>
      <c r="E462" s="39"/>
      <c r="F462" s="39"/>
      <c r="G462" s="39"/>
      <c r="H462" s="39"/>
      <c r="I462" s="39"/>
      <c r="J462" s="39"/>
      <c r="K462" s="39"/>
      <c r="O462" s="17"/>
      <c r="P462" s="17"/>
      <c r="Q462" s="17"/>
      <c r="R462" s="17"/>
      <c r="S462" s="17"/>
      <c r="T462" s="17"/>
      <c r="U462" s="17"/>
      <c r="V462" s="17"/>
    </row>
    <row r="463" ht="14.25" customHeight="1">
      <c r="A463" s="38"/>
      <c r="B463" s="38"/>
      <c r="C463" s="39"/>
      <c r="D463" s="39"/>
      <c r="E463" s="39"/>
      <c r="F463" s="39"/>
      <c r="G463" s="39"/>
      <c r="H463" s="39"/>
      <c r="I463" s="39"/>
      <c r="J463" s="39"/>
      <c r="K463" s="39"/>
      <c r="O463" s="17"/>
      <c r="P463" s="17"/>
      <c r="Q463" s="17"/>
      <c r="R463" s="17"/>
      <c r="S463" s="17"/>
      <c r="T463" s="17"/>
      <c r="U463" s="17"/>
      <c r="V463" s="17"/>
    </row>
    <row r="464" ht="14.25" customHeight="1">
      <c r="A464" s="38"/>
      <c r="B464" s="38"/>
      <c r="C464" s="39"/>
      <c r="D464" s="39"/>
      <c r="E464" s="39"/>
      <c r="F464" s="39"/>
      <c r="G464" s="39"/>
      <c r="H464" s="39"/>
      <c r="I464" s="39"/>
      <c r="J464" s="39"/>
      <c r="K464" s="39"/>
      <c r="O464" s="17"/>
      <c r="P464" s="17"/>
      <c r="Q464" s="17"/>
      <c r="R464" s="17"/>
      <c r="S464" s="17"/>
      <c r="T464" s="17"/>
      <c r="U464" s="17"/>
      <c r="V464" s="17"/>
    </row>
    <row r="465" ht="14.25" customHeight="1">
      <c r="A465" s="38"/>
      <c r="B465" s="38"/>
      <c r="C465" s="39"/>
      <c r="D465" s="39"/>
      <c r="E465" s="39"/>
      <c r="F465" s="39"/>
      <c r="G465" s="39"/>
      <c r="H465" s="39"/>
      <c r="I465" s="39"/>
      <c r="J465" s="39"/>
      <c r="K465" s="39"/>
      <c r="O465" s="17"/>
      <c r="P465" s="17"/>
      <c r="Q465" s="17"/>
      <c r="R465" s="17"/>
      <c r="S465" s="17"/>
      <c r="T465" s="17"/>
      <c r="U465" s="17"/>
      <c r="V465" s="17"/>
    </row>
    <row r="466" ht="14.25" customHeight="1">
      <c r="A466" s="38"/>
      <c r="B466" s="38"/>
      <c r="C466" s="39"/>
      <c r="D466" s="39"/>
      <c r="E466" s="39"/>
      <c r="F466" s="39"/>
      <c r="G466" s="39"/>
      <c r="H466" s="39"/>
      <c r="I466" s="39"/>
      <c r="J466" s="39"/>
      <c r="K466" s="39"/>
      <c r="O466" s="17"/>
      <c r="P466" s="17"/>
      <c r="Q466" s="17"/>
      <c r="R466" s="17"/>
      <c r="S466" s="17"/>
      <c r="T466" s="17"/>
      <c r="U466" s="17"/>
      <c r="V466" s="17"/>
    </row>
    <row r="467" ht="14.25" customHeight="1">
      <c r="A467" s="38"/>
      <c r="B467" s="38"/>
      <c r="C467" s="39"/>
      <c r="D467" s="39"/>
      <c r="E467" s="39"/>
      <c r="F467" s="39"/>
      <c r="G467" s="39"/>
      <c r="H467" s="39"/>
      <c r="I467" s="39"/>
      <c r="J467" s="39"/>
      <c r="K467" s="39"/>
      <c r="O467" s="17"/>
      <c r="P467" s="17"/>
      <c r="Q467" s="17"/>
      <c r="R467" s="17"/>
      <c r="S467" s="17"/>
      <c r="T467" s="17"/>
      <c r="U467" s="17"/>
      <c r="V467" s="17"/>
    </row>
    <row r="468" ht="14.25" customHeight="1">
      <c r="A468" s="38"/>
      <c r="B468" s="38"/>
      <c r="C468" s="39"/>
      <c r="D468" s="39"/>
      <c r="E468" s="39"/>
      <c r="F468" s="39"/>
      <c r="G468" s="39"/>
      <c r="H468" s="39"/>
      <c r="I468" s="39"/>
      <c r="J468" s="39"/>
      <c r="K468" s="39"/>
      <c r="O468" s="17"/>
      <c r="P468" s="17"/>
      <c r="Q468" s="17"/>
      <c r="R468" s="17"/>
      <c r="S468" s="17"/>
      <c r="T468" s="17"/>
      <c r="U468" s="17"/>
      <c r="V468" s="17"/>
    </row>
    <row r="469" ht="14.25" customHeight="1">
      <c r="A469" s="38"/>
      <c r="B469" s="38"/>
      <c r="C469" s="39"/>
      <c r="D469" s="39"/>
      <c r="E469" s="39"/>
      <c r="F469" s="39"/>
      <c r="G469" s="39"/>
      <c r="H469" s="39"/>
      <c r="I469" s="39"/>
      <c r="J469" s="39"/>
      <c r="K469" s="39"/>
      <c r="O469" s="17"/>
      <c r="P469" s="17"/>
      <c r="Q469" s="17"/>
      <c r="R469" s="17"/>
      <c r="S469" s="17"/>
      <c r="T469" s="17"/>
      <c r="U469" s="17"/>
      <c r="V469" s="17"/>
    </row>
    <row r="470" ht="14.25" customHeight="1">
      <c r="A470" s="38"/>
      <c r="B470" s="38"/>
      <c r="C470" s="39"/>
      <c r="D470" s="39"/>
      <c r="E470" s="39"/>
      <c r="F470" s="39"/>
      <c r="G470" s="39"/>
      <c r="H470" s="39"/>
      <c r="I470" s="39"/>
      <c r="J470" s="39"/>
      <c r="K470" s="39"/>
      <c r="O470" s="17"/>
      <c r="P470" s="17"/>
      <c r="Q470" s="17"/>
      <c r="R470" s="17"/>
      <c r="S470" s="17"/>
      <c r="T470" s="17"/>
      <c r="U470" s="17"/>
      <c r="V470" s="17"/>
    </row>
    <row r="471" ht="14.25" customHeight="1">
      <c r="A471" s="38"/>
      <c r="B471" s="38"/>
      <c r="C471" s="39"/>
      <c r="D471" s="39"/>
      <c r="E471" s="39"/>
      <c r="F471" s="39"/>
      <c r="G471" s="39"/>
      <c r="H471" s="39"/>
      <c r="I471" s="39"/>
      <c r="J471" s="39"/>
      <c r="K471" s="39"/>
      <c r="O471" s="17"/>
      <c r="P471" s="17"/>
      <c r="Q471" s="17"/>
      <c r="R471" s="17"/>
      <c r="S471" s="17"/>
      <c r="T471" s="17"/>
      <c r="U471" s="17"/>
      <c r="V471" s="17"/>
    </row>
    <row r="472" ht="14.25" customHeight="1">
      <c r="A472" s="38"/>
      <c r="B472" s="38"/>
      <c r="C472" s="39"/>
      <c r="D472" s="39"/>
      <c r="E472" s="39"/>
      <c r="F472" s="39"/>
      <c r="G472" s="39"/>
      <c r="H472" s="39"/>
      <c r="I472" s="39"/>
      <c r="J472" s="39"/>
      <c r="K472" s="39"/>
      <c r="O472" s="17"/>
      <c r="P472" s="17"/>
      <c r="Q472" s="17"/>
      <c r="R472" s="17"/>
      <c r="S472" s="17"/>
      <c r="T472" s="17"/>
      <c r="U472" s="17"/>
      <c r="V472" s="17"/>
    </row>
    <row r="473" ht="14.25" customHeight="1">
      <c r="A473" s="38"/>
      <c r="B473" s="38"/>
      <c r="C473" s="39"/>
      <c r="D473" s="39"/>
      <c r="E473" s="39"/>
      <c r="F473" s="39"/>
      <c r="G473" s="39"/>
      <c r="H473" s="39"/>
      <c r="I473" s="39"/>
      <c r="J473" s="39"/>
      <c r="K473" s="39"/>
      <c r="O473" s="17"/>
      <c r="P473" s="17"/>
      <c r="Q473" s="17"/>
      <c r="R473" s="17"/>
      <c r="S473" s="17"/>
      <c r="T473" s="17"/>
      <c r="U473" s="17"/>
      <c r="V473" s="17"/>
    </row>
    <row r="474" ht="14.25" customHeight="1">
      <c r="A474" s="38"/>
      <c r="B474" s="38"/>
      <c r="C474" s="39"/>
      <c r="D474" s="39"/>
      <c r="E474" s="39"/>
      <c r="F474" s="39"/>
      <c r="G474" s="39"/>
      <c r="H474" s="39"/>
      <c r="I474" s="39"/>
      <c r="J474" s="39"/>
      <c r="K474" s="39"/>
      <c r="O474" s="17"/>
      <c r="P474" s="17"/>
      <c r="Q474" s="17"/>
      <c r="R474" s="17"/>
      <c r="S474" s="17"/>
      <c r="T474" s="17"/>
      <c r="U474" s="17"/>
      <c r="V474" s="17"/>
    </row>
    <row r="475" ht="14.25" customHeight="1">
      <c r="A475" s="38"/>
      <c r="B475" s="38"/>
      <c r="C475" s="39"/>
      <c r="D475" s="39"/>
      <c r="E475" s="39"/>
      <c r="F475" s="39"/>
      <c r="G475" s="39"/>
      <c r="H475" s="39"/>
      <c r="I475" s="39"/>
      <c r="J475" s="39"/>
      <c r="K475" s="39"/>
      <c r="O475" s="17"/>
      <c r="P475" s="17"/>
      <c r="Q475" s="17"/>
      <c r="R475" s="17"/>
      <c r="S475" s="17"/>
      <c r="T475" s="17"/>
      <c r="U475" s="17"/>
      <c r="V475" s="17"/>
    </row>
    <row r="476" ht="14.25" customHeight="1">
      <c r="A476" s="38"/>
      <c r="B476" s="38"/>
      <c r="C476" s="39"/>
      <c r="D476" s="39"/>
      <c r="E476" s="39"/>
      <c r="F476" s="39"/>
      <c r="G476" s="39"/>
      <c r="H476" s="39"/>
      <c r="I476" s="39"/>
      <c r="J476" s="39"/>
      <c r="K476" s="39"/>
      <c r="O476" s="17"/>
      <c r="P476" s="17"/>
      <c r="Q476" s="17"/>
      <c r="R476" s="17"/>
      <c r="S476" s="17"/>
      <c r="T476" s="17"/>
      <c r="U476" s="17"/>
      <c r="V476" s="17"/>
    </row>
    <row r="477" ht="14.25" customHeight="1">
      <c r="A477" s="38"/>
      <c r="B477" s="38"/>
      <c r="C477" s="39"/>
      <c r="D477" s="39"/>
      <c r="E477" s="39"/>
      <c r="F477" s="39"/>
      <c r="G477" s="39"/>
      <c r="H477" s="39"/>
      <c r="I477" s="39"/>
      <c r="J477" s="39"/>
      <c r="K477" s="39"/>
      <c r="O477" s="17"/>
      <c r="P477" s="17"/>
      <c r="Q477" s="17"/>
      <c r="R477" s="17"/>
      <c r="S477" s="17"/>
      <c r="T477" s="17"/>
      <c r="U477" s="17"/>
      <c r="V477" s="17"/>
    </row>
    <row r="478" ht="14.25" customHeight="1">
      <c r="A478" s="38"/>
      <c r="B478" s="38"/>
      <c r="C478" s="39"/>
      <c r="D478" s="39"/>
      <c r="E478" s="39"/>
      <c r="F478" s="39"/>
      <c r="G478" s="39"/>
      <c r="H478" s="39"/>
      <c r="I478" s="39"/>
      <c r="J478" s="39"/>
      <c r="K478" s="39"/>
      <c r="O478" s="17"/>
      <c r="P478" s="17"/>
      <c r="Q478" s="17"/>
      <c r="R478" s="17"/>
      <c r="S478" s="17"/>
      <c r="T478" s="17"/>
      <c r="U478" s="17"/>
      <c r="V478" s="17"/>
    </row>
    <row r="479" ht="14.25" customHeight="1">
      <c r="A479" s="38"/>
      <c r="B479" s="38"/>
      <c r="C479" s="39"/>
      <c r="D479" s="39"/>
      <c r="E479" s="39"/>
      <c r="F479" s="39"/>
      <c r="G479" s="39"/>
      <c r="H479" s="39"/>
      <c r="I479" s="39"/>
      <c r="J479" s="39"/>
      <c r="K479" s="39"/>
      <c r="O479" s="17"/>
      <c r="P479" s="17"/>
      <c r="Q479" s="17"/>
      <c r="R479" s="17"/>
      <c r="S479" s="17"/>
      <c r="T479" s="17"/>
      <c r="U479" s="17"/>
      <c r="V479" s="17"/>
    </row>
    <row r="480" ht="14.25" customHeight="1">
      <c r="A480" s="38"/>
      <c r="B480" s="38"/>
      <c r="C480" s="39"/>
      <c r="D480" s="39"/>
      <c r="E480" s="39"/>
      <c r="F480" s="39"/>
      <c r="G480" s="39"/>
      <c r="H480" s="39"/>
      <c r="I480" s="39"/>
      <c r="J480" s="39"/>
      <c r="K480" s="39"/>
      <c r="O480" s="17"/>
      <c r="P480" s="17"/>
      <c r="Q480" s="17"/>
      <c r="R480" s="17"/>
      <c r="S480" s="17"/>
      <c r="T480" s="17"/>
      <c r="U480" s="17"/>
      <c r="V480" s="17"/>
    </row>
    <row r="481" ht="14.25" customHeight="1">
      <c r="A481" s="38"/>
      <c r="B481" s="38"/>
      <c r="C481" s="39"/>
      <c r="D481" s="39"/>
      <c r="E481" s="39"/>
      <c r="F481" s="39"/>
      <c r="G481" s="39"/>
      <c r="H481" s="39"/>
      <c r="I481" s="39"/>
      <c r="J481" s="39"/>
      <c r="K481" s="39"/>
      <c r="O481" s="17"/>
      <c r="P481" s="17"/>
      <c r="Q481" s="17"/>
      <c r="R481" s="17"/>
      <c r="S481" s="17"/>
      <c r="T481" s="17"/>
      <c r="U481" s="17"/>
      <c r="V481" s="17"/>
    </row>
    <row r="482" ht="14.25" customHeight="1">
      <c r="A482" s="38"/>
      <c r="B482" s="38"/>
      <c r="C482" s="39"/>
      <c r="D482" s="39"/>
      <c r="E482" s="39"/>
      <c r="F482" s="39"/>
      <c r="G482" s="39"/>
      <c r="H482" s="39"/>
      <c r="I482" s="39"/>
      <c r="J482" s="39"/>
      <c r="K482" s="39"/>
      <c r="O482" s="17"/>
      <c r="P482" s="17"/>
      <c r="Q482" s="17"/>
      <c r="R482" s="17"/>
      <c r="S482" s="17"/>
      <c r="T482" s="17"/>
      <c r="U482" s="17"/>
      <c r="V482" s="17"/>
    </row>
    <row r="483" ht="14.25" customHeight="1">
      <c r="A483" s="38"/>
      <c r="B483" s="38"/>
      <c r="C483" s="39"/>
      <c r="D483" s="39"/>
      <c r="E483" s="39"/>
      <c r="F483" s="39"/>
      <c r="G483" s="39"/>
      <c r="H483" s="39"/>
      <c r="I483" s="39"/>
      <c r="J483" s="39"/>
      <c r="K483" s="39"/>
      <c r="O483" s="17"/>
      <c r="P483" s="17"/>
      <c r="Q483" s="17"/>
      <c r="R483" s="17"/>
      <c r="S483" s="17"/>
      <c r="T483" s="17"/>
      <c r="U483" s="17"/>
      <c r="V483" s="17"/>
    </row>
    <row r="484" ht="14.25" customHeight="1">
      <c r="A484" s="38"/>
      <c r="B484" s="38"/>
      <c r="C484" s="39"/>
      <c r="D484" s="39"/>
      <c r="E484" s="39"/>
      <c r="F484" s="39"/>
      <c r="G484" s="39"/>
      <c r="H484" s="39"/>
      <c r="I484" s="39"/>
      <c r="J484" s="39"/>
      <c r="K484" s="39"/>
      <c r="O484" s="17"/>
      <c r="P484" s="17"/>
      <c r="Q484" s="17"/>
      <c r="R484" s="17"/>
      <c r="S484" s="17"/>
      <c r="T484" s="17"/>
      <c r="U484" s="17"/>
      <c r="V484" s="17"/>
    </row>
    <row r="485" ht="14.25" customHeight="1">
      <c r="A485" s="38"/>
      <c r="B485" s="38"/>
      <c r="C485" s="39"/>
      <c r="D485" s="39"/>
      <c r="E485" s="39"/>
      <c r="F485" s="39"/>
      <c r="G485" s="39"/>
      <c r="H485" s="39"/>
      <c r="I485" s="39"/>
      <c r="J485" s="39"/>
      <c r="K485" s="39"/>
      <c r="O485" s="17"/>
      <c r="P485" s="17"/>
      <c r="Q485" s="17"/>
      <c r="R485" s="17"/>
      <c r="S485" s="17"/>
      <c r="T485" s="17"/>
      <c r="U485" s="17"/>
      <c r="V485" s="17"/>
    </row>
    <row r="486" ht="14.25" customHeight="1">
      <c r="A486" s="38"/>
      <c r="B486" s="38"/>
      <c r="C486" s="39"/>
      <c r="D486" s="39"/>
      <c r="E486" s="39"/>
      <c r="F486" s="39"/>
      <c r="G486" s="39"/>
      <c r="H486" s="39"/>
      <c r="I486" s="39"/>
      <c r="J486" s="39"/>
      <c r="K486" s="39"/>
      <c r="O486" s="17"/>
      <c r="P486" s="17"/>
      <c r="Q486" s="17"/>
      <c r="R486" s="17"/>
      <c r="S486" s="17"/>
      <c r="T486" s="17"/>
      <c r="U486" s="17"/>
      <c r="V486" s="17"/>
    </row>
    <row r="487" ht="14.25" customHeight="1">
      <c r="A487" s="38"/>
      <c r="B487" s="38"/>
      <c r="C487" s="39"/>
      <c r="D487" s="39"/>
      <c r="E487" s="39"/>
      <c r="F487" s="39"/>
      <c r="G487" s="39"/>
      <c r="H487" s="39"/>
      <c r="I487" s="39"/>
      <c r="J487" s="39"/>
      <c r="K487" s="39"/>
      <c r="O487" s="17"/>
      <c r="P487" s="17"/>
      <c r="Q487" s="17"/>
      <c r="R487" s="17"/>
      <c r="S487" s="17"/>
      <c r="T487" s="17"/>
      <c r="U487" s="17"/>
      <c r="V487" s="17"/>
    </row>
    <row r="488" ht="14.25" customHeight="1">
      <c r="A488" s="38"/>
      <c r="B488" s="38"/>
      <c r="C488" s="39"/>
      <c r="D488" s="39"/>
      <c r="E488" s="39"/>
      <c r="F488" s="39"/>
      <c r="G488" s="39"/>
      <c r="H488" s="39"/>
      <c r="I488" s="39"/>
      <c r="J488" s="39"/>
      <c r="K488" s="39"/>
      <c r="O488" s="17"/>
      <c r="P488" s="17"/>
      <c r="Q488" s="17"/>
      <c r="R488" s="17"/>
      <c r="S488" s="17"/>
      <c r="T488" s="17"/>
      <c r="U488" s="17"/>
      <c r="V488" s="17"/>
    </row>
    <row r="489" ht="14.25" customHeight="1">
      <c r="A489" s="38"/>
      <c r="B489" s="38"/>
      <c r="C489" s="39"/>
      <c r="D489" s="39"/>
      <c r="E489" s="39"/>
      <c r="F489" s="39"/>
      <c r="G489" s="39"/>
      <c r="H489" s="39"/>
      <c r="I489" s="39"/>
      <c r="J489" s="39"/>
      <c r="K489" s="39"/>
      <c r="O489" s="17"/>
      <c r="P489" s="17"/>
      <c r="Q489" s="17"/>
      <c r="R489" s="17"/>
      <c r="S489" s="17"/>
      <c r="T489" s="17"/>
      <c r="U489" s="17"/>
      <c r="V489" s="17"/>
    </row>
    <row r="490" ht="14.25" customHeight="1">
      <c r="A490" s="38"/>
      <c r="B490" s="38"/>
      <c r="C490" s="39"/>
      <c r="D490" s="39"/>
      <c r="E490" s="39"/>
      <c r="F490" s="39"/>
      <c r="G490" s="39"/>
      <c r="H490" s="39"/>
      <c r="I490" s="39"/>
      <c r="J490" s="39"/>
      <c r="K490" s="39"/>
      <c r="O490" s="17"/>
      <c r="P490" s="17"/>
      <c r="Q490" s="17"/>
      <c r="R490" s="17"/>
      <c r="S490" s="17"/>
      <c r="T490" s="17"/>
      <c r="U490" s="17"/>
      <c r="V490" s="17"/>
    </row>
    <row r="491" ht="14.25" customHeight="1">
      <c r="A491" s="38"/>
      <c r="B491" s="38"/>
      <c r="C491" s="39"/>
      <c r="D491" s="39"/>
      <c r="E491" s="39"/>
      <c r="F491" s="39"/>
      <c r="G491" s="39"/>
      <c r="H491" s="39"/>
      <c r="I491" s="39"/>
      <c r="J491" s="39"/>
      <c r="K491" s="39"/>
      <c r="O491" s="17"/>
      <c r="P491" s="17"/>
      <c r="Q491" s="17"/>
      <c r="R491" s="17"/>
      <c r="S491" s="17"/>
      <c r="T491" s="17"/>
      <c r="U491" s="17"/>
      <c r="V491" s="17"/>
    </row>
    <row r="492" ht="14.25" customHeight="1">
      <c r="A492" s="38"/>
      <c r="B492" s="38"/>
      <c r="C492" s="39"/>
      <c r="D492" s="39"/>
      <c r="E492" s="39"/>
      <c r="F492" s="39"/>
      <c r="G492" s="39"/>
      <c r="H492" s="39"/>
      <c r="I492" s="39"/>
      <c r="J492" s="39"/>
      <c r="K492" s="39"/>
      <c r="O492" s="17"/>
      <c r="P492" s="17"/>
      <c r="Q492" s="17"/>
      <c r="R492" s="17"/>
      <c r="S492" s="17"/>
      <c r="T492" s="17"/>
      <c r="U492" s="17"/>
      <c r="V492" s="17"/>
    </row>
    <row r="493" ht="14.25" customHeight="1">
      <c r="A493" s="38"/>
      <c r="B493" s="38"/>
      <c r="C493" s="39"/>
      <c r="D493" s="39"/>
      <c r="E493" s="39"/>
      <c r="F493" s="39"/>
      <c r="G493" s="39"/>
      <c r="H493" s="39"/>
      <c r="I493" s="39"/>
      <c r="J493" s="39"/>
      <c r="K493" s="39"/>
      <c r="O493" s="17"/>
      <c r="P493" s="17"/>
      <c r="Q493" s="17"/>
      <c r="R493" s="17"/>
      <c r="S493" s="17"/>
      <c r="T493" s="17"/>
      <c r="U493" s="17"/>
      <c r="V493" s="17"/>
    </row>
    <row r="494" ht="14.25" customHeight="1">
      <c r="A494" s="38"/>
      <c r="B494" s="38"/>
      <c r="C494" s="39"/>
      <c r="D494" s="39"/>
      <c r="E494" s="39"/>
      <c r="F494" s="39"/>
      <c r="G494" s="39"/>
      <c r="H494" s="39"/>
      <c r="I494" s="39"/>
      <c r="J494" s="39"/>
      <c r="K494" s="39"/>
      <c r="O494" s="17"/>
      <c r="P494" s="17"/>
      <c r="Q494" s="17"/>
      <c r="R494" s="17"/>
      <c r="S494" s="17"/>
      <c r="T494" s="17"/>
      <c r="U494" s="17"/>
      <c r="V494" s="17"/>
    </row>
    <row r="495" ht="14.25" customHeight="1">
      <c r="A495" s="38"/>
      <c r="B495" s="38"/>
      <c r="C495" s="39"/>
      <c r="D495" s="39"/>
      <c r="E495" s="39"/>
      <c r="F495" s="39"/>
      <c r="G495" s="39"/>
      <c r="H495" s="39"/>
      <c r="I495" s="39"/>
      <c r="J495" s="39"/>
      <c r="K495" s="39"/>
      <c r="O495" s="17"/>
      <c r="P495" s="17"/>
      <c r="Q495" s="17"/>
      <c r="R495" s="17"/>
      <c r="S495" s="17"/>
      <c r="T495" s="17"/>
      <c r="U495" s="17"/>
      <c r="V495" s="17"/>
    </row>
    <row r="496" ht="14.25" customHeight="1">
      <c r="A496" s="38"/>
      <c r="B496" s="38"/>
      <c r="C496" s="39"/>
      <c r="D496" s="39"/>
      <c r="E496" s="39"/>
      <c r="F496" s="39"/>
      <c r="G496" s="39"/>
      <c r="H496" s="39"/>
      <c r="I496" s="39"/>
      <c r="J496" s="39"/>
      <c r="K496" s="39"/>
      <c r="O496" s="17"/>
      <c r="P496" s="17"/>
      <c r="Q496" s="17"/>
      <c r="R496" s="17"/>
      <c r="S496" s="17"/>
      <c r="T496" s="17"/>
      <c r="U496" s="17"/>
      <c r="V496" s="17"/>
    </row>
    <row r="497" ht="14.25" customHeight="1">
      <c r="A497" s="38"/>
      <c r="B497" s="38"/>
      <c r="C497" s="39"/>
      <c r="D497" s="39"/>
      <c r="E497" s="39"/>
      <c r="F497" s="39"/>
      <c r="G497" s="39"/>
      <c r="H497" s="39"/>
      <c r="I497" s="39"/>
      <c r="J497" s="39"/>
      <c r="K497" s="39"/>
      <c r="O497" s="17"/>
      <c r="P497" s="17"/>
      <c r="Q497" s="17"/>
      <c r="R497" s="17"/>
      <c r="S497" s="17"/>
      <c r="T497" s="17"/>
      <c r="U497" s="17"/>
      <c r="V497" s="17"/>
    </row>
    <row r="498" ht="14.25" customHeight="1">
      <c r="A498" s="38"/>
      <c r="B498" s="38"/>
      <c r="C498" s="39"/>
      <c r="D498" s="39"/>
      <c r="E498" s="39"/>
      <c r="F498" s="39"/>
      <c r="G498" s="39"/>
      <c r="H498" s="39"/>
      <c r="I498" s="39"/>
      <c r="J498" s="39"/>
      <c r="K498" s="39"/>
      <c r="O498" s="17"/>
      <c r="P498" s="17"/>
      <c r="Q498" s="17"/>
      <c r="R498" s="17"/>
      <c r="S498" s="17"/>
      <c r="T498" s="17"/>
      <c r="U498" s="17"/>
      <c r="V498" s="17"/>
    </row>
    <row r="499" ht="14.25" customHeight="1">
      <c r="A499" s="38"/>
      <c r="B499" s="38"/>
      <c r="C499" s="39"/>
      <c r="D499" s="39"/>
      <c r="E499" s="39"/>
      <c r="F499" s="39"/>
      <c r="G499" s="39"/>
      <c r="H499" s="39"/>
      <c r="I499" s="39"/>
      <c r="J499" s="39"/>
      <c r="K499" s="39"/>
      <c r="O499" s="17"/>
      <c r="P499" s="17"/>
      <c r="Q499" s="17"/>
      <c r="R499" s="17"/>
      <c r="S499" s="17"/>
      <c r="T499" s="17"/>
      <c r="U499" s="17"/>
      <c r="V499" s="17"/>
    </row>
    <row r="500" ht="14.25" customHeight="1">
      <c r="A500" s="38"/>
      <c r="B500" s="38"/>
      <c r="C500" s="39"/>
      <c r="D500" s="39"/>
      <c r="E500" s="39"/>
      <c r="F500" s="39"/>
      <c r="G500" s="39"/>
      <c r="H500" s="39"/>
      <c r="I500" s="39"/>
      <c r="J500" s="39"/>
      <c r="K500" s="39"/>
      <c r="O500" s="17"/>
      <c r="P500" s="17"/>
      <c r="Q500" s="17"/>
      <c r="R500" s="17"/>
      <c r="S500" s="17"/>
      <c r="T500" s="17"/>
      <c r="U500" s="17"/>
      <c r="V500" s="17"/>
    </row>
    <row r="501" ht="14.25" customHeight="1">
      <c r="A501" s="38"/>
      <c r="B501" s="38"/>
      <c r="C501" s="39"/>
      <c r="D501" s="39"/>
      <c r="E501" s="39"/>
      <c r="F501" s="39"/>
      <c r="G501" s="39"/>
      <c r="H501" s="39"/>
      <c r="I501" s="39"/>
      <c r="J501" s="39"/>
      <c r="K501" s="39"/>
      <c r="O501" s="17"/>
      <c r="P501" s="17"/>
      <c r="Q501" s="17"/>
      <c r="R501" s="17"/>
      <c r="S501" s="17"/>
      <c r="T501" s="17"/>
      <c r="U501" s="17"/>
      <c r="V501" s="17"/>
    </row>
    <row r="502" ht="14.25" customHeight="1">
      <c r="A502" s="38"/>
      <c r="B502" s="38"/>
      <c r="C502" s="39"/>
      <c r="D502" s="39"/>
      <c r="E502" s="39"/>
      <c r="F502" s="39"/>
      <c r="G502" s="39"/>
      <c r="H502" s="39"/>
      <c r="I502" s="39"/>
      <c r="J502" s="39"/>
      <c r="K502" s="39"/>
      <c r="O502" s="17"/>
      <c r="P502" s="17"/>
      <c r="Q502" s="17"/>
      <c r="R502" s="17"/>
      <c r="S502" s="17"/>
      <c r="T502" s="17"/>
      <c r="U502" s="17"/>
      <c r="V502" s="17"/>
    </row>
    <row r="503" ht="14.25" customHeight="1">
      <c r="A503" s="38"/>
      <c r="B503" s="38"/>
      <c r="C503" s="39"/>
      <c r="D503" s="39"/>
      <c r="E503" s="39"/>
      <c r="F503" s="39"/>
      <c r="G503" s="39"/>
      <c r="H503" s="39"/>
      <c r="I503" s="39"/>
      <c r="J503" s="39"/>
      <c r="K503" s="39"/>
      <c r="O503" s="17"/>
      <c r="P503" s="17"/>
      <c r="Q503" s="17"/>
      <c r="R503" s="17"/>
      <c r="S503" s="17"/>
      <c r="T503" s="17"/>
      <c r="U503" s="17"/>
      <c r="V503" s="17"/>
    </row>
    <row r="504" ht="14.25" customHeight="1">
      <c r="A504" s="38"/>
      <c r="B504" s="38"/>
      <c r="C504" s="39"/>
      <c r="D504" s="39"/>
      <c r="E504" s="39"/>
      <c r="F504" s="39"/>
      <c r="G504" s="39"/>
      <c r="H504" s="39"/>
      <c r="I504" s="39"/>
      <c r="J504" s="39"/>
      <c r="K504" s="39"/>
      <c r="O504" s="17"/>
      <c r="P504" s="17"/>
      <c r="Q504" s="17"/>
      <c r="R504" s="17"/>
      <c r="S504" s="17"/>
      <c r="T504" s="17"/>
      <c r="U504" s="17"/>
      <c r="V504" s="17"/>
    </row>
    <row r="505" ht="14.25" customHeight="1">
      <c r="A505" s="38"/>
      <c r="B505" s="38"/>
      <c r="C505" s="39"/>
      <c r="D505" s="39"/>
      <c r="E505" s="39"/>
      <c r="F505" s="39"/>
      <c r="G505" s="39"/>
      <c r="H505" s="39"/>
      <c r="I505" s="39"/>
      <c r="J505" s="39"/>
      <c r="K505" s="39"/>
      <c r="O505" s="17"/>
      <c r="P505" s="17"/>
      <c r="Q505" s="17"/>
      <c r="R505" s="17"/>
      <c r="S505" s="17"/>
      <c r="T505" s="17"/>
      <c r="U505" s="17"/>
      <c r="V505" s="17"/>
    </row>
    <row r="506" ht="14.25" customHeight="1">
      <c r="A506" s="38"/>
      <c r="B506" s="38"/>
      <c r="C506" s="39"/>
      <c r="D506" s="39"/>
      <c r="E506" s="39"/>
      <c r="F506" s="39"/>
      <c r="G506" s="39"/>
      <c r="H506" s="39"/>
      <c r="I506" s="39"/>
      <c r="J506" s="39"/>
      <c r="K506" s="39"/>
      <c r="O506" s="17"/>
      <c r="P506" s="17"/>
      <c r="Q506" s="17"/>
      <c r="R506" s="17"/>
      <c r="S506" s="17"/>
      <c r="T506" s="17"/>
      <c r="U506" s="17"/>
      <c r="V506" s="17"/>
    </row>
    <row r="507" ht="14.25" customHeight="1">
      <c r="A507" s="38"/>
      <c r="B507" s="38"/>
      <c r="C507" s="39"/>
      <c r="D507" s="39"/>
      <c r="E507" s="39"/>
      <c r="F507" s="39"/>
      <c r="G507" s="39"/>
      <c r="H507" s="39"/>
      <c r="I507" s="39"/>
      <c r="J507" s="39"/>
      <c r="K507" s="39"/>
      <c r="O507" s="17"/>
      <c r="P507" s="17"/>
      <c r="Q507" s="17"/>
      <c r="R507" s="17"/>
      <c r="S507" s="17"/>
      <c r="T507" s="17"/>
      <c r="U507" s="17"/>
      <c r="V507" s="17"/>
    </row>
    <row r="508" ht="14.25" customHeight="1">
      <c r="A508" s="38"/>
      <c r="B508" s="38"/>
      <c r="C508" s="39"/>
      <c r="D508" s="39"/>
      <c r="E508" s="39"/>
      <c r="F508" s="39"/>
      <c r="G508" s="39"/>
      <c r="H508" s="39"/>
      <c r="I508" s="39"/>
      <c r="J508" s="39"/>
      <c r="K508" s="39"/>
      <c r="O508" s="17"/>
      <c r="P508" s="17"/>
      <c r="Q508" s="17"/>
      <c r="R508" s="17"/>
      <c r="S508" s="17"/>
      <c r="T508" s="17"/>
      <c r="U508" s="17"/>
      <c r="V508" s="17"/>
    </row>
    <row r="509" ht="14.25" customHeight="1">
      <c r="A509" s="38"/>
      <c r="B509" s="38"/>
      <c r="C509" s="39"/>
      <c r="D509" s="39"/>
      <c r="E509" s="39"/>
      <c r="F509" s="39"/>
      <c r="G509" s="39"/>
      <c r="H509" s="39"/>
      <c r="I509" s="39"/>
      <c r="J509" s="39"/>
      <c r="K509" s="39"/>
      <c r="O509" s="17"/>
      <c r="P509" s="17"/>
      <c r="Q509" s="17"/>
      <c r="R509" s="17"/>
      <c r="S509" s="17"/>
      <c r="T509" s="17"/>
      <c r="U509" s="17"/>
      <c r="V509" s="17"/>
    </row>
    <row r="510" ht="14.25" customHeight="1">
      <c r="A510" s="38"/>
      <c r="B510" s="38"/>
      <c r="C510" s="39"/>
      <c r="D510" s="39"/>
      <c r="E510" s="39"/>
      <c r="F510" s="39"/>
      <c r="G510" s="39"/>
      <c r="H510" s="39"/>
      <c r="I510" s="39"/>
      <c r="J510" s="39"/>
      <c r="K510" s="39"/>
      <c r="O510" s="17"/>
      <c r="P510" s="17"/>
      <c r="Q510" s="17"/>
      <c r="R510" s="17"/>
      <c r="S510" s="17"/>
      <c r="T510" s="17"/>
      <c r="U510" s="17"/>
      <c r="V510" s="17"/>
    </row>
    <row r="511" ht="14.25" customHeight="1">
      <c r="A511" s="38"/>
      <c r="B511" s="38"/>
      <c r="C511" s="39"/>
      <c r="D511" s="39"/>
      <c r="E511" s="39"/>
      <c r="F511" s="39"/>
      <c r="G511" s="39"/>
      <c r="H511" s="39"/>
      <c r="I511" s="39"/>
      <c r="J511" s="39"/>
      <c r="K511" s="39"/>
      <c r="O511" s="17"/>
      <c r="P511" s="17"/>
      <c r="Q511" s="17"/>
      <c r="R511" s="17"/>
      <c r="S511" s="17"/>
      <c r="T511" s="17"/>
      <c r="U511" s="17"/>
      <c r="V511" s="17"/>
    </row>
    <row r="512" ht="14.25" customHeight="1">
      <c r="A512" s="38"/>
      <c r="B512" s="38"/>
      <c r="C512" s="39"/>
      <c r="D512" s="39"/>
      <c r="E512" s="39"/>
      <c r="F512" s="39"/>
      <c r="G512" s="39"/>
      <c r="H512" s="39"/>
      <c r="I512" s="39"/>
      <c r="J512" s="39"/>
      <c r="K512" s="39"/>
      <c r="O512" s="17"/>
      <c r="P512" s="17"/>
      <c r="Q512" s="17"/>
      <c r="R512" s="17"/>
      <c r="S512" s="17"/>
      <c r="T512" s="17"/>
      <c r="U512" s="17"/>
      <c r="V512" s="17"/>
    </row>
    <row r="513" ht="14.25" customHeight="1">
      <c r="A513" s="38"/>
      <c r="B513" s="38"/>
      <c r="C513" s="39"/>
      <c r="D513" s="39"/>
      <c r="E513" s="39"/>
      <c r="F513" s="39"/>
      <c r="G513" s="39"/>
      <c r="H513" s="39"/>
      <c r="I513" s="39"/>
      <c r="J513" s="39"/>
      <c r="K513" s="39"/>
      <c r="O513" s="17"/>
      <c r="P513" s="17"/>
      <c r="Q513" s="17"/>
      <c r="R513" s="17"/>
      <c r="S513" s="17"/>
      <c r="T513" s="17"/>
      <c r="U513" s="17"/>
      <c r="V513" s="17"/>
    </row>
    <row r="514" ht="14.25" customHeight="1">
      <c r="A514" s="38"/>
      <c r="B514" s="38"/>
      <c r="C514" s="39"/>
      <c r="D514" s="39"/>
      <c r="E514" s="39"/>
      <c r="F514" s="39"/>
      <c r="G514" s="39"/>
      <c r="H514" s="39"/>
      <c r="I514" s="39"/>
      <c r="J514" s="39"/>
      <c r="K514" s="39"/>
      <c r="O514" s="17"/>
      <c r="P514" s="17"/>
      <c r="Q514" s="17"/>
      <c r="R514" s="17"/>
      <c r="S514" s="17"/>
      <c r="T514" s="17"/>
      <c r="U514" s="17"/>
      <c r="V514" s="17"/>
    </row>
    <row r="515" ht="14.25" customHeight="1">
      <c r="A515" s="38"/>
      <c r="B515" s="38"/>
      <c r="C515" s="39"/>
      <c r="D515" s="39"/>
      <c r="E515" s="39"/>
      <c r="F515" s="39"/>
      <c r="G515" s="39"/>
      <c r="H515" s="39"/>
      <c r="I515" s="39"/>
      <c r="J515" s="39"/>
      <c r="K515" s="39"/>
      <c r="O515" s="17"/>
      <c r="P515" s="17"/>
      <c r="Q515" s="17"/>
      <c r="R515" s="17"/>
      <c r="S515" s="17"/>
      <c r="T515" s="17"/>
      <c r="U515" s="17"/>
      <c r="V515" s="17"/>
    </row>
    <row r="516" ht="14.25" customHeight="1">
      <c r="A516" s="38"/>
      <c r="B516" s="38"/>
      <c r="C516" s="39"/>
      <c r="D516" s="39"/>
      <c r="E516" s="39"/>
      <c r="F516" s="39"/>
      <c r="G516" s="39"/>
      <c r="H516" s="39"/>
      <c r="I516" s="39"/>
      <c r="J516" s="39"/>
      <c r="K516" s="39"/>
      <c r="O516" s="17"/>
      <c r="P516" s="17"/>
      <c r="Q516" s="17"/>
      <c r="R516" s="17"/>
      <c r="S516" s="17"/>
      <c r="T516" s="17"/>
      <c r="U516" s="17"/>
      <c r="V516" s="17"/>
    </row>
    <row r="517" ht="14.25" customHeight="1">
      <c r="A517" s="38"/>
      <c r="B517" s="38"/>
      <c r="C517" s="39"/>
      <c r="D517" s="39"/>
      <c r="E517" s="39"/>
      <c r="F517" s="39"/>
      <c r="G517" s="39"/>
      <c r="H517" s="39"/>
      <c r="I517" s="39"/>
      <c r="J517" s="39"/>
      <c r="K517" s="39"/>
      <c r="O517" s="17"/>
      <c r="P517" s="17"/>
      <c r="Q517" s="17"/>
      <c r="R517" s="17"/>
      <c r="S517" s="17"/>
      <c r="T517" s="17"/>
      <c r="U517" s="17"/>
      <c r="V517" s="17"/>
    </row>
    <row r="518" ht="14.25" customHeight="1">
      <c r="A518" s="38"/>
      <c r="B518" s="38"/>
      <c r="C518" s="39"/>
      <c r="D518" s="39"/>
      <c r="E518" s="39"/>
      <c r="F518" s="39"/>
      <c r="G518" s="39"/>
      <c r="H518" s="39"/>
      <c r="I518" s="39"/>
      <c r="J518" s="39"/>
      <c r="K518" s="39"/>
      <c r="O518" s="17"/>
      <c r="P518" s="17"/>
      <c r="Q518" s="17"/>
      <c r="R518" s="17"/>
      <c r="S518" s="17"/>
      <c r="T518" s="17"/>
      <c r="U518" s="17"/>
      <c r="V518" s="17"/>
    </row>
    <row r="519" ht="14.25" customHeight="1">
      <c r="A519" s="38"/>
      <c r="B519" s="38"/>
      <c r="C519" s="39"/>
      <c r="D519" s="39"/>
      <c r="E519" s="39"/>
      <c r="F519" s="39"/>
      <c r="G519" s="39"/>
      <c r="H519" s="39"/>
      <c r="I519" s="39"/>
      <c r="J519" s="39"/>
      <c r="K519" s="39"/>
      <c r="O519" s="17"/>
      <c r="P519" s="17"/>
      <c r="Q519" s="17"/>
      <c r="R519" s="17"/>
      <c r="S519" s="17"/>
      <c r="T519" s="17"/>
      <c r="U519" s="17"/>
      <c r="V519" s="17"/>
    </row>
    <row r="520" ht="14.25" customHeight="1">
      <c r="A520" s="38"/>
      <c r="B520" s="38"/>
      <c r="C520" s="39"/>
      <c r="D520" s="39"/>
      <c r="E520" s="39"/>
      <c r="F520" s="39"/>
      <c r="G520" s="39"/>
      <c r="H520" s="39"/>
      <c r="I520" s="39"/>
      <c r="J520" s="39"/>
      <c r="K520" s="39"/>
      <c r="O520" s="17"/>
      <c r="P520" s="17"/>
      <c r="Q520" s="17"/>
      <c r="R520" s="17"/>
      <c r="S520" s="17"/>
      <c r="T520" s="17"/>
      <c r="U520" s="17"/>
      <c r="V520" s="17"/>
    </row>
    <row r="521" ht="14.25" customHeight="1">
      <c r="A521" s="38"/>
      <c r="B521" s="38"/>
      <c r="C521" s="39"/>
      <c r="D521" s="39"/>
      <c r="E521" s="39"/>
      <c r="F521" s="39"/>
      <c r="G521" s="39"/>
      <c r="H521" s="39"/>
      <c r="I521" s="39"/>
      <c r="J521" s="39"/>
      <c r="K521" s="39"/>
      <c r="O521" s="17"/>
      <c r="P521" s="17"/>
      <c r="Q521" s="17"/>
      <c r="R521" s="17"/>
      <c r="S521" s="17"/>
      <c r="T521" s="17"/>
      <c r="U521" s="17"/>
      <c r="V521" s="17"/>
    </row>
    <row r="522" ht="14.25" customHeight="1">
      <c r="A522" s="38"/>
      <c r="B522" s="38"/>
      <c r="C522" s="39"/>
      <c r="D522" s="39"/>
      <c r="E522" s="39"/>
      <c r="F522" s="39"/>
      <c r="G522" s="39"/>
      <c r="H522" s="39"/>
      <c r="I522" s="39"/>
      <c r="J522" s="39"/>
      <c r="K522" s="39"/>
      <c r="O522" s="17"/>
      <c r="P522" s="17"/>
      <c r="Q522" s="17"/>
      <c r="R522" s="17"/>
      <c r="S522" s="17"/>
      <c r="T522" s="17"/>
      <c r="U522" s="17"/>
      <c r="V522" s="17"/>
    </row>
    <row r="523" ht="14.25" customHeight="1">
      <c r="A523" s="38"/>
      <c r="B523" s="38"/>
      <c r="C523" s="39"/>
      <c r="D523" s="39"/>
      <c r="E523" s="39"/>
      <c r="F523" s="39"/>
      <c r="G523" s="39"/>
      <c r="H523" s="39"/>
      <c r="I523" s="39"/>
      <c r="J523" s="39"/>
      <c r="K523" s="39"/>
      <c r="O523" s="17"/>
      <c r="P523" s="17"/>
      <c r="Q523" s="17"/>
      <c r="R523" s="17"/>
      <c r="S523" s="17"/>
      <c r="T523" s="17"/>
      <c r="U523" s="17"/>
      <c r="V523" s="17"/>
    </row>
    <row r="524" ht="14.25" customHeight="1">
      <c r="A524" s="38"/>
      <c r="B524" s="38"/>
      <c r="C524" s="39"/>
      <c r="D524" s="39"/>
      <c r="E524" s="39"/>
      <c r="F524" s="39"/>
      <c r="G524" s="39"/>
      <c r="H524" s="39"/>
      <c r="I524" s="39"/>
      <c r="J524" s="39"/>
      <c r="K524" s="39"/>
      <c r="O524" s="17"/>
      <c r="P524" s="17"/>
      <c r="Q524" s="17"/>
      <c r="R524" s="17"/>
      <c r="S524" s="17"/>
      <c r="T524" s="17"/>
      <c r="U524" s="17"/>
      <c r="V524" s="17"/>
    </row>
    <row r="525" ht="14.25" customHeight="1">
      <c r="A525" s="38"/>
      <c r="B525" s="38"/>
      <c r="C525" s="39"/>
      <c r="D525" s="39"/>
      <c r="E525" s="39"/>
      <c r="F525" s="39"/>
      <c r="G525" s="39"/>
      <c r="H525" s="39"/>
      <c r="I525" s="39"/>
      <c r="J525" s="39"/>
      <c r="K525" s="39"/>
      <c r="O525" s="17"/>
      <c r="P525" s="17"/>
      <c r="Q525" s="17"/>
      <c r="R525" s="17"/>
      <c r="S525" s="17"/>
      <c r="T525" s="17"/>
      <c r="U525" s="17"/>
      <c r="V525" s="17"/>
    </row>
    <row r="526" ht="14.25" customHeight="1">
      <c r="A526" s="38"/>
      <c r="B526" s="38"/>
      <c r="C526" s="39"/>
      <c r="D526" s="39"/>
      <c r="E526" s="39"/>
      <c r="F526" s="39"/>
      <c r="G526" s="39"/>
      <c r="H526" s="39"/>
      <c r="I526" s="39"/>
      <c r="J526" s="39"/>
      <c r="K526" s="39"/>
      <c r="O526" s="17"/>
      <c r="P526" s="17"/>
      <c r="Q526" s="17"/>
      <c r="R526" s="17"/>
      <c r="S526" s="17"/>
      <c r="T526" s="17"/>
      <c r="U526" s="17"/>
      <c r="V526" s="17"/>
    </row>
    <row r="527" ht="14.25" customHeight="1">
      <c r="A527" s="38"/>
      <c r="B527" s="38"/>
      <c r="C527" s="39"/>
      <c r="D527" s="39"/>
      <c r="E527" s="39"/>
      <c r="F527" s="39"/>
      <c r="G527" s="39"/>
      <c r="H527" s="39"/>
      <c r="I527" s="39"/>
      <c r="J527" s="39"/>
      <c r="K527" s="39"/>
      <c r="O527" s="17"/>
      <c r="P527" s="17"/>
      <c r="Q527" s="17"/>
      <c r="R527" s="17"/>
      <c r="S527" s="17"/>
      <c r="T527" s="17"/>
      <c r="U527" s="17"/>
      <c r="V527" s="17"/>
    </row>
    <row r="528" ht="14.25" customHeight="1">
      <c r="A528" s="38"/>
      <c r="B528" s="38"/>
      <c r="C528" s="39"/>
      <c r="D528" s="39"/>
      <c r="E528" s="39"/>
      <c r="F528" s="39"/>
      <c r="G528" s="39"/>
      <c r="H528" s="39"/>
      <c r="I528" s="39"/>
      <c r="J528" s="39"/>
      <c r="K528" s="39"/>
      <c r="O528" s="17"/>
      <c r="P528" s="17"/>
      <c r="Q528" s="17"/>
      <c r="R528" s="17"/>
      <c r="S528" s="17"/>
      <c r="T528" s="17"/>
      <c r="U528" s="17"/>
      <c r="V528" s="17"/>
    </row>
    <row r="529" ht="14.25" customHeight="1">
      <c r="A529" s="38"/>
      <c r="B529" s="38"/>
      <c r="C529" s="39"/>
      <c r="D529" s="39"/>
      <c r="E529" s="39"/>
      <c r="F529" s="39"/>
      <c r="G529" s="39"/>
      <c r="H529" s="39"/>
      <c r="I529" s="39"/>
      <c r="J529" s="39"/>
      <c r="K529" s="39"/>
      <c r="O529" s="17"/>
      <c r="P529" s="17"/>
      <c r="Q529" s="17"/>
      <c r="R529" s="17"/>
      <c r="S529" s="17"/>
      <c r="T529" s="17"/>
      <c r="U529" s="17"/>
      <c r="V529" s="17"/>
    </row>
    <row r="530" ht="14.25" customHeight="1">
      <c r="A530" s="38"/>
      <c r="B530" s="38"/>
      <c r="C530" s="39"/>
      <c r="D530" s="39"/>
      <c r="E530" s="39"/>
      <c r="F530" s="39"/>
      <c r="G530" s="39"/>
      <c r="H530" s="39"/>
      <c r="I530" s="39"/>
      <c r="J530" s="39"/>
      <c r="K530" s="39"/>
      <c r="O530" s="17"/>
      <c r="P530" s="17"/>
      <c r="Q530" s="17"/>
      <c r="R530" s="17"/>
      <c r="S530" s="17"/>
      <c r="T530" s="17"/>
      <c r="U530" s="17"/>
      <c r="V530" s="17"/>
    </row>
    <row r="531" ht="14.25" customHeight="1">
      <c r="A531" s="38"/>
      <c r="B531" s="38"/>
      <c r="C531" s="39"/>
      <c r="D531" s="39"/>
      <c r="E531" s="39"/>
      <c r="F531" s="39"/>
      <c r="G531" s="39"/>
      <c r="H531" s="39"/>
      <c r="I531" s="39"/>
      <c r="J531" s="39"/>
      <c r="K531" s="39"/>
      <c r="O531" s="17"/>
      <c r="P531" s="17"/>
      <c r="Q531" s="17"/>
      <c r="R531" s="17"/>
      <c r="S531" s="17"/>
      <c r="T531" s="17"/>
      <c r="U531" s="17"/>
      <c r="V531" s="17"/>
    </row>
    <row r="532" ht="14.25" customHeight="1">
      <c r="A532" s="38"/>
      <c r="B532" s="38"/>
      <c r="C532" s="39"/>
      <c r="D532" s="39"/>
      <c r="E532" s="39"/>
      <c r="F532" s="39"/>
      <c r="G532" s="39"/>
      <c r="H532" s="39"/>
      <c r="I532" s="39"/>
      <c r="J532" s="39"/>
      <c r="K532" s="39"/>
      <c r="O532" s="17"/>
      <c r="P532" s="17"/>
      <c r="Q532" s="17"/>
      <c r="R532" s="17"/>
      <c r="S532" s="17"/>
      <c r="T532" s="17"/>
      <c r="U532" s="17"/>
      <c r="V532" s="17"/>
    </row>
    <row r="533" ht="14.25" customHeight="1">
      <c r="A533" s="38"/>
      <c r="B533" s="38"/>
      <c r="C533" s="39"/>
      <c r="D533" s="39"/>
      <c r="E533" s="39"/>
      <c r="F533" s="39"/>
      <c r="G533" s="39"/>
      <c r="H533" s="39"/>
      <c r="I533" s="39"/>
      <c r="J533" s="39"/>
      <c r="K533" s="39"/>
      <c r="O533" s="17"/>
      <c r="P533" s="17"/>
      <c r="Q533" s="17"/>
      <c r="R533" s="17"/>
      <c r="S533" s="17"/>
      <c r="T533" s="17"/>
      <c r="U533" s="17"/>
      <c r="V533" s="17"/>
    </row>
    <row r="534" ht="14.25" customHeight="1">
      <c r="A534" s="38"/>
      <c r="B534" s="38"/>
      <c r="C534" s="39"/>
      <c r="D534" s="39"/>
      <c r="E534" s="39"/>
      <c r="F534" s="39"/>
      <c r="G534" s="39"/>
      <c r="H534" s="39"/>
      <c r="I534" s="39"/>
      <c r="J534" s="39"/>
      <c r="K534" s="39"/>
      <c r="O534" s="17"/>
      <c r="P534" s="17"/>
      <c r="Q534" s="17"/>
      <c r="R534" s="17"/>
      <c r="S534" s="17"/>
      <c r="T534" s="17"/>
      <c r="U534" s="17"/>
      <c r="V534" s="17"/>
    </row>
    <row r="535" ht="14.25" customHeight="1">
      <c r="A535" s="38"/>
      <c r="B535" s="38"/>
      <c r="C535" s="39"/>
      <c r="D535" s="39"/>
      <c r="E535" s="39"/>
      <c r="F535" s="39"/>
      <c r="G535" s="39"/>
      <c r="H535" s="39"/>
      <c r="I535" s="39"/>
      <c r="J535" s="39"/>
      <c r="K535" s="39"/>
      <c r="O535" s="17"/>
      <c r="P535" s="17"/>
      <c r="Q535" s="17"/>
      <c r="R535" s="17"/>
      <c r="S535" s="17"/>
      <c r="T535" s="17"/>
      <c r="U535" s="17"/>
      <c r="V535" s="17"/>
    </row>
    <row r="536" ht="14.25" customHeight="1">
      <c r="A536" s="38"/>
      <c r="B536" s="38"/>
      <c r="C536" s="39"/>
      <c r="D536" s="39"/>
      <c r="E536" s="39"/>
      <c r="F536" s="39"/>
      <c r="G536" s="39"/>
      <c r="H536" s="39"/>
      <c r="I536" s="39"/>
      <c r="J536" s="39"/>
      <c r="K536" s="39"/>
      <c r="O536" s="17"/>
      <c r="P536" s="17"/>
      <c r="Q536" s="17"/>
      <c r="R536" s="17"/>
      <c r="S536" s="17"/>
      <c r="T536" s="17"/>
      <c r="U536" s="17"/>
      <c r="V536" s="17"/>
    </row>
    <row r="537" ht="14.25" customHeight="1">
      <c r="A537" s="38"/>
      <c r="B537" s="38"/>
      <c r="C537" s="39"/>
      <c r="D537" s="39"/>
      <c r="E537" s="39"/>
      <c r="F537" s="39"/>
      <c r="G537" s="39"/>
      <c r="H537" s="39"/>
      <c r="I537" s="39"/>
      <c r="J537" s="39"/>
      <c r="K537" s="39"/>
      <c r="O537" s="17"/>
      <c r="P537" s="17"/>
      <c r="Q537" s="17"/>
      <c r="R537" s="17"/>
      <c r="S537" s="17"/>
      <c r="T537" s="17"/>
      <c r="U537" s="17"/>
      <c r="V537" s="17"/>
    </row>
    <row r="538" ht="14.25" customHeight="1">
      <c r="A538" s="38"/>
      <c r="B538" s="38"/>
      <c r="C538" s="39"/>
      <c r="D538" s="39"/>
      <c r="E538" s="39"/>
      <c r="F538" s="39"/>
      <c r="G538" s="39"/>
      <c r="H538" s="39"/>
      <c r="I538" s="39"/>
      <c r="J538" s="39"/>
      <c r="K538" s="39"/>
      <c r="O538" s="17"/>
      <c r="P538" s="17"/>
      <c r="Q538" s="17"/>
      <c r="R538" s="17"/>
      <c r="S538" s="17"/>
      <c r="T538" s="17"/>
      <c r="U538" s="17"/>
      <c r="V538" s="17"/>
    </row>
    <row r="539" ht="14.25" customHeight="1">
      <c r="A539" s="38"/>
      <c r="B539" s="38"/>
      <c r="C539" s="39"/>
      <c r="D539" s="39"/>
      <c r="E539" s="39"/>
      <c r="F539" s="39"/>
      <c r="G539" s="39"/>
      <c r="H539" s="39"/>
      <c r="I539" s="39"/>
      <c r="J539" s="39"/>
      <c r="K539" s="39"/>
      <c r="O539" s="17"/>
      <c r="P539" s="17"/>
      <c r="Q539" s="17"/>
      <c r="R539" s="17"/>
      <c r="S539" s="17"/>
      <c r="T539" s="17"/>
      <c r="U539" s="17"/>
      <c r="V539" s="17"/>
    </row>
    <row r="540" ht="14.25" customHeight="1">
      <c r="A540" s="38"/>
      <c r="B540" s="38"/>
      <c r="C540" s="39"/>
      <c r="D540" s="39"/>
      <c r="E540" s="39"/>
      <c r="F540" s="39"/>
      <c r="G540" s="39"/>
      <c r="H540" s="39"/>
      <c r="I540" s="39"/>
      <c r="J540" s="39"/>
      <c r="K540" s="39"/>
      <c r="O540" s="17"/>
      <c r="P540" s="17"/>
      <c r="Q540" s="17"/>
      <c r="R540" s="17"/>
      <c r="S540" s="17"/>
      <c r="T540" s="17"/>
      <c r="U540" s="17"/>
      <c r="V540" s="17"/>
    </row>
    <row r="541" ht="14.25" customHeight="1">
      <c r="A541" s="38"/>
      <c r="B541" s="38"/>
      <c r="C541" s="39"/>
      <c r="D541" s="39"/>
      <c r="E541" s="39"/>
      <c r="F541" s="39"/>
      <c r="G541" s="39"/>
      <c r="H541" s="39"/>
      <c r="I541" s="39"/>
      <c r="J541" s="39"/>
      <c r="K541" s="39"/>
      <c r="O541" s="17"/>
      <c r="P541" s="17"/>
      <c r="Q541" s="17"/>
      <c r="R541" s="17"/>
      <c r="S541" s="17"/>
      <c r="T541" s="17"/>
      <c r="U541" s="17"/>
      <c r="V541" s="17"/>
    </row>
    <row r="542" ht="14.25" customHeight="1">
      <c r="A542" s="38"/>
      <c r="B542" s="38"/>
      <c r="C542" s="39"/>
      <c r="D542" s="39"/>
      <c r="E542" s="39"/>
      <c r="F542" s="39"/>
      <c r="G542" s="39"/>
      <c r="H542" s="39"/>
      <c r="I542" s="39"/>
      <c r="J542" s="39"/>
      <c r="K542" s="39"/>
      <c r="O542" s="17"/>
      <c r="P542" s="17"/>
      <c r="Q542" s="17"/>
      <c r="R542" s="17"/>
      <c r="S542" s="17"/>
      <c r="T542" s="17"/>
      <c r="U542" s="17"/>
      <c r="V542" s="17"/>
    </row>
    <row r="543" ht="14.25" customHeight="1">
      <c r="A543" s="38"/>
      <c r="B543" s="38"/>
      <c r="C543" s="39"/>
      <c r="D543" s="39"/>
      <c r="E543" s="39"/>
      <c r="F543" s="39"/>
      <c r="G543" s="39"/>
      <c r="H543" s="39"/>
      <c r="I543" s="39"/>
      <c r="J543" s="39"/>
      <c r="K543" s="39"/>
      <c r="O543" s="17"/>
      <c r="P543" s="17"/>
      <c r="Q543" s="17"/>
      <c r="R543" s="17"/>
      <c r="S543" s="17"/>
      <c r="T543" s="17"/>
      <c r="U543" s="17"/>
      <c r="V543" s="17"/>
    </row>
    <row r="544" ht="14.25" customHeight="1">
      <c r="A544" s="38"/>
      <c r="B544" s="38"/>
      <c r="C544" s="39"/>
      <c r="D544" s="39"/>
      <c r="E544" s="39"/>
      <c r="F544" s="39"/>
      <c r="G544" s="39"/>
      <c r="H544" s="39"/>
      <c r="I544" s="39"/>
      <c r="J544" s="39"/>
      <c r="K544" s="39"/>
      <c r="O544" s="17"/>
      <c r="P544" s="17"/>
      <c r="Q544" s="17"/>
      <c r="R544" s="17"/>
      <c r="S544" s="17"/>
      <c r="T544" s="17"/>
      <c r="U544" s="17"/>
      <c r="V544" s="17"/>
    </row>
    <row r="545" ht="14.25" customHeight="1">
      <c r="A545" s="38"/>
      <c r="B545" s="38"/>
      <c r="C545" s="39"/>
      <c r="D545" s="39"/>
      <c r="E545" s="39"/>
      <c r="F545" s="39"/>
      <c r="G545" s="39"/>
      <c r="H545" s="39"/>
      <c r="I545" s="39"/>
      <c r="J545" s="39"/>
      <c r="K545" s="39"/>
      <c r="O545" s="17"/>
      <c r="P545" s="17"/>
      <c r="Q545" s="17"/>
      <c r="R545" s="17"/>
      <c r="S545" s="17"/>
      <c r="T545" s="17"/>
      <c r="U545" s="17"/>
      <c r="V545" s="17"/>
    </row>
    <row r="546" ht="14.25" customHeight="1">
      <c r="A546" s="38"/>
      <c r="B546" s="38"/>
      <c r="C546" s="39"/>
      <c r="D546" s="39"/>
      <c r="E546" s="39"/>
      <c r="F546" s="39"/>
      <c r="G546" s="39"/>
      <c r="H546" s="39"/>
      <c r="I546" s="39"/>
      <c r="J546" s="39"/>
      <c r="K546" s="39"/>
      <c r="O546" s="17"/>
      <c r="P546" s="17"/>
      <c r="Q546" s="17"/>
      <c r="R546" s="17"/>
      <c r="S546" s="17"/>
      <c r="T546" s="17"/>
      <c r="U546" s="17"/>
      <c r="V546" s="17"/>
    </row>
    <row r="547" ht="14.25" customHeight="1">
      <c r="A547" s="38"/>
      <c r="B547" s="38"/>
      <c r="C547" s="39"/>
      <c r="D547" s="39"/>
      <c r="E547" s="39"/>
      <c r="F547" s="39"/>
      <c r="G547" s="39"/>
      <c r="H547" s="39"/>
      <c r="I547" s="39"/>
      <c r="J547" s="39"/>
      <c r="K547" s="39"/>
      <c r="O547" s="17"/>
      <c r="P547" s="17"/>
      <c r="Q547" s="17"/>
      <c r="R547" s="17"/>
      <c r="S547" s="17"/>
      <c r="T547" s="17"/>
      <c r="U547" s="17"/>
      <c r="V547" s="17"/>
    </row>
    <row r="548" ht="14.25" customHeight="1">
      <c r="A548" s="38"/>
      <c r="B548" s="38"/>
      <c r="C548" s="39"/>
      <c r="D548" s="39"/>
      <c r="E548" s="39"/>
      <c r="F548" s="39"/>
      <c r="G548" s="39"/>
      <c r="H548" s="39"/>
      <c r="I548" s="39"/>
      <c r="J548" s="39"/>
      <c r="K548" s="39"/>
      <c r="O548" s="17"/>
      <c r="P548" s="17"/>
      <c r="Q548" s="17"/>
      <c r="R548" s="17"/>
      <c r="S548" s="17"/>
      <c r="T548" s="17"/>
      <c r="U548" s="17"/>
      <c r="V548" s="17"/>
    </row>
    <row r="549" ht="14.25" customHeight="1">
      <c r="A549" s="38"/>
      <c r="B549" s="38"/>
      <c r="C549" s="39"/>
      <c r="D549" s="39"/>
      <c r="E549" s="39"/>
      <c r="F549" s="39"/>
      <c r="G549" s="39"/>
      <c r="H549" s="39"/>
      <c r="I549" s="39"/>
      <c r="J549" s="39"/>
      <c r="K549" s="39"/>
      <c r="O549" s="17"/>
      <c r="P549" s="17"/>
      <c r="Q549" s="17"/>
      <c r="R549" s="17"/>
      <c r="S549" s="17"/>
      <c r="T549" s="17"/>
      <c r="U549" s="17"/>
      <c r="V549" s="17"/>
    </row>
    <row r="550" ht="14.25" customHeight="1">
      <c r="A550" s="38"/>
      <c r="B550" s="38"/>
      <c r="C550" s="39"/>
      <c r="D550" s="39"/>
      <c r="E550" s="39"/>
      <c r="F550" s="39"/>
      <c r="G550" s="39"/>
      <c r="H550" s="39"/>
      <c r="I550" s="39"/>
      <c r="J550" s="39"/>
      <c r="K550" s="39"/>
      <c r="O550" s="17"/>
      <c r="P550" s="17"/>
      <c r="Q550" s="17"/>
      <c r="R550" s="17"/>
      <c r="S550" s="17"/>
      <c r="T550" s="17"/>
      <c r="U550" s="17"/>
      <c r="V550" s="17"/>
    </row>
    <row r="551" ht="14.25" customHeight="1">
      <c r="A551" s="38"/>
      <c r="B551" s="38"/>
      <c r="C551" s="39"/>
      <c r="D551" s="39"/>
      <c r="E551" s="39"/>
      <c r="F551" s="39"/>
      <c r="G551" s="39"/>
      <c r="H551" s="39"/>
      <c r="I551" s="39"/>
      <c r="J551" s="39"/>
      <c r="K551" s="39"/>
      <c r="O551" s="17"/>
      <c r="P551" s="17"/>
      <c r="Q551" s="17"/>
      <c r="R551" s="17"/>
      <c r="S551" s="17"/>
      <c r="T551" s="17"/>
      <c r="U551" s="17"/>
      <c r="V551" s="17"/>
    </row>
    <row r="552" ht="14.25" customHeight="1">
      <c r="A552" s="38"/>
      <c r="B552" s="38"/>
      <c r="C552" s="39"/>
      <c r="D552" s="39"/>
      <c r="E552" s="39"/>
      <c r="F552" s="39"/>
      <c r="G552" s="39"/>
      <c r="H552" s="39"/>
      <c r="I552" s="39"/>
      <c r="J552" s="39"/>
      <c r="K552" s="39"/>
      <c r="O552" s="17"/>
      <c r="P552" s="17"/>
      <c r="Q552" s="17"/>
      <c r="R552" s="17"/>
      <c r="S552" s="17"/>
      <c r="T552" s="17"/>
      <c r="U552" s="17"/>
      <c r="V552" s="17"/>
    </row>
    <row r="553" ht="14.25" customHeight="1">
      <c r="A553" s="38"/>
      <c r="B553" s="38"/>
      <c r="C553" s="39"/>
      <c r="D553" s="39"/>
      <c r="E553" s="39"/>
      <c r="F553" s="39"/>
      <c r="G553" s="39"/>
      <c r="H553" s="39"/>
      <c r="I553" s="39"/>
      <c r="J553" s="39"/>
      <c r="K553" s="39"/>
      <c r="O553" s="17"/>
      <c r="P553" s="17"/>
      <c r="Q553" s="17"/>
      <c r="R553" s="17"/>
      <c r="S553" s="17"/>
      <c r="T553" s="17"/>
      <c r="U553" s="17"/>
      <c r="V553" s="17"/>
    </row>
    <row r="554" ht="14.25" customHeight="1">
      <c r="A554" s="38"/>
      <c r="B554" s="38"/>
      <c r="C554" s="39"/>
      <c r="D554" s="39"/>
      <c r="E554" s="39"/>
      <c r="F554" s="39"/>
      <c r="G554" s="39"/>
      <c r="H554" s="39"/>
      <c r="I554" s="39"/>
      <c r="J554" s="39"/>
      <c r="K554" s="39"/>
      <c r="O554" s="17"/>
      <c r="P554" s="17"/>
      <c r="Q554" s="17"/>
      <c r="R554" s="17"/>
      <c r="S554" s="17"/>
      <c r="T554" s="17"/>
      <c r="U554" s="17"/>
      <c r="V554" s="17"/>
    </row>
    <row r="555" ht="14.25" customHeight="1">
      <c r="A555" s="38"/>
      <c r="B555" s="38"/>
      <c r="C555" s="39"/>
      <c r="D555" s="39"/>
      <c r="E555" s="39"/>
      <c r="F555" s="39"/>
      <c r="G555" s="39"/>
      <c r="H555" s="39"/>
      <c r="I555" s="39"/>
      <c r="J555" s="39"/>
      <c r="K555" s="39"/>
      <c r="O555" s="17"/>
      <c r="P555" s="17"/>
      <c r="Q555" s="17"/>
      <c r="R555" s="17"/>
      <c r="S555" s="17"/>
      <c r="T555" s="17"/>
      <c r="U555" s="17"/>
      <c r="V555" s="17"/>
    </row>
    <row r="556" ht="14.25" customHeight="1">
      <c r="A556" s="38"/>
      <c r="B556" s="38"/>
      <c r="C556" s="39"/>
      <c r="D556" s="39"/>
      <c r="E556" s="39"/>
      <c r="F556" s="39"/>
      <c r="G556" s="39"/>
      <c r="H556" s="39"/>
      <c r="I556" s="39"/>
      <c r="J556" s="39"/>
      <c r="K556" s="39"/>
      <c r="O556" s="17"/>
      <c r="P556" s="17"/>
      <c r="Q556" s="17"/>
      <c r="R556" s="17"/>
      <c r="S556" s="17"/>
      <c r="T556" s="17"/>
      <c r="U556" s="17"/>
      <c r="V556" s="17"/>
    </row>
    <row r="557" ht="14.25" customHeight="1">
      <c r="A557" s="38"/>
      <c r="B557" s="38"/>
      <c r="C557" s="39"/>
      <c r="D557" s="39"/>
      <c r="E557" s="39"/>
      <c r="F557" s="39"/>
      <c r="G557" s="39"/>
      <c r="H557" s="39"/>
      <c r="I557" s="39"/>
      <c r="J557" s="39"/>
      <c r="K557" s="39"/>
      <c r="O557" s="17"/>
      <c r="P557" s="17"/>
      <c r="Q557" s="17"/>
      <c r="R557" s="17"/>
      <c r="S557" s="17"/>
      <c r="T557" s="17"/>
      <c r="U557" s="17"/>
      <c r="V557" s="17"/>
    </row>
    <row r="558" ht="14.25" customHeight="1">
      <c r="A558" s="38"/>
      <c r="B558" s="38"/>
      <c r="C558" s="39"/>
      <c r="D558" s="39"/>
      <c r="E558" s="39"/>
      <c r="F558" s="39"/>
      <c r="G558" s="39"/>
      <c r="H558" s="39"/>
      <c r="I558" s="39"/>
      <c r="J558" s="39"/>
      <c r="K558" s="39"/>
      <c r="O558" s="17"/>
      <c r="P558" s="17"/>
      <c r="Q558" s="17"/>
      <c r="R558" s="17"/>
      <c r="S558" s="17"/>
      <c r="T558" s="17"/>
      <c r="U558" s="17"/>
      <c r="V558" s="17"/>
    </row>
    <row r="559" ht="14.25" customHeight="1">
      <c r="A559" s="38"/>
      <c r="B559" s="38"/>
      <c r="C559" s="39"/>
      <c r="D559" s="39"/>
      <c r="E559" s="39"/>
      <c r="F559" s="39"/>
      <c r="G559" s="39"/>
      <c r="H559" s="39"/>
      <c r="I559" s="39"/>
      <c r="J559" s="39"/>
      <c r="K559" s="39"/>
      <c r="O559" s="17"/>
      <c r="P559" s="17"/>
      <c r="Q559" s="17"/>
      <c r="R559" s="17"/>
      <c r="S559" s="17"/>
      <c r="T559" s="17"/>
      <c r="U559" s="17"/>
      <c r="V559" s="17"/>
    </row>
    <row r="560" ht="14.25" customHeight="1">
      <c r="A560" s="38"/>
      <c r="B560" s="38"/>
      <c r="C560" s="39"/>
      <c r="D560" s="39"/>
      <c r="E560" s="39"/>
      <c r="F560" s="39"/>
      <c r="G560" s="39"/>
      <c r="H560" s="39"/>
      <c r="I560" s="39"/>
      <c r="J560" s="39"/>
      <c r="K560" s="39"/>
      <c r="O560" s="17"/>
      <c r="P560" s="17"/>
      <c r="Q560" s="17"/>
      <c r="R560" s="17"/>
      <c r="S560" s="17"/>
      <c r="T560" s="17"/>
      <c r="U560" s="17"/>
      <c r="V560" s="17"/>
    </row>
    <row r="561" ht="14.25" customHeight="1">
      <c r="A561" s="38"/>
      <c r="B561" s="38"/>
      <c r="C561" s="39"/>
      <c r="D561" s="39"/>
      <c r="E561" s="39"/>
      <c r="F561" s="39"/>
      <c r="G561" s="39"/>
      <c r="H561" s="39"/>
      <c r="I561" s="39"/>
      <c r="J561" s="39"/>
      <c r="K561" s="39"/>
      <c r="O561" s="17"/>
      <c r="P561" s="17"/>
      <c r="Q561" s="17"/>
      <c r="R561" s="17"/>
      <c r="S561" s="17"/>
      <c r="T561" s="17"/>
      <c r="U561" s="17"/>
      <c r="V561" s="17"/>
    </row>
    <row r="562" ht="14.25" customHeight="1">
      <c r="A562" s="38"/>
      <c r="B562" s="38"/>
      <c r="C562" s="39"/>
      <c r="D562" s="39"/>
      <c r="E562" s="39"/>
      <c r="F562" s="39"/>
      <c r="G562" s="39"/>
      <c r="H562" s="39"/>
      <c r="I562" s="39"/>
      <c r="J562" s="39"/>
      <c r="K562" s="39"/>
      <c r="O562" s="17"/>
      <c r="P562" s="17"/>
      <c r="Q562" s="17"/>
      <c r="R562" s="17"/>
      <c r="S562" s="17"/>
      <c r="T562" s="17"/>
      <c r="U562" s="17"/>
      <c r="V562" s="17"/>
    </row>
    <row r="563" ht="14.25" customHeight="1">
      <c r="A563" s="38"/>
      <c r="B563" s="38"/>
      <c r="C563" s="39"/>
      <c r="D563" s="39"/>
      <c r="E563" s="39"/>
      <c r="F563" s="39"/>
      <c r="G563" s="39"/>
      <c r="H563" s="39"/>
      <c r="I563" s="39"/>
      <c r="J563" s="39"/>
      <c r="K563" s="39"/>
      <c r="O563" s="17"/>
      <c r="P563" s="17"/>
      <c r="Q563" s="17"/>
      <c r="R563" s="17"/>
      <c r="S563" s="17"/>
      <c r="T563" s="17"/>
      <c r="U563" s="17"/>
      <c r="V563" s="17"/>
    </row>
    <row r="564" ht="14.25" customHeight="1">
      <c r="A564" s="38"/>
      <c r="B564" s="38"/>
      <c r="C564" s="39"/>
      <c r="D564" s="39"/>
      <c r="E564" s="39"/>
      <c r="F564" s="39"/>
      <c r="G564" s="39"/>
      <c r="H564" s="39"/>
      <c r="I564" s="39"/>
      <c r="J564" s="39"/>
      <c r="K564" s="39"/>
      <c r="O564" s="17"/>
      <c r="P564" s="17"/>
      <c r="Q564" s="17"/>
      <c r="R564" s="17"/>
      <c r="S564" s="17"/>
      <c r="T564" s="17"/>
      <c r="U564" s="17"/>
      <c r="V564" s="17"/>
    </row>
    <row r="565" ht="14.25" customHeight="1">
      <c r="A565" s="38"/>
      <c r="B565" s="38"/>
      <c r="C565" s="39"/>
      <c r="D565" s="39"/>
      <c r="E565" s="39"/>
      <c r="F565" s="39"/>
      <c r="G565" s="39"/>
      <c r="H565" s="39"/>
      <c r="I565" s="39"/>
      <c r="J565" s="39"/>
      <c r="K565" s="39"/>
      <c r="O565" s="17"/>
      <c r="P565" s="17"/>
      <c r="Q565" s="17"/>
      <c r="R565" s="17"/>
      <c r="S565" s="17"/>
      <c r="T565" s="17"/>
      <c r="U565" s="17"/>
      <c r="V565" s="17"/>
    </row>
    <row r="566" ht="14.25" customHeight="1">
      <c r="A566" s="38"/>
      <c r="B566" s="38"/>
      <c r="C566" s="39"/>
      <c r="D566" s="39"/>
      <c r="E566" s="39"/>
      <c r="F566" s="39"/>
      <c r="G566" s="39"/>
      <c r="H566" s="39"/>
      <c r="I566" s="39"/>
      <c r="J566" s="39"/>
      <c r="K566" s="39"/>
      <c r="O566" s="17"/>
      <c r="P566" s="17"/>
      <c r="Q566" s="17"/>
      <c r="R566" s="17"/>
      <c r="S566" s="17"/>
      <c r="T566" s="17"/>
      <c r="U566" s="17"/>
      <c r="V566" s="17"/>
    </row>
    <row r="567" ht="14.25" customHeight="1">
      <c r="A567" s="38"/>
      <c r="B567" s="38"/>
      <c r="C567" s="39"/>
      <c r="D567" s="39"/>
      <c r="E567" s="39"/>
      <c r="F567" s="39"/>
      <c r="G567" s="39"/>
      <c r="H567" s="39"/>
      <c r="I567" s="39"/>
      <c r="J567" s="39"/>
      <c r="K567" s="39"/>
      <c r="O567" s="17"/>
      <c r="P567" s="17"/>
      <c r="Q567" s="17"/>
      <c r="R567" s="17"/>
      <c r="S567" s="17"/>
      <c r="T567" s="17"/>
      <c r="U567" s="17"/>
      <c r="V567" s="17"/>
    </row>
    <row r="568" ht="14.25" customHeight="1">
      <c r="A568" s="38"/>
      <c r="B568" s="38"/>
      <c r="C568" s="39"/>
      <c r="D568" s="39"/>
      <c r="E568" s="39"/>
      <c r="F568" s="39"/>
      <c r="G568" s="39"/>
      <c r="H568" s="39"/>
      <c r="I568" s="39"/>
      <c r="J568" s="39"/>
      <c r="K568" s="39"/>
      <c r="O568" s="17"/>
      <c r="P568" s="17"/>
      <c r="Q568" s="17"/>
      <c r="R568" s="17"/>
      <c r="S568" s="17"/>
      <c r="T568" s="17"/>
      <c r="U568" s="17"/>
      <c r="V568" s="17"/>
    </row>
    <row r="569" ht="14.25" customHeight="1">
      <c r="A569" s="38"/>
      <c r="B569" s="38"/>
      <c r="C569" s="39"/>
      <c r="D569" s="39"/>
      <c r="E569" s="39"/>
      <c r="F569" s="39"/>
      <c r="G569" s="39"/>
      <c r="H569" s="39"/>
      <c r="I569" s="39"/>
      <c r="J569" s="39"/>
      <c r="K569" s="39"/>
      <c r="O569" s="17"/>
      <c r="P569" s="17"/>
      <c r="Q569" s="17"/>
      <c r="R569" s="17"/>
      <c r="S569" s="17"/>
      <c r="T569" s="17"/>
      <c r="U569" s="17"/>
      <c r="V569" s="17"/>
    </row>
    <row r="570" ht="14.25" customHeight="1">
      <c r="A570" s="38"/>
      <c r="B570" s="38"/>
      <c r="C570" s="39"/>
      <c r="D570" s="39"/>
      <c r="E570" s="39"/>
      <c r="F570" s="39"/>
      <c r="G570" s="39"/>
      <c r="H570" s="39"/>
      <c r="I570" s="39"/>
      <c r="J570" s="39"/>
      <c r="K570" s="39"/>
      <c r="O570" s="17"/>
      <c r="P570" s="17"/>
      <c r="Q570" s="17"/>
      <c r="R570" s="17"/>
      <c r="S570" s="17"/>
      <c r="T570" s="17"/>
      <c r="U570" s="17"/>
      <c r="V570" s="17"/>
    </row>
    <row r="571" ht="14.25" customHeight="1">
      <c r="A571" s="38"/>
      <c r="B571" s="38"/>
      <c r="C571" s="39"/>
      <c r="D571" s="39"/>
      <c r="E571" s="39"/>
      <c r="F571" s="39"/>
      <c r="G571" s="39"/>
      <c r="H571" s="39"/>
      <c r="I571" s="39"/>
      <c r="J571" s="39"/>
      <c r="K571" s="39"/>
      <c r="O571" s="17"/>
      <c r="P571" s="17"/>
      <c r="Q571" s="17"/>
      <c r="R571" s="17"/>
      <c r="S571" s="17"/>
      <c r="T571" s="17"/>
      <c r="U571" s="17"/>
      <c r="V571" s="17"/>
    </row>
    <row r="572" ht="14.25" customHeight="1">
      <c r="A572" s="38"/>
      <c r="B572" s="38"/>
      <c r="C572" s="39"/>
      <c r="D572" s="39"/>
      <c r="E572" s="39"/>
      <c r="F572" s="39"/>
      <c r="G572" s="39"/>
      <c r="H572" s="39"/>
      <c r="I572" s="39"/>
      <c r="J572" s="39"/>
      <c r="K572" s="39"/>
      <c r="O572" s="17"/>
      <c r="P572" s="17"/>
      <c r="Q572" s="17"/>
      <c r="R572" s="17"/>
      <c r="S572" s="17"/>
      <c r="T572" s="17"/>
      <c r="U572" s="17"/>
      <c r="V572" s="17"/>
    </row>
    <row r="573" ht="14.25" customHeight="1">
      <c r="A573" s="38"/>
      <c r="B573" s="38"/>
      <c r="C573" s="39"/>
      <c r="D573" s="39"/>
      <c r="E573" s="39"/>
      <c r="F573" s="39"/>
      <c r="G573" s="39"/>
      <c r="H573" s="39"/>
      <c r="I573" s="39"/>
      <c r="J573" s="39"/>
      <c r="K573" s="39"/>
      <c r="O573" s="17"/>
      <c r="P573" s="17"/>
      <c r="Q573" s="17"/>
      <c r="R573" s="17"/>
      <c r="S573" s="17"/>
      <c r="T573" s="17"/>
      <c r="U573" s="17"/>
      <c r="V573" s="17"/>
    </row>
    <row r="574" ht="14.25" customHeight="1">
      <c r="A574" s="38"/>
      <c r="B574" s="38"/>
      <c r="C574" s="39"/>
      <c r="D574" s="39"/>
      <c r="E574" s="39"/>
      <c r="F574" s="39"/>
      <c r="G574" s="39"/>
      <c r="H574" s="39"/>
      <c r="I574" s="39"/>
      <c r="J574" s="39"/>
      <c r="K574" s="39"/>
      <c r="O574" s="17"/>
      <c r="P574" s="17"/>
      <c r="Q574" s="17"/>
      <c r="R574" s="17"/>
      <c r="S574" s="17"/>
      <c r="T574" s="17"/>
      <c r="U574" s="17"/>
      <c r="V574" s="17"/>
    </row>
    <row r="575" ht="14.25" customHeight="1">
      <c r="A575" s="38"/>
      <c r="B575" s="38"/>
      <c r="C575" s="39"/>
      <c r="D575" s="39"/>
      <c r="E575" s="39"/>
      <c r="F575" s="39"/>
      <c r="G575" s="39"/>
      <c r="H575" s="39"/>
      <c r="I575" s="39"/>
      <c r="J575" s="39"/>
      <c r="K575" s="39"/>
      <c r="O575" s="17"/>
      <c r="P575" s="17"/>
      <c r="Q575" s="17"/>
      <c r="R575" s="17"/>
      <c r="S575" s="17"/>
      <c r="T575" s="17"/>
      <c r="U575" s="17"/>
      <c r="V575" s="17"/>
    </row>
    <row r="576" ht="14.25" customHeight="1">
      <c r="A576" s="38"/>
      <c r="B576" s="38"/>
      <c r="C576" s="39"/>
      <c r="D576" s="39"/>
      <c r="E576" s="39"/>
      <c r="F576" s="39"/>
      <c r="G576" s="39"/>
      <c r="H576" s="39"/>
      <c r="I576" s="39"/>
      <c r="J576" s="39"/>
      <c r="K576" s="39"/>
      <c r="O576" s="17"/>
      <c r="P576" s="17"/>
      <c r="Q576" s="17"/>
      <c r="R576" s="17"/>
      <c r="S576" s="17"/>
      <c r="T576" s="17"/>
      <c r="U576" s="17"/>
      <c r="V576" s="17"/>
    </row>
    <row r="577" ht="14.25" customHeight="1">
      <c r="A577" s="38"/>
      <c r="B577" s="38"/>
      <c r="C577" s="39"/>
      <c r="D577" s="39"/>
      <c r="E577" s="39"/>
      <c r="F577" s="39"/>
      <c r="G577" s="39"/>
      <c r="H577" s="39"/>
      <c r="I577" s="39"/>
      <c r="J577" s="39"/>
      <c r="K577" s="39"/>
      <c r="O577" s="17"/>
      <c r="P577" s="17"/>
      <c r="Q577" s="17"/>
      <c r="R577" s="17"/>
      <c r="S577" s="17"/>
      <c r="T577" s="17"/>
      <c r="U577" s="17"/>
      <c r="V577" s="17"/>
    </row>
    <row r="578" ht="14.25" customHeight="1">
      <c r="A578" s="38"/>
      <c r="B578" s="38"/>
      <c r="C578" s="39"/>
      <c r="D578" s="39"/>
      <c r="E578" s="39"/>
      <c r="F578" s="39"/>
      <c r="G578" s="39"/>
      <c r="H578" s="39"/>
      <c r="I578" s="39"/>
      <c r="J578" s="39"/>
      <c r="K578" s="39"/>
      <c r="O578" s="17"/>
      <c r="P578" s="17"/>
      <c r="Q578" s="17"/>
      <c r="R578" s="17"/>
      <c r="S578" s="17"/>
      <c r="T578" s="17"/>
      <c r="U578" s="17"/>
      <c r="V578" s="17"/>
    </row>
    <row r="579" ht="14.25" customHeight="1">
      <c r="A579" s="38"/>
      <c r="B579" s="38"/>
      <c r="C579" s="39"/>
      <c r="D579" s="39"/>
      <c r="E579" s="39"/>
      <c r="F579" s="39"/>
      <c r="G579" s="39"/>
      <c r="H579" s="39"/>
      <c r="I579" s="39"/>
      <c r="J579" s="39"/>
      <c r="K579" s="39"/>
      <c r="O579" s="17"/>
      <c r="P579" s="17"/>
      <c r="Q579" s="17"/>
      <c r="R579" s="17"/>
      <c r="S579" s="17"/>
      <c r="T579" s="17"/>
      <c r="U579" s="17"/>
      <c r="V579" s="17"/>
    </row>
    <row r="580" ht="14.25" customHeight="1">
      <c r="A580" s="38"/>
      <c r="B580" s="38"/>
      <c r="C580" s="39"/>
      <c r="D580" s="39"/>
      <c r="E580" s="39"/>
      <c r="F580" s="39"/>
      <c r="G580" s="39"/>
      <c r="H580" s="39"/>
      <c r="I580" s="39"/>
      <c r="J580" s="39"/>
      <c r="K580" s="39"/>
      <c r="O580" s="17"/>
      <c r="P580" s="17"/>
      <c r="Q580" s="17"/>
      <c r="R580" s="17"/>
      <c r="S580" s="17"/>
      <c r="T580" s="17"/>
      <c r="U580" s="17"/>
      <c r="V580" s="17"/>
    </row>
    <row r="581" ht="14.25" customHeight="1">
      <c r="A581" s="38"/>
      <c r="B581" s="38"/>
      <c r="C581" s="39"/>
      <c r="D581" s="39"/>
      <c r="E581" s="39"/>
      <c r="F581" s="39"/>
      <c r="G581" s="39"/>
      <c r="H581" s="39"/>
      <c r="I581" s="39"/>
      <c r="J581" s="39"/>
      <c r="K581" s="39"/>
      <c r="O581" s="17"/>
      <c r="P581" s="17"/>
      <c r="Q581" s="17"/>
      <c r="R581" s="17"/>
      <c r="S581" s="17"/>
      <c r="T581" s="17"/>
      <c r="U581" s="17"/>
      <c r="V581" s="17"/>
    </row>
    <row r="582" ht="14.25" customHeight="1">
      <c r="A582" s="38"/>
      <c r="B582" s="38"/>
      <c r="C582" s="39"/>
      <c r="D582" s="39"/>
      <c r="E582" s="39"/>
      <c r="F582" s="39"/>
      <c r="G582" s="39"/>
      <c r="H582" s="39"/>
      <c r="I582" s="39"/>
      <c r="J582" s="39"/>
      <c r="K582" s="39"/>
      <c r="O582" s="17"/>
      <c r="P582" s="17"/>
      <c r="Q582" s="17"/>
      <c r="R582" s="17"/>
      <c r="S582" s="17"/>
      <c r="T582" s="17"/>
      <c r="U582" s="17"/>
      <c r="V582" s="17"/>
    </row>
    <row r="583" ht="14.25" customHeight="1">
      <c r="A583" s="38"/>
      <c r="B583" s="38"/>
      <c r="C583" s="39"/>
      <c r="D583" s="39"/>
      <c r="E583" s="39"/>
      <c r="F583" s="39"/>
      <c r="G583" s="39"/>
      <c r="H583" s="39"/>
      <c r="I583" s="39"/>
      <c r="J583" s="39"/>
      <c r="K583" s="39"/>
      <c r="O583" s="17"/>
      <c r="P583" s="17"/>
      <c r="Q583" s="17"/>
      <c r="R583" s="17"/>
      <c r="S583" s="17"/>
      <c r="T583" s="17"/>
      <c r="U583" s="17"/>
      <c r="V583" s="17"/>
    </row>
    <row r="584" ht="14.25" customHeight="1">
      <c r="A584" s="38"/>
      <c r="B584" s="38"/>
      <c r="C584" s="39"/>
      <c r="D584" s="39"/>
      <c r="E584" s="39"/>
      <c r="F584" s="39"/>
      <c r="G584" s="39"/>
      <c r="H584" s="39"/>
      <c r="I584" s="39"/>
      <c r="J584" s="39"/>
      <c r="K584" s="39"/>
      <c r="O584" s="17"/>
      <c r="P584" s="17"/>
      <c r="Q584" s="17"/>
      <c r="R584" s="17"/>
      <c r="S584" s="17"/>
      <c r="T584" s="17"/>
      <c r="U584" s="17"/>
      <c r="V584" s="17"/>
    </row>
    <row r="585" ht="14.25" customHeight="1">
      <c r="A585" s="38"/>
      <c r="B585" s="38"/>
      <c r="C585" s="39"/>
      <c r="D585" s="39"/>
      <c r="E585" s="39"/>
      <c r="F585" s="39"/>
      <c r="G585" s="39"/>
      <c r="H585" s="39"/>
      <c r="I585" s="39"/>
      <c r="J585" s="39"/>
      <c r="K585" s="39"/>
      <c r="O585" s="17"/>
      <c r="P585" s="17"/>
      <c r="Q585" s="17"/>
      <c r="R585" s="17"/>
      <c r="S585" s="17"/>
      <c r="T585" s="17"/>
      <c r="U585" s="17"/>
      <c r="V585" s="17"/>
    </row>
    <row r="586" ht="14.25" customHeight="1">
      <c r="A586" s="38"/>
      <c r="B586" s="38"/>
      <c r="C586" s="39"/>
      <c r="D586" s="39"/>
      <c r="E586" s="39"/>
      <c r="F586" s="39"/>
      <c r="G586" s="39"/>
      <c r="H586" s="39"/>
      <c r="I586" s="39"/>
      <c r="J586" s="39"/>
      <c r="K586" s="39"/>
      <c r="O586" s="17"/>
      <c r="P586" s="17"/>
      <c r="Q586" s="17"/>
      <c r="R586" s="17"/>
      <c r="S586" s="17"/>
      <c r="T586" s="17"/>
      <c r="U586" s="17"/>
      <c r="V586" s="17"/>
    </row>
    <row r="587" ht="14.25" customHeight="1">
      <c r="A587" s="38"/>
      <c r="B587" s="38"/>
      <c r="C587" s="39"/>
      <c r="D587" s="39"/>
      <c r="E587" s="39"/>
      <c r="F587" s="39"/>
      <c r="G587" s="39"/>
      <c r="H587" s="39"/>
      <c r="I587" s="39"/>
      <c r="J587" s="39"/>
      <c r="K587" s="39"/>
      <c r="O587" s="17"/>
      <c r="P587" s="17"/>
      <c r="Q587" s="17"/>
      <c r="R587" s="17"/>
      <c r="S587" s="17"/>
      <c r="T587" s="17"/>
      <c r="U587" s="17"/>
      <c r="V587" s="17"/>
    </row>
    <row r="588" ht="14.25" customHeight="1">
      <c r="A588" s="38"/>
      <c r="B588" s="38"/>
      <c r="C588" s="39"/>
      <c r="D588" s="39"/>
      <c r="E588" s="39"/>
      <c r="F588" s="39"/>
      <c r="G588" s="39"/>
      <c r="H588" s="39"/>
      <c r="I588" s="39"/>
      <c r="J588" s="39"/>
      <c r="K588" s="39"/>
      <c r="O588" s="17"/>
      <c r="P588" s="17"/>
      <c r="Q588" s="17"/>
      <c r="R588" s="17"/>
      <c r="S588" s="17"/>
      <c r="T588" s="17"/>
      <c r="U588" s="17"/>
      <c r="V588" s="17"/>
    </row>
    <row r="589" ht="14.25" customHeight="1">
      <c r="A589" s="38"/>
      <c r="B589" s="38"/>
      <c r="C589" s="39"/>
      <c r="D589" s="39"/>
      <c r="E589" s="39"/>
      <c r="F589" s="39"/>
      <c r="G589" s="39"/>
      <c r="H589" s="39"/>
      <c r="I589" s="39"/>
      <c r="J589" s="39"/>
      <c r="K589" s="39"/>
      <c r="O589" s="17"/>
      <c r="P589" s="17"/>
      <c r="Q589" s="17"/>
      <c r="R589" s="17"/>
      <c r="S589" s="17"/>
      <c r="T589" s="17"/>
      <c r="U589" s="17"/>
      <c r="V589" s="17"/>
    </row>
    <row r="590" ht="14.25" customHeight="1">
      <c r="A590" s="38"/>
      <c r="B590" s="38"/>
      <c r="C590" s="39"/>
      <c r="D590" s="39"/>
      <c r="E590" s="39"/>
      <c r="F590" s="39"/>
      <c r="G590" s="39"/>
      <c r="H590" s="39"/>
      <c r="I590" s="39"/>
      <c r="J590" s="39"/>
      <c r="K590" s="39"/>
      <c r="O590" s="17"/>
      <c r="P590" s="17"/>
      <c r="Q590" s="17"/>
      <c r="R590" s="17"/>
      <c r="S590" s="17"/>
      <c r="T590" s="17"/>
      <c r="U590" s="17"/>
      <c r="V590" s="17"/>
    </row>
    <row r="591" ht="14.25" customHeight="1">
      <c r="A591" s="38"/>
      <c r="B591" s="38"/>
      <c r="C591" s="39"/>
      <c r="D591" s="39"/>
      <c r="E591" s="39"/>
      <c r="F591" s="39"/>
      <c r="G591" s="39"/>
      <c r="H591" s="39"/>
      <c r="I591" s="39"/>
      <c r="J591" s="39"/>
      <c r="K591" s="39"/>
      <c r="O591" s="17"/>
      <c r="P591" s="17"/>
      <c r="Q591" s="17"/>
      <c r="R591" s="17"/>
      <c r="S591" s="17"/>
      <c r="T591" s="17"/>
      <c r="U591" s="17"/>
      <c r="V591" s="17"/>
    </row>
    <row r="592" ht="14.25" customHeight="1">
      <c r="A592" s="38"/>
      <c r="B592" s="38"/>
      <c r="C592" s="39"/>
      <c r="D592" s="39"/>
      <c r="E592" s="39"/>
      <c r="F592" s="39"/>
      <c r="G592" s="39"/>
      <c r="H592" s="39"/>
      <c r="I592" s="39"/>
      <c r="J592" s="39"/>
      <c r="K592" s="39"/>
      <c r="O592" s="17"/>
      <c r="P592" s="17"/>
      <c r="Q592" s="17"/>
      <c r="R592" s="17"/>
      <c r="S592" s="17"/>
      <c r="T592" s="17"/>
      <c r="U592" s="17"/>
      <c r="V592" s="17"/>
    </row>
    <row r="593" ht="14.25" customHeight="1">
      <c r="A593" s="38"/>
      <c r="B593" s="38"/>
      <c r="C593" s="39"/>
      <c r="D593" s="39"/>
      <c r="E593" s="39"/>
      <c r="F593" s="39"/>
      <c r="G593" s="39"/>
      <c r="H593" s="39"/>
      <c r="I593" s="39"/>
      <c r="J593" s="39"/>
      <c r="K593" s="39"/>
      <c r="O593" s="17"/>
      <c r="P593" s="17"/>
      <c r="Q593" s="17"/>
      <c r="R593" s="17"/>
      <c r="S593" s="17"/>
      <c r="T593" s="17"/>
      <c r="U593" s="17"/>
      <c r="V593" s="17"/>
    </row>
    <row r="594" ht="14.25" customHeight="1">
      <c r="A594" s="38"/>
      <c r="B594" s="38"/>
      <c r="C594" s="39"/>
      <c r="D594" s="39"/>
      <c r="E594" s="39"/>
      <c r="F594" s="39"/>
      <c r="G594" s="39"/>
      <c r="H594" s="39"/>
      <c r="I594" s="39"/>
      <c r="J594" s="39"/>
      <c r="K594" s="39"/>
      <c r="O594" s="17"/>
      <c r="P594" s="17"/>
      <c r="Q594" s="17"/>
      <c r="R594" s="17"/>
      <c r="S594" s="17"/>
      <c r="T594" s="17"/>
      <c r="U594" s="17"/>
      <c r="V594" s="17"/>
    </row>
    <row r="595" ht="14.25" customHeight="1">
      <c r="A595" s="38"/>
      <c r="B595" s="38"/>
      <c r="C595" s="39"/>
      <c r="D595" s="39"/>
      <c r="E595" s="39"/>
      <c r="F595" s="39"/>
      <c r="G595" s="39"/>
      <c r="H595" s="39"/>
      <c r="I595" s="39"/>
      <c r="J595" s="39"/>
      <c r="K595" s="39"/>
      <c r="O595" s="17"/>
      <c r="P595" s="17"/>
      <c r="Q595" s="17"/>
      <c r="R595" s="17"/>
      <c r="S595" s="17"/>
      <c r="T595" s="17"/>
      <c r="U595" s="17"/>
      <c r="V595" s="17"/>
    </row>
    <row r="596" ht="14.25" customHeight="1">
      <c r="A596" s="38"/>
      <c r="B596" s="38"/>
      <c r="C596" s="39"/>
      <c r="D596" s="39"/>
      <c r="E596" s="39"/>
      <c r="F596" s="39"/>
      <c r="G596" s="39"/>
      <c r="H596" s="39"/>
      <c r="I596" s="39"/>
      <c r="J596" s="39"/>
      <c r="K596" s="39"/>
      <c r="O596" s="17"/>
      <c r="P596" s="17"/>
      <c r="Q596" s="17"/>
      <c r="R596" s="17"/>
      <c r="S596" s="17"/>
      <c r="T596" s="17"/>
      <c r="U596" s="17"/>
      <c r="V596" s="17"/>
    </row>
    <row r="597" ht="14.25" customHeight="1">
      <c r="A597" s="38"/>
      <c r="B597" s="38"/>
      <c r="C597" s="39"/>
      <c r="D597" s="39"/>
      <c r="E597" s="39"/>
      <c r="F597" s="39"/>
      <c r="G597" s="39"/>
      <c r="H597" s="39"/>
      <c r="I597" s="39"/>
      <c r="J597" s="39"/>
      <c r="K597" s="39"/>
      <c r="O597" s="17"/>
      <c r="P597" s="17"/>
      <c r="Q597" s="17"/>
      <c r="R597" s="17"/>
      <c r="S597" s="17"/>
      <c r="T597" s="17"/>
      <c r="U597" s="17"/>
      <c r="V597" s="17"/>
    </row>
    <row r="598" ht="14.25" customHeight="1">
      <c r="A598" s="38"/>
      <c r="B598" s="38"/>
      <c r="C598" s="39"/>
      <c r="D598" s="39"/>
      <c r="E598" s="39"/>
      <c r="F598" s="39"/>
      <c r="G598" s="39"/>
      <c r="H598" s="39"/>
      <c r="I598" s="39"/>
      <c r="J598" s="39"/>
      <c r="K598" s="39"/>
      <c r="O598" s="17"/>
      <c r="P598" s="17"/>
      <c r="Q598" s="17"/>
      <c r="R598" s="17"/>
      <c r="S598" s="17"/>
      <c r="T598" s="17"/>
      <c r="U598" s="17"/>
      <c r="V598" s="17"/>
    </row>
    <row r="599" ht="14.25" customHeight="1">
      <c r="A599" s="38"/>
      <c r="B599" s="38"/>
      <c r="C599" s="39"/>
      <c r="D599" s="39"/>
      <c r="E599" s="39"/>
      <c r="F599" s="39"/>
      <c r="G599" s="39"/>
      <c r="H599" s="39"/>
      <c r="I599" s="39"/>
      <c r="J599" s="39"/>
      <c r="K599" s="39"/>
      <c r="O599" s="17"/>
      <c r="P599" s="17"/>
      <c r="Q599" s="17"/>
      <c r="R599" s="17"/>
      <c r="S599" s="17"/>
      <c r="T599" s="17"/>
      <c r="U599" s="17"/>
      <c r="V599" s="17"/>
    </row>
    <row r="600" ht="14.25" customHeight="1">
      <c r="A600" s="38"/>
      <c r="B600" s="38"/>
      <c r="C600" s="39"/>
      <c r="D600" s="39"/>
      <c r="E600" s="39"/>
      <c r="F600" s="39"/>
      <c r="G600" s="39"/>
      <c r="H600" s="39"/>
      <c r="I600" s="39"/>
      <c r="J600" s="39"/>
      <c r="K600" s="39"/>
      <c r="O600" s="17"/>
      <c r="P600" s="17"/>
      <c r="Q600" s="17"/>
      <c r="R600" s="17"/>
      <c r="S600" s="17"/>
      <c r="T600" s="17"/>
      <c r="U600" s="17"/>
      <c r="V600" s="17"/>
    </row>
    <row r="601" ht="14.25" customHeight="1">
      <c r="A601" s="38"/>
      <c r="B601" s="38"/>
      <c r="C601" s="39"/>
      <c r="D601" s="39"/>
      <c r="E601" s="39"/>
      <c r="F601" s="39"/>
      <c r="G601" s="39"/>
      <c r="H601" s="39"/>
      <c r="I601" s="39"/>
      <c r="J601" s="39"/>
      <c r="K601" s="39"/>
      <c r="O601" s="17"/>
      <c r="P601" s="17"/>
      <c r="Q601" s="17"/>
      <c r="R601" s="17"/>
      <c r="S601" s="17"/>
      <c r="T601" s="17"/>
      <c r="U601" s="17"/>
      <c r="V601" s="17"/>
    </row>
    <row r="602" ht="14.25" customHeight="1">
      <c r="A602" s="38"/>
      <c r="B602" s="38"/>
      <c r="C602" s="39"/>
      <c r="D602" s="39"/>
      <c r="E602" s="39"/>
      <c r="F602" s="39"/>
      <c r="G602" s="39"/>
      <c r="H602" s="39"/>
      <c r="I602" s="39"/>
      <c r="J602" s="39"/>
      <c r="K602" s="39"/>
      <c r="O602" s="17"/>
      <c r="P602" s="17"/>
      <c r="Q602" s="17"/>
      <c r="R602" s="17"/>
      <c r="S602" s="17"/>
      <c r="T602" s="17"/>
      <c r="U602" s="17"/>
      <c r="V602" s="17"/>
    </row>
    <row r="603" ht="14.25" customHeight="1">
      <c r="A603" s="38"/>
      <c r="B603" s="38"/>
      <c r="C603" s="39"/>
      <c r="D603" s="39"/>
      <c r="E603" s="39"/>
      <c r="F603" s="39"/>
      <c r="G603" s="39"/>
      <c r="H603" s="39"/>
      <c r="I603" s="39"/>
      <c r="J603" s="39"/>
      <c r="K603" s="39"/>
      <c r="O603" s="17"/>
      <c r="P603" s="17"/>
      <c r="Q603" s="17"/>
      <c r="R603" s="17"/>
      <c r="S603" s="17"/>
      <c r="T603" s="17"/>
      <c r="U603" s="17"/>
      <c r="V603" s="17"/>
    </row>
    <row r="604" ht="14.25" customHeight="1">
      <c r="A604" s="38"/>
      <c r="B604" s="38"/>
      <c r="C604" s="39"/>
      <c r="D604" s="39"/>
      <c r="E604" s="39"/>
      <c r="F604" s="39"/>
      <c r="G604" s="39"/>
      <c r="H604" s="39"/>
      <c r="I604" s="39"/>
      <c r="J604" s="39"/>
      <c r="K604" s="39"/>
      <c r="O604" s="17"/>
      <c r="P604" s="17"/>
      <c r="Q604" s="17"/>
      <c r="R604" s="17"/>
      <c r="S604" s="17"/>
      <c r="T604" s="17"/>
      <c r="U604" s="17"/>
      <c r="V604" s="17"/>
    </row>
    <row r="605" ht="14.25" customHeight="1">
      <c r="A605" s="38"/>
      <c r="B605" s="38"/>
      <c r="C605" s="39"/>
      <c r="D605" s="39"/>
      <c r="E605" s="39"/>
      <c r="F605" s="39"/>
      <c r="G605" s="39"/>
      <c r="H605" s="39"/>
      <c r="I605" s="39"/>
      <c r="J605" s="39"/>
      <c r="K605" s="39"/>
      <c r="O605" s="17"/>
      <c r="P605" s="17"/>
      <c r="Q605" s="17"/>
      <c r="R605" s="17"/>
      <c r="S605" s="17"/>
      <c r="T605" s="17"/>
      <c r="U605" s="17"/>
      <c r="V605" s="17"/>
    </row>
    <row r="606" ht="14.25" customHeight="1">
      <c r="A606" s="38"/>
      <c r="B606" s="38"/>
      <c r="C606" s="39"/>
      <c r="D606" s="39"/>
      <c r="E606" s="39"/>
      <c r="F606" s="39"/>
      <c r="G606" s="39"/>
      <c r="H606" s="39"/>
      <c r="I606" s="39"/>
      <c r="J606" s="39"/>
      <c r="K606" s="39"/>
      <c r="O606" s="17"/>
      <c r="P606" s="17"/>
      <c r="Q606" s="17"/>
      <c r="R606" s="17"/>
      <c r="S606" s="17"/>
      <c r="T606" s="17"/>
      <c r="U606" s="17"/>
      <c r="V606" s="17"/>
    </row>
    <row r="607" ht="14.25" customHeight="1">
      <c r="A607" s="38"/>
      <c r="B607" s="38"/>
      <c r="C607" s="39"/>
      <c r="D607" s="39"/>
      <c r="E607" s="39"/>
      <c r="F607" s="39"/>
      <c r="G607" s="39"/>
      <c r="H607" s="39"/>
      <c r="I607" s="39"/>
      <c r="J607" s="39"/>
      <c r="K607" s="39"/>
      <c r="O607" s="17"/>
      <c r="P607" s="17"/>
      <c r="Q607" s="17"/>
      <c r="R607" s="17"/>
      <c r="S607" s="17"/>
      <c r="T607" s="17"/>
      <c r="U607" s="17"/>
      <c r="V607" s="17"/>
    </row>
    <row r="608" ht="14.25" customHeight="1">
      <c r="A608" s="38"/>
      <c r="B608" s="38"/>
      <c r="C608" s="39"/>
      <c r="D608" s="39"/>
      <c r="E608" s="39"/>
      <c r="F608" s="39"/>
      <c r="G608" s="39"/>
      <c r="H608" s="39"/>
      <c r="I608" s="39"/>
      <c r="J608" s="39"/>
      <c r="K608" s="39"/>
      <c r="O608" s="17"/>
      <c r="P608" s="17"/>
      <c r="Q608" s="17"/>
      <c r="R608" s="17"/>
      <c r="S608" s="17"/>
      <c r="T608" s="17"/>
      <c r="U608" s="17"/>
      <c r="V608" s="17"/>
    </row>
    <row r="609" ht="14.25" customHeight="1">
      <c r="A609" s="38"/>
      <c r="B609" s="38"/>
      <c r="C609" s="39"/>
      <c r="D609" s="39"/>
      <c r="E609" s="39"/>
      <c r="F609" s="39"/>
      <c r="G609" s="39"/>
      <c r="H609" s="39"/>
      <c r="I609" s="39"/>
      <c r="J609" s="39"/>
      <c r="K609" s="39"/>
      <c r="O609" s="17"/>
      <c r="P609" s="17"/>
      <c r="Q609" s="17"/>
      <c r="R609" s="17"/>
      <c r="S609" s="17"/>
      <c r="T609" s="17"/>
      <c r="U609" s="17"/>
      <c r="V609" s="17"/>
    </row>
    <row r="610" ht="14.25" customHeight="1">
      <c r="A610" s="38"/>
      <c r="B610" s="38"/>
      <c r="C610" s="39"/>
      <c r="D610" s="39"/>
      <c r="E610" s="39"/>
      <c r="F610" s="39"/>
      <c r="G610" s="39"/>
      <c r="H610" s="39"/>
      <c r="I610" s="39"/>
      <c r="J610" s="39"/>
      <c r="K610" s="39"/>
      <c r="O610" s="17"/>
      <c r="P610" s="17"/>
      <c r="Q610" s="17"/>
      <c r="R610" s="17"/>
      <c r="S610" s="17"/>
      <c r="T610" s="17"/>
      <c r="U610" s="17"/>
      <c r="V610" s="17"/>
    </row>
    <row r="611" ht="14.25" customHeight="1">
      <c r="A611" s="38"/>
      <c r="B611" s="38"/>
      <c r="C611" s="39"/>
      <c r="D611" s="39"/>
      <c r="E611" s="39"/>
      <c r="F611" s="39"/>
      <c r="G611" s="39"/>
      <c r="H611" s="39"/>
      <c r="I611" s="39"/>
      <c r="J611" s="39"/>
      <c r="K611" s="39"/>
      <c r="O611" s="17"/>
      <c r="P611" s="17"/>
      <c r="Q611" s="17"/>
      <c r="R611" s="17"/>
      <c r="S611" s="17"/>
      <c r="T611" s="17"/>
      <c r="U611" s="17"/>
      <c r="V611" s="17"/>
    </row>
    <row r="612" ht="14.25" customHeight="1">
      <c r="A612" s="38"/>
      <c r="B612" s="38"/>
      <c r="C612" s="39"/>
      <c r="D612" s="39"/>
      <c r="E612" s="39"/>
      <c r="F612" s="39"/>
      <c r="G612" s="39"/>
      <c r="H612" s="39"/>
      <c r="I612" s="39"/>
      <c r="J612" s="39"/>
      <c r="K612" s="39"/>
      <c r="O612" s="17"/>
      <c r="P612" s="17"/>
      <c r="Q612" s="17"/>
      <c r="R612" s="17"/>
      <c r="S612" s="17"/>
      <c r="T612" s="17"/>
      <c r="U612" s="17"/>
      <c r="V612" s="17"/>
    </row>
    <row r="613" ht="14.25" customHeight="1">
      <c r="A613" s="38"/>
      <c r="B613" s="38"/>
      <c r="C613" s="39"/>
      <c r="D613" s="39"/>
      <c r="E613" s="39"/>
      <c r="F613" s="39"/>
      <c r="G613" s="39"/>
      <c r="H613" s="39"/>
      <c r="I613" s="39"/>
      <c r="J613" s="39"/>
      <c r="K613" s="39"/>
      <c r="O613" s="17"/>
      <c r="P613" s="17"/>
      <c r="Q613" s="17"/>
      <c r="R613" s="17"/>
      <c r="S613" s="17"/>
      <c r="T613" s="17"/>
      <c r="U613" s="17"/>
      <c r="V613" s="17"/>
    </row>
    <row r="614" ht="14.25" customHeight="1">
      <c r="A614" s="38"/>
      <c r="B614" s="38"/>
      <c r="C614" s="39"/>
      <c r="D614" s="39"/>
      <c r="E614" s="39"/>
      <c r="F614" s="39"/>
      <c r="G614" s="39"/>
      <c r="H614" s="39"/>
      <c r="I614" s="39"/>
      <c r="J614" s="39"/>
      <c r="K614" s="39"/>
      <c r="O614" s="17"/>
      <c r="P614" s="17"/>
      <c r="Q614" s="17"/>
      <c r="R614" s="17"/>
      <c r="S614" s="17"/>
      <c r="T614" s="17"/>
      <c r="U614" s="17"/>
      <c r="V614" s="17"/>
    </row>
    <row r="615" ht="14.25" customHeight="1">
      <c r="A615" s="38"/>
      <c r="B615" s="38"/>
      <c r="C615" s="39"/>
      <c r="D615" s="39"/>
      <c r="E615" s="39"/>
      <c r="F615" s="39"/>
      <c r="G615" s="39"/>
      <c r="H615" s="39"/>
      <c r="I615" s="39"/>
      <c r="J615" s="39"/>
      <c r="K615" s="39"/>
      <c r="O615" s="17"/>
      <c r="P615" s="17"/>
      <c r="Q615" s="17"/>
      <c r="R615" s="17"/>
      <c r="S615" s="17"/>
      <c r="T615" s="17"/>
      <c r="U615" s="17"/>
      <c r="V615" s="17"/>
    </row>
    <row r="616" ht="14.25" customHeight="1">
      <c r="A616" s="38"/>
      <c r="B616" s="38"/>
      <c r="C616" s="39"/>
      <c r="D616" s="39"/>
      <c r="E616" s="39"/>
      <c r="F616" s="39"/>
      <c r="G616" s="39"/>
      <c r="H616" s="39"/>
      <c r="I616" s="39"/>
      <c r="J616" s="39"/>
      <c r="K616" s="39"/>
      <c r="O616" s="17"/>
      <c r="P616" s="17"/>
      <c r="Q616" s="17"/>
      <c r="R616" s="17"/>
      <c r="S616" s="17"/>
      <c r="T616" s="17"/>
      <c r="U616" s="17"/>
      <c r="V616" s="17"/>
    </row>
    <row r="617" ht="14.25" customHeight="1">
      <c r="A617" s="38"/>
      <c r="B617" s="38"/>
      <c r="C617" s="39"/>
      <c r="D617" s="39"/>
      <c r="E617" s="39"/>
      <c r="F617" s="39"/>
      <c r="G617" s="39"/>
      <c r="H617" s="39"/>
      <c r="I617" s="39"/>
      <c r="J617" s="39"/>
      <c r="K617" s="39"/>
      <c r="O617" s="17"/>
      <c r="P617" s="17"/>
      <c r="Q617" s="17"/>
      <c r="R617" s="17"/>
      <c r="S617" s="17"/>
      <c r="T617" s="17"/>
      <c r="U617" s="17"/>
      <c r="V617" s="17"/>
    </row>
    <row r="618" ht="14.25" customHeight="1">
      <c r="A618" s="38"/>
      <c r="B618" s="38"/>
      <c r="C618" s="39"/>
      <c r="D618" s="39"/>
      <c r="E618" s="39"/>
      <c r="F618" s="39"/>
      <c r="G618" s="39"/>
      <c r="H618" s="39"/>
      <c r="I618" s="39"/>
      <c r="J618" s="39"/>
      <c r="K618" s="39"/>
      <c r="O618" s="17"/>
      <c r="P618" s="17"/>
      <c r="Q618" s="17"/>
      <c r="R618" s="17"/>
      <c r="S618" s="17"/>
      <c r="T618" s="17"/>
      <c r="U618" s="17"/>
      <c r="V618" s="17"/>
    </row>
    <row r="619" ht="14.25" customHeight="1">
      <c r="A619" s="38"/>
      <c r="B619" s="38"/>
      <c r="C619" s="39"/>
      <c r="D619" s="39"/>
      <c r="E619" s="39"/>
      <c r="F619" s="39"/>
      <c r="G619" s="39"/>
      <c r="H619" s="39"/>
      <c r="I619" s="39"/>
      <c r="J619" s="39"/>
      <c r="K619" s="39"/>
      <c r="O619" s="17"/>
      <c r="P619" s="17"/>
      <c r="Q619" s="17"/>
      <c r="R619" s="17"/>
      <c r="S619" s="17"/>
      <c r="T619" s="17"/>
      <c r="U619" s="17"/>
      <c r="V619" s="17"/>
    </row>
    <row r="620" ht="14.25" customHeight="1">
      <c r="A620" s="38"/>
      <c r="B620" s="38"/>
      <c r="C620" s="39"/>
      <c r="D620" s="39"/>
      <c r="E620" s="39"/>
      <c r="F620" s="39"/>
      <c r="G620" s="39"/>
      <c r="H620" s="39"/>
      <c r="I620" s="39"/>
      <c r="J620" s="39"/>
      <c r="K620" s="39"/>
      <c r="O620" s="17"/>
      <c r="P620" s="17"/>
      <c r="Q620" s="17"/>
      <c r="R620" s="17"/>
      <c r="S620" s="17"/>
      <c r="T620" s="17"/>
      <c r="U620" s="17"/>
      <c r="V620" s="17"/>
    </row>
    <row r="621" ht="14.25" customHeight="1">
      <c r="A621" s="38"/>
      <c r="B621" s="38"/>
      <c r="C621" s="39"/>
      <c r="D621" s="39"/>
      <c r="E621" s="39"/>
      <c r="F621" s="39"/>
      <c r="G621" s="39"/>
      <c r="H621" s="39"/>
      <c r="I621" s="39"/>
      <c r="J621" s="39"/>
      <c r="K621" s="39"/>
      <c r="O621" s="17"/>
      <c r="P621" s="17"/>
      <c r="Q621" s="17"/>
      <c r="R621" s="17"/>
      <c r="S621" s="17"/>
      <c r="T621" s="17"/>
      <c r="U621" s="17"/>
      <c r="V621" s="17"/>
    </row>
    <row r="622" ht="14.25" customHeight="1">
      <c r="A622" s="38"/>
      <c r="B622" s="38"/>
      <c r="C622" s="39"/>
      <c r="D622" s="39"/>
      <c r="E622" s="39"/>
      <c r="F622" s="39"/>
      <c r="G622" s="39"/>
      <c r="H622" s="39"/>
      <c r="I622" s="39"/>
      <c r="J622" s="39"/>
      <c r="K622" s="39"/>
      <c r="O622" s="17"/>
      <c r="P622" s="17"/>
      <c r="Q622" s="17"/>
      <c r="R622" s="17"/>
      <c r="S622" s="17"/>
      <c r="T622" s="17"/>
      <c r="U622" s="17"/>
      <c r="V622" s="17"/>
    </row>
    <row r="623" ht="14.25" customHeight="1">
      <c r="A623" s="38"/>
      <c r="B623" s="38"/>
      <c r="C623" s="39"/>
      <c r="D623" s="39"/>
      <c r="E623" s="39"/>
      <c r="F623" s="39"/>
      <c r="G623" s="39"/>
      <c r="H623" s="39"/>
      <c r="I623" s="39"/>
      <c r="J623" s="39"/>
      <c r="K623" s="39"/>
      <c r="O623" s="17"/>
      <c r="P623" s="17"/>
      <c r="Q623" s="17"/>
      <c r="R623" s="17"/>
      <c r="S623" s="17"/>
      <c r="T623" s="17"/>
      <c r="U623" s="17"/>
      <c r="V623" s="17"/>
    </row>
    <row r="624" ht="14.25" customHeight="1">
      <c r="A624" s="38"/>
      <c r="B624" s="38"/>
      <c r="C624" s="39"/>
      <c r="D624" s="39"/>
      <c r="E624" s="39"/>
      <c r="F624" s="39"/>
      <c r="G624" s="39"/>
      <c r="H624" s="39"/>
      <c r="I624" s="39"/>
      <c r="J624" s="39"/>
      <c r="K624" s="39"/>
      <c r="O624" s="17"/>
      <c r="P624" s="17"/>
      <c r="Q624" s="17"/>
      <c r="R624" s="17"/>
      <c r="S624" s="17"/>
      <c r="T624" s="17"/>
      <c r="U624" s="17"/>
      <c r="V624" s="17"/>
    </row>
    <row r="625" ht="14.25" customHeight="1">
      <c r="A625" s="38"/>
      <c r="B625" s="38"/>
      <c r="C625" s="39"/>
      <c r="D625" s="39"/>
      <c r="E625" s="39"/>
      <c r="F625" s="39"/>
      <c r="G625" s="39"/>
      <c r="H625" s="39"/>
      <c r="I625" s="39"/>
      <c r="J625" s="39"/>
      <c r="K625" s="39"/>
      <c r="O625" s="17"/>
      <c r="P625" s="17"/>
      <c r="Q625" s="17"/>
      <c r="R625" s="17"/>
      <c r="S625" s="17"/>
      <c r="T625" s="17"/>
      <c r="U625" s="17"/>
      <c r="V625" s="17"/>
    </row>
    <row r="626" ht="14.25" customHeight="1">
      <c r="A626" s="38"/>
      <c r="B626" s="38"/>
      <c r="C626" s="39"/>
      <c r="D626" s="39"/>
      <c r="E626" s="39"/>
      <c r="F626" s="39"/>
      <c r="G626" s="39"/>
      <c r="H626" s="39"/>
      <c r="I626" s="39"/>
      <c r="J626" s="39"/>
      <c r="K626" s="39"/>
      <c r="O626" s="17"/>
      <c r="P626" s="17"/>
      <c r="Q626" s="17"/>
      <c r="R626" s="17"/>
      <c r="S626" s="17"/>
      <c r="T626" s="17"/>
      <c r="U626" s="17"/>
      <c r="V626" s="17"/>
    </row>
    <row r="627" ht="14.25" customHeight="1">
      <c r="A627" s="38"/>
      <c r="B627" s="38"/>
      <c r="C627" s="39"/>
      <c r="D627" s="39"/>
      <c r="E627" s="39"/>
      <c r="F627" s="39"/>
      <c r="G627" s="39"/>
      <c r="H627" s="39"/>
      <c r="I627" s="39"/>
      <c r="J627" s="39"/>
      <c r="K627" s="39"/>
      <c r="O627" s="17"/>
      <c r="P627" s="17"/>
      <c r="Q627" s="17"/>
      <c r="R627" s="17"/>
      <c r="S627" s="17"/>
      <c r="T627" s="17"/>
      <c r="U627" s="17"/>
      <c r="V627" s="17"/>
    </row>
    <row r="628" ht="14.25" customHeight="1">
      <c r="A628" s="38"/>
      <c r="B628" s="38"/>
      <c r="C628" s="39"/>
      <c r="D628" s="39"/>
      <c r="E628" s="39"/>
      <c r="F628" s="39"/>
      <c r="G628" s="39"/>
      <c r="H628" s="39"/>
      <c r="I628" s="39"/>
      <c r="J628" s="39"/>
      <c r="K628" s="39"/>
      <c r="O628" s="17"/>
      <c r="P628" s="17"/>
      <c r="Q628" s="17"/>
      <c r="R628" s="17"/>
      <c r="S628" s="17"/>
      <c r="T628" s="17"/>
      <c r="U628" s="17"/>
      <c r="V628" s="17"/>
    </row>
    <row r="629" ht="14.25" customHeight="1">
      <c r="A629" s="38"/>
      <c r="B629" s="38"/>
      <c r="C629" s="39"/>
      <c r="D629" s="39"/>
      <c r="E629" s="39"/>
      <c r="F629" s="39"/>
      <c r="G629" s="39"/>
      <c r="H629" s="39"/>
      <c r="I629" s="39"/>
      <c r="J629" s="39"/>
      <c r="K629" s="39"/>
      <c r="O629" s="17"/>
      <c r="P629" s="17"/>
      <c r="Q629" s="17"/>
      <c r="R629" s="17"/>
      <c r="S629" s="17"/>
      <c r="T629" s="17"/>
      <c r="U629" s="17"/>
      <c r="V629" s="17"/>
    </row>
    <row r="630" ht="14.25" customHeight="1">
      <c r="A630" s="38"/>
      <c r="B630" s="38"/>
      <c r="C630" s="39"/>
      <c r="D630" s="39"/>
      <c r="E630" s="39"/>
      <c r="F630" s="39"/>
      <c r="G630" s="39"/>
      <c r="H630" s="39"/>
      <c r="I630" s="39"/>
      <c r="J630" s="39"/>
      <c r="K630" s="39"/>
      <c r="O630" s="17"/>
      <c r="P630" s="17"/>
      <c r="Q630" s="17"/>
      <c r="R630" s="17"/>
      <c r="S630" s="17"/>
      <c r="T630" s="17"/>
      <c r="U630" s="17"/>
      <c r="V630" s="17"/>
    </row>
    <row r="631" ht="14.25" customHeight="1">
      <c r="A631" s="38"/>
      <c r="B631" s="38"/>
      <c r="C631" s="39"/>
      <c r="D631" s="39"/>
      <c r="E631" s="39"/>
      <c r="F631" s="39"/>
      <c r="G631" s="39"/>
      <c r="H631" s="39"/>
      <c r="I631" s="39"/>
      <c r="J631" s="39"/>
      <c r="K631" s="39"/>
      <c r="O631" s="17"/>
      <c r="P631" s="17"/>
      <c r="Q631" s="17"/>
      <c r="R631" s="17"/>
      <c r="S631" s="17"/>
      <c r="T631" s="17"/>
      <c r="U631" s="17"/>
      <c r="V631" s="17"/>
    </row>
    <row r="632" ht="14.25" customHeight="1">
      <c r="A632" s="38"/>
      <c r="B632" s="38"/>
      <c r="C632" s="39"/>
      <c r="D632" s="39"/>
      <c r="E632" s="39"/>
      <c r="F632" s="39"/>
      <c r="G632" s="39"/>
      <c r="H632" s="39"/>
      <c r="I632" s="39"/>
      <c r="J632" s="39"/>
      <c r="K632" s="39"/>
      <c r="O632" s="17"/>
      <c r="P632" s="17"/>
      <c r="Q632" s="17"/>
      <c r="R632" s="17"/>
      <c r="S632" s="17"/>
      <c r="T632" s="17"/>
      <c r="U632" s="17"/>
      <c r="V632" s="17"/>
    </row>
    <row r="633" ht="14.25" customHeight="1">
      <c r="A633" s="38"/>
      <c r="B633" s="38"/>
      <c r="C633" s="39"/>
      <c r="D633" s="39"/>
      <c r="E633" s="39"/>
      <c r="F633" s="39"/>
      <c r="G633" s="39"/>
      <c r="H633" s="39"/>
      <c r="I633" s="39"/>
      <c r="J633" s="39"/>
      <c r="K633" s="39"/>
      <c r="O633" s="17"/>
      <c r="P633" s="17"/>
      <c r="Q633" s="17"/>
      <c r="R633" s="17"/>
      <c r="S633" s="17"/>
      <c r="T633" s="17"/>
      <c r="U633" s="17"/>
      <c r="V633" s="17"/>
    </row>
    <row r="634" ht="14.25" customHeight="1">
      <c r="A634" s="38"/>
      <c r="B634" s="38"/>
      <c r="C634" s="39"/>
      <c r="D634" s="39"/>
      <c r="E634" s="39"/>
      <c r="F634" s="39"/>
      <c r="G634" s="39"/>
      <c r="H634" s="39"/>
      <c r="I634" s="39"/>
      <c r="J634" s="39"/>
      <c r="K634" s="39"/>
      <c r="O634" s="17"/>
      <c r="P634" s="17"/>
      <c r="Q634" s="17"/>
      <c r="R634" s="17"/>
      <c r="S634" s="17"/>
      <c r="T634" s="17"/>
      <c r="U634" s="17"/>
      <c r="V634" s="17"/>
    </row>
    <row r="635" ht="14.25" customHeight="1">
      <c r="A635" s="38"/>
      <c r="B635" s="38"/>
      <c r="C635" s="39"/>
      <c r="D635" s="39"/>
      <c r="E635" s="39"/>
      <c r="F635" s="39"/>
      <c r="G635" s="39"/>
      <c r="H635" s="39"/>
      <c r="I635" s="39"/>
      <c r="J635" s="39"/>
      <c r="K635" s="39"/>
      <c r="O635" s="17"/>
      <c r="P635" s="17"/>
      <c r="Q635" s="17"/>
      <c r="R635" s="17"/>
      <c r="S635" s="17"/>
      <c r="T635" s="17"/>
      <c r="U635" s="17"/>
      <c r="V635" s="17"/>
    </row>
    <row r="636" ht="14.25" customHeight="1">
      <c r="A636" s="38"/>
      <c r="B636" s="38"/>
      <c r="C636" s="39"/>
      <c r="D636" s="39"/>
      <c r="E636" s="39"/>
      <c r="F636" s="39"/>
      <c r="G636" s="39"/>
      <c r="H636" s="39"/>
      <c r="I636" s="39"/>
      <c r="J636" s="39"/>
      <c r="K636" s="39"/>
      <c r="O636" s="17"/>
      <c r="P636" s="17"/>
      <c r="Q636" s="17"/>
      <c r="R636" s="17"/>
      <c r="S636" s="17"/>
      <c r="T636" s="17"/>
      <c r="U636" s="17"/>
      <c r="V636" s="17"/>
    </row>
    <row r="637" ht="14.25" customHeight="1">
      <c r="A637" s="38"/>
      <c r="B637" s="38"/>
      <c r="C637" s="39"/>
      <c r="D637" s="39"/>
      <c r="E637" s="39"/>
      <c r="F637" s="39"/>
      <c r="G637" s="39"/>
      <c r="H637" s="39"/>
      <c r="I637" s="39"/>
      <c r="J637" s="39"/>
      <c r="K637" s="39"/>
      <c r="O637" s="17"/>
      <c r="P637" s="17"/>
      <c r="Q637" s="17"/>
      <c r="R637" s="17"/>
      <c r="S637" s="17"/>
      <c r="T637" s="17"/>
      <c r="U637" s="17"/>
      <c r="V637" s="17"/>
    </row>
    <row r="638" ht="14.25" customHeight="1">
      <c r="A638" s="38"/>
      <c r="B638" s="38"/>
      <c r="C638" s="39"/>
      <c r="D638" s="39"/>
      <c r="E638" s="39"/>
      <c r="F638" s="39"/>
      <c r="G638" s="39"/>
      <c r="H638" s="39"/>
      <c r="I638" s="39"/>
      <c r="J638" s="39"/>
      <c r="K638" s="39"/>
      <c r="O638" s="17"/>
      <c r="P638" s="17"/>
      <c r="Q638" s="17"/>
      <c r="R638" s="17"/>
      <c r="S638" s="17"/>
      <c r="T638" s="17"/>
      <c r="U638" s="17"/>
      <c r="V638" s="17"/>
    </row>
    <row r="639" ht="14.25" customHeight="1">
      <c r="A639" s="38"/>
      <c r="B639" s="38"/>
      <c r="C639" s="39"/>
      <c r="D639" s="39"/>
      <c r="E639" s="39"/>
      <c r="F639" s="39"/>
      <c r="G639" s="39"/>
      <c r="H639" s="39"/>
      <c r="I639" s="39"/>
      <c r="J639" s="39"/>
      <c r="K639" s="39"/>
      <c r="O639" s="17"/>
      <c r="P639" s="17"/>
      <c r="Q639" s="17"/>
      <c r="R639" s="17"/>
      <c r="S639" s="17"/>
      <c r="T639" s="17"/>
      <c r="U639" s="17"/>
      <c r="V639" s="17"/>
    </row>
    <row r="640" ht="14.25" customHeight="1">
      <c r="A640" s="38"/>
      <c r="B640" s="38"/>
      <c r="C640" s="39"/>
      <c r="D640" s="39"/>
      <c r="E640" s="39"/>
      <c r="F640" s="39"/>
      <c r="G640" s="39"/>
      <c r="H640" s="39"/>
      <c r="I640" s="39"/>
      <c r="J640" s="39"/>
      <c r="K640" s="39"/>
      <c r="O640" s="17"/>
      <c r="P640" s="17"/>
      <c r="Q640" s="17"/>
      <c r="R640" s="17"/>
      <c r="S640" s="17"/>
      <c r="T640" s="17"/>
      <c r="U640" s="17"/>
      <c r="V640" s="17"/>
    </row>
    <row r="641" ht="14.25" customHeight="1">
      <c r="A641" s="38"/>
      <c r="B641" s="38"/>
      <c r="C641" s="39"/>
      <c r="D641" s="39"/>
      <c r="E641" s="39"/>
      <c r="F641" s="39"/>
      <c r="G641" s="39"/>
      <c r="H641" s="39"/>
      <c r="I641" s="39"/>
      <c r="J641" s="39"/>
      <c r="K641" s="39"/>
      <c r="O641" s="17"/>
      <c r="P641" s="17"/>
      <c r="Q641" s="17"/>
      <c r="R641" s="17"/>
      <c r="S641" s="17"/>
      <c r="T641" s="17"/>
      <c r="U641" s="17"/>
      <c r="V641" s="17"/>
    </row>
    <row r="642" ht="14.25" customHeight="1">
      <c r="A642" s="38"/>
      <c r="B642" s="38"/>
      <c r="C642" s="39"/>
      <c r="D642" s="39"/>
      <c r="E642" s="39"/>
      <c r="F642" s="39"/>
      <c r="G642" s="39"/>
      <c r="H642" s="39"/>
      <c r="I642" s="39"/>
      <c r="J642" s="39"/>
      <c r="K642" s="39"/>
      <c r="O642" s="17"/>
      <c r="P642" s="17"/>
      <c r="Q642" s="17"/>
      <c r="R642" s="17"/>
      <c r="S642" s="17"/>
      <c r="T642" s="17"/>
      <c r="U642" s="17"/>
      <c r="V642" s="17"/>
    </row>
    <row r="643" ht="14.25" customHeight="1">
      <c r="A643" s="38"/>
      <c r="B643" s="38"/>
      <c r="C643" s="39"/>
      <c r="D643" s="39"/>
      <c r="E643" s="39"/>
      <c r="F643" s="39"/>
      <c r="G643" s="39"/>
      <c r="H643" s="39"/>
      <c r="I643" s="39"/>
      <c r="J643" s="39"/>
      <c r="K643" s="39"/>
      <c r="O643" s="17"/>
      <c r="P643" s="17"/>
      <c r="Q643" s="17"/>
      <c r="R643" s="17"/>
      <c r="S643" s="17"/>
      <c r="T643" s="17"/>
      <c r="U643" s="17"/>
      <c r="V643" s="17"/>
    </row>
    <row r="644" ht="14.25" customHeight="1">
      <c r="A644" s="38"/>
      <c r="B644" s="38"/>
      <c r="C644" s="39"/>
      <c r="D644" s="39"/>
      <c r="E644" s="39"/>
      <c r="F644" s="39"/>
      <c r="G644" s="39"/>
      <c r="H644" s="39"/>
      <c r="I644" s="39"/>
      <c r="J644" s="39"/>
      <c r="K644" s="39"/>
      <c r="O644" s="17"/>
      <c r="P644" s="17"/>
      <c r="Q644" s="17"/>
      <c r="R644" s="17"/>
      <c r="S644" s="17"/>
      <c r="T644" s="17"/>
      <c r="U644" s="17"/>
      <c r="V644" s="17"/>
    </row>
    <row r="645" ht="14.25" customHeight="1">
      <c r="A645" s="38"/>
      <c r="B645" s="38"/>
      <c r="C645" s="39"/>
      <c r="D645" s="39"/>
      <c r="E645" s="39"/>
      <c r="F645" s="39"/>
      <c r="G645" s="39"/>
      <c r="H645" s="39"/>
      <c r="I645" s="39"/>
      <c r="J645" s="39"/>
      <c r="K645" s="39"/>
      <c r="O645" s="17"/>
      <c r="P645" s="17"/>
      <c r="Q645" s="17"/>
      <c r="R645" s="17"/>
      <c r="S645" s="17"/>
      <c r="T645" s="17"/>
      <c r="U645" s="17"/>
      <c r="V645" s="17"/>
    </row>
    <row r="646" ht="14.25" customHeight="1">
      <c r="A646" s="38"/>
      <c r="B646" s="38"/>
      <c r="C646" s="39"/>
      <c r="D646" s="39"/>
      <c r="E646" s="39"/>
      <c r="F646" s="39"/>
      <c r="G646" s="39"/>
      <c r="H646" s="39"/>
      <c r="I646" s="39"/>
      <c r="J646" s="39"/>
      <c r="K646" s="39"/>
      <c r="O646" s="17"/>
      <c r="P646" s="17"/>
      <c r="Q646" s="17"/>
      <c r="R646" s="17"/>
      <c r="S646" s="17"/>
      <c r="T646" s="17"/>
      <c r="U646" s="17"/>
      <c r="V646" s="17"/>
    </row>
    <row r="647" ht="14.25" customHeight="1">
      <c r="A647" s="38"/>
      <c r="B647" s="38"/>
      <c r="C647" s="39"/>
      <c r="D647" s="39"/>
      <c r="E647" s="39"/>
      <c r="F647" s="39"/>
      <c r="G647" s="39"/>
      <c r="H647" s="39"/>
      <c r="I647" s="39"/>
      <c r="J647" s="39"/>
      <c r="K647" s="39"/>
      <c r="O647" s="17"/>
      <c r="P647" s="17"/>
      <c r="Q647" s="17"/>
      <c r="R647" s="17"/>
      <c r="S647" s="17"/>
      <c r="T647" s="17"/>
      <c r="U647" s="17"/>
      <c r="V647" s="17"/>
    </row>
    <row r="648" ht="14.25" customHeight="1">
      <c r="A648" s="38"/>
      <c r="B648" s="38"/>
      <c r="C648" s="39"/>
      <c r="D648" s="39"/>
      <c r="E648" s="39"/>
      <c r="F648" s="39"/>
      <c r="G648" s="39"/>
      <c r="H648" s="39"/>
      <c r="I648" s="39"/>
      <c r="J648" s="39"/>
      <c r="K648" s="39"/>
      <c r="O648" s="17"/>
      <c r="P648" s="17"/>
      <c r="Q648" s="17"/>
      <c r="R648" s="17"/>
      <c r="S648" s="17"/>
      <c r="T648" s="17"/>
      <c r="U648" s="17"/>
      <c r="V648" s="17"/>
    </row>
    <row r="649" ht="14.25" customHeight="1">
      <c r="A649" s="38"/>
      <c r="B649" s="38"/>
      <c r="C649" s="39"/>
      <c r="D649" s="39"/>
      <c r="E649" s="39"/>
      <c r="F649" s="39"/>
      <c r="G649" s="39"/>
      <c r="H649" s="39"/>
      <c r="I649" s="39"/>
      <c r="J649" s="39"/>
      <c r="K649" s="39"/>
      <c r="O649" s="17"/>
      <c r="P649" s="17"/>
      <c r="Q649" s="17"/>
      <c r="R649" s="17"/>
      <c r="S649" s="17"/>
      <c r="T649" s="17"/>
      <c r="U649" s="17"/>
      <c r="V649" s="17"/>
    </row>
    <row r="650" ht="14.25" customHeight="1">
      <c r="A650" s="38"/>
      <c r="B650" s="38"/>
      <c r="C650" s="39"/>
      <c r="D650" s="39"/>
      <c r="E650" s="39"/>
      <c r="F650" s="39"/>
      <c r="G650" s="39"/>
      <c r="H650" s="39"/>
      <c r="I650" s="39"/>
      <c r="J650" s="39"/>
      <c r="K650" s="39"/>
      <c r="O650" s="17"/>
      <c r="P650" s="17"/>
      <c r="Q650" s="17"/>
      <c r="R650" s="17"/>
      <c r="S650" s="17"/>
      <c r="T650" s="17"/>
      <c r="U650" s="17"/>
      <c r="V650" s="17"/>
    </row>
    <row r="651" ht="14.25" customHeight="1">
      <c r="A651" s="38"/>
      <c r="B651" s="38"/>
      <c r="C651" s="39"/>
      <c r="D651" s="39"/>
      <c r="E651" s="39"/>
      <c r="F651" s="39"/>
      <c r="G651" s="39"/>
      <c r="H651" s="39"/>
      <c r="I651" s="39"/>
      <c r="J651" s="39"/>
      <c r="K651" s="39"/>
      <c r="O651" s="17"/>
      <c r="P651" s="17"/>
      <c r="Q651" s="17"/>
      <c r="R651" s="17"/>
      <c r="S651" s="17"/>
      <c r="T651" s="17"/>
      <c r="U651" s="17"/>
      <c r="V651" s="17"/>
    </row>
    <row r="652" ht="14.25" customHeight="1">
      <c r="A652" s="38"/>
      <c r="B652" s="38"/>
      <c r="C652" s="39"/>
      <c r="D652" s="39"/>
      <c r="E652" s="39"/>
      <c r="F652" s="39"/>
      <c r="G652" s="39"/>
      <c r="H652" s="39"/>
      <c r="I652" s="39"/>
      <c r="J652" s="39"/>
      <c r="K652" s="39"/>
      <c r="O652" s="17"/>
      <c r="P652" s="17"/>
      <c r="Q652" s="17"/>
      <c r="R652" s="17"/>
      <c r="S652" s="17"/>
      <c r="T652" s="17"/>
      <c r="U652" s="17"/>
      <c r="V652" s="17"/>
    </row>
    <row r="653" ht="14.25" customHeight="1">
      <c r="A653" s="38"/>
      <c r="B653" s="38"/>
      <c r="C653" s="39"/>
      <c r="D653" s="39"/>
      <c r="E653" s="39"/>
      <c r="F653" s="39"/>
      <c r="G653" s="39"/>
      <c r="H653" s="39"/>
      <c r="I653" s="39"/>
      <c r="J653" s="39"/>
      <c r="K653" s="39"/>
      <c r="O653" s="17"/>
      <c r="P653" s="17"/>
      <c r="Q653" s="17"/>
      <c r="R653" s="17"/>
      <c r="S653" s="17"/>
      <c r="T653" s="17"/>
      <c r="U653" s="17"/>
      <c r="V653" s="17"/>
    </row>
    <row r="654" ht="14.25" customHeight="1">
      <c r="A654" s="38"/>
      <c r="B654" s="38"/>
      <c r="C654" s="39"/>
      <c r="D654" s="39"/>
      <c r="E654" s="39"/>
      <c r="F654" s="39"/>
      <c r="G654" s="39"/>
      <c r="H654" s="39"/>
      <c r="I654" s="39"/>
      <c r="J654" s="39"/>
      <c r="K654" s="39"/>
      <c r="O654" s="17"/>
      <c r="P654" s="17"/>
      <c r="Q654" s="17"/>
      <c r="R654" s="17"/>
      <c r="S654" s="17"/>
      <c r="T654" s="17"/>
      <c r="U654" s="17"/>
      <c r="V654" s="17"/>
    </row>
    <row r="655" ht="14.25" customHeight="1">
      <c r="A655" s="38"/>
      <c r="B655" s="38"/>
      <c r="C655" s="39"/>
      <c r="D655" s="39"/>
      <c r="E655" s="39"/>
      <c r="F655" s="39"/>
      <c r="G655" s="39"/>
      <c r="H655" s="39"/>
      <c r="I655" s="39"/>
      <c r="J655" s="39"/>
      <c r="K655" s="39"/>
      <c r="O655" s="17"/>
      <c r="P655" s="17"/>
      <c r="Q655" s="17"/>
      <c r="R655" s="17"/>
      <c r="S655" s="17"/>
      <c r="T655" s="17"/>
      <c r="U655" s="17"/>
      <c r="V655" s="17"/>
    </row>
    <row r="656" ht="14.25" customHeight="1">
      <c r="A656" s="38"/>
      <c r="B656" s="38"/>
      <c r="C656" s="39"/>
      <c r="D656" s="39"/>
      <c r="E656" s="39"/>
      <c r="F656" s="39"/>
      <c r="G656" s="39"/>
      <c r="H656" s="39"/>
      <c r="I656" s="39"/>
      <c r="J656" s="39"/>
      <c r="K656" s="39"/>
      <c r="O656" s="17"/>
      <c r="P656" s="17"/>
      <c r="Q656" s="17"/>
      <c r="R656" s="17"/>
      <c r="S656" s="17"/>
      <c r="T656" s="17"/>
      <c r="U656" s="17"/>
      <c r="V656" s="17"/>
    </row>
    <row r="657" ht="14.25" customHeight="1">
      <c r="A657" s="38"/>
      <c r="B657" s="38"/>
      <c r="C657" s="39"/>
      <c r="D657" s="39"/>
      <c r="E657" s="39"/>
      <c r="F657" s="39"/>
      <c r="G657" s="39"/>
      <c r="H657" s="39"/>
      <c r="I657" s="39"/>
      <c r="J657" s="39"/>
      <c r="K657" s="39"/>
      <c r="O657" s="17"/>
      <c r="P657" s="17"/>
      <c r="Q657" s="17"/>
      <c r="R657" s="17"/>
      <c r="S657" s="17"/>
      <c r="T657" s="17"/>
      <c r="U657" s="17"/>
      <c r="V657" s="17"/>
    </row>
    <row r="658" ht="14.25" customHeight="1">
      <c r="A658" s="38"/>
      <c r="B658" s="38"/>
      <c r="C658" s="39"/>
      <c r="D658" s="39"/>
      <c r="E658" s="39"/>
      <c r="F658" s="39"/>
      <c r="G658" s="39"/>
      <c r="H658" s="39"/>
      <c r="I658" s="39"/>
      <c r="J658" s="39"/>
      <c r="K658" s="39"/>
      <c r="O658" s="17"/>
      <c r="P658" s="17"/>
      <c r="Q658" s="17"/>
      <c r="R658" s="17"/>
      <c r="S658" s="17"/>
      <c r="T658" s="17"/>
      <c r="U658" s="17"/>
      <c r="V658" s="17"/>
    </row>
    <row r="659" ht="14.25" customHeight="1">
      <c r="A659" s="38"/>
      <c r="B659" s="38"/>
      <c r="C659" s="39"/>
      <c r="D659" s="39"/>
      <c r="E659" s="39"/>
      <c r="F659" s="39"/>
      <c r="G659" s="39"/>
      <c r="H659" s="39"/>
      <c r="I659" s="39"/>
      <c r="J659" s="39"/>
      <c r="K659" s="39"/>
      <c r="O659" s="17"/>
      <c r="P659" s="17"/>
      <c r="Q659" s="17"/>
      <c r="R659" s="17"/>
      <c r="S659" s="17"/>
      <c r="T659" s="17"/>
      <c r="U659" s="17"/>
      <c r="V659" s="17"/>
    </row>
    <row r="660" ht="14.25" customHeight="1">
      <c r="A660" s="38"/>
      <c r="B660" s="38"/>
      <c r="C660" s="39"/>
      <c r="D660" s="39"/>
      <c r="E660" s="39"/>
      <c r="F660" s="39"/>
      <c r="G660" s="39"/>
      <c r="H660" s="39"/>
      <c r="I660" s="39"/>
      <c r="J660" s="39"/>
      <c r="K660" s="39"/>
      <c r="O660" s="17"/>
      <c r="P660" s="17"/>
      <c r="Q660" s="17"/>
      <c r="R660" s="17"/>
      <c r="S660" s="17"/>
      <c r="T660" s="17"/>
      <c r="U660" s="17"/>
      <c r="V660" s="17"/>
    </row>
    <row r="661" ht="14.25" customHeight="1">
      <c r="A661" s="38"/>
      <c r="B661" s="38"/>
      <c r="C661" s="39"/>
      <c r="D661" s="39"/>
      <c r="E661" s="39"/>
      <c r="F661" s="39"/>
      <c r="G661" s="39"/>
      <c r="H661" s="39"/>
      <c r="I661" s="39"/>
      <c r="J661" s="39"/>
      <c r="K661" s="39"/>
      <c r="O661" s="17"/>
      <c r="P661" s="17"/>
      <c r="Q661" s="17"/>
      <c r="R661" s="17"/>
      <c r="S661" s="17"/>
      <c r="T661" s="17"/>
      <c r="U661" s="17"/>
      <c r="V661" s="17"/>
    </row>
    <row r="662" ht="14.25" customHeight="1">
      <c r="A662" s="38"/>
      <c r="B662" s="38"/>
      <c r="C662" s="39"/>
      <c r="D662" s="39"/>
      <c r="E662" s="39"/>
      <c r="F662" s="39"/>
      <c r="G662" s="39"/>
      <c r="H662" s="39"/>
      <c r="I662" s="39"/>
      <c r="J662" s="39"/>
      <c r="K662" s="39"/>
      <c r="O662" s="17"/>
      <c r="P662" s="17"/>
      <c r="Q662" s="17"/>
      <c r="R662" s="17"/>
      <c r="S662" s="17"/>
      <c r="T662" s="17"/>
      <c r="U662" s="17"/>
      <c r="V662" s="17"/>
    </row>
    <row r="663" ht="14.25" customHeight="1">
      <c r="A663" s="38"/>
      <c r="B663" s="38"/>
      <c r="C663" s="39"/>
      <c r="D663" s="39"/>
      <c r="E663" s="39"/>
      <c r="F663" s="39"/>
      <c r="G663" s="39"/>
      <c r="H663" s="39"/>
      <c r="I663" s="39"/>
      <c r="J663" s="39"/>
      <c r="K663" s="39"/>
      <c r="O663" s="17"/>
      <c r="P663" s="17"/>
      <c r="Q663" s="17"/>
      <c r="R663" s="17"/>
      <c r="S663" s="17"/>
      <c r="T663" s="17"/>
      <c r="U663" s="17"/>
      <c r="V663" s="17"/>
    </row>
    <row r="664" ht="14.25" customHeight="1">
      <c r="A664" s="38"/>
      <c r="B664" s="38"/>
      <c r="C664" s="39"/>
      <c r="D664" s="39"/>
      <c r="E664" s="39"/>
      <c r="F664" s="39"/>
      <c r="G664" s="39"/>
      <c r="H664" s="39"/>
      <c r="I664" s="39"/>
      <c r="J664" s="39"/>
      <c r="K664" s="39"/>
      <c r="O664" s="17"/>
      <c r="P664" s="17"/>
      <c r="Q664" s="17"/>
      <c r="R664" s="17"/>
      <c r="S664" s="17"/>
      <c r="T664" s="17"/>
      <c r="U664" s="17"/>
      <c r="V664" s="17"/>
    </row>
    <row r="665" ht="14.25" customHeight="1">
      <c r="A665" s="38"/>
      <c r="B665" s="38"/>
      <c r="C665" s="39"/>
      <c r="D665" s="39"/>
      <c r="E665" s="39"/>
      <c r="F665" s="39"/>
      <c r="G665" s="39"/>
      <c r="H665" s="39"/>
      <c r="I665" s="39"/>
      <c r="J665" s="39"/>
      <c r="K665" s="39"/>
      <c r="O665" s="17"/>
      <c r="P665" s="17"/>
      <c r="Q665" s="17"/>
      <c r="R665" s="17"/>
      <c r="S665" s="17"/>
      <c r="T665" s="17"/>
      <c r="U665" s="17"/>
      <c r="V665" s="17"/>
    </row>
    <row r="666" ht="14.25" customHeight="1">
      <c r="A666" s="38"/>
      <c r="B666" s="38"/>
      <c r="C666" s="39"/>
      <c r="D666" s="39"/>
      <c r="E666" s="39"/>
      <c r="F666" s="39"/>
      <c r="G666" s="39"/>
      <c r="H666" s="39"/>
      <c r="I666" s="39"/>
      <c r="J666" s="39"/>
      <c r="K666" s="39"/>
      <c r="O666" s="17"/>
      <c r="P666" s="17"/>
      <c r="Q666" s="17"/>
      <c r="R666" s="17"/>
      <c r="S666" s="17"/>
      <c r="T666" s="17"/>
      <c r="U666" s="17"/>
      <c r="V666" s="17"/>
    </row>
    <row r="667" ht="14.25" customHeight="1">
      <c r="A667" s="38"/>
      <c r="B667" s="38"/>
      <c r="C667" s="39"/>
      <c r="D667" s="39"/>
      <c r="E667" s="39"/>
      <c r="F667" s="39"/>
      <c r="G667" s="39"/>
      <c r="H667" s="39"/>
      <c r="I667" s="39"/>
      <c r="J667" s="39"/>
      <c r="K667" s="39"/>
      <c r="O667" s="17"/>
      <c r="P667" s="17"/>
      <c r="Q667" s="17"/>
      <c r="R667" s="17"/>
      <c r="S667" s="17"/>
      <c r="T667" s="17"/>
      <c r="U667" s="17"/>
      <c r="V667" s="17"/>
    </row>
    <row r="668" ht="14.25" customHeight="1">
      <c r="A668" s="38"/>
      <c r="B668" s="38"/>
      <c r="C668" s="39"/>
      <c r="D668" s="39"/>
      <c r="E668" s="39"/>
      <c r="F668" s="39"/>
      <c r="G668" s="39"/>
      <c r="H668" s="39"/>
      <c r="I668" s="39"/>
      <c r="J668" s="39"/>
      <c r="K668" s="39"/>
      <c r="O668" s="17"/>
      <c r="P668" s="17"/>
      <c r="Q668" s="17"/>
      <c r="R668" s="17"/>
      <c r="S668" s="17"/>
      <c r="T668" s="17"/>
      <c r="U668" s="17"/>
      <c r="V668" s="17"/>
    </row>
    <row r="669" ht="14.25" customHeight="1">
      <c r="A669" s="38"/>
      <c r="B669" s="38"/>
      <c r="C669" s="39"/>
      <c r="D669" s="39"/>
      <c r="E669" s="39"/>
      <c r="F669" s="39"/>
      <c r="G669" s="39"/>
      <c r="H669" s="39"/>
      <c r="I669" s="39"/>
      <c r="J669" s="39"/>
      <c r="K669" s="39"/>
      <c r="O669" s="17"/>
      <c r="P669" s="17"/>
      <c r="Q669" s="17"/>
      <c r="R669" s="17"/>
      <c r="S669" s="17"/>
      <c r="T669" s="17"/>
      <c r="U669" s="17"/>
      <c r="V669" s="17"/>
    </row>
    <row r="670" ht="14.25" customHeight="1">
      <c r="A670" s="38"/>
      <c r="B670" s="38"/>
      <c r="C670" s="39"/>
      <c r="D670" s="39"/>
      <c r="E670" s="39"/>
      <c r="F670" s="39"/>
      <c r="G670" s="39"/>
      <c r="H670" s="39"/>
      <c r="I670" s="39"/>
      <c r="J670" s="39"/>
      <c r="K670" s="39"/>
      <c r="O670" s="17"/>
      <c r="P670" s="17"/>
      <c r="Q670" s="17"/>
      <c r="R670" s="17"/>
      <c r="S670" s="17"/>
      <c r="T670" s="17"/>
      <c r="U670" s="17"/>
      <c r="V670" s="17"/>
    </row>
    <row r="671" ht="14.25" customHeight="1">
      <c r="A671" s="38"/>
      <c r="B671" s="38"/>
      <c r="C671" s="39"/>
      <c r="D671" s="39"/>
      <c r="E671" s="39"/>
      <c r="F671" s="39"/>
      <c r="G671" s="39"/>
      <c r="H671" s="39"/>
      <c r="I671" s="39"/>
      <c r="J671" s="39"/>
      <c r="K671" s="39"/>
      <c r="O671" s="17"/>
      <c r="P671" s="17"/>
      <c r="Q671" s="17"/>
      <c r="R671" s="17"/>
      <c r="S671" s="17"/>
      <c r="T671" s="17"/>
      <c r="U671" s="17"/>
      <c r="V671" s="17"/>
    </row>
    <row r="672" ht="14.25" customHeight="1">
      <c r="A672" s="38"/>
      <c r="B672" s="38"/>
      <c r="C672" s="39"/>
      <c r="D672" s="39"/>
      <c r="E672" s="39"/>
      <c r="F672" s="39"/>
      <c r="G672" s="39"/>
      <c r="H672" s="39"/>
      <c r="I672" s="39"/>
      <c r="J672" s="39"/>
      <c r="K672" s="39"/>
      <c r="O672" s="17"/>
      <c r="P672" s="17"/>
      <c r="Q672" s="17"/>
      <c r="R672" s="17"/>
      <c r="S672" s="17"/>
      <c r="T672" s="17"/>
      <c r="U672" s="17"/>
      <c r="V672" s="17"/>
    </row>
    <row r="673" ht="14.25" customHeight="1">
      <c r="A673" s="38"/>
      <c r="B673" s="38"/>
      <c r="C673" s="39"/>
      <c r="D673" s="39"/>
      <c r="E673" s="39"/>
      <c r="F673" s="39"/>
      <c r="G673" s="39"/>
      <c r="H673" s="39"/>
      <c r="I673" s="39"/>
      <c r="J673" s="39"/>
      <c r="K673" s="39"/>
      <c r="O673" s="17"/>
      <c r="P673" s="17"/>
      <c r="Q673" s="17"/>
      <c r="R673" s="17"/>
      <c r="S673" s="17"/>
      <c r="T673" s="17"/>
      <c r="U673" s="17"/>
      <c r="V673" s="17"/>
    </row>
    <row r="674" ht="14.25" customHeight="1">
      <c r="A674" s="38"/>
      <c r="B674" s="38"/>
      <c r="C674" s="39"/>
      <c r="D674" s="39"/>
      <c r="E674" s="39"/>
      <c r="F674" s="39"/>
      <c r="G674" s="39"/>
      <c r="H674" s="39"/>
      <c r="I674" s="39"/>
      <c r="J674" s="39"/>
      <c r="K674" s="39"/>
      <c r="O674" s="17"/>
      <c r="P674" s="17"/>
      <c r="Q674" s="17"/>
      <c r="R674" s="17"/>
      <c r="S674" s="17"/>
      <c r="T674" s="17"/>
      <c r="U674" s="17"/>
      <c r="V674" s="17"/>
    </row>
    <row r="675" ht="14.25" customHeight="1">
      <c r="A675" s="38"/>
      <c r="B675" s="38"/>
      <c r="C675" s="39"/>
      <c r="D675" s="39"/>
      <c r="E675" s="39"/>
      <c r="F675" s="39"/>
      <c r="G675" s="39"/>
      <c r="H675" s="39"/>
      <c r="I675" s="39"/>
      <c r="J675" s="39"/>
      <c r="K675" s="39"/>
      <c r="O675" s="17"/>
      <c r="P675" s="17"/>
      <c r="Q675" s="17"/>
      <c r="R675" s="17"/>
      <c r="S675" s="17"/>
      <c r="T675" s="17"/>
      <c r="U675" s="17"/>
      <c r="V675" s="17"/>
    </row>
    <row r="676" ht="14.25" customHeight="1">
      <c r="A676" s="38"/>
      <c r="B676" s="38"/>
      <c r="C676" s="39"/>
      <c r="D676" s="39"/>
      <c r="E676" s="39"/>
      <c r="F676" s="39"/>
      <c r="G676" s="39"/>
      <c r="H676" s="39"/>
      <c r="I676" s="39"/>
      <c r="J676" s="39"/>
      <c r="K676" s="39"/>
      <c r="O676" s="17"/>
      <c r="P676" s="17"/>
      <c r="Q676" s="17"/>
      <c r="R676" s="17"/>
      <c r="S676" s="17"/>
      <c r="T676" s="17"/>
      <c r="U676" s="17"/>
      <c r="V676" s="17"/>
    </row>
    <row r="677" ht="14.25" customHeight="1">
      <c r="A677" s="38"/>
      <c r="B677" s="38"/>
      <c r="C677" s="39"/>
      <c r="D677" s="39"/>
      <c r="E677" s="39"/>
      <c r="F677" s="39"/>
      <c r="G677" s="39"/>
      <c r="H677" s="39"/>
      <c r="I677" s="39"/>
      <c r="J677" s="39"/>
      <c r="K677" s="39"/>
      <c r="O677" s="17"/>
      <c r="P677" s="17"/>
      <c r="Q677" s="17"/>
      <c r="R677" s="17"/>
      <c r="S677" s="17"/>
      <c r="T677" s="17"/>
      <c r="U677" s="17"/>
      <c r="V677" s="17"/>
    </row>
    <row r="678" ht="14.25" customHeight="1">
      <c r="A678" s="38"/>
      <c r="B678" s="38"/>
      <c r="C678" s="39"/>
      <c r="D678" s="39"/>
      <c r="E678" s="39"/>
      <c r="F678" s="39"/>
      <c r="G678" s="39"/>
      <c r="H678" s="39"/>
      <c r="I678" s="39"/>
      <c r="J678" s="39"/>
      <c r="K678" s="39"/>
      <c r="O678" s="17"/>
      <c r="P678" s="17"/>
      <c r="Q678" s="17"/>
      <c r="R678" s="17"/>
      <c r="S678" s="17"/>
      <c r="T678" s="17"/>
      <c r="U678" s="17"/>
      <c r="V678" s="17"/>
    </row>
    <row r="679" ht="14.25" customHeight="1">
      <c r="A679" s="38"/>
      <c r="B679" s="38"/>
      <c r="C679" s="39"/>
      <c r="D679" s="39"/>
      <c r="E679" s="39"/>
      <c r="F679" s="39"/>
      <c r="G679" s="39"/>
      <c r="H679" s="39"/>
      <c r="I679" s="39"/>
      <c r="J679" s="39"/>
      <c r="K679" s="39"/>
      <c r="O679" s="17"/>
      <c r="P679" s="17"/>
      <c r="Q679" s="17"/>
      <c r="R679" s="17"/>
      <c r="S679" s="17"/>
      <c r="T679" s="17"/>
      <c r="U679" s="17"/>
      <c r="V679" s="17"/>
    </row>
    <row r="680" ht="14.25" customHeight="1">
      <c r="A680" s="38"/>
      <c r="B680" s="38"/>
      <c r="C680" s="39"/>
      <c r="D680" s="39"/>
      <c r="E680" s="39"/>
      <c r="F680" s="39"/>
      <c r="G680" s="39"/>
      <c r="H680" s="39"/>
      <c r="I680" s="39"/>
      <c r="J680" s="39"/>
      <c r="K680" s="39"/>
      <c r="O680" s="17"/>
      <c r="P680" s="17"/>
      <c r="Q680" s="17"/>
      <c r="R680" s="17"/>
      <c r="S680" s="17"/>
      <c r="T680" s="17"/>
      <c r="U680" s="17"/>
      <c r="V680" s="17"/>
    </row>
    <row r="681" ht="14.25" customHeight="1">
      <c r="A681" s="38"/>
      <c r="B681" s="38"/>
      <c r="C681" s="39"/>
      <c r="D681" s="39"/>
      <c r="E681" s="39"/>
      <c r="F681" s="39"/>
      <c r="G681" s="39"/>
      <c r="H681" s="39"/>
      <c r="I681" s="39"/>
      <c r="J681" s="39"/>
      <c r="K681" s="39"/>
      <c r="O681" s="17"/>
      <c r="P681" s="17"/>
      <c r="Q681" s="17"/>
      <c r="R681" s="17"/>
      <c r="S681" s="17"/>
      <c r="T681" s="17"/>
      <c r="U681" s="17"/>
      <c r="V681" s="17"/>
    </row>
    <row r="682" ht="14.25" customHeight="1">
      <c r="A682" s="38"/>
      <c r="B682" s="38"/>
      <c r="C682" s="39"/>
      <c r="D682" s="39"/>
      <c r="E682" s="39"/>
      <c r="F682" s="39"/>
      <c r="G682" s="39"/>
      <c r="H682" s="39"/>
      <c r="I682" s="39"/>
      <c r="J682" s="39"/>
      <c r="K682" s="39"/>
      <c r="O682" s="17"/>
      <c r="P682" s="17"/>
      <c r="Q682" s="17"/>
      <c r="R682" s="17"/>
      <c r="S682" s="17"/>
      <c r="T682" s="17"/>
      <c r="U682" s="17"/>
      <c r="V682" s="17"/>
    </row>
    <row r="683" ht="14.25" customHeight="1">
      <c r="A683" s="38"/>
      <c r="B683" s="38"/>
      <c r="C683" s="39"/>
      <c r="D683" s="39"/>
      <c r="E683" s="39"/>
      <c r="F683" s="39"/>
      <c r="G683" s="39"/>
      <c r="H683" s="39"/>
      <c r="I683" s="39"/>
      <c r="J683" s="39"/>
      <c r="K683" s="39"/>
      <c r="O683" s="17"/>
      <c r="P683" s="17"/>
      <c r="Q683" s="17"/>
      <c r="R683" s="17"/>
      <c r="S683" s="17"/>
      <c r="T683" s="17"/>
      <c r="U683" s="17"/>
      <c r="V683" s="17"/>
    </row>
    <row r="684" ht="14.25" customHeight="1">
      <c r="A684" s="38"/>
      <c r="B684" s="38"/>
      <c r="C684" s="39"/>
      <c r="D684" s="39"/>
      <c r="E684" s="39"/>
      <c r="F684" s="39"/>
      <c r="G684" s="39"/>
      <c r="H684" s="39"/>
      <c r="I684" s="39"/>
      <c r="J684" s="39"/>
      <c r="K684" s="39"/>
      <c r="O684" s="17"/>
      <c r="P684" s="17"/>
      <c r="Q684" s="17"/>
      <c r="R684" s="17"/>
      <c r="S684" s="17"/>
      <c r="T684" s="17"/>
      <c r="U684" s="17"/>
      <c r="V684" s="17"/>
    </row>
    <row r="685" ht="14.25" customHeight="1">
      <c r="A685" s="38"/>
      <c r="B685" s="38"/>
      <c r="C685" s="39"/>
      <c r="D685" s="39"/>
      <c r="E685" s="39"/>
      <c r="F685" s="39"/>
      <c r="G685" s="39"/>
      <c r="H685" s="39"/>
      <c r="I685" s="39"/>
      <c r="J685" s="39"/>
      <c r="K685" s="39"/>
      <c r="O685" s="17"/>
      <c r="P685" s="17"/>
      <c r="Q685" s="17"/>
      <c r="R685" s="17"/>
      <c r="S685" s="17"/>
      <c r="T685" s="17"/>
      <c r="U685" s="17"/>
      <c r="V685" s="17"/>
    </row>
    <row r="686" ht="14.25" customHeight="1">
      <c r="A686" s="38"/>
      <c r="B686" s="38"/>
      <c r="C686" s="39"/>
      <c r="D686" s="39"/>
      <c r="E686" s="39"/>
      <c r="F686" s="39"/>
      <c r="G686" s="39"/>
      <c r="H686" s="39"/>
      <c r="I686" s="39"/>
      <c r="J686" s="39"/>
      <c r="K686" s="39"/>
      <c r="O686" s="17"/>
      <c r="P686" s="17"/>
      <c r="Q686" s="17"/>
      <c r="R686" s="17"/>
      <c r="S686" s="17"/>
      <c r="T686" s="17"/>
      <c r="U686" s="17"/>
      <c r="V686" s="17"/>
    </row>
    <row r="687" ht="14.25" customHeight="1">
      <c r="A687" s="38"/>
      <c r="B687" s="38"/>
      <c r="C687" s="39"/>
      <c r="D687" s="39"/>
      <c r="E687" s="39"/>
      <c r="F687" s="39"/>
      <c r="G687" s="39"/>
      <c r="H687" s="39"/>
      <c r="I687" s="39"/>
      <c r="J687" s="39"/>
      <c r="K687" s="39"/>
      <c r="O687" s="17"/>
      <c r="P687" s="17"/>
      <c r="Q687" s="17"/>
      <c r="R687" s="17"/>
      <c r="S687" s="17"/>
      <c r="T687" s="17"/>
      <c r="U687" s="17"/>
      <c r="V687" s="17"/>
    </row>
    <row r="688" ht="14.25" customHeight="1">
      <c r="A688" s="38"/>
      <c r="B688" s="38"/>
      <c r="C688" s="39"/>
      <c r="D688" s="39"/>
      <c r="E688" s="39"/>
      <c r="F688" s="39"/>
      <c r="G688" s="39"/>
      <c r="H688" s="39"/>
      <c r="I688" s="39"/>
      <c r="J688" s="39"/>
      <c r="K688" s="39"/>
      <c r="O688" s="17"/>
      <c r="P688" s="17"/>
      <c r="Q688" s="17"/>
      <c r="R688" s="17"/>
      <c r="S688" s="17"/>
      <c r="T688" s="17"/>
      <c r="U688" s="17"/>
      <c r="V688" s="17"/>
    </row>
    <row r="689" ht="14.25" customHeight="1">
      <c r="A689" s="38"/>
      <c r="B689" s="38"/>
      <c r="C689" s="39"/>
      <c r="D689" s="39"/>
      <c r="E689" s="39"/>
      <c r="F689" s="39"/>
      <c r="G689" s="39"/>
      <c r="H689" s="39"/>
      <c r="I689" s="39"/>
      <c r="J689" s="39"/>
      <c r="K689" s="39"/>
      <c r="O689" s="17"/>
      <c r="P689" s="17"/>
      <c r="Q689" s="17"/>
      <c r="R689" s="17"/>
      <c r="S689" s="17"/>
      <c r="T689" s="17"/>
      <c r="U689" s="17"/>
      <c r="V689" s="17"/>
    </row>
    <row r="690" ht="14.25" customHeight="1">
      <c r="A690" s="38"/>
      <c r="B690" s="38"/>
      <c r="C690" s="39"/>
      <c r="D690" s="39"/>
      <c r="E690" s="39"/>
      <c r="F690" s="39"/>
      <c r="G690" s="39"/>
      <c r="H690" s="39"/>
      <c r="I690" s="39"/>
      <c r="J690" s="39"/>
      <c r="K690" s="39"/>
      <c r="O690" s="17"/>
      <c r="P690" s="17"/>
      <c r="Q690" s="17"/>
      <c r="R690" s="17"/>
      <c r="S690" s="17"/>
      <c r="T690" s="17"/>
      <c r="U690" s="17"/>
      <c r="V690" s="17"/>
    </row>
    <row r="691" ht="14.25" customHeight="1">
      <c r="A691" s="38"/>
      <c r="B691" s="38"/>
      <c r="C691" s="39"/>
      <c r="D691" s="39"/>
      <c r="E691" s="39"/>
      <c r="F691" s="39"/>
      <c r="G691" s="39"/>
      <c r="H691" s="39"/>
      <c r="I691" s="39"/>
      <c r="J691" s="39"/>
      <c r="K691" s="39"/>
      <c r="O691" s="17"/>
      <c r="P691" s="17"/>
      <c r="Q691" s="17"/>
      <c r="R691" s="17"/>
      <c r="S691" s="17"/>
      <c r="T691" s="17"/>
      <c r="U691" s="17"/>
      <c r="V691" s="17"/>
    </row>
    <row r="692" ht="14.25" customHeight="1">
      <c r="A692" s="38"/>
      <c r="B692" s="38"/>
      <c r="C692" s="39"/>
      <c r="D692" s="39"/>
      <c r="E692" s="39"/>
      <c r="F692" s="39"/>
      <c r="G692" s="39"/>
      <c r="H692" s="39"/>
      <c r="I692" s="39"/>
      <c r="J692" s="39"/>
      <c r="K692" s="39"/>
      <c r="O692" s="17"/>
      <c r="P692" s="17"/>
      <c r="Q692" s="17"/>
      <c r="R692" s="17"/>
      <c r="S692" s="17"/>
      <c r="T692" s="17"/>
      <c r="U692" s="17"/>
      <c r="V692" s="17"/>
    </row>
    <row r="693" ht="14.25" customHeight="1">
      <c r="A693" s="38"/>
      <c r="B693" s="38"/>
      <c r="C693" s="39"/>
      <c r="D693" s="39"/>
      <c r="E693" s="39"/>
      <c r="F693" s="39"/>
      <c r="G693" s="39"/>
      <c r="H693" s="39"/>
      <c r="I693" s="39"/>
      <c r="J693" s="39"/>
      <c r="K693" s="39"/>
      <c r="O693" s="17"/>
      <c r="P693" s="17"/>
      <c r="Q693" s="17"/>
      <c r="R693" s="17"/>
      <c r="S693" s="17"/>
      <c r="T693" s="17"/>
      <c r="U693" s="17"/>
      <c r="V693" s="17"/>
    </row>
    <row r="694" ht="14.25" customHeight="1">
      <c r="A694" s="38"/>
      <c r="B694" s="38"/>
      <c r="C694" s="39"/>
      <c r="D694" s="39"/>
      <c r="E694" s="39"/>
      <c r="F694" s="39"/>
      <c r="G694" s="39"/>
      <c r="H694" s="39"/>
      <c r="I694" s="39"/>
      <c r="J694" s="39"/>
      <c r="K694" s="39"/>
      <c r="O694" s="17"/>
      <c r="P694" s="17"/>
      <c r="Q694" s="17"/>
      <c r="R694" s="17"/>
      <c r="S694" s="17"/>
      <c r="T694" s="17"/>
      <c r="U694" s="17"/>
      <c r="V694" s="17"/>
    </row>
    <row r="695" ht="14.25" customHeight="1">
      <c r="A695" s="38"/>
      <c r="B695" s="38"/>
      <c r="C695" s="39"/>
      <c r="D695" s="39"/>
      <c r="E695" s="39"/>
      <c r="F695" s="39"/>
      <c r="G695" s="39"/>
      <c r="H695" s="39"/>
      <c r="I695" s="39"/>
      <c r="J695" s="39"/>
      <c r="K695" s="39"/>
      <c r="O695" s="17"/>
      <c r="P695" s="17"/>
      <c r="Q695" s="17"/>
      <c r="R695" s="17"/>
      <c r="S695" s="17"/>
      <c r="T695" s="17"/>
      <c r="U695" s="17"/>
      <c r="V695" s="17"/>
    </row>
    <row r="696" ht="14.25" customHeight="1">
      <c r="A696" s="38"/>
      <c r="B696" s="38"/>
      <c r="C696" s="39"/>
      <c r="D696" s="39"/>
      <c r="E696" s="39"/>
      <c r="F696" s="39"/>
      <c r="G696" s="39"/>
      <c r="H696" s="39"/>
      <c r="I696" s="39"/>
      <c r="J696" s="39"/>
      <c r="K696" s="39"/>
      <c r="O696" s="17"/>
      <c r="P696" s="17"/>
      <c r="Q696" s="17"/>
      <c r="R696" s="17"/>
      <c r="S696" s="17"/>
      <c r="T696" s="17"/>
      <c r="U696" s="17"/>
      <c r="V696" s="17"/>
    </row>
    <row r="697" ht="14.25" customHeight="1">
      <c r="A697" s="38"/>
      <c r="B697" s="38"/>
      <c r="C697" s="39"/>
      <c r="D697" s="39"/>
      <c r="E697" s="39"/>
      <c r="F697" s="39"/>
      <c r="G697" s="39"/>
      <c r="H697" s="39"/>
      <c r="I697" s="39"/>
      <c r="J697" s="39"/>
      <c r="K697" s="39"/>
      <c r="O697" s="17"/>
      <c r="P697" s="17"/>
      <c r="Q697" s="17"/>
      <c r="R697" s="17"/>
      <c r="S697" s="17"/>
      <c r="T697" s="17"/>
      <c r="U697" s="17"/>
      <c r="V697" s="17"/>
    </row>
    <row r="698" ht="14.25" customHeight="1">
      <c r="A698" s="38"/>
      <c r="B698" s="38"/>
      <c r="C698" s="39"/>
      <c r="D698" s="39"/>
      <c r="E698" s="39"/>
      <c r="F698" s="39"/>
      <c r="G698" s="39"/>
      <c r="H698" s="39"/>
      <c r="I698" s="39"/>
      <c r="J698" s="39"/>
      <c r="K698" s="39"/>
      <c r="O698" s="17"/>
      <c r="P698" s="17"/>
      <c r="Q698" s="17"/>
      <c r="R698" s="17"/>
      <c r="S698" s="17"/>
      <c r="T698" s="17"/>
      <c r="U698" s="17"/>
      <c r="V698" s="17"/>
    </row>
    <row r="699" ht="14.25" customHeight="1">
      <c r="A699" s="38"/>
      <c r="B699" s="38"/>
      <c r="C699" s="39"/>
      <c r="D699" s="39"/>
      <c r="E699" s="39"/>
      <c r="F699" s="39"/>
      <c r="G699" s="39"/>
      <c r="H699" s="39"/>
      <c r="I699" s="39"/>
      <c r="J699" s="39"/>
      <c r="K699" s="39"/>
      <c r="O699" s="17"/>
      <c r="P699" s="17"/>
      <c r="Q699" s="17"/>
      <c r="R699" s="17"/>
      <c r="S699" s="17"/>
      <c r="T699" s="17"/>
      <c r="U699" s="17"/>
      <c r="V699" s="17"/>
    </row>
    <row r="700" ht="14.25" customHeight="1">
      <c r="A700" s="38"/>
      <c r="B700" s="38"/>
      <c r="C700" s="39"/>
      <c r="D700" s="39"/>
      <c r="E700" s="39"/>
      <c r="F700" s="39"/>
      <c r="G700" s="39"/>
      <c r="H700" s="39"/>
      <c r="I700" s="39"/>
      <c r="J700" s="39"/>
      <c r="K700" s="39"/>
      <c r="O700" s="17"/>
      <c r="P700" s="17"/>
      <c r="Q700" s="17"/>
      <c r="R700" s="17"/>
      <c r="S700" s="17"/>
      <c r="T700" s="17"/>
      <c r="U700" s="17"/>
      <c r="V700" s="17"/>
    </row>
    <row r="701" ht="14.25" customHeight="1">
      <c r="A701" s="38"/>
      <c r="B701" s="38"/>
      <c r="C701" s="39"/>
      <c r="D701" s="39"/>
      <c r="E701" s="39"/>
      <c r="F701" s="39"/>
      <c r="G701" s="39"/>
      <c r="H701" s="39"/>
      <c r="I701" s="39"/>
      <c r="J701" s="39"/>
      <c r="K701" s="39"/>
      <c r="O701" s="17"/>
      <c r="P701" s="17"/>
      <c r="Q701" s="17"/>
      <c r="R701" s="17"/>
      <c r="S701" s="17"/>
      <c r="T701" s="17"/>
      <c r="U701" s="17"/>
      <c r="V701" s="17"/>
    </row>
    <row r="702" ht="14.25" customHeight="1">
      <c r="A702" s="38"/>
      <c r="B702" s="38"/>
      <c r="C702" s="39"/>
      <c r="D702" s="39"/>
      <c r="E702" s="39"/>
      <c r="F702" s="39"/>
      <c r="G702" s="39"/>
      <c r="H702" s="39"/>
      <c r="I702" s="39"/>
      <c r="J702" s="39"/>
      <c r="K702" s="39"/>
      <c r="O702" s="17"/>
      <c r="P702" s="17"/>
      <c r="Q702" s="17"/>
      <c r="R702" s="17"/>
      <c r="S702" s="17"/>
      <c r="T702" s="17"/>
      <c r="U702" s="17"/>
      <c r="V702" s="17"/>
    </row>
    <row r="703" ht="14.25" customHeight="1">
      <c r="A703" s="38"/>
      <c r="B703" s="38"/>
      <c r="C703" s="39"/>
      <c r="D703" s="39"/>
      <c r="E703" s="39"/>
      <c r="F703" s="39"/>
      <c r="G703" s="39"/>
      <c r="H703" s="39"/>
      <c r="I703" s="39"/>
      <c r="J703" s="39"/>
      <c r="K703" s="39"/>
      <c r="O703" s="17"/>
      <c r="P703" s="17"/>
      <c r="Q703" s="17"/>
      <c r="R703" s="17"/>
      <c r="S703" s="17"/>
      <c r="T703" s="17"/>
      <c r="U703" s="17"/>
      <c r="V703" s="17"/>
    </row>
    <row r="704" ht="14.25" customHeight="1">
      <c r="A704" s="38"/>
      <c r="B704" s="38"/>
      <c r="C704" s="39"/>
      <c r="D704" s="39"/>
      <c r="E704" s="39"/>
      <c r="F704" s="39"/>
      <c r="G704" s="39"/>
      <c r="H704" s="39"/>
      <c r="I704" s="39"/>
      <c r="J704" s="39"/>
      <c r="K704" s="39"/>
      <c r="O704" s="17"/>
      <c r="P704" s="17"/>
      <c r="Q704" s="17"/>
      <c r="R704" s="17"/>
      <c r="S704" s="17"/>
      <c r="T704" s="17"/>
      <c r="U704" s="17"/>
      <c r="V704" s="17"/>
    </row>
    <row r="705" ht="14.25" customHeight="1">
      <c r="A705" s="38"/>
      <c r="B705" s="38"/>
      <c r="C705" s="39"/>
      <c r="D705" s="39"/>
      <c r="E705" s="39"/>
      <c r="F705" s="39"/>
      <c r="G705" s="39"/>
      <c r="H705" s="39"/>
      <c r="I705" s="39"/>
      <c r="J705" s="39"/>
      <c r="K705" s="39"/>
      <c r="O705" s="17"/>
      <c r="P705" s="17"/>
      <c r="Q705" s="17"/>
      <c r="R705" s="17"/>
      <c r="S705" s="17"/>
      <c r="T705" s="17"/>
      <c r="U705" s="17"/>
      <c r="V705" s="17"/>
    </row>
    <row r="706" ht="14.25" customHeight="1">
      <c r="A706" s="38"/>
      <c r="B706" s="38"/>
      <c r="C706" s="39"/>
      <c r="D706" s="39"/>
      <c r="E706" s="39"/>
      <c r="F706" s="39"/>
      <c r="G706" s="39"/>
      <c r="H706" s="39"/>
      <c r="I706" s="39"/>
      <c r="J706" s="39"/>
      <c r="K706" s="39"/>
      <c r="O706" s="17"/>
      <c r="P706" s="17"/>
      <c r="Q706" s="17"/>
      <c r="R706" s="17"/>
      <c r="S706" s="17"/>
      <c r="T706" s="17"/>
      <c r="U706" s="17"/>
      <c r="V706" s="17"/>
    </row>
    <row r="707" ht="14.25" customHeight="1">
      <c r="A707" s="38"/>
      <c r="B707" s="38"/>
      <c r="C707" s="39"/>
      <c r="D707" s="39"/>
      <c r="E707" s="39"/>
      <c r="F707" s="39"/>
      <c r="G707" s="39"/>
      <c r="H707" s="39"/>
      <c r="I707" s="39"/>
      <c r="J707" s="39"/>
      <c r="K707" s="39"/>
      <c r="O707" s="17"/>
      <c r="P707" s="17"/>
      <c r="Q707" s="17"/>
      <c r="R707" s="17"/>
      <c r="S707" s="17"/>
      <c r="T707" s="17"/>
      <c r="U707" s="17"/>
      <c r="V707" s="17"/>
    </row>
    <row r="708" ht="14.25" customHeight="1">
      <c r="A708" s="38"/>
      <c r="B708" s="38"/>
      <c r="C708" s="39"/>
      <c r="D708" s="39"/>
      <c r="E708" s="39"/>
      <c r="F708" s="39"/>
      <c r="G708" s="39"/>
      <c r="H708" s="39"/>
      <c r="I708" s="39"/>
      <c r="J708" s="39"/>
      <c r="K708" s="39"/>
      <c r="O708" s="17"/>
      <c r="P708" s="17"/>
      <c r="Q708" s="17"/>
      <c r="R708" s="17"/>
      <c r="S708" s="17"/>
      <c r="T708" s="17"/>
      <c r="U708" s="17"/>
      <c r="V708" s="17"/>
    </row>
    <row r="709" ht="14.25" customHeight="1">
      <c r="A709" s="38"/>
      <c r="B709" s="38"/>
      <c r="C709" s="39"/>
      <c r="D709" s="39"/>
      <c r="E709" s="39"/>
      <c r="F709" s="39"/>
      <c r="G709" s="39"/>
      <c r="H709" s="39"/>
      <c r="I709" s="39"/>
      <c r="J709" s="39"/>
      <c r="K709" s="39"/>
      <c r="O709" s="17"/>
      <c r="P709" s="17"/>
      <c r="Q709" s="17"/>
      <c r="R709" s="17"/>
      <c r="S709" s="17"/>
      <c r="T709" s="17"/>
      <c r="U709" s="17"/>
      <c r="V709" s="17"/>
    </row>
    <row r="710" ht="14.25" customHeight="1">
      <c r="A710" s="38"/>
      <c r="B710" s="38"/>
      <c r="C710" s="39"/>
      <c r="D710" s="39"/>
      <c r="E710" s="39"/>
      <c r="F710" s="39"/>
      <c r="G710" s="39"/>
      <c r="H710" s="39"/>
      <c r="I710" s="39"/>
      <c r="J710" s="39"/>
      <c r="K710" s="39"/>
      <c r="O710" s="17"/>
      <c r="P710" s="17"/>
      <c r="Q710" s="17"/>
      <c r="R710" s="17"/>
      <c r="S710" s="17"/>
      <c r="T710" s="17"/>
      <c r="U710" s="17"/>
      <c r="V710" s="17"/>
    </row>
    <row r="711" ht="14.25" customHeight="1">
      <c r="A711" s="38"/>
      <c r="B711" s="38"/>
      <c r="C711" s="39"/>
      <c r="D711" s="39"/>
      <c r="E711" s="39"/>
      <c r="F711" s="39"/>
      <c r="G711" s="39"/>
      <c r="H711" s="39"/>
      <c r="I711" s="39"/>
      <c r="J711" s="39"/>
      <c r="K711" s="39"/>
      <c r="O711" s="17"/>
      <c r="P711" s="17"/>
      <c r="Q711" s="17"/>
      <c r="R711" s="17"/>
      <c r="S711" s="17"/>
      <c r="T711" s="17"/>
      <c r="U711" s="17"/>
      <c r="V711" s="17"/>
    </row>
    <row r="712" ht="14.25" customHeight="1">
      <c r="A712" s="38"/>
      <c r="B712" s="38"/>
      <c r="C712" s="39"/>
      <c r="D712" s="39"/>
      <c r="E712" s="39"/>
      <c r="F712" s="39"/>
      <c r="G712" s="39"/>
      <c r="H712" s="39"/>
      <c r="I712" s="39"/>
      <c r="J712" s="39"/>
      <c r="K712" s="39"/>
      <c r="O712" s="17"/>
      <c r="P712" s="17"/>
      <c r="Q712" s="17"/>
      <c r="R712" s="17"/>
      <c r="S712" s="17"/>
      <c r="T712" s="17"/>
      <c r="U712" s="17"/>
      <c r="V712" s="17"/>
    </row>
    <row r="713" ht="14.25" customHeight="1">
      <c r="A713" s="38"/>
      <c r="B713" s="38"/>
      <c r="C713" s="39"/>
      <c r="D713" s="39"/>
      <c r="E713" s="39"/>
      <c r="F713" s="39"/>
      <c r="G713" s="39"/>
      <c r="H713" s="39"/>
      <c r="I713" s="39"/>
      <c r="J713" s="39"/>
      <c r="K713" s="39"/>
      <c r="O713" s="17"/>
      <c r="P713" s="17"/>
      <c r="Q713" s="17"/>
      <c r="R713" s="17"/>
      <c r="S713" s="17"/>
      <c r="T713" s="17"/>
      <c r="U713" s="17"/>
      <c r="V713" s="17"/>
    </row>
    <row r="714" ht="14.25" customHeight="1">
      <c r="A714" s="38"/>
      <c r="B714" s="38"/>
      <c r="C714" s="39"/>
      <c r="D714" s="39"/>
      <c r="E714" s="39"/>
      <c r="F714" s="39"/>
      <c r="G714" s="39"/>
      <c r="H714" s="39"/>
      <c r="I714" s="39"/>
      <c r="J714" s="39"/>
      <c r="K714" s="39"/>
      <c r="O714" s="17"/>
      <c r="P714" s="17"/>
      <c r="Q714" s="17"/>
      <c r="R714" s="17"/>
      <c r="S714" s="17"/>
      <c r="T714" s="17"/>
      <c r="U714" s="17"/>
      <c r="V714" s="17"/>
    </row>
    <row r="715" ht="14.25" customHeight="1">
      <c r="A715" s="38"/>
      <c r="B715" s="38"/>
      <c r="C715" s="39"/>
      <c r="D715" s="39"/>
      <c r="E715" s="39"/>
      <c r="F715" s="39"/>
      <c r="G715" s="39"/>
      <c r="H715" s="39"/>
      <c r="I715" s="39"/>
      <c r="J715" s="39"/>
      <c r="K715" s="39"/>
      <c r="O715" s="17"/>
      <c r="P715" s="17"/>
      <c r="Q715" s="17"/>
      <c r="R715" s="17"/>
      <c r="S715" s="17"/>
      <c r="T715" s="17"/>
      <c r="U715" s="17"/>
      <c r="V715" s="17"/>
    </row>
    <row r="716" ht="14.25" customHeight="1">
      <c r="A716" s="38"/>
      <c r="B716" s="38"/>
      <c r="C716" s="39"/>
      <c r="D716" s="39"/>
      <c r="E716" s="39"/>
      <c r="F716" s="39"/>
      <c r="G716" s="39"/>
      <c r="H716" s="39"/>
      <c r="I716" s="39"/>
      <c r="J716" s="39"/>
      <c r="K716" s="39"/>
      <c r="O716" s="17"/>
      <c r="P716" s="17"/>
      <c r="Q716" s="17"/>
      <c r="R716" s="17"/>
      <c r="S716" s="17"/>
      <c r="T716" s="17"/>
      <c r="U716" s="17"/>
      <c r="V716" s="17"/>
    </row>
    <row r="717" ht="14.25" customHeight="1">
      <c r="A717" s="38"/>
      <c r="B717" s="38"/>
      <c r="C717" s="39"/>
      <c r="D717" s="39"/>
      <c r="E717" s="39"/>
      <c r="F717" s="39"/>
      <c r="G717" s="39"/>
      <c r="H717" s="39"/>
      <c r="I717" s="39"/>
      <c r="J717" s="39"/>
      <c r="K717" s="39"/>
      <c r="O717" s="17"/>
      <c r="P717" s="17"/>
      <c r="Q717" s="17"/>
      <c r="R717" s="17"/>
      <c r="S717" s="17"/>
      <c r="T717" s="17"/>
      <c r="U717" s="17"/>
      <c r="V717" s="17"/>
    </row>
    <row r="718" ht="14.25" customHeight="1">
      <c r="A718" s="38"/>
      <c r="B718" s="38"/>
      <c r="C718" s="39"/>
      <c r="D718" s="39"/>
      <c r="E718" s="39"/>
      <c r="F718" s="39"/>
      <c r="G718" s="39"/>
      <c r="H718" s="39"/>
      <c r="I718" s="39"/>
      <c r="J718" s="39"/>
      <c r="K718" s="39"/>
      <c r="O718" s="17"/>
      <c r="P718" s="17"/>
      <c r="Q718" s="17"/>
      <c r="R718" s="17"/>
      <c r="S718" s="17"/>
      <c r="T718" s="17"/>
      <c r="U718" s="17"/>
      <c r="V718" s="17"/>
    </row>
    <row r="719" ht="14.25" customHeight="1">
      <c r="A719" s="38"/>
      <c r="B719" s="38"/>
      <c r="C719" s="39"/>
      <c r="D719" s="39"/>
      <c r="E719" s="39"/>
      <c r="F719" s="39"/>
      <c r="G719" s="39"/>
      <c r="H719" s="39"/>
      <c r="I719" s="39"/>
      <c r="J719" s="39"/>
      <c r="K719" s="39"/>
      <c r="O719" s="17"/>
      <c r="P719" s="17"/>
      <c r="Q719" s="17"/>
      <c r="R719" s="17"/>
      <c r="S719" s="17"/>
      <c r="T719" s="17"/>
      <c r="U719" s="17"/>
      <c r="V719" s="17"/>
    </row>
    <row r="720" ht="14.25" customHeight="1">
      <c r="A720" s="38"/>
      <c r="B720" s="38"/>
      <c r="C720" s="39"/>
      <c r="D720" s="39"/>
      <c r="E720" s="39"/>
      <c r="F720" s="39"/>
      <c r="G720" s="39"/>
      <c r="H720" s="39"/>
      <c r="I720" s="39"/>
      <c r="J720" s="39"/>
      <c r="K720" s="39"/>
      <c r="O720" s="17"/>
      <c r="P720" s="17"/>
      <c r="Q720" s="17"/>
      <c r="R720" s="17"/>
      <c r="S720" s="17"/>
      <c r="T720" s="17"/>
      <c r="U720" s="17"/>
      <c r="V720" s="17"/>
    </row>
    <row r="721" ht="14.25" customHeight="1">
      <c r="A721" s="38"/>
      <c r="B721" s="38"/>
      <c r="C721" s="39"/>
      <c r="D721" s="39"/>
      <c r="E721" s="39"/>
      <c r="F721" s="39"/>
      <c r="G721" s="39"/>
      <c r="H721" s="39"/>
      <c r="I721" s="39"/>
      <c r="J721" s="39"/>
      <c r="K721" s="39"/>
      <c r="O721" s="17"/>
      <c r="P721" s="17"/>
      <c r="Q721" s="17"/>
      <c r="R721" s="17"/>
      <c r="S721" s="17"/>
      <c r="T721" s="17"/>
      <c r="U721" s="17"/>
      <c r="V721" s="17"/>
    </row>
    <row r="722" ht="14.25" customHeight="1">
      <c r="A722" s="38"/>
      <c r="B722" s="38"/>
      <c r="C722" s="39"/>
      <c r="D722" s="39"/>
      <c r="E722" s="39"/>
      <c r="F722" s="39"/>
      <c r="G722" s="39"/>
      <c r="H722" s="39"/>
      <c r="I722" s="39"/>
      <c r="J722" s="39"/>
      <c r="K722" s="39"/>
      <c r="O722" s="17"/>
      <c r="P722" s="17"/>
      <c r="Q722" s="17"/>
      <c r="R722" s="17"/>
      <c r="S722" s="17"/>
      <c r="T722" s="17"/>
      <c r="U722" s="17"/>
      <c r="V722" s="17"/>
    </row>
    <row r="723" ht="14.25" customHeight="1">
      <c r="A723" s="38"/>
      <c r="B723" s="38"/>
      <c r="C723" s="39"/>
      <c r="D723" s="39"/>
      <c r="E723" s="39"/>
      <c r="F723" s="39"/>
      <c r="G723" s="39"/>
      <c r="H723" s="39"/>
      <c r="I723" s="39"/>
      <c r="J723" s="39"/>
      <c r="K723" s="39"/>
      <c r="O723" s="17"/>
      <c r="P723" s="17"/>
      <c r="Q723" s="17"/>
      <c r="R723" s="17"/>
      <c r="S723" s="17"/>
      <c r="T723" s="17"/>
      <c r="U723" s="17"/>
      <c r="V723" s="17"/>
    </row>
    <row r="724" ht="14.25" customHeight="1">
      <c r="A724" s="38"/>
      <c r="B724" s="38"/>
      <c r="C724" s="39"/>
      <c r="D724" s="39"/>
      <c r="E724" s="39"/>
      <c r="F724" s="39"/>
      <c r="G724" s="39"/>
      <c r="H724" s="39"/>
      <c r="I724" s="39"/>
      <c r="J724" s="39"/>
      <c r="K724" s="39"/>
      <c r="O724" s="17"/>
      <c r="P724" s="17"/>
      <c r="Q724" s="17"/>
      <c r="R724" s="17"/>
      <c r="S724" s="17"/>
      <c r="T724" s="17"/>
      <c r="U724" s="17"/>
      <c r="V724" s="17"/>
    </row>
    <row r="725" ht="14.25" customHeight="1">
      <c r="A725" s="38"/>
      <c r="B725" s="38"/>
      <c r="C725" s="39"/>
      <c r="D725" s="39"/>
      <c r="E725" s="39"/>
      <c r="F725" s="39"/>
      <c r="G725" s="39"/>
      <c r="H725" s="39"/>
      <c r="I725" s="39"/>
      <c r="J725" s="39"/>
      <c r="K725" s="39"/>
      <c r="O725" s="17"/>
      <c r="P725" s="17"/>
      <c r="Q725" s="17"/>
      <c r="R725" s="17"/>
      <c r="S725" s="17"/>
      <c r="T725" s="17"/>
      <c r="U725" s="17"/>
      <c r="V725" s="17"/>
    </row>
    <row r="726" ht="14.25" customHeight="1">
      <c r="A726" s="38"/>
      <c r="B726" s="38"/>
      <c r="C726" s="39"/>
      <c r="D726" s="39"/>
      <c r="E726" s="39"/>
      <c r="F726" s="39"/>
      <c r="G726" s="39"/>
      <c r="H726" s="39"/>
      <c r="I726" s="39"/>
      <c r="J726" s="39"/>
      <c r="K726" s="39"/>
      <c r="O726" s="17"/>
      <c r="P726" s="17"/>
      <c r="Q726" s="17"/>
      <c r="R726" s="17"/>
      <c r="S726" s="17"/>
      <c r="T726" s="17"/>
      <c r="U726" s="17"/>
      <c r="V726" s="17"/>
    </row>
    <row r="727" ht="14.25" customHeight="1">
      <c r="A727" s="38"/>
      <c r="B727" s="38"/>
      <c r="C727" s="39"/>
      <c r="D727" s="39"/>
      <c r="E727" s="39"/>
      <c r="F727" s="39"/>
      <c r="G727" s="39"/>
      <c r="H727" s="39"/>
      <c r="I727" s="39"/>
      <c r="J727" s="39"/>
      <c r="K727" s="39"/>
      <c r="O727" s="17"/>
      <c r="P727" s="17"/>
      <c r="Q727" s="17"/>
      <c r="R727" s="17"/>
      <c r="S727" s="17"/>
      <c r="T727" s="17"/>
      <c r="U727" s="17"/>
      <c r="V727" s="17"/>
    </row>
    <row r="728" ht="14.25" customHeight="1">
      <c r="A728" s="38"/>
      <c r="B728" s="38"/>
      <c r="C728" s="39"/>
      <c r="D728" s="39"/>
      <c r="E728" s="39"/>
      <c r="F728" s="39"/>
      <c r="G728" s="39"/>
      <c r="H728" s="39"/>
      <c r="I728" s="39"/>
      <c r="J728" s="39"/>
      <c r="K728" s="39"/>
      <c r="O728" s="17"/>
      <c r="P728" s="17"/>
      <c r="Q728" s="17"/>
      <c r="R728" s="17"/>
      <c r="S728" s="17"/>
      <c r="T728" s="17"/>
      <c r="U728" s="17"/>
      <c r="V728" s="17"/>
    </row>
    <row r="729" ht="14.25" customHeight="1">
      <c r="A729" s="38"/>
      <c r="B729" s="38"/>
      <c r="C729" s="39"/>
      <c r="D729" s="39"/>
      <c r="E729" s="39"/>
      <c r="F729" s="39"/>
      <c r="G729" s="39"/>
      <c r="H729" s="39"/>
      <c r="I729" s="39"/>
      <c r="J729" s="39"/>
      <c r="K729" s="39"/>
      <c r="O729" s="17"/>
      <c r="P729" s="17"/>
      <c r="Q729" s="17"/>
      <c r="R729" s="17"/>
      <c r="S729" s="17"/>
      <c r="T729" s="17"/>
      <c r="U729" s="17"/>
      <c r="V729" s="17"/>
    </row>
    <row r="730" ht="14.25" customHeight="1">
      <c r="A730" s="38"/>
      <c r="B730" s="38"/>
      <c r="C730" s="39"/>
      <c r="D730" s="39"/>
      <c r="E730" s="39"/>
      <c r="F730" s="39"/>
      <c r="G730" s="39"/>
      <c r="H730" s="39"/>
      <c r="I730" s="39"/>
      <c r="J730" s="39"/>
      <c r="K730" s="39"/>
      <c r="O730" s="17"/>
      <c r="P730" s="17"/>
      <c r="Q730" s="17"/>
      <c r="R730" s="17"/>
      <c r="S730" s="17"/>
      <c r="T730" s="17"/>
      <c r="U730" s="17"/>
      <c r="V730" s="17"/>
    </row>
    <row r="731" ht="14.25" customHeight="1">
      <c r="A731" s="38"/>
      <c r="B731" s="38"/>
      <c r="C731" s="39"/>
      <c r="D731" s="39"/>
      <c r="E731" s="39"/>
      <c r="F731" s="39"/>
      <c r="G731" s="39"/>
      <c r="H731" s="39"/>
      <c r="I731" s="39"/>
      <c r="J731" s="39"/>
      <c r="K731" s="39"/>
      <c r="O731" s="17"/>
      <c r="P731" s="17"/>
      <c r="Q731" s="17"/>
      <c r="R731" s="17"/>
      <c r="S731" s="17"/>
      <c r="T731" s="17"/>
      <c r="U731" s="17"/>
      <c r="V731" s="17"/>
    </row>
    <row r="732" ht="14.25" customHeight="1">
      <c r="A732" s="38"/>
      <c r="B732" s="38"/>
      <c r="C732" s="39"/>
      <c r="D732" s="39"/>
      <c r="E732" s="39"/>
      <c r="F732" s="39"/>
      <c r="G732" s="39"/>
      <c r="H732" s="39"/>
      <c r="I732" s="39"/>
      <c r="J732" s="39"/>
      <c r="K732" s="39"/>
      <c r="O732" s="17"/>
      <c r="P732" s="17"/>
      <c r="Q732" s="17"/>
      <c r="R732" s="17"/>
      <c r="S732" s="17"/>
      <c r="T732" s="17"/>
      <c r="U732" s="17"/>
      <c r="V732" s="17"/>
    </row>
    <row r="733" ht="14.25" customHeight="1">
      <c r="A733" s="38"/>
      <c r="B733" s="38"/>
      <c r="C733" s="39"/>
      <c r="D733" s="39"/>
      <c r="E733" s="39"/>
      <c r="F733" s="39"/>
      <c r="G733" s="39"/>
      <c r="H733" s="39"/>
      <c r="I733" s="39"/>
      <c r="J733" s="39"/>
      <c r="K733" s="39"/>
      <c r="O733" s="17"/>
      <c r="P733" s="17"/>
      <c r="Q733" s="17"/>
      <c r="R733" s="17"/>
      <c r="S733" s="17"/>
      <c r="T733" s="17"/>
      <c r="U733" s="17"/>
      <c r="V733" s="17"/>
    </row>
    <row r="734" ht="14.25" customHeight="1">
      <c r="A734" s="38"/>
      <c r="B734" s="38"/>
      <c r="C734" s="39"/>
      <c r="D734" s="39"/>
      <c r="E734" s="39"/>
      <c r="F734" s="39"/>
      <c r="G734" s="39"/>
      <c r="H734" s="39"/>
      <c r="I734" s="39"/>
      <c r="J734" s="39"/>
      <c r="K734" s="39"/>
      <c r="O734" s="17"/>
      <c r="P734" s="17"/>
      <c r="Q734" s="17"/>
      <c r="R734" s="17"/>
      <c r="S734" s="17"/>
      <c r="T734" s="17"/>
      <c r="U734" s="17"/>
      <c r="V734" s="17"/>
    </row>
    <row r="735" ht="14.25" customHeight="1">
      <c r="A735" s="38"/>
      <c r="B735" s="38"/>
      <c r="C735" s="39"/>
      <c r="D735" s="39"/>
      <c r="E735" s="39"/>
      <c r="F735" s="39"/>
      <c r="G735" s="39"/>
      <c r="H735" s="39"/>
      <c r="I735" s="39"/>
      <c r="J735" s="39"/>
      <c r="K735" s="39"/>
      <c r="O735" s="17"/>
      <c r="P735" s="17"/>
      <c r="Q735" s="17"/>
      <c r="R735" s="17"/>
      <c r="S735" s="17"/>
      <c r="T735" s="17"/>
      <c r="U735" s="17"/>
      <c r="V735" s="17"/>
    </row>
    <row r="736" ht="14.25" customHeight="1">
      <c r="A736" s="38"/>
      <c r="B736" s="38"/>
      <c r="C736" s="39"/>
      <c r="D736" s="39"/>
      <c r="E736" s="39"/>
      <c r="F736" s="39"/>
      <c r="G736" s="39"/>
      <c r="H736" s="39"/>
      <c r="I736" s="39"/>
      <c r="J736" s="39"/>
      <c r="K736" s="39"/>
      <c r="O736" s="17"/>
      <c r="P736" s="17"/>
      <c r="Q736" s="17"/>
      <c r="R736" s="17"/>
      <c r="S736" s="17"/>
      <c r="T736" s="17"/>
      <c r="U736" s="17"/>
      <c r="V736" s="17"/>
    </row>
    <row r="737" ht="14.25" customHeight="1">
      <c r="A737" s="38"/>
      <c r="B737" s="38"/>
      <c r="C737" s="39"/>
      <c r="D737" s="39"/>
      <c r="E737" s="39"/>
      <c r="F737" s="39"/>
      <c r="G737" s="39"/>
      <c r="H737" s="39"/>
      <c r="I737" s="39"/>
      <c r="J737" s="39"/>
      <c r="K737" s="39"/>
      <c r="O737" s="17"/>
      <c r="P737" s="17"/>
      <c r="Q737" s="17"/>
      <c r="R737" s="17"/>
      <c r="S737" s="17"/>
      <c r="T737" s="17"/>
      <c r="U737" s="17"/>
      <c r="V737" s="17"/>
    </row>
    <row r="738" ht="14.25" customHeight="1">
      <c r="A738" s="38"/>
      <c r="B738" s="38"/>
      <c r="C738" s="39"/>
      <c r="D738" s="39"/>
      <c r="E738" s="39"/>
      <c r="F738" s="39"/>
      <c r="G738" s="39"/>
      <c r="H738" s="39"/>
      <c r="I738" s="39"/>
      <c r="J738" s="39"/>
      <c r="K738" s="39"/>
      <c r="O738" s="17"/>
      <c r="P738" s="17"/>
      <c r="Q738" s="17"/>
      <c r="R738" s="17"/>
      <c r="S738" s="17"/>
      <c r="T738" s="17"/>
      <c r="U738" s="17"/>
      <c r="V738" s="17"/>
    </row>
    <row r="739" ht="14.25" customHeight="1">
      <c r="A739" s="38"/>
      <c r="B739" s="38"/>
      <c r="C739" s="39"/>
      <c r="D739" s="39"/>
      <c r="E739" s="39"/>
      <c r="F739" s="39"/>
      <c r="G739" s="39"/>
      <c r="H739" s="39"/>
      <c r="I739" s="39"/>
      <c r="J739" s="39"/>
      <c r="K739" s="39"/>
      <c r="O739" s="17"/>
      <c r="P739" s="17"/>
      <c r="Q739" s="17"/>
      <c r="R739" s="17"/>
      <c r="S739" s="17"/>
      <c r="T739" s="17"/>
      <c r="U739" s="17"/>
      <c r="V739" s="17"/>
    </row>
    <row r="740" ht="14.25" customHeight="1">
      <c r="A740" s="38"/>
      <c r="B740" s="38"/>
      <c r="C740" s="39"/>
      <c r="D740" s="39"/>
      <c r="E740" s="39"/>
      <c r="F740" s="39"/>
      <c r="G740" s="39"/>
      <c r="H740" s="39"/>
      <c r="I740" s="39"/>
      <c r="J740" s="39"/>
      <c r="K740" s="39"/>
      <c r="O740" s="17"/>
      <c r="P740" s="17"/>
      <c r="Q740" s="17"/>
      <c r="R740" s="17"/>
      <c r="S740" s="17"/>
      <c r="T740" s="17"/>
      <c r="U740" s="17"/>
      <c r="V740" s="17"/>
    </row>
    <row r="741" ht="14.25" customHeight="1">
      <c r="A741" s="38"/>
      <c r="B741" s="38"/>
      <c r="C741" s="39"/>
      <c r="D741" s="39"/>
      <c r="E741" s="39"/>
      <c r="F741" s="39"/>
      <c r="G741" s="39"/>
      <c r="H741" s="39"/>
      <c r="I741" s="39"/>
      <c r="J741" s="39"/>
      <c r="K741" s="39"/>
      <c r="O741" s="17"/>
      <c r="P741" s="17"/>
      <c r="Q741" s="17"/>
      <c r="R741" s="17"/>
      <c r="S741" s="17"/>
      <c r="T741" s="17"/>
      <c r="U741" s="17"/>
      <c r="V741" s="17"/>
    </row>
    <row r="742" ht="14.25" customHeight="1">
      <c r="A742" s="38"/>
      <c r="B742" s="38"/>
      <c r="C742" s="39"/>
      <c r="D742" s="39"/>
      <c r="E742" s="39"/>
      <c r="F742" s="39"/>
      <c r="G742" s="39"/>
      <c r="H742" s="39"/>
      <c r="I742" s="39"/>
      <c r="J742" s="39"/>
      <c r="K742" s="39"/>
      <c r="O742" s="17"/>
      <c r="P742" s="17"/>
      <c r="Q742" s="17"/>
      <c r="R742" s="17"/>
      <c r="S742" s="17"/>
      <c r="T742" s="17"/>
      <c r="U742" s="17"/>
      <c r="V742" s="17"/>
    </row>
    <row r="743" ht="14.25" customHeight="1">
      <c r="A743" s="38"/>
      <c r="B743" s="38"/>
      <c r="C743" s="39"/>
      <c r="D743" s="39"/>
      <c r="E743" s="39"/>
      <c r="F743" s="39"/>
      <c r="G743" s="39"/>
      <c r="H743" s="39"/>
      <c r="I743" s="39"/>
      <c r="J743" s="39"/>
      <c r="K743" s="39"/>
      <c r="O743" s="17"/>
      <c r="P743" s="17"/>
      <c r="Q743" s="17"/>
      <c r="R743" s="17"/>
      <c r="S743" s="17"/>
      <c r="T743" s="17"/>
      <c r="U743" s="17"/>
      <c r="V743" s="17"/>
    </row>
    <row r="744" ht="14.25" customHeight="1">
      <c r="A744" s="38"/>
      <c r="B744" s="38"/>
      <c r="C744" s="39"/>
      <c r="D744" s="39"/>
      <c r="E744" s="39"/>
      <c r="F744" s="39"/>
      <c r="G744" s="39"/>
      <c r="H744" s="39"/>
      <c r="I744" s="39"/>
      <c r="J744" s="39"/>
      <c r="K744" s="39"/>
      <c r="O744" s="17"/>
      <c r="P744" s="17"/>
      <c r="Q744" s="17"/>
      <c r="R744" s="17"/>
      <c r="S744" s="17"/>
      <c r="T744" s="17"/>
      <c r="U744" s="17"/>
      <c r="V744" s="17"/>
    </row>
    <row r="745" ht="14.25" customHeight="1">
      <c r="A745" s="38"/>
      <c r="B745" s="38"/>
      <c r="C745" s="39"/>
      <c r="D745" s="39"/>
      <c r="E745" s="39"/>
      <c r="F745" s="39"/>
      <c r="G745" s="39"/>
      <c r="H745" s="39"/>
      <c r="I745" s="39"/>
      <c r="J745" s="39"/>
      <c r="K745" s="39"/>
      <c r="O745" s="17"/>
      <c r="P745" s="17"/>
      <c r="Q745" s="17"/>
      <c r="R745" s="17"/>
      <c r="S745" s="17"/>
      <c r="T745" s="17"/>
      <c r="U745" s="17"/>
      <c r="V745" s="17"/>
    </row>
    <row r="746" ht="14.25" customHeight="1">
      <c r="A746" s="38"/>
      <c r="B746" s="38"/>
      <c r="C746" s="39"/>
      <c r="D746" s="39"/>
      <c r="E746" s="39"/>
      <c r="F746" s="39"/>
      <c r="G746" s="39"/>
      <c r="H746" s="39"/>
      <c r="I746" s="39"/>
      <c r="J746" s="39"/>
      <c r="K746" s="39"/>
      <c r="O746" s="17"/>
      <c r="P746" s="17"/>
      <c r="Q746" s="17"/>
      <c r="R746" s="17"/>
      <c r="S746" s="17"/>
      <c r="T746" s="17"/>
      <c r="U746" s="17"/>
      <c r="V746" s="17"/>
    </row>
    <row r="747" ht="14.25" customHeight="1">
      <c r="A747" s="38"/>
      <c r="B747" s="38"/>
      <c r="C747" s="39"/>
      <c r="D747" s="39"/>
      <c r="E747" s="39"/>
      <c r="F747" s="39"/>
      <c r="G747" s="39"/>
      <c r="H747" s="39"/>
      <c r="I747" s="39"/>
      <c r="J747" s="39"/>
      <c r="K747" s="39"/>
      <c r="O747" s="17"/>
      <c r="P747" s="17"/>
      <c r="Q747" s="17"/>
      <c r="R747" s="17"/>
      <c r="S747" s="17"/>
      <c r="T747" s="17"/>
      <c r="U747" s="17"/>
      <c r="V747" s="17"/>
    </row>
    <row r="748" ht="14.25" customHeight="1">
      <c r="A748" s="38"/>
      <c r="B748" s="38"/>
      <c r="C748" s="39"/>
      <c r="D748" s="39"/>
      <c r="E748" s="39"/>
      <c r="F748" s="39"/>
      <c r="G748" s="39"/>
      <c r="H748" s="39"/>
      <c r="I748" s="39"/>
      <c r="J748" s="39"/>
      <c r="K748" s="39"/>
      <c r="O748" s="17"/>
      <c r="P748" s="17"/>
      <c r="Q748" s="17"/>
      <c r="R748" s="17"/>
      <c r="S748" s="17"/>
      <c r="T748" s="17"/>
      <c r="U748" s="17"/>
      <c r="V748" s="17"/>
    </row>
    <row r="749" ht="14.25" customHeight="1">
      <c r="A749" s="38"/>
      <c r="B749" s="38"/>
      <c r="C749" s="39"/>
      <c r="D749" s="39"/>
      <c r="E749" s="39"/>
      <c r="F749" s="39"/>
      <c r="G749" s="39"/>
      <c r="H749" s="39"/>
      <c r="I749" s="39"/>
      <c r="J749" s="39"/>
      <c r="K749" s="39"/>
      <c r="O749" s="17"/>
      <c r="P749" s="17"/>
      <c r="Q749" s="17"/>
      <c r="R749" s="17"/>
      <c r="S749" s="17"/>
      <c r="T749" s="17"/>
      <c r="U749" s="17"/>
      <c r="V749" s="17"/>
    </row>
    <row r="750" ht="14.25" customHeight="1">
      <c r="A750" s="38"/>
      <c r="B750" s="38"/>
      <c r="C750" s="39"/>
      <c r="D750" s="39"/>
      <c r="E750" s="39"/>
      <c r="F750" s="39"/>
      <c r="G750" s="39"/>
      <c r="H750" s="39"/>
      <c r="I750" s="39"/>
      <c r="J750" s="39"/>
      <c r="K750" s="39"/>
      <c r="O750" s="17"/>
      <c r="P750" s="17"/>
      <c r="Q750" s="17"/>
      <c r="R750" s="17"/>
      <c r="S750" s="17"/>
      <c r="T750" s="17"/>
      <c r="U750" s="17"/>
      <c r="V750" s="17"/>
    </row>
    <row r="751" ht="14.25" customHeight="1">
      <c r="A751" s="38"/>
      <c r="B751" s="38"/>
      <c r="C751" s="39"/>
      <c r="D751" s="39"/>
      <c r="E751" s="39"/>
      <c r="F751" s="39"/>
      <c r="G751" s="39"/>
      <c r="H751" s="39"/>
      <c r="I751" s="39"/>
      <c r="J751" s="39"/>
      <c r="K751" s="39"/>
      <c r="O751" s="17"/>
      <c r="P751" s="17"/>
      <c r="Q751" s="17"/>
      <c r="R751" s="17"/>
      <c r="S751" s="17"/>
      <c r="T751" s="17"/>
      <c r="U751" s="17"/>
      <c r="V751" s="17"/>
    </row>
    <row r="752" ht="14.25" customHeight="1">
      <c r="A752" s="38"/>
      <c r="B752" s="38"/>
      <c r="C752" s="39"/>
      <c r="D752" s="39"/>
      <c r="E752" s="39"/>
      <c r="F752" s="39"/>
      <c r="G752" s="39"/>
      <c r="H752" s="39"/>
      <c r="I752" s="39"/>
      <c r="J752" s="39"/>
      <c r="K752" s="39"/>
      <c r="O752" s="17"/>
      <c r="P752" s="17"/>
      <c r="Q752" s="17"/>
      <c r="R752" s="17"/>
      <c r="S752" s="17"/>
      <c r="T752" s="17"/>
      <c r="U752" s="17"/>
      <c r="V752" s="17"/>
    </row>
    <row r="753" ht="14.25" customHeight="1">
      <c r="A753" s="38"/>
      <c r="B753" s="38"/>
      <c r="C753" s="39"/>
      <c r="D753" s="39"/>
      <c r="E753" s="39"/>
      <c r="F753" s="39"/>
      <c r="G753" s="39"/>
      <c r="H753" s="39"/>
      <c r="I753" s="39"/>
      <c r="J753" s="39"/>
      <c r="K753" s="39"/>
      <c r="O753" s="17"/>
      <c r="P753" s="17"/>
      <c r="Q753" s="17"/>
      <c r="R753" s="17"/>
      <c r="S753" s="17"/>
      <c r="T753" s="17"/>
      <c r="U753" s="17"/>
      <c r="V753" s="17"/>
    </row>
    <row r="754" ht="14.25" customHeight="1">
      <c r="A754" s="38"/>
      <c r="B754" s="38"/>
      <c r="C754" s="39"/>
      <c r="D754" s="39"/>
      <c r="E754" s="39"/>
      <c r="F754" s="39"/>
      <c r="G754" s="39"/>
      <c r="H754" s="39"/>
      <c r="I754" s="39"/>
      <c r="J754" s="39"/>
      <c r="K754" s="39"/>
      <c r="O754" s="17"/>
      <c r="P754" s="17"/>
      <c r="Q754" s="17"/>
      <c r="R754" s="17"/>
      <c r="S754" s="17"/>
      <c r="T754" s="17"/>
      <c r="U754" s="17"/>
      <c r="V754" s="17"/>
    </row>
    <row r="755" ht="14.25" customHeight="1">
      <c r="A755" s="38"/>
      <c r="B755" s="38"/>
      <c r="C755" s="39"/>
      <c r="D755" s="39"/>
      <c r="E755" s="39"/>
      <c r="F755" s="39"/>
      <c r="G755" s="39"/>
      <c r="H755" s="39"/>
      <c r="I755" s="39"/>
      <c r="J755" s="39"/>
      <c r="K755" s="39"/>
      <c r="O755" s="17"/>
      <c r="P755" s="17"/>
      <c r="Q755" s="17"/>
      <c r="R755" s="17"/>
      <c r="S755" s="17"/>
      <c r="T755" s="17"/>
      <c r="U755" s="17"/>
      <c r="V755" s="17"/>
    </row>
    <row r="756" ht="14.25" customHeight="1">
      <c r="A756" s="38"/>
      <c r="B756" s="38"/>
      <c r="C756" s="39"/>
      <c r="D756" s="39"/>
      <c r="E756" s="39"/>
      <c r="F756" s="39"/>
      <c r="G756" s="39"/>
      <c r="H756" s="39"/>
      <c r="I756" s="39"/>
      <c r="J756" s="39"/>
      <c r="K756" s="39"/>
      <c r="O756" s="17"/>
      <c r="P756" s="17"/>
      <c r="Q756" s="17"/>
      <c r="R756" s="17"/>
      <c r="S756" s="17"/>
      <c r="T756" s="17"/>
      <c r="U756" s="17"/>
      <c r="V756" s="17"/>
    </row>
    <row r="757" ht="14.25" customHeight="1">
      <c r="A757" s="38"/>
      <c r="B757" s="38"/>
      <c r="C757" s="39"/>
      <c r="D757" s="39"/>
      <c r="E757" s="39"/>
      <c r="F757" s="39"/>
      <c r="G757" s="39"/>
      <c r="H757" s="39"/>
      <c r="I757" s="39"/>
      <c r="J757" s="39"/>
      <c r="K757" s="39"/>
      <c r="O757" s="17"/>
      <c r="P757" s="17"/>
      <c r="Q757" s="17"/>
      <c r="R757" s="17"/>
      <c r="S757" s="17"/>
      <c r="T757" s="17"/>
      <c r="U757" s="17"/>
      <c r="V757" s="17"/>
    </row>
    <row r="758" ht="14.25" customHeight="1">
      <c r="A758" s="38"/>
      <c r="B758" s="38"/>
      <c r="C758" s="39"/>
      <c r="D758" s="39"/>
      <c r="E758" s="39"/>
      <c r="F758" s="39"/>
      <c r="G758" s="39"/>
      <c r="H758" s="39"/>
      <c r="I758" s="39"/>
      <c r="J758" s="39"/>
      <c r="K758" s="39"/>
      <c r="O758" s="17"/>
      <c r="P758" s="17"/>
      <c r="Q758" s="17"/>
      <c r="R758" s="17"/>
      <c r="S758" s="17"/>
      <c r="T758" s="17"/>
      <c r="U758" s="17"/>
      <c r="V758" s="17"/>
    </row>
    <row r="759" ht="14.25" customHeight="1">
      <c r="A759" s="38"/>
      <c r="B759" s="38"/>
      <c r="C759" s="39"/>
      <c r="D759" s="39"/>
      <c r="E759" s="39"/>
      <c r="F759" s="39"/>
      <c r="G759" s="39"/>
      <c r="H759" s="39"/>
      <c r="I759" s="39"/>
      <c r="J759" s="39"/>
      <c r="K759" s="39"/>
      <c r="O759" s="17"/>
      <c r="P759" s="17"/>
      <c r="Q759" s="17"/>
      <c r="R759" s="17"/>
      <c r="S759" s="17"/>
      <c r="T759" s="17"/>
      <c r="U759" s="17"/>
      <c r="V759" s="17"/>
    </row>
    <row r="760" ht="14.25" customHeight="1">
      <c r="A760" s="38"/>
      <c r="B760" s="38"/>
      <c r="C760" s="39"/>
      <c r="D760" s="39"/>
      <c r="E760" s="39"/>
      <c r="F760" s="39"/>
      <c r="G760" s="39"/>
      <c r="H760" s="39"/>
      <c r="I760" s="39"/>
      <c r="J760" s="39"/>
      <c r="K760" s="39"/>
      <c r="O760" s="17"/>
      <c r="P760" s="17"/>
      <c r="Q760" s="17"/>
      <c r="R760" s="17"/>
      <c r="S760" s="17"/>
      <c r="T760" s="17"/>
      <c r="U760" s="17"/>
      <c r="V760" s="17"/>
    </row>
    <row r="761" ht="14.25" customHeight="1">
      <c r="A761" s="38"/>
      <c r="B761" s="38"/>
      <c r="C761" s="39"/>
      <c r="D761" s="39"/>
      <c r="E761" s="39"/>
      <c r="F761" s="39"/>
      <c r="G761" s="39"/>
      <c r="H761" s="39"/>
      <c r="I761" s="39"/>
      <c r="J761" s="39"/>
      <c r="K761" s="39"/>
      <c r="O761" s="17"/>
      <c r="P761" s="17"/>
      <c r="Q761" s="17"/>
      <c r="R761" s="17"/>
      <c r="S761" s="17"/>
      <c r="T761" s="17"/>
      <c r="U761" s="17"/>
      <c r="V761" s="17"/>
    </row>
    <row r="762" ht="14.25" customHeight="1">
      <c r="A762" s="38"/>
      <c r="B762" s="38"/>
      <c r="C762" s="39"/>
      <c r="D762" s="39"/>
      <c r="E762" s="39"/>
      <c r="F762" s="39"/>
      <c r="G762" s="39"/>
      <c r="H762" s="39"/>
      <c r="I762" s="39"/>
      <c r="J762" s="39"/>
      <c r="K762" s="39"/>
      <c r="O762" s="17"/>
      <c r="P762" s="17"/>
      <c r="Q762" s="17"/>
      <c r="R762" s="17"/>
      <c r="S762" s="17"/>
      <c r="T762" s="17"/>
      <c r="U762" s="17"/>
      <c r="V762" s="17"/>
    </row>
    <row r="763" ht="14.25" customHeight="1">
      <c r="A763" s="38"/>
      <c r="B763" s="38"/>
      <c r="C763" s="39"/>
      <c r="D763" s="39"/>
      <c r="E763" s="39"/>
      <c r="F763" s="39"/>
      <c r="G763" s="39"/>
      <c r="H763" s="39"/>
      <c r="I763" s="39"/>
      <c r="J763" s="39"/>
      <c r="K763" s="39"/>
      <c r="O763" s="17"/>
      <c r="P763" s="17"/>
      <c r="Q763" s="17"/>
      <c r="R763" s="17"/>
      <c r="S763" s="17"/>
      <c r="T763" s="17"/>
      <c r="U763" s="17"/>
      <c r="V763" s="17"/>
    </row>
    <row r="764" ht="14.25" customHeight="1">
      <c r="A764" s="38"/>
      <c r="B764" s="38"/>
      <c r="C764" s="39"/>
      <c r="D764" s="39"/>
      <c r="E764" s="39"/>
      <c r="F764" s="39"/>
      <c r="G764" s="39"/>
      <c r="H764" s="39"/>
      <c r="I764" s="39"/>
      <c r="J764" s="39"/>
      <c r="K764" s="39"/>
      <c r="O764" s="17"/>
      <c r="P764" s="17"/>
      <c r="Q764" s="17"/>
      <c r="R764" s="17"/>
      <c r="S764" s="17"/>
      <c r="T764" s="17"/>
      <c r="U764" s="17"/>
      <c r="V764" s="17"/>
    </row>
    <row r="765" ht="14.25" customHeight="1">
      <c r="A765" s="38"/>
      <c r="B765" s="38"/>
      <c r="C765" s="39"/>
      <c r="D765" s="39"/>
      <c r="E765" s="39"/>
      <c r="F765" s="39"/>
      <c r="G765" s="39"/>
      <c r="H765" s="39"/>
      <c r="I765" s="39"/>
      <c r="J765" s="39"/>
      <c r="K765" s="39"/>
      <c r="O765" s="17"/>
      <c r="P765" s="17"/>
      <c r="Q765" s="17"/>
      <c r="R765" s="17"/>
      <c r="S765" s="17"/>
      <c r="T765" s="17"/>
      <c r="U765" s="17"/>
      <c r="V765" s="17"/>
    </row>
    <row r="766" ht="14.25" customHeight="1">
      <c r="A766" s="38"/>
      <c r="B766" s="38"/>
      <c r="C766" s="39"/>
      <c r="D766" s="39"/>
      <c r="E766" s="39"/>
      <c r="F766" s="39"/>
      <c r="G766" s="39"/>
      <c r="H766" s="39"/>
      <c r="I766" s="39"/>
      <c r="J766" s="39"/>
      <c r="K766" s="39"/>
      <c r="O766" s="17"/>
      <c r="P766" s="17"/>
      <c r="Q766" s="17"/>
      <c r="R766" s="17"/>
      <c r="S766" s="17"/>
      <c r="T766" s="17"/>
      <c r="U766" s="17"/>
      <c r="V766" s="17"/>
    </row>
    <row r="767" ht="14.25" customHeight="1">
      <c r="A767" s="38"/>
      <c r="B767" s="38"/>
      <c r="C767" s="39"/>
      <c r="D767" s="39"/>
      <c r="E767" s="39"/>
      <c r="F767" s="39"/>
      <c r="G767" s="39"/>
      <c r="H767" s="39"/>
      <c r="I767" s="39"/>
      <c r="J767" s="39"/>
      <c r="K767" s="39"/>
      <c r="O767" s="17"/>
      <c r="P767" s="17"/>
      <c r="Q767" s="17"/>
      <c r="R767" s="17"/>
      <c r="S767" s="17"/>
      <c r="T767" s="17"/>
      <c r="U767" s="17"/>
      <c r="V767" s="17"/>
    </row>
    <row r="768" ht="14.25" customHeight="1">
      <c r="A768" s="38"/>
      <c r="B768" s="38"/>
      <c r="C768" s="39"/>
      <c r="D768" s="39"/>
      <c r="E768" s="39"/>
      <c r="F768" s="39"/>
      <c r="G768" s="39"/>
      <c r="H768" s="39"/>
      <c r="I768" s="39"/>
      <c r="J768" s="39"/>
      <c r="K768" s="39"/>
      <c r="O768" s="17"/>
      <c r="P768" s="17"/>
      <c r="Q768" s="17"/>
      <c r="R768" s="17"/>
      <c r="S768" s="17"/>
      <c r="T768" s="17"/>
      <c r="U768" s="17"/>
      <c r="V768" s="17"/>
    </row>
    <row r="769" ht="14.25" customHeight="1">
      <c r="A769" s="38"/>
      <c r="B769" s="38"/>
      <c r="C769" s="39"/>
      <c r="D769" s="39"/>
      <c r="E769" s="39"/>
      <c r="F769" s="39"/>
      <c r="G769" s="39"/>
      <c r="H769" s="39"/>
      <c r="I769" s="39"/>
      <c r="J769" s="39"/>
      <c r="K769" s="39"/>
      <c r="O769" s="17"/>
      <c r="P769" s="17"/>
      <c r="Q769" s="17"/>
      <c r="R769" s="17"/>
      <c r="S769" s="17"/>
      <c r="T769" s="17"/>
      <c r="U769" s="17"/>
      <c r="V769" s="17"/>
    </row>
    <row r="770" ht="14.25" customHeight="1">
      <c r="A770" s="38"/>
      <c r="B770" s="38"/>
      <c r="C770" s="39"/>
      <c r="D770" s="39"/>
      <c r="E770" s="39"/>
      <c r="F770" s="39"/>
      <c r="G770" s="39"/>
      <c r="H770" s="39"/>
      <c r="I770" s="39"/>
      <c r="J770" s="39"/>
      <c r="K770" s="39"/>
      <c r="O770" s="17"/>
      <c r="P770" s="17"/>
      <c r="Q770" s="17"/>
      <c r="R770" s="17"/>
      <c r="S770" s="17"/>
      <c r="T770" s="17"/>
      <c r="U770" s="17"/>
      <c r="V770" s="17"/>
    </row>
    <row r="771" ht="14.25" customHeight="1">
      <c r="A771" s="38"/>
      <c r="B771" s="38"/>
      <c r="C771" s="39"/>
      <c r="D771" s="39"/>
      <c r="E771" s="39"/>
      <c r="F771" s="39"/>
      <c r="G771" s="39"/>
      <c r="H771" s="39"/>
      <c r="I771" s="39"/>
      <c r="J771" s="39"/>
      <c r="K771" s="39"/>
      <c r="O771" s="17"/>
      <c r="P771" s="17"/>
      <c r="Q771" s="17"/>
      <c r="R771" s="17"/>
      <c r="S771" s="17"/>
      <c r="T771" s="17"/>
      <c r="U771" s="17"/>
      <c r="V771" s="17"/>
    </row>
    <row r="772" ht="14.25" customHeight="1">
      <c r="A772" s="38"/>
      <c r="B772" s="38"/>
      <c r="C772" s="39"/>
      <c r="D772" s="39"/>
      <c r="E772" s="39"/>
      <c r="F772" s="39"/>
      <c r="G772" s="39"/>
      <c r="H772" s="39"/>
      <c r="I772" s="39"/>
      <c r="J772" s="39"/>
      <c r="K772" s="39"/>
      <c r="O772" s="17"/>
      <c r="P772" s="17"/>
      <c r="Q772" s="17"/>
      <c r="R772" s="17"/>
      <c r="S772" s="17"/>
      <c r="T772" s="17"/>
      <c r="U772" s="17"/>
      <c r="V772" s="17"/>
    </row>
    <row r="773" ht="14.25" customHeight="1">
      <c r="A773" s="38"/>
      <c r="B773" s="38"/>
      <c r="C773" s="39"/>
      <c r="D773" s="39"/>
      <c r="E773" s="39"/>
      <c r="F773" s="39"/>
      <c r="G773" s="39"/>
      <c r="H773" s="39"/>
      <c r="I773" s="39"/>
      <c r="J773" s="39"/>
      <c r="K773" s="39"/>
      <c r="O773" s="17"/>
      <c r="P773" s="17"/>
      <c r="Q773" s="17"/>
      <c r="R773" s="17"/>
      <c r="S773" s="17"/>
      <c r="T773" s="17"/>
      <c r="U773" s="17"/>
      <c r="V773" s="17"/>
    </row>
    <row r="774" ht="14.25" customHeight="1">
      <c r="A774" s="38"/>
      <c r="B774" s="38"/>
      <c r="C774" s="39"/>
      <c r="D774" s="39"/>
      <c r="E774" s="39"/>
      <c r="F774" s="39"/>
      <c r="G774" s="39"/>
      <c r="H774" s="39"/>
      <c r="I774" s="39"/>
      <c r="J774" s="39"/>
      <c r="K774" s="39"/>
      <c r="O774" s="17"/>
      <c r="P774" s="17"/>
      <c r="Q774" s="17"/>
      <c r="R774" s="17"/>
      <c r="S774" s="17"/>
      <c r="T774" s="17"/>
      <c r="U774" s="17"/>
      <c r="V774" s="17"/>
    </row>
    <row r="775" ht="14.25" customHeight="1">
      <c r="A775" s="38"/>
      <c r="B775" s="38"/>
      <c r="C775" s="39"/>
      <c r="D775" s="39"/>
      <c r="E775" s="39"/>
      <c r="F775" s="39"/>
      <c r="G775" s="39"/>
      <c r="H775" s="39"/>
      <c r="I775" s="39"/>
      <c r="J775" s="39"/>
      <c r="K775" s="39"/>
      <c r="O775" s="17"/>
      <c r="P775" s="17"/>
      <c r="Q775" s="17"/>
      <c r="R775" s="17"/>
      <c r="S775" s="17"/>
      <c r="T775" s="17"/>
      <c r="U775" s="17"/>
      <c r="V775" s="17"/>
    </row>
    <row r="776" ht="14.25" customHeight="1">
      <c r="A776" s="38"/>
      <c r="B776" s="38"/>
      <c r="C776" s="39"/>
      <c r="D776" s="39"/>
      <c r="E776" s="39"/>
      <c r="F776" s="39"/>
      <c r="G776" s="39"/>
      <c r="H776" s="39"/>
      <c r="I776" s="39"/>
      <c r="J776" s="39"/>
      <c r="K776" s="39"/>
      <c r="O776" s="17"/>
      <c r="P776" s="17"/>
      <c r="Q776" s="17"/>
      <c r="R776" s="17"/>
      <c r="S776" s="17"/>
      <c r="T776" s="17"/>
      <c r="U776" s="17"/>
      <c r="V776" s="17"/>
    </row>
    <row r="777" ht="14.25" customHeight="1">
      <c r="A777" s="38"/>
      <c r="B777" s="38"/>
      <c r="C777" s="39"/>
      <c r="D777" s="39"/>
      <c r="E777" s="39"/>
      <c r="F777" s="39"/>
      <c r="G777" s="39"/>
      <c r="H777" s="39"/>
      <c r="I777" s="39"/>
      <c r="J777" s="39"/>
      <c r="K777" s="39"/>
      <c r="O777" s="17"/>
      <c r="P777" s="17"/>
      <c r="Q777" s="17"/>
      <c r="R777" s="17"/>
      <c r="S777" s="17"/>
      <c r="T777" s="17"/>
      <c r="U777" s="17"/>
      <c r="V777" s="17"/>
    </row>
    <row r="778" ht="14.25" customHeight="1">
      <c r="A778" s="38"/>
      <c r="B778" s="38"/>
      <c r="C778" s="39"/>
      <c r="D778" s="39"/>
      <c r="E778" s="39"/>
      <c r="F778" s="39"/>
      <c r="G778" s="39"/>
      <c r="H778" s="39"/>
      <c r="I778" s="39"/>
      <c r="J778" s="39"/>
      <c r="K778" s="39"/>
      <c r="O778" s="17"/>
      <c r="P778" s="17"/>
      <c r="Q778" s="17"/>
      <c r="R778" s="17"/>
      <c r="S778" s="17"/>
      <c r="T778" s="17"/>
      <c r="U778" s="17"/>
      <c r="V778" s="17"/>
    </row>
    <row r="779" ht="14.25" customHeight="1">
      <c r="A779" s="38"/>
      <c r="B779" s="38"/>
      <c r="C779" s="39"/>
      <c r="D779" s="39"/>
      <c r="E779" s="39"/>
      <c r="F779" s="39"/>
      <c r="G779" s="39"/>
      <c r="H779" s="39"/>
      <c r="I779" s="39"/>
      <c r="J779" s="39"/>
      <c r="K779" s="39"/>
      <c r="O779" s="17"/>
      <c r="P779" s="17"/>
      <c r="Q779" s="17"/>
      <c r="R779" s="17"/>
      <c r="S779" s="17"/>
      <c r="T779" s="17"/>
      <c r="U779" s="17"/>
      <c r="V779" s="17"/>
    </row>
    <row r="780" ht="14.25" customHeight="1">
      <c r="A780" s="38"/>
      <c r="B780" s="38"/>
      <c r="C780" s="39"/>
      <c r="D780" s="39"/>
      <c r="E780" s="39"/>
      <c r="F780" s="39"/>
      <c r="G780" s="39"/>
      <c r="H780" s="39"/>
      <c r="I780" s="39"/>
      <c r="J780" s="39"/>
      <c r="K780" s="39"/>
      <c r="O780" s="17"/>
      <c r="P780" s="17"/>
      <c r="Q780" s="17"/>
      <c r="R780" s="17"/>
      <c r="S780" s="17"/>
      <c r="T780" s="17"/>
      <c r="U780" s="17"/>
      <c r="V780" s="17"/>
    </row>
    <row r="781" ht="14.25" customHeight="1">
      <c r="A781" s="38"/>
      <c r="B781" s="38"/>
      <c r="C781" s="39"/>
      <c r="D781" s="39"/>
      <c r="E781" s="39"/>
      <c r="F781" s="39"/>
      <c r="G781" s="39"/>
      <c r="H781" s="39"/>
      <c r="I781" s="39"/>
      <c r="J781" s="39"/>
      <c r="K781" s="39"/>
      <c r="O781" s="17"/>
      <c r="P781" s="17"/>
      <c r="Q781" s="17"/>
      <c r="R781" s="17"/>
      <c r="S781" s="17"/>
      <c r="T781" s="17"/>
      <c r="U781" s="17"/>
      <c r="V781" s="17"/>
    </row>
    <row r="782" ht="14.25" customHeight="1">
      <c r="A782" s="38"/>
      <c r="B782" s="38"/>
      <c r="C782" s="39"/>
      <c r="D782" s="39"/>
      <c r="E782" s="39"/>
      <c r="F782" s="39"/>
      <c r="G782" s="39"/>
      <c r="H782" s="39"/>
      <c r="I782" s="39"/>
      <c r="J782" s="39"/>
      <c r="K782" s="39"/>
      <c r="O782" s="17"/>
      <c r="P782" s="17"/>
      <c r="Q782" s="17"/>
      <c r="R782" s="17"/>
      <c r="S782" s="17"/>
      <c r="T782" s="17"/>
      <c r="U782" s="17"/>
      <c r="V782" s="17"/>
    </row>
    <row r="783" ht="14.25" customHeight="1">
      <c r="A783" s="38"/>
      <c r="B783" s="38"/>
      <c r="C783" s="39"/>
      <c r="D783" s="39"/>
      <c r="E783" s="39"/>
      <c r="F783" s="39"/>
      <c r="G783" s="39"/>
      <c r="H783" s="39"/>
      <c r="I783" s="39"/>
      <c r="J783" s="39"/>
      <c r="K783" s="39"/>
      <c r="O783" s="17"/>
      <c r="P783" s="17"/>
      <c r="Q783" s="17"/>
      <c r="R783" s="17"/>
      <c r="S783" s="17"/>
      <c r="T783" s="17"/>
      <c r="U783" s="17"/>
      <c r="V783" s="17"/>
    </row>
    <row r="784" ht="14.25" customHeight="1">
      <c r="A784" s="38"/>
      <c r="B784" s="38"/>
      <c r="C784" s="39"/>
      <c r="D784" s="39"/>
      <c r="E784" s="39"/>
      <c r="F784" s="39"/>
      <c r="G784" s="39"/>
      <c r="H784" s="39"/>
      <c r="I784" s="39"/>
      <c r="J784" s="39"/>
      <c r="K784" s="39"/>
      <c r="O784" s="17"/>
      <c r="P784" s="17"/>
      <c r="Q784" s="17"/>
      <c r="R784" s="17"/>
      <c r="S784" s="17"/>
      <c r="T784" s="17"/>
      <c r="U784" s="17"/>
      <c r="V784" s="17"/>
    </row>
    <row r="785" ht="14.25" customHeight="1">
      <c r="A785" s="38"/>
      <c r="B785" s="38"/>
      <c r="C785" s="39"/>
      <c r="D785" s="39"/>
      <c r="E785" s="39"/>
      <c r="F785" s="39"/>
      <c r="G785" s="39"/>
      <c r="H785" s="39"/>
      <c r="I785" s="39"/>
      <c r="J785" s="39"/>
      <c r="K785" s="39"/>
      <c r="O785" s="17"/>
      <c r="P785" s="17"/>
      <c r="Q785" s="17"/>
      <c r="R785" s="17"/>
      <c r="S785" s="17"/>
      <c r="T785" s="17"/>
      <c r="U785" s="17"/>
      <c r="V785" s="17"/>
    </row>
    <row r="786" ht="14.25" customHeight="1">
      <c r="A786" s="38"/>
      <c r="B786" s="38"/>
      <c r="C786" s="39"/>
      <c r="D786" s="39"/>
      <c r="E786" s="39"/>
      <c r="F786" s="39"/>
      <c r="G786" s="39"/>
      <c r="H786" s="39"/>
      <c r="I786" s="39"/>
      <c r="J786" s="39"/>
      <c r="K786" s="39"/>
      <c r="O786" s="17"/>
      <c r="P786" s="17"/>
      <c r="Q786" s="17"/>
      <c r="R786" s="17"/>
      <c r="S786" s="17"/>
      <c r="T786" s="17"/>
      <c r="U786" s="17"/>
      <c r="V786" s="17"/>
    </row>
    <row r="787" ht="14.25" customHeight="1">
      <c r="A787" s="38"/>
      <c r="B787" s="38"/>
      <c r="C787" s="39"/>
      <c r="D787" s="39"/>
      <c r="E787" s="39"/>
      <c r="F787" s="39"/>
      <c r="G787" s="39"/>
      <c r="H787" s="39"/>
      <c r="I787" s="39"/>
      <c r="J787" s="39"/>
      <c r="K787" s="39"/>
      <c r="O787" s="17"/>
      <c r="P787" s="17"/>
      <c r="Q787" s="17"/>
      <c r="R787" s="17"/>
      <c r="S787" s="17"/>
      <c r="T787" s="17"/>
      <c r="U787" s="17"/>
      <c r="V787" s="17"/>
    </row>
    <row r="788" ht="14.25" customHeight="1">
      <c r="A788" s="38"/>
      <c r="B788" s="38"/>
      <c r="C788" s="39"/>
      <c r="D788" s="39"/>
      <c r="E788" s="39"/>
      <c r="F788" s="39"/>
      <c r="G788" s="39"/>
      <c r="H788" s="39"/>
      <c r="I788" s="39"/>
      <c r="J788" s="39"/>
      <c r="K788" s="39"/>
      <c r="O788" s="17"/>
      <c r="P788" s="17"/>
      <c r="Q788" s="17"/>
      <c r="R788" s="17"/>
      <c r="S788" s="17"/>
      <c r="T788" s="17"/>
      <c r="U788" s="17"/>
      <c r="V788" s="17"/>
    </row>
    <row r="789" ht="14.25" customHeight="1">
      <c r="A789" s="38"/>
      <c r="B789" s="38"/>
      <c r="C789" s="39"/>
      <c r="D789" s="39"/>
      <c r="E789" s="39"/>
      <c r="F789" s="39"/>
      <c r="G789" s="39"/>
      <c r="H789" s="39"/>
      <c r="I789" s="39"/>
      <c r="J789" s="39"/>
      <c r="K789" s="39"/>
      <c r="O789" s="17"/>
      <c r="P789" s="17"/>
      <c r="Q789" s="17"/>
      <c r="R789" s="17"/>
      <c r="S789" s="17"/>
      <c r="T789" s="17"/>
      <c r="U789" s="17"/>
      <c r="V789" s="17"/>
    </row>
    <row r="790" ht="14.25" customHeight="1">
      <c r="A790" s="38"/>
      <c r="B790" s="38"/>
      <c r="C790" s="39"/>
      <c r="D790" s="39"/>
      <c r="E790" s="39"/>
      <c r="F790" s="39"/>
      <c r="G790" s="39"/>
      <c r="H790" s="39"/>
      <c r="I790" s="39"/>
      <c r="J790" s="39"/>
      <c r="K790" s="39"/>
      <c r="O790" s="17"/>
      <c r="P790" s="17"/>
      <c r="Q790" s="17"/>
      <c r="R790" s="17"/>
      <c r="S790" s="17"/>
      <c r="T790" s="17"/>
      <c r="U790" s="17"/>
      <c r="V790" s="17"/>
    </row>
    <row r="791" ht="14.25" customHeight="1">
      <c r="A791" s="38"/>
      <c r="B791" s="38"/>
      <c r="C791" s="39"/>
      <c r="D791" s="39"/>
      <c r="E791" s="39"/>
      <c r="F791" s="39"/>
      <c r="G791" s="39"/>
      <c r="H791" s="39"/>
      <c r="I791" s="39"/>
      <c r="J791" s="39"/>
      <c r="K791" s="39"/>
      <c r="O791" s="17"/>
      <c r="P791" s="17"/>
      <c r="Q791" s="17"/>
      <c r="R791" s="17"/>
      <c r="S791" s="17"/>
      <c r="T791" s="17"/>
      <c r="U791" s="17"/>
      <c r="V791" s="17"/>
    </row>
    <row r="792" ht="14.25" customHeight="1">
      <c r="A792" s="38"/>
      <c r="B792" s="38"/>
      <c r="C792" s="39"/>
      <c r="D792" s="39"/>
      <c r="E792" s="39"/>
      <c r="F792" s="39"/>
      <c r="G792" s="39"/>
      <c r="H792" s="39"/>
      <c r="I792" s="39"/>
      <c r="J792" s="39"/>
      <c r="K792" s="39"/>
      <c r="O792" s="17"/>
      <c r="P792" s="17"/>
      <c r="Q792" s="17"/>
      <c r="R792" s="17"/>
      <c r="S792" s="17"/>
      <c r="T792" s="17"/>
      <c r="U792" s="17"/>
      <c r="V792" s="17"/>
    </row>
    <row r="793" ht="14.25" customHeight="1">
      <c r="A793" s="38"/>
      <c r="B793" s="38"/>
      <c r="C793" s="39"/>
      <c r="D793" s="39"/>
      <c r="E793" s="39"/>
      <c r="F793" s="39"/>
      <c r="G793" s="39"/>
      <c r="H793" s="39"/>
      <c r="I793" s="39"/>
      <c r="J793" s="39"/>
      <c r="K793" s="39"/>
      <c r="O793" s="17"/>
      <c r="P793" s="17"/>
      <c r="Q793" s="17"/>
      <c r="R793" s="17"/>
      <c r="S793" s="17"/>
      <c r="T793" s="17"/>
      <c r="U793" s="17"/>
      <c r="V793" s="17"/>
    </row>
    <row r="794" ht="14.25" customHeight="1">
      <c r="A794" s="38"/>
      <c r="B794" s="38"/>
      <c r="C794" s="39"/>
      <c r="D794" s="39"/>
      <c r="E794" s="39"/>
      <c r="F794" s="39"/>
      <c r="G794" s="39"/>
      <c r="H794" s="39"/>
      <c r="I794" s="39"/>
      <c r="J794" s="39"/>
      <c r="K794" s="39"/>
      <c r="O794" s="17"/>
      <c r="P794" s="17"/>
      <c r="Q794" s="17"/>
      <c r="R794" s="17"/>
      <c r="S794" s="17"/>
      <c r="T794" s="17"/>
      <c r="U794" s="17"/>
      <c r="V794" s="17"/>
    </row>
    <row r="795" ht="14.25" customHeight="1">
      <c r="A795" s="38"/>
      <c r="B795" s="38"/>
      <c r="C795" s="39"/>
      <c r="D795" s="39"/>
      <c r="E795" s="39"/>
      <c r="F795" s="39"/>
      <c r="G795" s="39"/>
      <c r="H795" s="39"/>
      <c r="I795" s="39"/>
      <c r="J795" s="39"/>
      <c r="K795" s="39"/>
      <c r="O795" s="17"/>
      <c r="P795" s="17"/>
      <c r="Q795" s="17"/>
      <c r="R795" s="17"/>
      <c r="S795" s="17"/>
      <c r="T795" s="17"/>
      <c r="U795" s="17"/>
      <c r="V795" s="17"/>
    </row>
    <row r="796" ht="14.25" customHeight="1">
      <c r="A796" s="38"/>
      <c r="B796" s="38"/>
      <c r="C796" s="39"/>
      <c r="D796" s="39"/>
      <c r="E796" s="39"/>
      <c r="F796" s="39"/>
      <c r="G796" s="39"/>
      <c r="H796" s="39"/>
      <c r="I796" s="39"/>
      <c r="J796" s="39"/>
      <c r="K796" s="39"/>
      <c r="O796" s="17"/>
      <c r="P796" s="17"/>
      <c r="Q796" s="17"/>
      <c r="R796" s="17"/>
      <c r="S796" s="17"/>
      <c r="T796" s="17"/>
      <c r="U796" s="17"/>
      <c r="V796" s="17"/>
    </row>
    <row r="797" ht="14.25" customHeight="1">
      <c r="A797" s="38"/>
      <c r="B797" s="38"/>
      <c r="C797" s="39"/>
      <c r="D797" s="39"/>
      <c r="E797" s="39"/>
      <c r="F797" s="39"/>
      <c r="G797" s="39"/>
      <c r="H797" s="39"/>
      <c r="I797" s="39"/>
      <c r="J797" s="39"/>
      <c r="K797" s="39"/>
      <c r="O797" s="17"/>
      <c r="P797" s="17"/>
      <c r="Q797" s="17"/>
      <c r="R797" s="17"/>
      <c r="S797" s="17"/>
      <c r="T797" s="17"/>
      <c r="U797" s="17"/>
      <c r="V797" s="17"/>
    </row>
    <row r="798" ht="14.25" customHeight="1">
      <c r="A798" s="38"/>
      <c r="B798" s="38"/>
      <c r="C798" s="39"/>
      <c r="D798" s="39"/>
      <c r="E798" s="39"/>
      <c r="F798" s="39"/>
      <c r="G798" s="39"/>
      <c r="H798" s="39"/>
      <c r="I798" s="39"/>
      <c r="J798" s="39"/>
      <c r="K798" s="39"/>
      <c r="O798" s="17"/>
      <c r="P798" s="17"/>
      <c r="Q798" s="17"/>
      <c r="R798" s="17"/>
      <c r="S798" s="17"/>
      <c r="T798" s="17"/>
      <c r="U798" s="17"/>
      <c r="V798" s="17"/>
    </row>
    <row r="799" ht="14.25" customHeight="1">
      <c r="A799" s="38"/>
      <c r="B799" s="38"/>
      <c r="C799" s="39"/>
      <c r="D799" s="39"/>
      <c r="E799" s="39"/>
      <c r="F799" s="39"/>
      <c r="G799" s="39"/>
      <c r="H799" s="39"/>
      <c r="I799" s="39"/>
      <c r="J799" s="39"/>
      <c r="K799" s="39"/>
      <c r="O799" s="17"/>
      <c r="P799" s="17"/>
      <c r="Q799" s="17"/>
      <c r="R799" s="17"/>
      <c r="S799" s="17"/>
      <c r="T799" s="17"/>
      <c r="U799" s="17"/>
      <c r="V799" s="17"/>
    </row>
    <row r="800" ht="14.25" customHeight="1">
      <c r="A800" s="38"/>
      <c r="B800" s="38"/>
      <c r="C800" s="39"/>
      <c r="D800" s="39"/>
      <c r="E800" s="39"/>
      <c r="F800" s="39"/>
      <c r="G800" s="39"/>
      <c r="H800" s="39"/>
      <c r="I800" s="39"/>
      <c r="J800" s="39"/>
      <c r="K800" s="39"/>
      <c r="O800" s="17"/>
      <c r="P800" s="17"/>
      <c r="Q800" s="17"/>
      <c r="R800" s="17"/>
      <c r="S800" s="17"/>
      <c r="T800" s="17"/>
      <c r="U800" s="17"/>
      <c r="V800" s="17"/>
    </row>
    <row r="801" ht="14.25" customHeight="1">
      <c r="A801" s="38"/>
      <c r="B801" s="38"/>
      <c r="C801" s="39"/>
      <c r="D801" s="39"/>
      <c r="E801" s="39"/>
      <c r="F801" s="39"/>
      <c r="G801" s="39"/>
      <c r="H801" s="39"/>
      <c r="I801" s="39"/>
      <c r="J801" s="39"/>
      <c r="K801" s="39"/>
      <c r="O801" s="17"/>
      <c r="P801" s="17"/>
      <c r="Q801" s="17"/>
      <c r="R801" s="17"/>
      <c r="S801" s="17"/>
      <c r="T801" s="17"/>
      <c r="U801" s="17"/>
      <c r="V801" s="17"/>
    </row>
    <row r="802" ht="14.25" customHeight="1">
      <c r="A802" s="38"/>
      <c r="B802" s="38"/>
      <c r="C802" s="39"/>
      <c r="D802" s="39"/>
      <c r="E802" s="39"/>
      <c r="F802" s="39"/>
      <c r="G802" s="39"/>
      <c r="H802" s="39"/>
      <c r="I802" s="39"/>
      <c r="J802" s="39"/>
      <c r="K802" s="39"/>
      <c r="O802" s="17"/>
      <c r="P802" s="17"/>
      <c r="Q802" s="17"/>
      <c r="R802" s="17"/>
      <c r="S802" s="17"/>
      <c r="T802" s="17"/>
      <c r="U802" s="17"/>
      <c r="V802" s="17"/>
    </row>
    <row r="803" ht="14.25" customHeight="1">
      <c r="A803" s="38"/>
      <c r="B803" s="38"/>
      <c r="C803" s="39"/>
      <c r="D803" s="39"/>
      <c r="E803" s="39"/>
      <c r="F803" s="39"/>
      <c r="G803" s="39"/>
      <c r="H803" s="39"/>
      <c r="I803" s="39"/>
      <c r="J803" s="39"/>
      <c r="K803" s="39"/>
      <c r="O803" s="17"/>
      <c r="P803" s="17"/>
      <c r="Q803" s="17"/>
      <c r="R803" s="17"/>
      <c r="S803" s="17"/>
      <c r="T803" s="17"/>
      <c r="U803" s="17"/>
      <c r="V803" s="17"/>
    </row>
    <row r="804" ht="14.25" customHeight="1">
      <c r="A804" s="38"/>
      <c r="B804" s="38"/>
      <c r="C804" s="39"/>
      <c r="D804" s="39"/>
      <c r="E804" s="39"/>
      <c r="F804" s="39"/>
      <c r="G804" s="39"/>
      <c r="H804" s="39"/>
      <c r="I804" s="39"/>
      <c r="J804" s="39"/>
      <c r="K804" s="39"/>
      <c r="O804" s="17"/>
      <c r="P804" s="17"/>
      <c r="Q804" s="17"/>
      <c r="R804" s="17"/>
      <c r="S804" s="17"/>
      <c r="T804" s="17"/>
      <c r="U804" s="17"/>
      <c r="V804" s="17"/>
    </row>
    <row r="805" ht="14.25" customHeight="1">
      <c r="A805" s="38"/>
      <c r="B805" s="38"/>
      <c r="C805" s="39"/>
      <c r="D805" s="39"/>
      <c r="E805" s="39"/>
      <c r="F805" s="39"/>
      <c r="G805" s="39"/>
      <c r="H805" s="39"/>
      <c r="I805" s="39"/>
      <c r="J805" s="39"/>
      <c r="K805" s="39"/>
      <c r="O805" s="17"/>
      <c r="P805" s="17"/>
      <c r="Q805" s="17"/>
      <c r="R805" s="17"/>
      <c r="S805" s="17"/>
      <c r="T805" s="17"/>
      <c r="U805" s="17"/>
      <c r="V805" s="17"/>
    </row>
    <row r="806" ht="14.25" customHeight="1">
      <c r="A806" s="38"/>
      <c r="B806" s="38"/>
      <c r="C806" s="39"/>
      <c r="D806" s="39"/>
      <c r="E806" s="39"/>
      <c r="F806" s="39"/>
      <c r="G806" s="39"/>
      <c r="H806" s="39"/>
      <c r="I806" s="39"/>
      <c r="J806" s="39"/>
      <c r="K806" s="39"/>
      <c r="O806" s="17"/>
      <c r="P806" s="17"/>
      <c r="Q806" s="17"/>
      <c r="R806" s="17"/>
      <c r="S806" s="17"/>
      <c r="T806" s="17"/>
      <c r="U806" s="17"/>
      <c r="V806" s="17"/>
    </row>
    <row r="807" ht="14.25" customHeight="1">
      <c r="A807" s="38"/>
      <c r="B807" s="38"/>
      <c r="C807" s="39"/>
      <c r="D807" s="39"/>
      <c r="E807" s="39"/>
      <c r="F807" s="39"/>
      <c r="G807" s="39"/>
      <c r="H807" s="39"/>
      <c r="I807" s="39"/>
      <c r="J807" s="39"/>
      <c r="K807" s="39"/>
      <c r="O807" s="17"/>
      <c r="P807" s="17"/>
      <c r="Q807" s="17"/>
      <c r="R807" s="17"/>
      <c r="S807" s="17"/>
      <c r="T807" s="17"/>
      <c r="U807" s="17"/>
      <c r="V807" s="17"/>
    </row>
    <row r="808" ht="14.25" customHeight="1">
      <c r="A808" s="38"/>
      <c r="B808" s="38"/>
      <c r="C808" s="39"/>
      <c r="D808" s="39"/>
      <c r="E808" s="39"/>
      <c r="F808" s="39"/>
      <c r="G808" s="39"/>
      <c r="H808" s="39"/>
      <c r="I808" s="39"/>
      <c r="J808" s="39"/>
      <c r="K808" s="39"/>
      <c r="O808" s="17"/>
      <c r="P808" s="17"/>
      <c r="Q808" s="17"/>
      <c r="R808" s="17"/>
      <c r="S808" s="17"/>
      <c r="T808" s="17"/>
      <c r="U808" s="17"/>
      <c r="V808" s="17"/>
    </row>
    <row r="809" ht="14.25" customHeight="1">
      <c r="A809" s="38"/>
      <c r="B809" s="38"/>
      <c r="C809" s="39"/>
      <c r="D809" s="39"/>
      <c r="E809" s="39"/>
      <c r="F809" s="39"/>
      <c r="G809" s="39"/>
      <c r="H809" s="39"/>
      <c r="I809" s="39"/>
      <c r="J809" s="39"/>
      <c r="K809" s="39"/>
      <c r="O809" s="17"/>
      <c r="P809" s="17"/>
      <c r="Q809" s="17"/>
      <c r="R809" s="17"/>
      <c r="S809" s="17"/>
      <c r="T809" s="17"/>
      <c r="U809" s="17"/>
      <c r="V809" s="17"/>
    </row>
    <row r="810" ht="14.25" customHeight="1">
      <c r="A810" s="38"/>
      <c r="B810" s="38"/>
      <c r="C810" s="39"/>
      <c r="D810" s="39"/>
      <c r="E810" s="39"/>
      <c r="F810" s="39"/>
      <c r="G810" s="39"/>
      <c r="H810" s="39"/>
      <c r="I810" s="39"/>
      <c r="J810" s="39"/>
      <c r="K810" s="39"/>
      <c r="O810" s="17"/>
      <c r="P810" s="17"/>
      <c r="Q810" s="17"/>
      <c r="R810" s="17"/>
      <c r="S810" s="17"/>
      <c r="T810" s="17"/>
      <c r="U810" s="17"/>
      <c r="V810" s="17"/>
    </row>
    <row r="811" ht="14.25" customHeight="1">
      <c r="A811" s="38"/>
      <c r="B811" s="38"/>
      <c r="C811" s="39"/>
      <c r="D811" s="39"/>
      <c r="E811" s="39"/>
      <c r="F811" s="39"/>
      <c r="G811" s="39"/>
      <c r="H811" s="39"/>
      <c r="I811" s="39"/>
      <c r="J811" s="39"/>
      <c r="K811" s="39"/>
      <c r="O811" s="17"/>
      <c r="P811" s="17"/>
      <c r="Q811" s="17"/>
      <c r="R811" s="17"/>
      <c r="S811" s="17"/>
      <c r="T811" s="17"/>
      <c r="U811" s="17"/>
      <c r="V811" s="17"/>
    </row>
    <row r="812" ht="14.25" customHeight="1">
      <c r="A812" s="38"/>
      <c r="B812" s="38"/>
      <c r="C812" s="39"/>
      <c r="D812" s="39"/>
      <c r="E812" s="39"/>
      <c r="F812" s="39"/>
      <c r="G812" s="39"/>
      <c r="H812" s="39"/>
      <c r="I812" s="39"/>
      <c r="J812" s="39"/>
      <c r="K812" s="39"/>
      <c r="O812" s="17"/>
      <c r="P812" s="17"/>
      <c r="Q812" s="17"/>
      <c r="R812" s="17"/>
      <c r="S812" s="17"/>
      <c r="T812" s="17"/>
      <c r="U812" s="17"/>
      <c r="V812" s="17"/>
    </row>
    <row r="813" ht="14.25" customHeight="1">
      <c r="A813" s="38"/>
      <c r="B813" s="38"/>
      <c r="C813" s="39"/>
      <c r="D813" s="39"/>
      <c r="E813" s="39"/>
      <c r="F813" s="39"/>
      <c r="G813" s="39"/>
      <c r="H813" s="39"/>
      <c r="I813" s="39"/>
      <c r="J813" s="39"/>
      <c r="K813" s="39"/>
      <c r="O813" s="17"/>
      <c r="P813" s="17"/>
      <c r="Q813" s="17"/>
      <c r="R813" s="17"/>
      <c r="S813" s="17"/>
      <c r="T813" s="17"/>
      <c r="U813" s="17"/>
      <c r="V813" s="17"/>
    </row>
    <row r="814" ht="14.25" customHeight="1">
      <c r="A814" s="38"/>
      <c r="B814" s="38"/>
      <c r="C814" s="39"/>
      <c r="D814" s="39"/>
      <c r="E814" s="39"/>
      <c r="F814" s="39"/>
      <c r="G814" s="39"/>
      <c r="H814" s="39"/>
      <c r="I814" s="39"/>
      <c r="J814" s="39"/>
      <c r="K814" s="39"/>
      <c r="O814" s="17"/>
      <c r="P814" s="17"/>
      <c r="Q814" s="17"/>
      <c r="R814" s="17"/>
      <c r="S814" s="17"/>
      <c r="T814" s="17"/>
      <c r="U814" s="17"/>
      <c r="V814" s="17"/>
    </row>
    <row r="815" ht="14.25" customHeight="1">
      <c r="A815" s="38"/>
      <c r="B815" s="38"/>
      <c r="C815" s="39"/>
      <c r="D815" s="39"/>
      <c r="E815" s="39"/>
      <c r="F815" s="39"/>
      <c r="G815" s="39"/>
      <c r="H815" s="39"/>
      <c r="I815" s="39"/>
      <c r="J815" s="39"/>
      <c r="K815" s="39"/>
      <c r="O815" s="17"/>
      <c r="P815" s="17"/>
      <c r="Q815" s="17"/>
      <c r="R815" s="17"/>
      <c r="S815" s="17"/>
      <c r="T815" s="17"/>
      <c r="U815" s="17"/>
      <c r="V815" s="17"/>
    </row>
    <row r="816" ht="14.25" customHeight="1">
      <c r="A816" s="38"/>
      <c r="B816" s="38"/>
      <c r="C816" s="39"/>
      <c r="D816" s="39"/>
      <c r="E816" s="39"/>
      <c r="F816" s="39"/>
      <c r="G816" s="39"/>
      <c r="H816" s="39"/>
      <c r="I816" s="39"/>
      <c r="J816" s="39"/>
      <c r="K816" s="39"/>
      <c r="O816" s="17"/>
      <c r="P816" s="17"/>
      <c r="Q816" s="17"/>
      <c r="R816" s="17"/>
      <c r="S816" s="17"/>
      <c r="T816" s="17"/>
      <c r="U816" s="17"/>
      <c r="V816" s="17"/>
    </row>
    <row r="817" ht="14.25" customHeight="1">
      <c r="A817" s="38"/>
      <c r="B817" s="38"/>
      <c r="C817" s="39"/>
      <c r="D817" s="39"/>
      <c r="E817" s="39"/>
      <c r="F817" s="39"/>
      <c r="G817" s="39"/>
      <c r="H817" s="39"/>
      <c r="I817" s="39"/>
      <c r="J817" s="39"/>
      <c r="K817" s="39"/>
      <c r="O817" s="17"/>
      <c r="P817" s="17"/>
      <c r="Q817" s="17"/>
      <c r="R817" s="17"/>
      <c r="S817" s="17"/>
      <c r="T817" s="17"/>
      <c r="U817" s="17"/>
      <c r="V817" s="17"/>
    </row>
    <row r="818" ht="14.25" customHeight="1">
      <c r="A818" s="38"/>
      <c r="B818" s="38"/>
      <c r="C818" s="39"/>
      <c r="D818" s="39"/>
      <c r="E818" s="39"/>
      <c r="F818" s="39"/>
      <c r="G818" s="39"/>
      <c r="H818" s="39"/>
      <c r="I818" s="39"/>
      <c r="J818" s="39"/>
      <c r="K818" s="39"/>
      <c r="O818" s="17"/>
      <c r="P818" s="17"/>
      <c r="Q818" s="17"/>
      <c r="R818" s="17"/>
      <c r="S818" s="17"/>
      <c r="T818" s="17"/>
      <c r="U818" s="17"/>
      <c r="V818" s="17"/>
    </row>
    <row r="819" ht="14.25" customHeight="1">
      <c r="A819" s="38"/>
      <c r="B819" s="38"/>
      <c r="C819" s="39"/>
      <c r="D819" s="39"/>
      <c r="E819" s="39"/>
      <c r="F819" s="39"/>
      <c r="G819" s="39"/>
      <c r="H819" s="39"/>
      <c r="I819" s="39"/>
      <c r="J819" s="39"/>
      <c r="K819" s="39"/>
      <c r="O819" s="17"/>
      <c r="P819" s="17"/>
      <c r="Q819" s="17"/>
      <c r="R819" s="17"/>
      <c r="S819" s="17"/>
      <c r="T819" s="17"/>
      <c r="U819" s="17"/>
      <c r="V819" s="17"/>
    </row>
    <row r="820" ht="14.25" customHeight="1">
      <c r="A820" s="38"/>
      <c r="B820" s="38"/>
      <c r="C820" s="39"/>
      <c r="D820" s="39"/>
      <c r="E820" s="39"/>
      <c r="F820" s="39"/>
      <c r="G820" s="39"/>
      <c r="H820" s="39"/>
      <c r="I820" s="39"/>
      <c r="J820" s="39"/>
      <c r="K820" s="39"/>
      <c r="O820" s="17"/>
      <c r="P820" s="17"/>
      <c r="Q820" s="17"/>
      <c r="R820" s="17"/>
      <c r="S820" s="17"/>
      <c r="T820" s="17"/>
      <c r="U820" s="17"/>
      <c r="V820" s="17"/>
    </row>
    <row r="821" ht="14.25" customHeight="1">
      <c r="A821" s="38"/>
      <c r="B821" s="38"/>
      <c r="C821" s="39"/>
      <c r="D821" s="39"/>
      <c r="E821" s="39"/>
      <c r="F821" s="39"/>
      <c r="G821" s="39"/>
      <c r="H821" s="39"/>
      <c r="I821" s="39"/>
      <c r="J821" s="39"/>
      <c r="K821" s="39"/>
      <c r="O821" s="17"/>
      <c r="P821" s="17"/>
      <c r="Q821" s="17"/>
      <c r="R821" s="17"/>
      <c r="S821" s="17"/>
      <c r="T821" s="17"/>
      <c r="U821" s="17"/>
      <c r="V821" s="17"/>
    </row>
    <row r="822" ht="14.25" customHeight="1">
      <c r="A822" s="38"/>
      <c r="B822" s="38"/>
      <c r="C822" s="39"/>
      <c r="D822" s="39"/>
      <c r="E822" s="39"/>
      <c r="F822" s="39"/>
      <c r="G822" s="39"/>
      <c r="H822" s="39"/>
      <c r="I822" s="39"/>
      <c r="J822" s="39"/>
      <c r="K822" s="39"/>
      <c r="O822" s="17"/>
      <c r="P822" s="17"/>
      <c r="Q822" s="17"/>
      <c r="R822" s="17"/>
      <c r="S822" s="17"/>
      <c r="T822" s="17"/>
      <c r="U822" s="17"/>
      <c r="V822" s="17"/>
    </row>
    <row r="823" ht="14.25" customHeight="1">
      <c r="A823" s="38"/>
      <c r="B823" s="38"/>
      <c r="C823" s="39"/>
      <c r="D823" s="39"/>
      <c r="E823" s="39"/>
      <c r="F823" s="39"/>
      <c r="G823" s="39"/>
      <c r="H823" s="39"/>
      <c r="I823" s="39"/>
      <c r="J823" s="39"/>
      <c r="K823" s="39"/>
      <c r="O823" s="17"/>
      <c r="P823" s="17"/>
      <c r="Q823" s="17"/>
      <c r="R823" s="17"/>
      <c r="S823" s="17"/>
      <c r="T823" s="17"/>
      <c r="U823" s="17"/>
      <c r="V823" s="17"/>
    </row>
    <row r="824" ht="14.25" customHeight="1">
      <c r="A824" s="38"/>
      <c r="B824" s="38"/>
      <c r="C824" s="39"/>
      <c r="D824" s="39"/>
      <c r="E824" s="39"/>
      <c r="F824" s="39"/>
      <c r="G824" s="39"/>
      <c r="H824" s="39"/>
      <c r="I824" s="39"/>
      <c r="J824" s="39"/>
      <c r="K824" s="39"/>
      <c r="O824" s="17"/>
      <c r="P824" s="17"/>
      <c r="Q824" s="17"/>
      <c r="R824" s="17"/>
      <c r="S824" s="17"/>
      <c r="T824" s="17"/>
      <c r="U824" s="17"/>
      <c r="V824" s="17"/>
    </row>
    <row r="825" ht="14.25" customHeight="1">
      <c r="A825" s="38"/>
      <c r="B825" s="38"/>
      <c r="C825" s="39"/>
      <c r="D825" s="39"/>
      <c r="E825" s="39"/>
      <c r="F825" s="39"/>
      <c r="G825" s="39"/>
      <c r="H825" s="39"/>
      <c r="I825" s="39"/>
      <c r="J825" s="39"/>
      <c r="K825" s="39"/>
      <c r="O825" s="17"/>
      <c r="P825" s="17"/>
      <c r="Q825" s="17"/>
      <c r="R825" s="17"/>
      <c r="S825" s="17"/>
      <c r="T825" s="17"/>
      <c r="U825" s="17"/>
      <c r="V825" s="17"/>
    </row>
    <row r="826" ht="14.25" customHeight="1">
      <c r="A826" s="38"/>
      <c r="B826" s="38"/>
      <c r="C826" s="39"/>
      <c r="D826" s="39"/>
      <c r="E826" s="39"/>
      <c r="F826" s="39"/>
      <c r="G826" s="39"/>
      <c r="H826" s="39"/>
      <c r="I826" s="39"/>
      <c r="J826" s="39"/>
      <c r="K826" s="39"/>
      <c r="O826" s="17"/>
      <c r="P826" s="17"/>
      <c r="Q826" s="17"/>
      <c r="R826" s="17"/>
      <c r="S826" s="17"/>
      <c r="T826" s="17"/>
      <c r="U826" s="17"/>
      <c r="V826" s="17"/>
    </row>
    <row r="827" ht="14.25" customHeight="1">
      <c r="A827" s="38"/>
      <c r="B827" s="38"/>
      <c r="C827" s="39"/>
      <c r="D827" s="39"/>
      <c r="E827" s="39"/>
      <c r="F827" s="39"/>
      <c r="G827" s="39"/>
      <c r="H827" s="39"/>
      <c r="I827" s="39"/>
      <c r="J827" s="39"/>
      <c r="K827" s="39"/>
      <c r="O827" s="17"/>
      <c r="P827" s="17"/>
      <c r="Q827" s="17"/>
      <c r="R827" s="17"/>
      <c r="S827" s="17"/>
      <c r="T827" s="17"/>
      <c r="U827" s="17"/>
      <c r="V827" s="17"/>
    </row>
    <row r="828" ht="14.25" customHeight="1">
      <c r="A828" s="38"/>
      <c r="B828" s="38"/>
      <c r="C828" s="39"/>
      <c r="D828" s="39"/>
      <c r="E828" s="39"/>
      <c r="F828" s="39"/>
      <c r="G828" s="39"/>
      <c r="H828" s="39"/>
      <c r="I828" s="39"/>
      <c r="J828" s="39"/>
      <c r="K828" s="39"/>
      <c r="O828" s="17"/>
      <c r="P828" s="17"/>
      <c r="Q828" s="17"/>
      <c r="R828" s="17"/>
      <c r="S828" s="17"/>
      <c r="T828" s="17"/>
      <c r="U828" s="17"/>
      <c r="V828" s="17"/>
    </row>
    <row r="829" ht="14.25" customHeight="1">
      <c r="A829" s="38"/>
      <c r="B829" s="38"/>
      <c r="C829" s="39"/>
      <c r="D829" s="39"/>
      <c r="E829" s="39"/>
      <c r="F829" s="39"/>
      <c r="G829" s="39"/>
      <c r="H829" s="39"/>
      <c r="I829" s="39"/>
      <c r="J829" s="39"/>
      <c r="K829" s="39"/>
      <c r="O829" s="17"/>
      <c r="P829" s="17"/>
      <c r="Q829" s="17"/>
      <c r="R829" s="17"/>
      <c r="S829" s="17"/>
      <c r="T829" s="17"/>
      <c r="U829" s="17"/>
      <c r="V829" s="17"/>
    </row>
    <row r="830" ht="14.25" customHeight="1">
      <c r="A830" s="38"/>
      <c r="B830" s="38"/>
      <c r="C830" s="39"/>
      <c r="D830" s="39"/>
      <c r="E830" s="39"/>
      <c r="F830" s="39"/>
      <c r="G830" s="39"/>
      <c r="H830" s="39"/>
      <c r="I830" s="39"/>
      <c r="J830" s="39"/>
      <c r="K830" s="39"/>
      <c r="O830" s="17"/>
      <c r="P830" s="17"/>
      <c r="Q830" s="17"/>
      <c r="R830" s="17"/>
      <c r="S830" s="17"/>
      <c r="T830" s="17"/>
      <c r="U830" s="17"/>
      <c r="V830" s="17"/>
    </row>
    <row r="831" ht="14.25" customHeight="1">
      <c r="A831" s="38"/>
      <c r="B831" s="38"/>
      <c r="C831" s="39"/>
      <c r="D831" s="39"/>
      <c r="E831" s="39"/>
      <c r="F831" s="39"/>
      <c r="G831" s="39"/>
      <c r="H831" s="39"/>
      <c r="I831" s="39"/>
      <c r="J831" s="39"/>
      <c r="K831" s="39"/>
      <c r="O831" s="17"/>
      <c r="P831" s="17"/>
      <c r="Q831" s="17"/>
      <c r="R831" s="17"/>
      <c r="S831" s="17"/>
      <c r="T831" s="17"/>
      <c r="U831" s="17"/>
      <c r="V831" s="17"/>
    </row>
    <row r="832" ht="14.25" customHeight="1">
      <c r="A832" s="38"/>
      <c r="B832" s="38"/>
      <c r="C832" s="39"/>
      <c r="D832" s="39"/>
      <c r="E832" s="39"/>
      <c r="F832" s="39"/>
      <c r="G832" s="39"/>
      <c r="H832" s="39"/>
      <c r="I832" s="39"/>
      <c r="J832" s="39"/>
      <c r="K832" s="39"/>
      <c r="O832" s="17"/>
      <c r="P832" s="17"/>
      <c r="Q832" s="17"/>
      <c r="R832" s="17"/>
      <c r="S832" s="17"/>
      <c r="T832" s="17"/>
      <c r="U832" s="17"/>
      <c r="V832" s="17"/>
    </row>
    <row r="833" ht="14.25" customHeight="1">
      <c r="A833" s="38"/>
      <c r="B833" s="38"/>
      <c r="C833" s="39"/>
      <c r="D833" s="39"/>
      <c r="E833" s="39"/>
      <c r="F833" s="39"/>
      <c r="G833" s="39"/>
      <c r="H833" s="39"/>
      <c r="I833" s="39"/>
      <c r="J833" s="39"/>
      <c r="K833" s="39"/>
      <c r="O833" s="17"/>
      <c r="P833" s="17"/>
      <c r="Q833" s="17"/>
      <c r="R833" s="17"/>
      <c r="S833" s="17"/>
      <c r="T833" s="17"/>
      <c r="U833" s="17"/>
      <c r="V833" s="17"/>
    </row>
    <row r="834" ht="14.25" customHeight="1">
      <c r="A834" s="38"/>
      <c r="B834" s="38"/>
      <c r="C834" s="39"/>
      <c r="D834" s="39"/>
      <c r="E834" s="39"/>
      <c r="F834" s="39"/>
      <c r="G834" s="39"/>
      <c r="H834" s="39"/>
      <c r="I834" s="39"/>
      <c r="J834" s="39"/>
      <c r="K834" s="39"/>
      <c r="O834" s="17"/>
      <c r="P834" s="17"/>
      <c r="Q834" s="17"/>
      <c r="R834" s="17"/>
      <c r="S834" s="17"/>
      <c r="T834" s="17"/>
      <c r="U834" s="17"/>
      <c r="V834" s="17"/>
    </row>
    <row r="835" ht="14.25" customHeight="1">
      <c r="A835" s="38"/>
      <c r="B835" s="38"/>
      <c r="C835" s="39"/>
      <c r="D835" s="39"/>
      <c r="E835" s="39"/>
      <c r="F835" s="39"/>
      <c r="G835" s="39"/>
      <c r="H835" s="39"/>
      <c r="I835" s="39"/>
      <c r="J835" s="39"/>
      <c r="K835" s="39"/>
      <c r="O835" s="17"/>
      <c r="P835" s="17"/>
      <c r="Q835" s="17"/>
      <c r="R835" s="17"/>
      <c r="S835" s="17"/>
      <c r="T835" s="17"/>
      <c r="U835" s="17"/>
      <c r="V835" s="17"/>
    </row>
    <row r="836" ht="14.25" customHeight="1">
      <c r="A836" s="38"/>
      <c r="B836" s="38"/>
      <c r="C836" s="39"/>
      <c r="D836" s="39"/>
      <c r="E836" s="39"/>
      <c r="F836" s="39"/>
      <c r="G836" s="39"/>
      <c r="H836" s="39"/>
      <c r="I836" s="39"/>
      <c r="J836" s="39"/>
      <c r="K836" s="39"/>
      <c r="O836" s="17"/>
      <c r="P836" s="17"/>
      <c r="Q836" s="17"/>
      <c r="R836" s="17"/>
      <c r="S836" s="17"/>
      <c r="T836" s="17"/>
      <c r="U836" s="17"/>
      <c r="V836" s="17"/>
    </row>
    <row r="837" ht="14.25" customHeight="1">
      <c r="A837" s="38"/>
      <c r="B837" s="38"/>
      <c r="C837" s="39"/>
      <c r="D837" s="39"/>
      <c r="E837" s="39"/>
      <c r="F837" s="39"/>
      <c r="G837" s="39"/>
      <c r="H837" s="39"/>
      <c r="I837" s="39"/>
      <c r="J837" s="39"/>
      <c r="K837" s="39"/>
      <c r="O837" s="17"/>
      <c r="P837" s="17"/>
      <c r="Q837" s="17"/>
      <c r="R837" s="17"/>
      <c r="S837" s="17"/>
      <c r="T837" s="17"/>
      <c r="U837" s="17"/>
      <c r="V837" s="17"/>
    </row>
    <row r="838" ht="14.25" customHeight="1">
      <c r="A838" s="38"/>
      <c r="B838" s="38"/>
      <c r="C838" s="39"/>
      <c r="D838" s="39"/>
      <c r="E838" s="39"/>
      <c r="F838" s="39"/>
      <c r="G838" s="39"/>
      <c r="H838" s="39"/>
      <c r="I838" s="39"/>
      <c r="J838" s="39"/>
      <c r="K838" s="39"/>
      <c r="O838" s="17"/>
      <c r="P838" s="17"/>
      <c r="Q838" s="17"/>
      <c r="R838" s="17"/>
      <c r="S838" s="17"/>
      <c r="T838" s="17"/>
      <c r="U838" s="17"/>
      <c r="V838" s="17"/>
    </row>
    <row r="839" ht="14.25" customHeight="1">
      <c r="A839" s="38"/>
      <c r="B839" s="38"/>
      <c r="C839" s="39"/>
      <c r="D839" s="39"/>
      <c r="E839" s="39"/>
      <c r="F839" s="39"/>
      <c r="G839" s="39"/>
      <c r="H839" s="39"/>
      <c r="I839" s="39"/>
      <c r="J839" s="39"/>
      <c r="K839" s="39"/>
      <c r="O839" s="17"/>
      <c r="P839" s="17"/>
      <c r="Q839" s="17"/>
      <c r="R839" s="17"/>
      <c r="S839" s="17"/>
      <c r="T839" s="17"/>
      <c r="U839" s="17"/>
      <c r="V839" s="17"/>
    </row>
    <row r="840" ht="14.25" customHeight="1">
      <c r="A840" s="38"/>
      <c r="B840" s="38"/>
      <c r="C840" s="39"/>
      <c r="D840" s="39"/>
      <c r="E840" s="39"/>
      <c r="F840" s="39"/>
      <c r="G840" s="39"/>
      <c r="H840" s="39"/>
      <c r="I840" s="39"/>
      <c r="J840" s="39"/>
      <c r="K840" s="39"/>
      <c r="O840" s="17"/>
      <c r="P840" s="17"/>
      <c r="Q840" s="17"/>
      <c r="R840" s="17"/>
      <c r="S840" s="17"/>
      <c r="T840" s="17"/>
      <c r="U840" s="17"/>
      <c r="V840" s="17"/>
    </row>
    <row r="841" ht="14.25" customHeight="1">
      <c r="A841" s="38"/>
      <c r="B841" s="38"/>
      <c r="C841" s="39"/>
      <c r="D841" s="39"/>
      <c r="E841" s="39"/>
      <c r="F841" s="39"/>
      <c r="G841" s="39"/>
      <c r="H841" s="39"/>
      <c r="I841" s="39"/>
      <c r="J841" s="39"/>
      <c r="K841" s="39"/>
      <c r="O841" s="17"/>
      <c r="P841" s="17"/>
      <c r="Q841" s="17"/>
      <c r="R841" s="17"/>
      <c r="S841" s="17"/>
      <c r="T841" s="17"/>
      <c r="U841" s="17"/>
      <c r="V841" s="17"/>
    </row>
    <row r="842" ht="14.25" customHeight="1">
      <c r="A842" s="38"/>
      <c r="B842" s="38"/>
      <c r="C842" s="39"/>
      <c r="D842" s="39"/>
      <c r="E842" s="39"/>
      <c r="F842" s="39"/>
      <c r="G842" s="39"/>
      <c r="H842" s="39"/>
      <c r="I842" s="39"/>
      <c r="J842" s="39"/>
      <c r="K842" s="39"/>
      <c r="O842" s="17"/>
      <c r="P842" s="17"/>
      <c r="Q842" s="17"/>
      <c r="R842" s="17"/>
      <c r="S842" s="17"/>
      <c r="T842" s="17"/>
      <c r="U842" s="17"/>
      <c r="V842" s="17"/>
    </row>
    <row r="843" ht="14.25" customHeight="1">
      <c r="A843" s="38"/>
      <c r="B843" s="38"/>
      <c r="C843" s="39"/>
      <c r="D843" s="39"/>
      <c r="E843" s="39"/>
      <c r="F843" s="39"/>
      <c r="G843" s="39"/>
      <c r="H843" s="39"/>
      <c r="I843" s="39"/>
      <c r="J843" s="39"/>
      <c r="K843" s="39"/>
      <c r="O843" s="17"/>
      <c r="P843" s="17"/>
      <c r="Q843" s="17"/>
      <c r="R843" s="17"/>
      <c r="S843" s="17"/>
      <c r="T843" s="17"/>
      <c r="U843" s="17"/>
      <c r="V843" s="17"/>
    </row>
    <row r="844" ht="14.25" customHeight="1">
      <c r="A844" s="38"/>
      <c r="B844" s="38"/>
      <c r="C844" s="39"/>
      <c r="D844" s="39"/>
      <c r="E844" s="39"/>
      <c r="F844" s="39"/>
      <c r="G844" s="39"/>
      <c r="H844" s="39"/>
      <c r="I844" s="39"/>
      <c r="J844" s="39"/>
      <c r="K844" s="39"/>
      <c r="O844" s="17"/>
      <c r="P844" s="17"/>
      <c r="Q844" s="17"/>
      <c r="R844" s="17"/>
      <c r="S844" s="17"/>
      <c r="T844" s="17"/>
      <c r="U844" s="17"/>
      <c r="V844" s="17"/>
    </row>
    <row r="845" ht="14.25" customHeight="1">
      <c r="A845" s="38"/>
      <c r="B845" s="38"/>
      <c r="C845" s="39"/>
      <c r="D845" s="39"/>
      <c r="E845" s="39"/>
      <c r="F845" s="39"/>
      <c r="G845" s="39"/>
      <c r="H845" s="39"/>
      <c r="I845" s="39"/>
      <c r="J845" s="39"/>
      <c r="K845" s="39"/>
      <c r="O845" s="17"/>
      <c r="P845" s="17"/>
      <c r="Q845" s="17"/>
      <c r="R845" s="17"/>
      <c r="S845" s="17"/>
      <c r="T845" s="17"/>
      <c r="U845" s="17"/>
      <c r="V845" s="17"/>
    </row>
    <row r="846" ht="14.25" customHeight="1">
      <c r="A846" s="38"/>
      <c r="B846" s="38"/>
      <c r="C846" s="39"/>
      <c r="D846" s="39"/>
      <c r="E846" s="39"/>
      <c r="F846" s="39"/>
      <c r="G846" s="39"/>
      <c r="H846" s="39"/>
      <c r="I846" s="39"/>
      <c r="J846" s="39"/>
      <c r="K846" s="39"/>
      <c r="O846" s="17"/>
      <c r="P846" s="17"/>
      <c r="Q846" s="17"/>
      <c r="R846" s="17"/>
      <c r="S846" s="17"/>
      <c r="T846" s="17"/>
      <c r="U846" s="17"/>
      <c r="V846" s="17"/>
    </row>
    <row r="847" ht="14.25" customHeight="1">
      <c r="A847" s="38"/>
      <c r="B847" s="38"/>
      <c r="C847" s="39"/>
      <c r="D847" s="39"/>
      <c r="E847" s="39"/>
      <c r="F847" s="39"/>
      <c r="G847" s="39"/>
      <c r="H847" s="39"/>
      <c r="I847" s="39"/>
      <c r="J847" s="39"/>
      <c r="K847" s="39"/>
      <c r="O847" s="17"/>
      <c r="P847" s="17"/>
      <c r="Q847" s="17"/>
      <c r="R847" s="17"/>
      <c r="S847" s="17"/>
      <c r="T847" s="17"/>
      <c r="U847" s="17"/>
      <c r="V847" s="17"/>
    </row>
    <row r="848" ht="14.25" customHeight="1">
      <c r="A848" s="38"/>
      <c r="B848" s="38"/>
      <c r="C848" s="39"/>
      <c r="D848" s="39"/>
      <c r="E848" s="39"/>
      <c r="F848" s="39"/>
      <c r="G848" s="39"/>
      <c r="H848" s="39"/>
      <c r="I848" s="39"/>
      <c r="J848" s="39"/>
      <c r="K848" s="39"/>
      <c r="O848" s="17"/>
      <c r="P848" s="17"/>
      <c r="Q848" s="17"/>
      <c r="R848" s="17"/>
      <c r="S848" s="17"/>
      <c r="T848" s="17"/>
      <c r="U848" s="17"/>
      <c r="V848" s="17"/>
    </row>
    <row r="849" ht="14.25" customHeight="1">
      <c r="A849" s="38"/>
      <c r="B849" s="38"/>
      <c r="C849" s="39"/>
      <c r="D849" s="39"/>
      <c r="E849" s="39"/>
      <c r="F849" s="39"/>
      <c r="G849" s="39"/>
      <c r="H849" s="39"/>
      <c r="I849" s="39"/>
      <c r="J849" s="39"/>
      <c r="K849" s="39"/>
      <c r="O849" s="17"/>
      <c r="P849" s="17"/>
      <c r="Q849" s="17"/>
      <c r="R849" s="17"/>
      <c r="S849" s="17"/>
      <c r="T849" s="17"/>
      <c r="U849" s="17"/>
      <c r="V849" s="17"/>
    </row>
    <row r="850" ht="14.25" customHeight="1">
      <c r="A850" s="38"/>
      <c r="B850" s="38"/>
      <c r="C850" s="39"/>
      <c r="D850" s="39"/>
      <c r="E850" s="39"/>
      <c r="F850" s="39"/>
      <c r="G850" s="39"/>
      <c r="H850" s="39"/>
      <c r="I850" s="39"/>
      <c r="J850" s="39"/>
      <c r="K850" s="39"/>
      <c r="O850" s="17"/>
      <c r="P850" s="17"/>
      <c r="Q850" s="17"/>
      <c r="R850" s="17"/>
      <c r="S850" s="17"/>
      <c r="T850" s="17"/>
      <c r="U850" s="17"/>
      <c r="V850" s="17"/>
    </row>
    <row r="851" ht="14.25" customHeight="1">
      <c r="A851" s="38"/>
      <c r="B851" s="38"/>
      <c r="C851" s="39"/>
      <c r="D851" s="39"/>
      <c r="E851" s="39"/>
      <c r="F851" s="39"/>
      <c r="G851" s="39"/>
      <c r="H851" s="39"/>
      <c r="I851" s="39"/>
      <c r="J851" s="39"/>
      <c r="K851" s="39"/>
      <c r="O851" s="17"/>
      <c r="P851" s="17"/>
      <c r="Q851" s="17"/>
      <c r="R851" s="17"/>
      <c r="S851" s="17"/>
      <c r="T851" s="17"/>
      <c r="U851" s="17"/>
      <c r="V851" s="17"/>
    </row>
    <row r="852" ht="14.25" customHeight="1">
      <c r="A852" s="38"/>
      <c r="B852" s="38"/>
      <c r="C852" s="39"/>
      <c r="D852" s="39"/>
      <c r="E852" s="39"/>
      <c r="F852" s="39"/>
      <c r="G852" s="39"/>
      <c r="H852" s="39"/>
      <c r="I852" s="39"/>
      <c r="J852" s="39"/>
      <c r="K852" s="39"/>
      <c r="O852" s="17"/>
      <c r="P852" s="17"/>
      <c r="Q852" s="17"/>
      <c r="R852" s="17"/>
      <c r="S852" s="17"/>
      <c r="T852" s="17"/>
      <c r="U852" s="17"/>
      <c r="V852" s="17"/>
    </row>
    <row r="853" ht="14.25" customHeight="1">
      <c r="A853" s="38"/>
      <c r="B853" s="38"/>
      <c r="C853" s="39"/>
      <c r="D853" s="39"/>
      <c r="E853" s="39"/>
      <c r="F853" s="39"/>
      <c r="G853" s="39"/>
      <c r="H853" s="39"/>
      <c r="I853" s="39"/>
      <c r="J853" s="39"/>
      <c r="K853" s="39"/>
      <c r="O853" s="17"/>
      <c r="P853" s="17"/>
      <c r="Q853" s="17"/>
      <c r="R853" s="17"/>
      <c r="S853" s="17"/>
      <c r="T853" s="17"/>
      <c r="U853" s="17"/>
      <c r="V853" s="17"/>
    </row>
    <row r="854" ht="14.25" customHeight="1">
      <c r="A854" s="38"/>
      <c r="B854" s="38"/>
      <c r="C854" s="39"/>
      <c r="D854" s="39"/>
      <c r="E854" s="39"/>
      <c r="F854" s="39"/>
      <c r="G854" s="39"/>
      <c r="H854" s="39"/>
      <c r="I854" s="39"/>
      <c r="J854" s="39"/>
      <c r="K854" s="39"/>
      <c r="O854" s="17"/>
      <c r="P854" s="17"/>
      <c r="Q854" s="17"/>
      <c r="R854" s="17"/>
      <c r="S854" s="17"/>
      <c r="T854" s="17"/>
      <c r="U854" s="17"/>
      <c r="V854" s="17"/>
    </row>
    <row r="855" ht="14.25" customHeight="1">
      <c r="A855" s="38"/>
      <c r="B855" s="38"/>
      <c r="C855" s="39"/>
      <c r="D855" s="39"/>
      <c r="E855" s="39"/>
      <c r="F855" s="39"/>
      <c r="G855" s="39"/>
      <c r="H855" s="39"/>
      <c r="I855" s="39"/>
      <c r="J855" s="39"/>
      <c r="K855" s="39"/>
      <c r="O855" s="17"/>
      <c r="P855" s="17"/>
      <c r="Q855" s="17"/>
      <c r="R855" s="17"/>
      <c r="S855" s="17"/>
      <c r="T855" s="17"/>
      <c r="U855" s="17"/>
      <c r="V855" s="17"/>
    </row>
    <row r="856" ht="14.25" customHeight="1">
      <c r="A856" s="38"/>
      <c r="B856" s="38"/>
      <c r="C856" s="39"/>
      <c r="D856" s="39"/>
      <c r="E856" s="39"/>
      <c r="F856" s="39"/>
      <c r="G856" s="39"/>
      <c r="H856" s="39"/>
      <c r="I856" s="39"/>
      <c r="J856" s="39"/>
      <c r="K856" s="39"/>
      <c r="O856" s="17"/>
      <c r="P856" s="17"/>
      <c r="Q856" s="17"/>
      <c r="R856" s="17"/>
      <c r="S856" s="17"/>
      <c r="T856" s="17"/>
      <c r="U856" s="17"/>
      <c r="V856" s="17"/>
    </row>
    <row r="857" ht="14.25" customHeight="1">
      <c r="A857" s="38"/>
      <c r="B857" s="38"/>
      <c r="C857" s="39"/>
      <c r="D857" s="39"/>
      <c r="E857" s="39"/>
      <c r="F857" s="39"/>
      <c r="G857" s="39"/>
      <c r="H857" s="39"/>
      <c r="I857" s="39"/>
      <c r="J857" s="39"/>
      <c r="K857" s="39"/>
      <c r="O857" s="17"/>
      <c r="P857" s="17"/>
      <c r="Q857" s="17"/>
      <c r="R857" s="17"/>
      <c r="S857" s="17"/>
      <c r="T857" s="17"/>
      <c r="U857" s="17"/>
      <c r="V857" s="17"/>
    </row>
    <row r="858" ht="14.25" customHeight="1">
      <c r="A858" s="38"/>
      <c r="B858" s="38"/>
      <c r="C858" s="39"/>
      <c r="D858" s="39"/>
      <c r="E858" s="39"/>
      <c r="F858" s="39"/>
      <c r="G858" s="39"/>
      <c r="H858" s="39"/>
      <c r="I858" s="39"/>
      <c r="J858" s="39"/>
      <c r="K858" s="39"/>
      <c r="O858" s="17"/>
      <c r="P858" s="17"/>
      <c r="Q858" s="17"/>
      <c r="R858" s="17"/>
      <c r="S858" s="17"/>
      <c r="T858" s="17"/>
      <c r="U858" s="17"/>
      <c r="V858" s="17"/>
    </row>
    <row r="859" ht="14.25" customHeight="1">
      <c r="A859" s="38"/>
      <c r="B859" s="38"/>
      <c r="C859" s="39"/>
      <c r="D859" s="39"/>
      <c r="E859" s="39"/>
      <c r="F859" s="39"/>
      <c r="G859" s="39"/>
      <c r="H859" s="39"/>
      <c r="I859" s="39"/>
      <c r="J859" s="39"/>
      <c r="K859" s="39"/>
      <c r="O859" s="17"/>
      <c r="P859" s="17"/>
      <c r="Q859" s="17"/>
      <c r="R859" s="17"/>
      <c r="S859" s="17"/>
      <c r="T859" s="17"/>
      <c r="U859" s="17"/>
      <c r="V859" s="17"/>
    </row>
    <row r="860" ht="14.25" customHeight="1">
      <c r="A860" s="38"/>
      <c r="B860" s="38"/>
      <c r="C860" s="39"/>
      <c r="D860" s="39"/>
      <c r="E860" s="39"/>
      <c r="F860" s="39"/>
      <c r="G860" s="39"/>
      <c r="H860" s="39"/>
      <c r="I860" s="39"/>
      <c r="J860" s="39"/>
      <c r="K860" s="39"/>
      <c r="O860" s="17"/>
      <c r="P860" s="17"/>
      <c r="Q860" s="17"/>
      <c r="R860" s="17"/>
      <c r="S860" s="17"/>
      <c r="T860" s="17"/>
      <c r="U860" s="17"/>
      <c r="V860" s="17"/>
    </row>
    <row r="861" ht="14.25" customHeight="1">
      <c r="A861" s="38"/>
      <c r="B861" s="38"/>
      <c r="C861" s="39"/>
      <c r="D861" s="39"/>
      <c r="E861" s="39"/>
      <c r="F861" s="39"/>
      <c r="G861" s="39"/>
      <c r="H861" s="39"/>
      <c r="I861" s="39"/>
      <c r="J861" s="39"/>
      <c r="K861" s="39"/>
      <c r="O861" s="17"/>
      <c r="P861" s="17"/>
      <c r="Q861" s="17"/>
      <c r="R861" s="17"/>
      <c r="S861" s="17"/>
      <c r="T861" s="17"/>
      <c r="U861" s="17"/>
      <c r="V861" s="17"/>
    </row>
    <row r="862" ht="14.25" customHeight="1">
      <c r="A862" s="38"/>
      <c r="B862" s="38"/>
      <c r="C862" s="39"/>
      <c r="D862" s="39"/>
      <c r="E862" s="39"/>
      <c r="F862" s="39"/>
      <c r="G862" s="39"/>
      <c r="H862" s="39"/>
      <c r="I862" s="39"/>
      <c r="J862" s="39"/>
      <c r="K862" s="39"/>
      <c r="O862" s="17"/>
      <c r="P862" s="17"/>
      <c r="Q862" s="17"/>
      <c r="R862" s="17"/>
      <c r="S862" s="17"/>
      <c r="T862" s="17"/>
      <c r="U862" s="17"/>
      <c r="V862" s="17"/>
    </row>
    <row r="863" ht="14.25" customHeight="1">
      <c r="A863" s="38"/>
      <c r="B863" s="38"/>
      <c r="C863" s="39"/>
      <c r="D863" s="39"/>
      <c r="E863" s="39"/>
      <c r="F863" s="39"/>
      <c r="G863" s="39"/>
      <c r="H863" s="39"/>
      <c r="I863" s="39"/>
      <c r="J863" s="39"/>
      <c r="K863" s="39"/>
      <c r="O863" s="17"/>
      <c r="P863" s="17"/>
      <c r="Q863" s="17"/>
      <c r="R863" s="17"/>
      <c r="S863" s="17"/>
      <c r="T863" s="17"/>
      <c r="U863" s="17"/>
      <c r="V863" s="17"/>
    </row>
    <row r="864" ht="14.25" customHeight="1">
      <c r="A864" s="38"/>
      <c r="B864" s="38"/>
      <c r="C864" s="39"/>
      <c r="D864" s="39"/>
      <c r="E864" s="39"/>
      <c r="F864" s="39"/>
      <c r="G864" s="39"/>
      <c r="H864" s="39"/>
      <c r="I864" s="39"/>
      <c r="J864" s="39"/>
      <c r="K864" s="39"/>
      <c r="O864" s="17"/>
      <c r="P864" s="17"/>
      <c r="Q864" s="17"/>
      <c r="R864" s="17"/>
      <c r="S864" s="17"/>
      <c r="T864" s="17"/>
      <c r="U864" s="17"/>
      <c r="V864" s="17"/>
    </row>
    <row r="865" ht="14.25" customHeight="1">
      <c r="A865" s="38"/>
      <c r="B865" s="38"/>
      <c r="C865" s="39"/>
      <c r="D865" s="39"/>
      <c r="E865" s="39"/>
      <c r="F865" s="39"/>
      <c r="G865" s="39"/>
      <c r="H865" s="39"/>
      <c r="I865" s="39"/>
      <c r="J865" s="39"/>
      <c r="K865" s="39"/>
      <c r="O865" s="17"/>
      <c r="P865" s="17"/>
      <c r="Q865" s="17"/>
      <c r="R865" s="17"/>
      <c r="S865" s="17"/>
      <c r="T865" s="17"/>
      <c r="U865" s="17"/>
      <c r="V865" s="17"/>
    </row>
    <row r="866" ht="14.25" customHeight="1">
      <c r="A866" s="38"/>
      <c r="B866" s="38"/>
      <c r="C866" s="39"/>
      <c r="D866" s="39"/>
      <c r="E866" s="39"/>
      <c r="F866" s="39"/>
      <c r="G866" s="39"/>
      <c r="H866" s="39"/>
      <c r="I866" s="39"/>
      <c r="J866" s="39"/>
      <c r="K866" s="39"/>
      <c r="O866" s="17"/>
      <c r="P866" s="17"/>
      <c r="Q866" s="17"/>
      <c r="R866" s="17"/>
      <c r="S866" s="17"/>
      <c r="T866" s="17"/>
      <c r="U866" s="17"/>
      <c r="V866" s="17"/>
    </row>
    <row r="867" ht="14.25" customHeight="1">
      <c r="A867" s="38"/>
      <c r="B867" s="38"/>
      <c r="C867" s="39"/>
      <c r="D867" s="39"/>
      <c r="E867" s="39"/>
      <c r="F867" s="39"/>
      <c r="G867" s="39"/>
      <c r="H867" s="39"/>
      <c r="I867" s="39"/>
      <c r="J867" s="39"/>
      <c r="K867" s="39"/>
      <c r="O867" s="17"/>
      <c r="P867" s="17"/>
      <c r="Q867" s="17"/>
      <c r="R867" s="17"/>
      <c r="S867" s="17"/>
      <c r="T867" s="17"/>
      <c r="U867" s="17"/>
      <c r="V867" s="17"/>
    </row>
    <row r="868" ht="14.25" customHeight="1">
      <c r="A868" s="38"/>
      <c r="B868" s="38"/>
      <c r="C868" s="39"/>
      <c r="D868" s="39"/>
      <c r="E868" s="39"/>
      <c r="F868" s="39"/>
      <c r="G868" s="39"/>
      <c r="H868" s="39"/>
      <c r="I868" s="39"/>
      <c r="J868" s="39"/>
      <c r="K868" s="39"/>
      <c r="O868" s="17"/>
      <c r="P868" s="17"/>
      <c r="Q868" s="17"/>
      <c r="R868" s="17"/>
      <c r="S868" s="17"/>
      <c r="T868" s="17"/>
      <c r="U868" s="17"/>
      <c r="V868" s="17"/>
    </row>
    <row r="869" ht="14.25" customHeight="1">
      <c r="A869" s="38"/>
      <c r="B869" s="38"/>
      <c r="C869" s="39"/>
      <c r="D869" s="39"/>
      <c r="E869" s="39"/>
      <c r="F869" s="39"/>
      <c r="G869" s="39"/>
      <c r="H869" s="39"/>
      <c r="I869" s="39"/>
      <c r="J869" s="39"/>
      <c r="K869" s="39"/>
      <c r="O869" s="17"/>
      <c r="P869" s="17"/>
      <c r="Q869" s="17"/>
      <c r="R869" s="17"/>
      <c r="S869" s="17"/>
      <c r="T869" s="17"/>
      <c r="U869" s="17"/>
      <c r="V869" s="17"/>
    </row>
    <row r="870" ht="14.25" customHeight="1">
      <c r="A870" s="38"/>
      <c r="B870" s="38"/>
      <c r="C870" s="39"/>
      <c r="D870" s="39"/>
      <c r="E870" s="39"/>
      <c r="F870" s="39"/>
      <c r="G870" s="39"/>
      <c r="H870" s="39"/>
      <c r="I870" s="39"/>
      <c r="J870" s="39"/>
      <c r="K870" s="39"/>
      <c r="O870" s="17"/>
      <c r="P870" s="17"/>
      <c r="Q870" s="17"/>
      <c r="R870" s="17"/>
      <c r="S870" s="17"/>
      <c r="T870" s="17"/>
      <c r="U870" s="17"/>
      <c r="V870" s="17"/>
    </row>
    <row r="871" ht="14.25" customHeight="1">
      <c r="A871" s="38"/>
      <c r="B871" s="38"/>
      <c r="C871" s="39"/>
      <c r="D871" s="39"/>
      <c r="E871" s="39"/>
      <c r="F871" s="39"/>
      <c r="G871" s="39"/>
      <c r="H871" s="39"/>
      <c r="I871" s="39"/>
      <c r="J871" s="39"/>
      <c r="K871" s="39"/>
      <c r="O871" s="17"/>
      <c r="P871" s="17"/>
      <c r="Q871" s="17"/>
      <c r="R871" s="17"/>
      <c r="S871" s="17"/>
      <c r="T871" s="17"/>
      <c r="U871" s="17"/>
      <c r="V871" s="17"/>
    </row>
    <row r="872" ht="14.25" customHeight="1">
      <c r="A872" s="38"/>
      <c r="B872" s="38"/>
      <c r="C872" s="39"/>
      <c r="D872" s="39"/>
      <c r="E872" s="39"/>
      <c r="F872" s="39"/>
      <c r="G872" s="39"/>
      <c r="H872" s="39"/>
      <c r="I872" s="39"/>
      <c r="J872" s="39"/>
      <c r="K872" s="39"/>
      <c r="O872" s="17"/>
      <c r="P872" s="17"/>
      <c r="Q872" s="17"/>
      <c r="R872" s="17"/>
      <c r="S872" s="17"/>
      <c r="T872" s="17"/>
      <c r="U872" s="17"/>
      <c r="V872" s="17"/>
    </row>
    <row r="873" ht="14.25" customHeight="1">
      <c r="A873" s="38"/>
      <c r="B873" s="38"/>
      <c r="C873" s="39"/>
      <c r="D873" s="39"/>
      <c r="E873" s="39"/>
      <c r="F873" s="39"/>
      <c r="G873" s="39"/>
      <c r="H873" s="39"/>
      <c r="I873" s="39"/>
      <c r="J873" s="39"/>
      <c r="K873" s="39"/>
      <c r="O873" s="17"/>
      <c r="P873" s="17"/>
      <c r="Q873" s="17"/>
      <c r="R873" s="17"/>
      <c r="S873" s="17"/>
      <c r="T873" s="17"/>
      <c r="U873" s="17"/>
      <c r="V873" s="17"/>
    </row>
    <row r="874" ht="14.25" customHeight="1">
      <c r="A874" s="38"/>
      <c r="B874" s="38"/>
      <c r="C874" s="39"/>
      <c r="D874" s="39"/>
      <c r="E874" s="39"/>
      <c r="F874" s="39"/>
      <c r="G874" s="39"/>
      <c r="H874" s="39"/>
      <c r="I874" s="39"/>
      <c r="J874" s="39"/>
      <c r="K874" s="39"/>
      <c r="O874" s="17"/>
      <c r="P874" s="17"/>
      <c r="Q874" s="17"/>
      <c r="R874" s="17"/>
      <c r="S874" s="17"/>
      <c r="T874" s="17"/>
      <c r="U874" s="17"/>
      <c r="V874" s="17"/>
    </row>
    <row r="875" ht="14.25" customHeight="1">
      <c r="A875" s="38"/>
      <c r="B875" s="38"/>
      <c r="C875" s="39"/>
      <c r="D875" s="39"/>
      <c r="E875" s="39"/>
      <c r="F875" s="39"/>
      <c r="G875" s="39"/>
      <c r="H875" s="39"/>
      <c r="I875" s="39"/>
      <c r="J875" s="39"/>
      <c r="K875" s="39"/>
      <c r="O875" s="17"/>
      <c r="P875" s="17"/>
      <c r="Q875" s="17"/>
      <c r="R875" s="17"/>
      <c r="S875" s="17"/>
      <c r="T875" s="17"/>
      <c r="U875" s="17"/>
      <c r="V875" s="17"/>
    </row>
    <row r="876" ht="14.25" customHeight="1">
      <c r="A876" s="38"/>
      <c r="B876" s="38"/>
      <c r="C876" s="39"/>
      <c r="D876" s="39"/>
      <c r="E876" s="39"/>
      <c r="F876" s="39"/>
      <c r="G876" s="39"/>
      <c r="H876" s="39"/>
      <c r="I876" s="39"/>
      <c r="J876" s="39"/>
      <c r="K876" s="39"/>
      <c r="O876" s="17"/>
      <c r="P876" s="17"/>
      <c r="Q876" s="17"/>
      <c r="R876" s="17"/>
      <c r="S876" s="17"/>
      <c r="T876" s="17"/>
      <c r="U876" s="17"/>
      <c r="V876" s="17"/>
    </row>
    <row r="877" ht="14.25" customHeight="1">
      <c r="A877" s="38"/>
      <c r="B877" s="38"/>
      <c r="C877" s="39"/>
      <c r="D877" s="39"/>
      <c r="E877" s="39"/>
      <c r="F877" s="39"/>
      <c r="G877" s="39"/>
      <c r="H877" s="39"/>
      <c r="I877" s="39"/>
      <c r="J877" s="39"/>
      <c r="K877" s="39"/>
      <c r="O877" s="17"/>
      <c r="P877" s="17"/>
      <c r="Q877" s="17"/>
      <c r="R877" s="17"/>
      <c r="S877" s="17"/>
      <c r="T877" s="17"/>
      <c r="U877" s="17"/>
      <c r="V877" s="17"/>
    </row>
    <row r="878" ht="14.25" customHeight="1">
      <c r="A878" s="38"/>
      <c r="B878" s="38"/>
      <c r="C878" s="39"/>
      <c r="D878" s="39"/>
      <c r="E878" s="39"/>
      <c r="F878" s="39"/>
      <c r="G878" s="39"/>
      <c r="H878" s="39"/>
      <c r="I878" s="39"/>
      <c r="J878" s="39"/>
      <c r="K878" s="39"/>
      <c r="O878" s="17"/>
      <c r="P878" s="17"/>
      <c r="Q878" s="17"/>
      <c r="R878" s="17"/>
      <c r="S878" s="17"/>
      <c r="T878" s="17"/>
      <c r="U878" s="17"/>
      <c r="V878" s="17"/>
    </row>
    <row r="879" ht="14.25" customHeight="1">
      <c r="A879" s="38"/>
      <c r="B879" s="38"/>
      <c r="C879" s="39"/>
      <c r="D879" s="39"/>
      <c r="E879" s="39"/>
      <c r="F879" s="39"/>
      <c r="G879" s="39"/>
      <c r="H879" s="39"/>
      <c r="I879" s="39"/>
      <c r="J879" s="39"/>
      <c r="K879" s="39"/>
      <c r="O879" s="17"/>
      <c r="P879" s="17"/>
      <c r="Q879" s="17"/>
      <c r="R879" s="17"/>
      <c r="S879" s="17"/>
      <c r="T879" s="17"/>
      <c r="U879" s="17"/>
      <c r="V879" s="17"/>
    </row>
    <row r="880" ht="14.25" customHeight="1">
      <c r="A880" s="38"/>
      <c r="B880" s="38"/>
      <c r="C880" s="39"/>
      <c r="D880" s="39"/>
      <c r="E880" s="39"/>
      <c r="F880" s="39"/>
      <c r="G880" s="39"/>
      <c r="H880" s="39"/>
      <c r="I880" s="39"/>
      <c r="J880" s="39"/>
      <c r="K880" s="39"/>
      <c r="O880" s="17"/>
      <c r="P880" s="17"/>
      <c r="Q880" s="17"/>
      <c r="R880" s="17"/>
      <c r="S880" s="17"/>
      <c r="T880" s="17"/>
      <c r="U880" s="17"/>
      <c r="V880" s="17"/>
    </row>
    <row r="881" ht="14.25" customHeight="1">
      <c r="A881" s="38"/>
      <c r="B881" s="38"/>
      <c r="C881" s="39"/>
      <c r="D881" s="39"/>
      <c r="E881" s="39"/>
      <c r="F881" s="39"/>
      <c r="G881" s="39"/>
      <c r="H881" s="39"/>
      <c r="I881" s="39"/>
      <c r="J881" s="39"/>
      <c r="K881" s="39"/>
      <c r="O881" s="17"/>
      <c r="P881" s="17"/>
      <c r="Q881" s="17"/>
      <c r="R881" s="17"/>
      <c r="S881" s="17"/>
      <c r="T881" s="17"/>
      <c r="U881" s="17"/>
      <c r="V881" s="17"/>
    </row>
    <row r="882" ht="14.25" customHeight="1">
      <c r="A882" s="38"/>
      <c r="B882" s="38"/>
      <c r="C882" s="39"/>
      <c r="D882" s="39"/>
      <c r="E882" s="39"/>
      <c r="F882" s="39"/>
      <c r="G882" s="39"/>
      <c r="H882" s="39"/>
      <c r="I882" s="39"/>
      <c r="J882" s="39"/>
      <c r="K882" s="39"/>
      <c r="O882" s="17"/>
      <c r="P882" s="17"/>
      <c r="Q882" s="17"/>
      <c r="R882" s="17"/>
      <c r="S882" s="17"/>
      <c r="T882" s="17"/>
      <c r="U882" s="17"/>
      <c r="V882" s="17"/>
    </row>
    <row r="883" ht="14.25" customHeight="1">
      <c r="A883" s="38"/>
      <c r="B883" s="38"/>
      <c r="C883" s="39"/>
      <c r="D883" s="39"/>
      <c r="E883" s="39"/>
      <c r="F883" s="39"/>
      <c r="G883" s="39"/>
      <c r="H883" s="39"/>
      <c r="I883" s="39"/>
      <c r="J883" s="39"/>
      <c r="K883" s="39"/>
      <c r="O883" s="17"/>
      <c r="P883" s="17"/>
      <c r="Q883" s="17"/>
      <c r="R883" s="17"/>
      <c r="S883" s="17"/>
      <c r="T883" s="17"/>
      <c r="U883" s="17"/>
      <c r="V883" s="17"/>
    </row>
    <row r="884" ht="14.25" customHeight="1">
      <c r="A884" s="38"/>
      <c r="B884" s="38"/>
      <c r="C884" s="39"/>
      <c r="D884" s="39"/>
      <c r="E884" s="39"/>
      <c r="F884" s="39"/>
      <c r="G884" s="39"/>
      <c r="H884" s="39"/>
      <c r="I884" s="39"/>
      <c r="J884" s="39"/>
      <c r="K884" s="39"/>
      <c r="O884" s="17"/>
      <c r="P884" s="17"/>
      <c r="Q884" s="17"/>
      <c r="R884" s="17"/>
      <c r="S884" s="17"/>
      <c r="T884" s="17"/>
      <c r="U884" s="17"/>
      <c r="V884" s="17"/>
    </row>
    <row r="885" ht="14.25" customHeight="1">
      <c r="A885" s="38"/>
      <c r="B885" s="38"/>
      <c r="C885" s="39"/>
      <c r="D885" s="39"/>
      <c r="E885" s="39"/>
      <c r="F885" s="39"/>
      <c r="G885" s="39"/>
      <c r="H885" s="39"/>
      <c r="I885" s="39"/>
      <c r="J885" s="39"/>
      <c r="K885" s="39"/>
      <c r="O885" s="17"/>
      <c r="P885" s="17"/>
      <c r="Q885" s="17"/>
      <c r="R885" s="17"/>
      <c r="S885" s="17"/>
      <c r="T885" s="17"/>
      <c r="U885" s="17"/>
      <c r="V885" s="17"/>
    </row>
    <row r="886" ht="14.25" customHeight="1">
      <c r="A886" s="38"/>
      <c r="B886" s="38"/>
      <c r="C886" s="39"/>
      <c r="D886" s="39"/>
      <c r="E886" s="39"/>
      <c r="F886" s="39"/>
      <c r="G886" s="39"/>
      <c r="H886" s="39"/>
      <c r="I886" s="39"/>
      <c r="J886" s="39"/>
      <c r="K886" s="39"/>
      <c r="O886" s="17"/>
      <c r="P886" s="17"/>
      <c r="Q886" s="17"/>
      <c r="R886" s="17"/>
      <c r="S886" s="17"/>
      <c r="T886" s="17"/>
      <c r="U886" s="17"/>
      <c r="V886" s="17"/>
    </row>
    <row r="887" ht="14.25" customHeight="1">
      <c r="A887" s="38"/>
      <c r="B887" s="38"/>
      <c r="C887" s="39"/>
      <c r="D887" s="39"/>
      <c r="E887" s="39"/>
      <c r="F887" s="39"/>
      <c r="G887" s="39"/>
      <c r="H887" s="39"/>
      <c r="I887" s="39"/>
      <c r="J887" s="39"/>
      <c r="K887" s="39"/>
      <c r="O887" s="17"/>
      <c r="P887" s="17"/>
      <c r="Q887" s="17"/>
      <c r="R887" s="17"/>
      <c r="S887" s="17"/>
      <c r="T887" s="17"/>
      <c r="U887" s="17"/>
      <c r="V887" s="17"/>
    </row>
    <row r="888" ht="14.25" customHeight="1">
      <c r="A888" s="38"/>
      <c r="B888" s="38"/>
      <c r="C888" s="39"/>
      <c r="D888" s="39"/>
      <c r="E888" s="39"/>
      <c r="F888" s="39"/>
      <c r="G888" s="39"/>
      <c r="H888" s="39"/>
      <c r="I888" s="39"/>
      <c r="J888" s="39"/>
      <c r="K888" s="39"/>
      <c r="O888" s="17"/>
      <c r="P888" s="17"/>
      <c r="Q888" s="17"/>
      <c r="R888" s="17"/>
      <c r="S888" s="17"/>
      <c r="T888" s="17"/>
      <c r="U888" s="17"/>
      <c r="V888" s="17"/>
    </row>
    <row r="889" ht="14.25" customHeight="1">
      <c r="A889" s="38"/>
      <c r="B889" s="38"/>
      <c r="C889" s="39"/>
      <c r="D889" s="39"/>
      <c r="E889" s="39"/>
      <c r="F889" s="39"/>
      <c r="G889" s="39"/>
      <c r="H889" s="39"/>
      <c r="I889" s="39"/>
      <c r="J889" s="39"/>
      <c r="K889" s="39"/>
      <c r="O889" s="17"/>
      <c r="P889" s="17"/>
      <c r="Q889" s="17"/>
      <c r="R889" s="17"/>
      <c r="S889" s="17"/>
      <c r="T889" s="17"/>
      <c r="U889" s="17"/>
      <c r="V889" s="17"/>
    </row>
    <row r="890" ht="14.25" customHeight="1">
      <c r="A890" s="38"/>
      <c r="B890" s="38"/>
      <c r="C890" s="39"/>
      <c r="D890" s="39"/>
      <c r="E890" s="39"/>
      <c r="F890" s="39"/>
      <c r="G890" s="39"/>
      <c r="H890" s="39"/>
      <c r="I890" s="39"/>
      <c r="J890" s="39"/>
      <c r="K890" s="39"/>
      <c r="O890" s="17"/>
      <c r="P890" s="17"/>
      <c r="Q890" s="17"/>
      <c r="R890" s="17"/>
      <c r="S890" s="17"/>
      <c r="T890" s="17"/>
      <c r="U890" s="17"/>
      <c r="V890" s="17"/>
    </row>
    <row r="891" ht="14.25" customHeight="1">
      <c r="A891" s="38"/>
      <c r="B891" s="38"/>
      <c r="C891" s="39"/>
      <c r="D891" s="39"/>
      <c r="E891" s="39"/>
      <c r="F891" s="39"/>
      <c r="G891" s="39"/>
      <c r="H891" s="39"/>
      <c r="I891" s="39"/>
      <c r="J891" s="39"/>
      <c r="K891" s="39"/>
      <c r="O891" s="17"/>
      <c r="P891" s="17"/>
      <c r="Q891" s="17"/>
      <c r="R891" s="17"/>
      <c r="S891" s="17"/>
      <c r="T891" s="17"/>
      <c r="U891" s="17"/>
      <c r="V891" s="17"/>
    </row>
    <row r="892" ht="14.25" customHeight="1">
      <c r="A892" s="38"/>
      <c r="B892" s="38"/>
      <c r="C892" s="39"/>
      <c r="D892" s="39"/>
      <c r="E892" s="39"/>
      <c r="F892" s="39"/>
      <c r="G892" s="39"/>
      <c r="H892" s="39"/>
      <c r="I892" s="39"/>
      <c r="J892" s="39"/>
      <c r="K892" s="39"/>
      <c r="O892" s="17"/>
      <c r="P892" s="17"/>
      <c r="Q892" s="17"/>
      <c r="R892" s="17"/>
      <c r="S892" s="17"/>
      <c r="T892" s="17"/>
      <c r="U892" s="17"/>
      <c r="V892" s="17"/>
    </row>
    <row r="893" ht="14.25" customHeight="1">
      <c r="A893" s="38"/>
      <c r="B893" s="38"/>
      <c r="C893" s="39"/>
      <c r="D893" s="39"/>
      <c r="E893" s="39"/>
      <c r="F893" s="39"/>
      <c r="G893" s="39"/>
      <c r="H893" s="39"/>
      <c r="I893" s="39"/>
      <c r="J893" s="39"/>
      <c r="K893" s="39"/>
      <c r="O893" s="17"/>
      <c r="P893" s="17"/>
      <c r="Q893" s="17"/>
      <c r="R893" s="17"/>
      <c r="S893" s="17"/>
      <c r="T893" s="17"/>
      <c r="U893" s="17"/>
      <c r="V893" s="17"/>
    </row>
    <row r="894" ht="14.25" customHeight="1">
      <c r="A894" s="38"/>
      <c r="B894" s="38"/>
      <c r="C894" s="39"/>
      <c r="D894" s="39"/>
      <c r="E894" s="39"/>
      <c r="F894" s="39"/>
      <c r="G894" s="39"/>
      <c r="H894" s="39"/>
      <c r="I894" s="39"/>
      <c r="J894" s="39"/>
      <c r="K894" s="39"/>
      <c r="O894" s="17"/>
      <c r="P894" s="17"/>
      <c r="Q894" s="17"/>
      <c r="R894" s="17"/>
      <c r="S894" s="17"/>
      <c r="T894" s="17"/>
      <c r="U894" s="17"/>
      <c r="V894" s="17"/>
    </row>
    <row r="895" ht="14.25" customHeight="1">
      <c r="A895" s="38"/>
      <c r="B895" s="38"/>
      <c r="C895" s="39"/>
      <c r="D895" s="39"/>
      <c r="E895" s="39"/>
      <c r="F895" s="39"/>
      <c r="G895" s="39"/>
      <c r="H895" s="39"/>
      <c r="I895" s="39"/>
      <c r="J895" s="39"/>
      <c r="K895" s="39"/>
      <c r="O895" s="17"/>
      <c r="P895" s="17"/>
      <c r="Q895" s="17"/>
      <c r="R895" s="17"/>
      <c r="S895" s="17"/>
      <c r="T895" s="17"/>
      <c r="U895" s="17"/>
      <c r="V895" s="17"/>
    </row>
    <row r="896" ht="14.25" customHeight="1">
      <c r="A896" s="38"/>
      <c r="B896" s="38"/>
      <c r="C896" s="39"/>
      <c r="D896" s="39"/>
      <c r="E896" s="39"/>
      <c r="F896" s="39"/>
      <c r="G896" s="39"/>
      <c r="H896" s="39"/>
      <c r="I896" s="39"/>
      <c r="J896" s="39"/>
      <c r="K896" s="39"/>
      <c r="O896" s="17"/>
      <c r="P896" s="17"/>
      <c r="Q896" s="17"/>
      <c r="R896" s="17"/>
      <c r="S896" s="17"/>
      <c r="T896" s="17"/>
      <c r="U896" s="17"/>
      <c r="V896" s="17"/>
    </row>
    <row r="897" ht="14.25" customHeight="1">
      <c r="A897" s="38"/>
      <c r="B897" s="38"/>
      <c r="C897" s="39"/>
      <c r="D897" s="39"/>
      <c r="E897" s="39"/>
      <c r="F897" s="39"/>
      <c r="G897" s="39"/>
      <c r="H897" s="39"/>
      <c r="I897" s="39"/>
      <c r="J897" s="39"/>
      <c r="K897" s="39"/>
      <c r="O897" s="17"/>
      <c r="P897" s="17"/>
      <c r="Q897" s="17"/>
      <c r="R897" s="17"/>
      <c r="S897" s="17"/>
      <c r="T897" s="17"/>
      <c r="U897" s="17"/>
      <c r="V897" s="17"/>
    </row>
    <row r="898" ht="14.25" customHeight="1">
      <c r="A898" s="38"/>
      <c r="B898" s="38"/>
      <c r="C898" s="39"/>
      <c r="D898" s="39"/>
      <c r="E898" s="39"/>
      <c r="F898" s="39"/>
      <c r="G898" s="39"/>
      <c r="H898" s="39"/>
      <c r="I898" s="39"/>
      <c r="J898" s="39"/>
      <c r="K898" s="39"/>
      <c r="O898" s="17"/>
      <c r="P898" s="17"/>
      <c r="Q898" s="17"/>
      <c r="R898" s="17"/>
      <c r="S898" s="17"/>
      <c r="T898" s="17"/>
      <c r="U898" s="17"/>
      <c r="V898" s="17"/>
    </row>
    <row r="899" ht="14.25" customHeight="1">
      <c r="A899" s="38"/>
      <c r="B899" s="38"/>
      <c r="C899" s="39"/>
      <c r="D899" s="39"/>
      <c r="E899" s="39"/>
      <c r="F899" s="39"/>
      <c r="G899" s="39"/>
      <c r="H899" s="39"/>
      <c r="I899" s="39"/>
      <c r="J899" s="39"/>
      <c r="K899" s="39"/>
      <c r="O899" s="17"/>
      <c r="P899" s="17"/>
      <c r="Q899" s="17"/>
      <c r="R899" s="17"/>
      <c r="S899" s="17"/>
      <c r="T899" s="17"/>
      <c r="U899" s="17"/>
      <c r="V899" s="17"/>
    </row>
    <row r="900" ht="14.25" customHeight="1">
      <c r="A900" s="38"/>
      <c r="B900" s="38"/>
      <c r="C900" s="39"/>
      <c r="D900" s="39"/>
      <c r="E900" s="39"/>
      <c r="F900" s="39"/>
      <c r="G900" s="39"/>
      <c r="H900" s="39"/>
      <c r="I900" s="39"/>
      <c r="J900" s="39"/>
      <c r="K900" s="39"/>
      <c r="O900" s="17"/>
      <c r="P900" s="17"/>
      <c r="Q900" s="17"/>
      <c r="R900" s="17"/>
      <c r="S900" s="17"/>
      <c r="T900" s="17"/>
      <c r="U900" s="17"/>
      <c r="V900" s="17"/>
    </row>
    <row r="901" ht="14.25" customHeight="1">
      <c r="A901" s="38"/>
      <c r="B901" s="38"/>
      <c r="C901" s="39"/>
      <c r="D901" s="39"/>
      <c r="E901" s="39"/>
      <c r="F901" s="39"/>
      <c r="G901" s="39"/>
      <c r="H901" s="39"/>
      <c r="I901" s="39"/>
      <c r="J901" s="39"/>
      <c r="K901" s="39"/>
      <c r="O901" s="17"/>
      <c r="P901" s="17"/>
      <c r="Q901" s="17"/>
      <c r="R901" s="17"/>
      <c r="S901" s="17"/>
      <c r="T901" s="17"/>
      <c r="U901" s="17"/>
      <c r="V901" s="17"/>
    </row>
    <row r="902" ht="14.25" customHeight="1">
      <c r="A902" s="38"/>
      <c r="B902" s="38"/>
      <c r="C902" s="39"/>
      <c r="D902" s="39"/>
      <c r="E902" s="39"/>
      <c r="F902" s="39"/>
      <c r="G902" s="39"/>
      <c r="H902" s="39"/>
      <c r="I902" s="39"/>
      <c r="J902" s="39"/>
      <c r="K902" s="39"/>
      <c r="O902" s="17"/>
      <c r="P902" s="17"/>
      <c r="Q902" s="17"/>
      <c r="R902" s="17"/>
      <c r="S902" s="17"/>
      <c r="T902" s="17"/>
      <c r="U902" s="17"/>
      <c r="V902" s="17"/>
    </row>
    <row r="903" ht="14.25" customHeight="1">
      <c r="A903" s="38"/>
      <c r="B903" s="38"/>
      <c r="C903" s="39"/>
      <c r="D903" s="39"/>
      <c r="E903" s="39"/>
      <c r="F903" s="39"/>
      <c r="G903" s="39"/>
      <c r="H903" s="39"/>
      <c r="I903" s="39"/>
      <c r="J903" s="39"/>
      <c r="K903" s="39"/>
      <c r="O903" s="17"/>
      <c r="P903" s="17"/>
      <c r="Q903" s="17"/>
      <c r="R903" s="17"/>
      <c r="S903" s="17"/>
      <c r="T903" s="17"/>
      <c r="U903" s="17"/>
      <c r="V903" s="17"/>
    </row>
    <row r="904" ht="14.25" customHeight="1">
      <c r="A904" s="38"/>
      <c r="B904" s="38"/>
      <c r="C904" s="39"/>
      <c r="D904" s="39"/>
      <c r="E904" s="39"/>
      <c r="F904" s="39"/>
      <c r="G904" s="39"/>
      <c r="H904" s="39"/>
      <c r="I904" s="39"/>
      <c r="J904" s="39"/>
      <c r="K904" s="39"/>
      <c r="O904" s="17"/>
      <c r="P904" s="17"/>
      <c r="Q904" s="17"/>
      <c r="R904" s="17"/>
      <c r="S904" s="17"/>
      <c r="T904" s="17"/>
      <c r="U904" s="17"/>
      <c r="V904" s="17"/>
    </row>
    <row r="905" ht="14.25" customHeight="1">
      <c r="A905" s="38"/>
      <c r="B905" s="38"/>
      <c r="C905" s="39"/>
      <c r="D905" s="39"/>
      <c r="E905" s="39"/>
      <c r="F905" s="39"/>
      <c r="G905" s="39"/>
      <c r="H905" s="39"/>
      <c r="I905" s="39"/>
      <c r="J905" s="39"/>
      <c r="K905" s="39"/>
      <c r="O905" s="17"/>
      <c r="P905" s="17"/>
      <c r="Q905" s="17"/>
      <c r="R905" s="17"/>
      <c r="S905" s="17"/>
      <c r="T905" s="17"/>
      <c r="U905" s="17"/>
      <c r="V905" s="17"/>
    </row>
    <row r="906" ht="14.25" customHeight="1">
      <c r="A906" s="38"/>
      <c r="B906" s="38"/>
      <c r="C906" s="39"/>
      <c r="D906" s="39"/>
      <c r="E906" s="39"/>
      <c r="F906" s="39"/>
      <c r="G906" s="39"/>
      <c r="H906" s="39"/>
      <c r="I906" s="39"/>
      <c r="J906" s="39"/>
      <c r="K906" s="39"/>
      <c r="O906" s="17"/>
      <c r="P906" s="17"/>
      <c r="Q906" s="17"/>
      <c r="R906" s="17"/>
      <c r="S906" s="17"/>
      <c r="T906" s="17"/>
      <c r="U906" s="17"/>
      <c r="V906" s="17"/>
    </row>
    <row r="907" ht="14.25" customHeight="1">
      <c r="A907" s="38"/>
      <c r="B907" s="38"/>
      <c r="C907" s="39"/>
      <c r="D907" s="39"/>
      <c r="E907" s="39"/>
      <c r="F907" s="39"/>
      <c r="G907" s="39"/>
      <c r="H907" s="39"/>
      <c r="I907" s="39"/>
      <c r="J907" s="39"/>
      <c r="K907" s="39"/>
      <c r="O907" s="17"/>
      <c r="P907" s="17"/>
      <c r="Q907" s="17"/>
      <c r="R907" s="17"/>
      <c r="S907" s="17"/>
      <c r="T907" s="17"/>
      <c r="U907" s="17"/>
      <c r="V907" s="17"/>
    </row>
    <row r="908" ht="14.25" customHeight="1">
      <c r="A908" s="38"/>
      <c r="B908" s="38"/>
      <c r="C908" s="39"/>
      <c r="D908" s="39"/>
      <c r="E908" s="39"/>
      <c r="F908" s="39"/>
      <c r="G908" s="39"/>
      <c r="H908" s="39"/>
      <c r="I908" s="39"/>
      <c r="J908" s="39"/>
      <c r="K908" s="39"/>
      <c r="O908" s="17"/>
      <c r="P908" s="17"/>
      <c r="Q908" s="17"/>
      <c r="R908" s="17"/>
      <c r="S908" s="17"/>
      <c r="T908" s="17"/>
      <c r="U908" s="17"/>
      <c r="V908" s="17"/>
    </row>
    <row r="909" ht="14.25" customHeight="1">
      <c r="A909" s="38"/>
      <c r="B909" s="38"/>
      <c r="C909" s="39"/>
      <c r="D909" s="39"/>
      <c r="E909" s="39"/>
      <c r="F909" s="39"/>
      <c r="G909" s="39"/>
      <c r="H909" s="39"/>
      <c r="I909" s="39"/>
      <c r="J909" s="39"/>
      <c r="K909" s="39"/>
      <c r="O909" s="17"/>
      <c r="P909" s="17"/>
      <c r="Q909" s="17"/>
      <c r="R909" s="17"/>
      <c r="S909" s="17"/>
      <c r="T909" s="17"/>
      <c r="U909" s="17"/>
      <c r="V909" s="17"/>
    </row>
    <row r="910" ht="14.25" customHeight="1">
      <c r="A910" s="38"/>
      <c r="B910" s="38"/>
      <c r="C910" s="39"/>
      <c r="D910" s="39"/>
      <c r="E910" s="39"/>
      <c r="F910" s="39"/>
      <c r="G910" s="39"/>
      <c r="H910" s="39"/>
      <c r="I910" s="39"/>
      <c r="J910" s="39"/>
      <c r="K910" s="39"/>
      <c r="O910" s="17"/>
      <c r="P910" s="17"/>
      <c r="Q910" s="17"/>
      <c r="R910" s="17"/>
      <c r="S910" s="17"/>
      <c r="T910" s="17"/>
      <c r="U910" s="17"/>
      <c r="V910" s="17"/>
    </row>
    <row r="911" ht="14.25" customHeight="1">
      <c r="A911" s="38"/>
      <c r="B911" s="38"/>
      <c r="C911" s="39"/>
      <c r="D911" s="39"/>
      <c r="E911" s="39"/>
      <c r="F911" s="39"/>
      <c r="G911" s="39"/>
      <c r="H911" s="39"/>
      <c r="I911" s="39"/>
      <c r="J911" s="39"/>
      <c r="K911" s="39"/>
      <c r="O911" s="17"/>
      <c r="P911" s="17"/>
      <c r="Q911" s="17"/>
      <c r="R911" s="17"/>
      <c r="S911" s="17"/>
      <c r="T911" s="17"/>
      <c r="U911" s="17"/>
      <c r="V911" s="17"/>
    </row>
    <row r="912" ht="14.25" customHeight="1">
      <c r="A912" s="38"/>
      <c r="B912" s="38"/>
      <c r="C912" s="39"/>
      <c r="D912" s="39"/>
      <c r="E912" s="39"/>
      <c r="F912" s="39"/>
      <c r="G912" s="39"/>
      <c r="H912" s="39"/>
      <c r="I912" s="39"/>
      <c r="J912" s="39"/>
      <c r="K912" s="39"/>
      <c r="O912" s="17"/>
      <c r="P912" s="17"/>
      <c r="Q912" s="17"/>
      <c r="R912" s="17"/>
      <c r="S912" s="17"/>
      <c r="T912" s="17"/>
      <c r="U912" s="17"/>
      <c r="V912" s="17"/>
    </row>
    <row r="913" ht="14.25" customHeight="1">
      <c r="A913" s="38"/>
      <c r="B913" s="38"/>
      <c r="C913" s="39"/>
      <c r="D913" s="39"/>
      <c r="E913" s="39"/>
      <c r="F913" s="39"/>
      <c r="G913" s="39"/>
      <c r="H913" s="39"/>
      <c r="I913" s="39"/>
      <c r="J913" s="39"/>
      <c r="K913" s="39"/>
      <c r="O913" s="17"/>
      <c r="P913" s="17"/>
      <c r="Q913" s="17"/>
      <c r="R913" s="17"/>
      <c r="S913" s="17"/>
      <c r="T913" s="17"/>
      <c r="U913" s="17"/>
      <c r="V913" s="17"/>
    </row>
    <row r="914" ht="14.25" customHeight="1">
      <c r="A914" s="38"/>
      <c r="B914" s="38"/>
      <c r="C914" s="39"/>
      <c r="D914" s="39"/>
      <c r="E914" s="39"/>
      <c r="F914" s="39"/>
      <c r="G914" s="39"/>
      <c r="H914" s="39"/>
      <c r="I914" s="39"/>
      <c r="J914" s="39"/>
      <c r="K914" s="39"/>
      <c r="O914" s="17"/>
      <c r="P914" s="17"/>
      <c r="Q914" s="17"/>
      <c r="R914" s="17"/>
      <c r="S914" s="17"/>
      <c r="T914" s="17"/>
      <c r="U914" s="17"/>
      <c r="V914" s="17"/>
    </row>
    <row r="915" ht="14.25" customHeight="1">
      <c r="A915" s="38"/>
      <c r="B915" s="38"/>
      <c r="C915" s="39"/>
      <c r="D915" s="39"/>
      <c r="E915" s="39"/>
      <c r="F915" s="39"/>
      <c r="G915" s="39"/>
      <c r="H915" s="39"/>
      <c r="I915" s="39"/>
      <c r="J915" s="39"/>
      <c r="K915" s="39"/>
      <c r="O915" s="17"/>
      <c r="P915" s="17"/>
      <c r="Q915" s="17"/>
      <c r="R915" s="17"/>
      <c r="S915" s="17"/>
      <c r="T915" s="17"/>
      <c r="U915" s="17"/>
      <c r="V915" s="17"/>
    </row>
    <row r="916" ht="14.25" customHeight="1">
      <c r="A916" s="38"/>
      <c r="B916" s="38"/>
      <c r="C916" s="39"/>
      <c r="D916" s="39"/>
      <c r="E916" s="39"/>
      <c r="F916" s="39"/>
      <c r="G916" s="39"/>
      <c r="H916" s="39"/>
      <c r="I916" s="39"/>
      <c r="J916" s="39"/>
      <c r="K916" s="39"/>
      <c r="O916" s="17"/>
      <c r="P916" s="17"/>
      <c r="Q916" s="17"/>
      <c r="R916" s="17"/>
      <c r="S916" s="17"/>
      <c r="T916" s="17"/>
      <c r="U916" s="17"/>
      <c r="V916" s="17"/>
    </row>
    <row r="917" ht="14.25" customHeight="1">
      <c r="A917" s="38"/>
      <c r="B917" s="38"/>
      <c r="C917" s="39"/>
      <c r="D917" s="39"/>
      <c r="E917" s="39"/>
      <c r="F917" s="39"/>
      <c r="G917" s="39"/>
      <c r="H917" s="39"/>
      <c r="I917" s="39"/>
      <c r="J917" s="39"/>
      <c r="K917" s="39"/>
      <c r="O917" s="17"/>
      <c r="P917" s="17"/>
      <c r="Q917" s="17"/>
      <c r="R917" s="17"/>
      <c r="S917" s="17"/>
      <c r="T917" s="17"/>
      <c r="U917" s="17"/>
      <c r="V917" s="17"/>
    </row>
    <row r="918" ht="14.25" customHeight="1">
      <c r="A918" s="38"/>
      <c r="B918" s="38"/>
      <c r="C918" s="39"/>
      <c r="D918" s="39"/>
      <c r="E918" s="39"/>
      <c r="F918" s="39"/>
      <c r="G918" s="39"/>
      <c r="H918" s="39"/>
      <c r="I918" s="39"/>
      <c r="J918" s="39"/>
      <c r="K918" s="39"/>
      <c r="O918" s="17"/>
      <c r="P918" s="17"/>
      <c r="Q918" s="17"/>
      <c r="R918" s="17"/>
      <c r="S918" s="17"/>
      <c r="T918" s="17"/>
      <c r="U918" s="17"/>
      <c r="V918" s="17"/>
    </row>
    <row r="919" ht="14.25" customHeight="1">
      <c r="A919" s="38"/>
      <c r="B919" s="38"/>
      <c r="C919" s="39"/>
      <c r="D919" s="39"/>
      <c r="E919" s="39"/>
      <c r="F919" s="39"/>
      <c r="G919" s="39"/>
      <c r="H919" s="39"/>
      <c r="I919" s="39"/>
      <c r="J919" s="39"/>
      <c r="K919" s="39"/>
      <c r="O919" s="17"/>
      <c r="P919" s="17"/>
      <c r="Q919" s="17"/>
      <c r="R919" s="17"/>
      <c r="S919" s="17"/>
      <c r="T919" s="17"/>
      <c r="U919" s="17"/>
      <c r="V919" s="17"/>
    </row>
    <row r="920" ht="14.25" customHeight="1">
      <c r="A920" s="38"/>
      <c r="B920" s="38"/>
      <c r="C920" s="39"/>
      <c r="D920" s="39"/>
      <c r="E920" s="39"/>
      <c r="F920" s="39"/>
      <c r="G920" s="39"/>
      <c r="H920" s="39"/>
      <c r="I920" s="39"/>
      <c r="J920" s="39"/>
      <c r="K920" s="39"/>
      <c r="O920" s="17"/>
      <c r="P920" s="17"/>
      <c r="Q920" s="17"/>
      <c r="R920" s="17"/>
      <c r="S920" s="17"/>
      <c r="T920" s="17"/>
      <c r="U920" s="17"/>
      <c r="V920" s="17"/>
    </row>
    <row r="921" ht="14.25" customHeight="1">
      <c r="A921" s="38"/>
      <c r="B921" s="38"/>
      <c r="C921" s="39"/>
      <c r="D921" s="39"/>
      <c r="E921" s="39"/>
      <c r="F921" s="39"/>
      <c r="G921" s="39"/>
      <c r="H921" s="39"/>
      <c r="I921" s="39"/>
      <c r="J921" s="39"/>
      <c r="K921" s="39"/>
      <c r="O921" s="17"/>
      <c r="P921" s="17"/>
      <c r="Q921" s="17"/>
      <c r="R921" s="17"/>
      <c r="S921" s="17"/>
      <c r="T921" s="17"/>
      <c r="U921" s="17"/>
      <c r="V921" s="17"/>
    </row>
    <row r="922" ht="14.25" customHeight="1">
      <c r="A922" s="38"/>
      <c r="B922" s="38"/>
      <c r="C922" s="39"/>
      <c r="D922" s="39"/>
      <c r="E922" s="39"/>
      <c r="F922" s="39"/>
      <c r="G922" s="39"/>
      <c r="H922" s="39"/>
      <c r="I922" s="39"/>
      <c r="J922" s="39"/>
      <c r="K922" s="39"/>
      <c r="O922" s="17"/>
      <c r="P922" s="17"/>
      <c r="Q922" s="17"/>
      <c r="R922" s="17"/>
      <c r="S922" s="17"/>
      <c r="T922" s="17"/>
      <c r="U922" s="17"/>
      <c r="V922" s="17"/>
    </row>
    <row r="923" ht="14.25" customHeight="1">
      <c r="A923" s="38"/>
      <c r="B923" s="38"/>
      <c r="C923" s="39"/>
      <c r="D923" s="39"/>
      <c r="E923" s="39"/>
      <c r="F923" s="39"/>
      <c r="G923" s="39"/>
      <c r="H923" s="39"/>
      <c r="I923" s="39"/>
      <c r="J923" s="39"/>
      <c r="K923" s="39"/>
      <c r="O923" s="17"/>
      <c r="P923" s="17"/>
      <c r="Q923" s="17"/>
      <c r="R923" s="17"/>
      <c r="S923" s="17"/>
      <c r="T923" s="17"/>
      <c r="U923" s="17"/>
      <c r="V923" s="17"/>
    </row>
    <row r="924" ht="14.25" customHeight="1">
      <c r="A924" s="38"/>
      <c r="B924" s="38"/>
      <c r="C924" s="39"/>
      <c r="D924" s="39"/>
      <c r="E924" s="39"/>
      <c r="F924" s="39"/>
      <c r="G924" s="39"/>
      <c r="H924" s="39"/>
      <c r="I924" s="39"/>
      <c r="J924" s="39"/>
      <c r="K924" s="39"/>
      <c r="O924" s="17"/>
      <c r="P924" s="17"/>
      <c r="Q924" s="17"/>
      <c r="R924" s="17"/>
      <c r="S924" s="17"/>
      <c r="T924" s="17"/>
      <c r="U924" s="17"/>
      <c r="V924" s="17"/>
    </row>
    <row r="925" ht="14.25" customHeight="1">
      <c r="A925" s="38"/>
      <c r="B925" s="38"/>
      <c r="C925" s="39"/>
      <c r="D925" s="39"/>
      <c r="E925" s="39"/>
      <c r="F925" s="39"/>
      <c r="G925" s="39"/>
      <c r="H925" s="39"/>
      <c r="I925" s="39"/>
      <c r="J925" s="39"/>
      <c r="K925" s="39"/>
      <c r="O925" s="17"/>
      <c r="P925" s="17"/>
      <c r="Q925" s="17"/>
      <c r="R925" s="17"/>
      <c r="S925" s="17"/>
      <c r="T925" s="17"/>
      <c r="U925" s="17"/>
      <c r="V925" s="17"/>
    </row>
    <row r="926" ht="14.25" customHeight="1">
      <c r="A926" s="38"/>
      <c r="B926" s="38"/>
      <c r="C926" s="39"/>
      <c r="D926" s="39"/>
      <c r="E926" s="39"/>
      <c r="F926" s="39"/>
      <c r="G926" s="39"/>
      <c r="H926" s="39"/>
      <c r="I926" s="39"/>
      <c r="J926" s="39"/>
      <c r="K926" s="39"/>
      <c r="O926" s="17"/>
      <c r="P926" s="17"/>
      <c r="Q926" s="17"/>
      <c r="R926" s="17"/>
      <c r="S926" s="17"/>
      <c r="T926" s="17"/>
      <c r="U926" s="17"/>
      <c r="V926" s="17"/>
    </row>
    <row r="927" ht="14.25" customHeight="1">
      <c r="A927" s="38"/>
      <c r="B927" s="38"/>
      <c r="C927" s="39"/>
      <c r="D927" s="39"/>
      <c r="E927" s="39"/>
      <c r="F927" s="39"/>
      <c r="G927" s="39"/>
      <c r="H927" s="39"/>
      <c r="I927" s="39"/>
      <c r="J927" s="39"/>
      <c r="K927" s="39"/>
      <c r="O927" s="17"/>
      <c r="P927" s="17"/>
      <c r="Q927" s="17"/>
      <c r="R927" s="17"/>
      <c r="S927" s="17"/>
      <c r="T927" s="17"/>
      <c r="U927" s="17"/>
      <c r="V927" s="17"/>
    </row>
    <row r="928" ht="14.25" customHeight="1">
      <c r="A928" s="38"/>
      <c r="B928" s="38"/>
      <c r="C928" s="39"/>
      <c r="D928" s="39"/>
      <c r="E928" s="39"/>
      <c r="F928" s="39"/>
      <c r="G928" s="39"/>
      <c r="H928" s="39"/>
      <c r="I928" s="39"/>
      <c r="J928" s="39"/>
      <c r="K928" s="39"/>
      <c r="O928" s="17"/>
      <c r="P928" s="17"/>
      <c r="Q928" s="17"/>
      <c r="R928" s="17"/>
      <c r="S928" s="17"/>
      <c r="T928" s="17"/>
      <c r="U928" s="17"/>
      <c r="V928" s="17"/>
    </row>
    <row r="929" ht="14.25" customHeight="1">
      <c r="A929" s="38"/>
      <c r="B929" s="38"/>
      <c r="C929" s="39"/>
      <c r="D929" s="39"/>
      <c r="E929" s="39"/>
      <c r="F929" s="39"/>
      <c r="G929" s="39"/>
      <c r="H929" s="39"/>
      <c r="I929" s="39"/>
      <c r="J929" s="39"/>
      <c r="K929" s="39"/>
      <c r="O929" s="17"/>
      <c r="P929" s="17"/>
      <c r="Q929" s="17"/>
      <c r="R929" s="17"/>
      <c r="S929" s="17"/>
      <c r="T929" s="17"/>
      <c r="U929" s="17"/>
      <c r="V929" s="17"/>
    </row>
    <row r="930" ht="14.25" customHeight="1">
      <c r="A930" s="38"/>
      <c r="B930" s="38"/>
      <c r="C930" s="39"/>
      <c r="D930" s="39"/>
      <c r="E930" s="39"/>
      <c r="F930" s="39"/>
      <c r="G930" s="39"/>
      <c r="H930" s="39"/>
      <c r="I930" s="39"/>
      <c r="J930" s="39"/>
      <c r="K930" s="39"/>
      <c r="O930" s="17"/>
      <c r="P930" s="17"/>
      <c r="Q930" s="17"/>
      <c r="R930" s="17"/>
      <c r="S930" s="17"/>
      <c r="T930" s="17"/>
      <c r="U930" s="17"/>
      <c r="V930" s="17"/>
    </row>
    <row r="931" ht="14.25" customHeight="1">
      <c r="A931" s="38"/>
      <c r="B931" s="38"/>
      <c r="C931" s="39"/>
      <c r="D931" s="39"/>
      <c r="E931" s="39"/>
      <c r="F931" s="39"/>
      <c r="G931" s="39"/>
      <c r="H931" s="39"/>
      <c r="I931" s="39"/>
      <c r="J931" s="39"/>
      <c r="K931" s="39"/>
      <c r="O931" s="17"/>
      <c r="P931" s="17"/>
      <c r="Q931" s="17"/>
      <c r="R931" s="17"/>
      <c r="S931" s="17"/>
      <c r="T931" s="17"/>
      <c r="U931" s="17"/>
      <c r="V931" s="17"/>
    </row>
    <row r="932" ht="14.25" customHeight="1">
      <c r="A932" s="38"/>
      <c r="B932" s="38"/>
      <c r="C932" s="39"/>
      <c r="D932" s="39"/>
      <c r="E932" s="39"/>
      <c r="F932" s="39"/>
      <c r="G932" s="39"/>
      <c r="H932" s="39"/>
      <c r="I932" s="39"/>
      <c r="J932" s="39"/>
      <c r="K932" s="39"/>
      <c r="O932" s="17"/>
      <c r="P932" s="17"/>
      <c r="Q932" s="17"/>
      <c r="R932" s="17"/>
      <c r="S932" s="17"/>
      <c r="T932" s="17"/>
      <c r="U932" s="17"/>
      <c r="V932" s="17"/>
    </row>
    <row r="933" ht="14.25" customHeight="1">
      <c r="A933" s="38"/>
      <c r="B933" s="38"/>
      <c r="C933" s="39"/>
      <c r="D933" s="39"/>
      <c r="E933" s="39"/>
      <c r="F933" s="39"/>
      <c r="G933" s="39"/>
      <c r="H933" s="39"/>
      <c r="I933" s="39"/>
      <c r="J933" s="39"/>
      <c r="K933" s="39"/>
      <c r="O933" s="17"/>
      <c r="P933" s="17"/>
      <c r="Q933" s="17"/>
      <c r="R933" s="17"/>
      <c r="S933" s="17"/>
      <c r="T933" s="17"/>
      <c r="U933" s="17"/>
      <c r="V933" s="17"/>
    </row>
    <row r="934" ht="14.25" customHeight="1">
      <c r="A934" s="38"/>
      <c r="B934" s="38"/>
      <c r="C934" s="39"/>
      <c r="D934" s="39"/>
      <c r="E934" s="39"/>
      <c r="F934" s="39"/>
      <c r="G934" s="39"/>
      <c r="H934" s="39"/>
      <c r="I934" s="39"/>
      <c r="J934" s="39"/>
      <c r="K934" s="39"/>
      <c r="O934" s="17"/>
      <c r="P934" s="17"/>
      <c r="Q934" s="17"/>
      <c r="R934" s="17"/>
      <c r="S934" s="17"/>
      <c r="T934" s="17"/>
      <c r="U934" s="17"/>
      <c r="V934" s="17"/>
    </row>
    <row r="935" ht="14.25" customHeight="1">
      <c r="A935" s="38"/>
      <c r="B935" s="38"/>
      <c r="C935" s="39"/>
      <c r="D935" s="39"/>
      <c r="E935" s="39"/>
      <c r="F935" s="39"/>
      <c r="G935" s="39"/>
      <c r="H935" s="39"/>
      <c r="I935" s="39"/>
      <c r="J935" s="39"/>
      <c r="K935" s="39"/>
      <c r="O935" s="17"/>
      <c r="P935" s="17"/>
      <c r="Q935" s="17"/>
      <c r="R935" s="17"/>
      <c r="S935" s="17"/>
      <c r="T935" s="17"/>
      <c r="U935" s="17"/>
      <c r="V935" s="17"/>
    </row>
    <row r="936" ht="14.25" customHeight="1">
      <c r="A936" s="38"/>
      <c r="B936" s="38"/>
      <c r="C936" s="39"/>
      <c r="D936" s="39"/>
      <c r="E936" s="39"/>
      <c r="F936" s="39"/>
      <c r="G936" s="39"/>
      <c r="H936" s="39"/>
      <c r="I936" s="39"/>
      <c r="J936" s="39"/>
      <c r="K936" s="39"/>
      <c r="O936" s="17"/>
      <c r="P936" s="17"/>
      <c r="Q936" s="17"/>
      <c r="R936" s="17"/>
      <c r="S936" s="17"/>
      <c r="T936" s="17"/>
      <c r="U936" s="17"/>
      <c r="V936" s="17"/>
    </row>
    <row r="937" ht="14.25" customHeight="1">
      <c r="A937" s="38"/>
      <c r="B937" s="38"/>
      <c r="C937" s="39"/>
      <c r="D937" s="39"/>
      <c r="E937" s="39"/>
      <c r="F937" s="39"/>
      <c r="G937" s="39"/>
      <c r="H937" s="39"/>
      <c r="I937" s="39"/>
      <c r="J937" s="39"/>
      <c r="K937" s="39"/>
      <c r="O937" s="17"/>
      <c r="P937" s="17"/>
      <c r="Q937" s="17"/>
      <c r="R937" s="17"/>
      <c r="S937" s="17"/>
      <c r="T937" s="17"/>
      <c r="U937" s="17"/>
      <c r="V937" s="17"/>
    </row>
    <row r="938" ht="14.25" customHeight="1">
      <c r="A938" s="38"/>
      <c r="B938" s="38"/>
      <c r="C938" s="39"/>
      <c r="D938" s="39"/>
      <c r="E938" s="39"/>
      <c r="F938" s="39"/>
      <c r="G938" s="39"/>
      <c r="H938" s="39"/>
      <c r="I938" s="39"/>
      <c r="J938" s="39"/>
      <c r="K938" s="39"/>
      <c r="O938" s="17"/>
      <c r="P938" s="17"/>
      <c r="Q938" s="17"/>
      <c r="R938" s="17"/>
      <c r="S938" s="17"/>
      <c r="T938" s="17"/>
      <c r="U938" s="17"/>
      <c r="V938" s="17"/>
    </row>
    <row r="939" ht="14.25" customHeight="1">
      <c r="A939" s="38"/>
      <c r="B939" s="38"/>
      <c r="C939" s="39"/>
      <c r="D939" s="39"/>
      <c r="E939" s="39"/>
      <c r="F939" s="39"/>
      <c r="G939" s="39"/>
      <c r="H939" s="39"/>
      <c r="I939" s="39"/>
      <c r="J939" s="39"/>
      <c r="K939" s="39"/>
      <c r="O939" s="17"/>
      <c r="P939" s="17"/>
      <c r="Q939" s="17"/>
      <c r="R939" s="17"/>
      <c r="S939" s="17"/>
      <c r="T939" s="17"/>
      <c r="U939" s="17"/>
      <c r="V939" s="17"/>
    </row>
    <row r="940" ht="14.25" customHeight="1">
      <c r="A940" s="38"/>
      <c r="B940" s="38"/>
      <c r="C940" s="39"/>
      <c r="D940" s="39"/>
      <c r="E940" s="39"/>
      <c r="F940" s="39"/>
      <c r="G940" s="39"/>
      <c r="H940" s="39"/>
      <c r="I940" s="39"/>
      <c r="J940" s="39"/>
      <c r="K940" s="39"/>
      <c r="O940" s="17"/>
      <c r="P940" s="17"/>
      <c r="Q940" s="17"/>
      <c r="R940" s="17"/>
      <c r="S940" s="17"/>
      <c r="T940" s="17"/>
      <c r="U940" s="17"/>
      <c r="V940" s="17"/>
    </row>
    <row r="941" ht="14.25" customHeight="1">
      <c r="A941" s="38"/>
      <c r="B941" s="38"/>
      <c r="C941" s="39"/>
      <c r="D941" s="39"/>
      <c r="E941" s="39"/>
      <c r="F941" s="39"/>
      <c r="G941" s="39"/>
      <c r="H941" s="39"/>
      <c r="I941" s="39"/>
      <c r="J941" s="39"/>
      <c r="K941" s="39"/>
      <c r="O941" s="17"/>
      <c r="P941" s="17"/>
      <c r="Q941" s="17"/>
      <c r="R941" s="17"/>
      <c r="S941" s="17"/>
      <c r="T941" s="17"/>
      <c r="U941" s="17"/>
      <c r="V941" s="17"/>
    </row>
    <row r="942" ht="14.25" customHeight="1">
      <c r="A942" s="38"/>
      <c r="B942" s="38"/>
      <c r="C942" s="39"/>
      <c r="D942" s="39"/>
      <c r="E942" s="39"/>
      <c r="F942" s="39"/>
      <c r="G942" s="39"/>
      <c r="H942" s="39"/>
      <c r="I942" s="39"/>
      <c r="J942" s="39"/>
      <c r="K942" s="39"/>
      <c r="O942" s="17"/>
      <c r="P942" s="17"/>
      <c r="Q942" s="17"/>
      <c r="R942" s="17"/>
      <c r="S942" s="17"/>
      <c r="T942" s="17"/>
      <c r="U942" s="17"/>
      <c r="V942" s="17"/>
    </row>
    <row r="943" ht="14.25" customHeight="1">
      <c r="A943" s="38"/>
      <c r="B943" s="38"/>
      <c r="C943" s="39"/>
      <c r="D943" s="39"/>
      <c r="E943" s="39"/>
      <c r="F943" s="39"/>
      <c r="G943" s="39"/>
      <c r="H943" s="39"/>
      <c r="I943" s="39"/>
      <c r="J943" s="39"/>
      <c r="K943" s="39"/>
      <c r="O943" s="17"/>
      <c r="P943" s="17"/>
      <c r="Q943" s="17"/>
      <c r="R943" s="17"/>
      <c r="S943" s="17"/>
      <c r="T943" s="17"/>
      <c r="U943" s="17"/>
      <c r="V943" s="17"/>
    </row>
    <row r="944" ht="14.25" customHeight="1">
      <c r="A944" s="38"/>
      <c r="B944" s="38"/>
      <c r="C944" s="39"/>
      <c r="D944" s="39"/>
      <c r="E944" s="39"/>
      <c r="F944" s="39"/>
      <c r="G944" s="39"/>
      <c r="H944" s="39"/>
      <c r="I944" s="39"/>
      <c r="J944" s="39"/>
      <c r="K944" s="39"/>
      <c r="O944" s="17"/>
      <c r="P944" s="17"/>
      <c r="Q944" s="17"/>
      <c r="R944" s="17"/>
      <c r="S944" s="17"/>
      <c r="T944" s="17"/>
      <c r="U944" s="17"/>
      <c r="V944" s="17"/>
    </row>
    <row r="945" ht="14.25" customHeight="1">
      <c r="A945" s="38"/>
      <c r="B945" s="38"/>
      <c r="C945" s="39"/>
      <c r="D945" s="39"/>
      <c r="E945" s="39"/>
      <c r="F945" s="39"/>
      <c r="G945" s="39"/>
      <c r="H945" s="39"/>
      <c r="I945" s="39"/>
      <c r="J945" s="39"/>
      <c r="K945" s="39"/>
      <c r="O945" s="17"/>
      <c r="P945" s="17"/>
      <c r="Q945" s="17"/>
      <c r="R945" s="17"/>
      <c r="S945" s="17"/>
      <c r="T945" s="17"/>
      <c r="U945" s="17"/>
      <c r="V945" s="17"/>
    </row>
    <row r="946" ht="14.25" customHeight="1">
      <c r="A946" s="38"/>
      <c r="B946" s="38"/>
      <c r="C946" s="39"/>
      <c r="D946" s="39"/>
      <c r="E946" s="39"/>
      <c r="F946" s="39"/>
      <c r="G946" s="39"/>
      <c r="H946" s="39"/>
      <c r="I946" s="39"/>
      <c r="J946" s="39"/>
      <c r="K946" s="39"/>
      <c r="O946" s="17"/>
      <c r="P946" s="17"/>
      <c r="Q946" s="17"/>
      <c r="R946" s="17"/>
      <c r="S946" s="17"/>
      <c r="T946" s="17"/>
      <c r="U946" s="17"/>
      <c r="V946" s="17"/>
    </row>
    <row r="947" ht="14.25" customHeight="1">
      <c r="A947" s="38"/>
      <c r="B947" s="38"/>
      <c r="C947" s="39"/>
      <c r="D947" s="39"/>
      <c r="E947" s="39"/>
      <c r="F947" s="39"/>
      <c r="G947" s="39"/>
      <c r="H947" s="39"/>
      <c r="I947" s="39"/>
      <c r="J947" s="39"/>
      <c r="K947" s="39"/>
      <c r="O947" s="17"/>
      <c r="P947" s="17"/>
      <c r="Q947" s="17"/>
      <c r="R947" s="17"/>
      <c r="S947" s="17"/>
      <c r="T947" s="17"/>
      <c r="U947" s="17"/>
      <c r="V947" s="17"/>
    </row>
    <row r="948" ht="14.25" customHeight="1">
      <c r="A948" s="38"/>
      <c r="B948" s="38"/>
      <c r="C948" s="39"/>
      <c r="D948" s="39"/>
      <c r="E948" s="39"/>
      <c r="F948" s="39"/>
      <c r="G948" s="39"/>
      <c r="H948" s="39"/>
      <c r="I948" s="39"/>
      <c r="J948" s="39"/>
      <c r="K948" s="39"/>
      <c r="O948" s="17"/>
      <c r="P948" s="17"/>
      <c r="Q948" s="17"/>
      <c r="R948" s="17"/>
      <c r="S948" s="17"/>
      <c r="T948" s="17"/>
      <c r="U948" s="17"/>
      <c r="V948" s="17"/>
    </row>
    <row r="949" ht="14.25" customHeight="1">
      <c r="A949" s="38"/>
      <c r="B949" s="38"/>
      <c r="C949" s="39"/>
      <c r="D949" s="39"/>
      <c r="E949" s="39"/>
      <c r="F949" s="39"/>
      <c r="G949" s="39"/>
      <c r="H949" s="39"/>
      <c r="I949" s="39"/>
      <c r="J949" s="39"/>
      <c r="K949" s="39"/>
      <c r="O949" s="17"/>
      <c r="P949" s="17"/>
      <c r="Q949" s="17"/>
      <c r="R949" s="17"/>
      <c r="S949" s="17"/>
      <c r="T949" s="17"/>
      <c r="U949" s="17"/>
      <c r="V949" s="17"/>
    </row>
    <row r="950" ht="14.25" customHeight="1">
      <c r="A950" s="38"/>
      <c r="B950" s="38"/>
      <c r="C950" s="39"/>
      <c r="D950" s="39"/>
      <c r="E950" s="39"/>
      <c r="F950" s="39"/>
      <c r="G950" s="39"/>
      <c r="H950" s="39"/>
      <c r="I950" s="39"/>
      <c r="J950" s="39"/>
      <c r="K950" s="39"/>
      <c r="O950" s="17"/>
      <c r="P950" s="17"/>
      <c r="Q950" s="17"/>
      <c r="R950" s="17"/>
      <c r="S950" s="17"/>
      <c r="T950" s="17"/>
      <c r="U950" s="17"/>
      <c r="V950" s="17"/>
    </row>
    <row r="951" ht="14.25" customHeight="1">
      <c r="A951" s="38"/>
      <c r="B951" s="38"/>
      <c r="C951" s="39"/>
      <c r="D951" s="39"/>
      <c r="E951" s="39"/>
      <c r="F951" s="39"/>
      <c r="G951" s="39"/>
      <c r="H951" s="39"/>
      <c r="I951" s="39"/>
      <c r="J951" s="39"/>
      <c r="K951" s="39"/>
      <c r="O951" s="17"/>
      <c r="P951" s="17"/>
      <c r="Q951" s="17"/>
      <c r="R951" s="17"/>
      <c r="S951" s="17"/>
      <c r="T951" s="17"/>
      <c r="U951" s="17"/>
      <c r="V951" s="17"/>
    </row>
    <row r="952" ht="14.25" customHeight="1">
      <c r="A952" s="38"/>
      <c r="B952" s="38"/>
      <c r="C952" s="39"/>
      <c r="D952" s="39"/>
      <c r="E952" s="39"/>
      <c r="F952" s="39"/>
      <c r="G952" s="39"/>
      <c r="H952" s="39"/>
      <c r="I952" s="39"/>
      <c r="J952" s="39"/>
      <c r="K952" s="39"/>
      <c r="O952" s="17"/>
      <c r="P952" s="17"/>
      <c r="Q952" s="17"/>
      <c r="R952" s="17"/>
      <c r="S952" s="17"/>
      <c r="T952" s="17"/>
      <c r="U952" s="17"/>
      <c r="V952" s="17"/>
    </row>
    <row r="953" ht="14.25" customHeight="1">
      <c r="A953" s="38"/>
      <c r="B953" s="38"/>
      <c r="C953" s="39"/>
      <c r="D953" s="39"/>
      <c r="E953" s="39"/>
      <c r="F953" s="39"/>
      <c r="G953" s="39"/>
      <c r="H953" s="39"/>
      <c r="I953" s="39"/>
      <c r="J953" s="39"/>
      <c r="K953" s="39"/>
      <c r="O953" s="17"/>
      <c r="P953" s="17"/>
      <c r="Q953" s="17"/>
      <c r="R953" s="17"/>
      <c r="S953" s="17"/>
      <c r="T953" s="17"/>
      <c r="U953" s="17"/>
      <c r="V953" s="17"/>
    </row>
    <row r="954" ht="14.25" customHeight="1">
      <c r="A954" s="38"/>
      <c r="B954" s="38"/>
      <c r="C954" s="39"/>
      <c r="D954" s="39"/>
      <c r="E954" s="39"/>
      <c r="F954" s="39"/>
      <c r="G954" s="39"/>
      <c r="H954" s="39"/>
      <c r="I954" s="39"/>
      <c r="J954" s="39"/>
      <c r="K954" s="39"/>
      <c r="O954" s="17"/>
      <c r="P954" s="17"/>
      <c r="Q954" s="17"/>
      <c r="R954" s="17"/>
      <c r="S954" s="17"/>
      <c r="T954" s="17"/>
      <c r="U954" s="17"/>
      <c r="V954" s="17"/>
    </row>
    <row r="955" ht="14.25" customHeight="1">
      <c r="A955" s="38"/>
      <c r="B955" s="38"/>
      <c r="C955" s="39"/>
      <c r="D955" s="39"/>
      <c r="E955" s="39"/>
      <c r="F955" s="39"/>
      <c r="G955" s="39"/>
      <c r="H955" s="39"/>
      <c r="I955" s="39"/>
      <c r="J955" s="39"/>
      <c r="K955" s="39"/>
      <c r="O955" s="17"/>
      <c r="P955" s="17"/>
      <c r="Q955" s="17"/>
      <c r="R955" s="17"/>
      <c r="S955" s="17"/>
      <c r="T955" s="17"/>
      <c r="U955" s="17"/>
      <c r="V955" s="17"/>
    </row>
    <row r="956" ht="14.25" customHeight="1">
      <c r="A956" s="38"/>
      <c r="B956" s="38"/>
      <c r="C956" s="39"/>
      <c r="D956" s="39"/>
      <c r="E956" s="39"/>
      <c r="F956" s="39"/>
      <c r="G956" s="39"/>
      <c r="H956" s="39"/>
      <c r="I956" s="39"/>
      <c r="J956" s="39"/>
      <c r="K956" s="39"/>
      <c r="O956" s="17"/>
      <c r="P956" s="17"/>
      <c r="Q956" s="17"/>
      <c r="R956" s="17"/>
      <c r="S956" s="17"/>
      <c r="T956" s="17"/>
      <c r="U956" s="17"/>
      <c r="V956" s="17"/>
    </row>
    <row r="957" ht="14.25" customHeight="1">
      <c r="A957" s="38"/>
      <c r="B957" s="38"/>
      <c r="C957" s="39"/>
      <c r="D957" s="39"/>
      <c r="E957" s="39"/>
      <c r="F957" s="39"/>
      <c r="G957" s="39"/>
      <c r="H957" s="39"/>
      <c r="I957" s="39"/>
      <c r="J957" s="39"/>
      <c r="K957" s="39"/>
      <c r="O957" s="17"/>
      <c r="P957" s="17"/>
      <c r="Q957" s="17"/>
      <c r="R957" s="17"/>
      <c r="S957" s="17"/>
      <c r="T957" s="17"/>
      <c r="U957" s="17"/>
      <c r="V957" s="17"/>
    </row>
    <row r="958" ht="14.25" customHeight="1">
      <c r="A958" s="38"/>
      <c r="B958" s="38"/>
      <c r="C958" s="39"/>
      <c r="D958" s="39"/>
      <c r="E958" s="39"/>
      <c r="F958" s="39"/>
      <c r="G958" s="39"/>
      <c r="H958" s="39"/>
      <c r="I958" s="39"/>
      <c r="J958" s="39"/>
      <c r="K958" s="39"/>
      <c r="O958" s="17"/>
      <c r="P958" s="17"/>
      <c r="Q958" s="17"/>
      <c r="R958" s="17"/>
      <c r="S958" s="17"/>
      <c r="T958" s="17"/>
      <c r="U958" s="17"/>
      <c r="V958" s="17"/>
    </row>
    <row r="959" ht="14.25" customHeight="1">
      <c r="A959" s="38"/>
      <c r="B959" s="38"/>
      <c r="C959" s="39"/>
      <c r="D959" s="39"/>
      <c r="E959" s="39"/>
      <c r="F959" s="39"/>
      <c r="G959" s="39"/>
      <c r="H959" s="39"/>
      <c r="I959" s="39"/>
      <c r="J959" s="39"/>
      <c r="K959" s="39"/>
      <c r="O959" s="17"/>
      <c r="P959" s="17"/>
      <c r="Q959" s="17"/>
      <c r="R959" s="17"/>
      <c r="S959" s="17"/>
      <c r="T959" s="17"/>
      <c r="U959" s="17"/>
      <c r="V959" s="17"/>
    </row>
    <row r="960" ht="14.25" customHeight="1">
      <c r="A960" s="38"/>
      <c r="B960" s="38"/>
      <c r="C960" s="39"/>
      <c r="D960" s="39"/>
      <c r="E960" s="39"/>
      <c r="F960" s="39"/>
      <c r="G960" s="39"/>
      <c r="H960" s="39"/>
      <c r="I960" s="39"/>
      <c r="J960" s="39"/>
      <c r="K960" s="39"/>
      <c r="O960" s="17"/>
      <c r="P960" s="17"/>
      <c r="Q960" s="17"/>
      <c r="R960" s="17"/>
      <c r="S960" s="17"/>
      <c r="T960" s="17"/>
      <c r="U960" s="17"/>
      <c r="V960" s="17"/>
    </row>
    <row r="961" ht="14.25" customHeight="1">
      <c r="A961" s="38"/>
      <c r="B961" s="38"/>
      <c r="C961" s="39"/>
      <c r="D961" s="39"/>
      <c r="E961" s="39"/>
      <c r="F961" s="39"/>
      <c r="G961" s="39"/>
      <c r="H961" s="39"/>
      <c r="I961" s="39"/>
      <c r="J961" s="39"/>
      <c r="K961" s="39"/>
      <c r="O961" s="17"/>
      <c r="P961" s="17"/>
      <c r="Q961" s="17"/>
      <c r="R961" s="17"/>
      <c r="S961" s="17"/>
      <c r="T961" s="17"/>
      <c r="U961" s="17"/>
      <c r="V961" s="17"/>
    </row>
    <row r="962" ht="14.25" customHeight="1">
      <c r="A962" s="38"/>
      <c r="B962" s="38"/>
      <c r="C962" s="39"/>
      <c r="D962" s="39"/>
      <c r="E962" s="39"/>
      <c r="F962" s="39"/>
      <c r="G962" s="39"/>
      <c r="H962" s="39"/>
      <c r="I962" s="39"/>
      <c r="J962" s="39"/>
      <c r="K962" s="39"/>
      <c r="O962" s="17"/>
      <c r="P962" s="17"/>
      <c r="Q962" s="17"/>
      <c r="R962" s="17"/>
      <c r="S962" s="17"/>
      <c r="T962" s="17"/>
      <c r="U962" s="17"/>
      <c r="V962" s="17"/>
    </row>
    <row r="963" ht="14.25" customHeight="1">
      <c r="A963" s="38"/>
      <c r="B963" s="38"/>
      <c r="C963" s="39"/>
      <c r="D963" s="39"/>
      <c r="E963" s="39"/>
      <c r="F963" s="39"/>
      <c r="G963" s="39"/>
      <c r="H963" s="39"/>
      <c r="I963" s="39"/>
      <c r="J963" s="39"/>
      <c r="K963" s="39"/>
      <c r="O963" s="17"/>
      <c r="P963" s="17"/>
      <c r="Q963" s="17"/>
      <c r="R963" s="17"/>
      <c r="S963" s="17"/>
      <c r="T963" s="17"/>
      <c r="U963" s="17"/>
      <c r="V963" s="17"/>
    </row>
    <row r="964" ht="14.25" customHeight="1">
      <c r="A964" s="38"/>
      <c r="B964" s="38"/>
      <c r="C964" s="39"/>
      <c r="D964" s="39"/>
      <c r="E964" s="39"/>
      <c r="F964" s="39"/>
      <c r="G964" s="39"/>
      <c r="H964" s="39"/>
      <c r="I964" s="39"/>
      <c r="J964" s="39"/>
      <c r="K964" s="39"/>
      <c r="O964" s="17"/>
      <c r="P964" s="17"/>
      <c r="Q964" s="17"/>
      <c r="R964" s="17"/>
      <c r="S964" s="17"/>
      <c r="T964" s="17"/>
      <c r="U964" s="17"/>
      <c r="V964" s="17"/>
    </row>
    <row r="965" ht="14.25" customHeight="1">
      <c r="A965" s="38"/>
      <c r="B965" s="38"/>
      <c r="C965" s="39"/>
      <c r="D965" s="39"/>
      <c r="E965" s="39"/>
      <c r="F965" s="39"/>
      <c r="G965" s="39"/>
      <c r="H965" s="39"/>
      <c r="I965" s="39"/>
      <c r="J965" s="39"/>
      <c r="K965" s="39"/>
      <c r="O965" s="17"/>
      <c r="P965" s="17"/>
      <c r="Q965" s="17"/>
      <c r="R965" s="17"/>
      <c r="S965" s="17"/>
      <c r="T965" s="17"/>
      <c r="U965" s="17"/>
      <c r="V965" s="17"/>
    </row>
    <row r="966" ht="14.25" customHeight="1">
      <c r="A966" s="38"/>
      <c r="B966" s="38"/>
      <c r="C966" s="39"/>
      <c r="D966" s="39"/>
      <c r="E966" s="39"/>
      <c r="F966" s="39"/>
      <c r="G966" s="39"/>
      <c r="H966" s="39"/>
      <c r="I966" s="39"/>
      <c r="J966" s="39"/>
      <c r="K966" s="39"/>
      <c r="O966" s="17"/>
      <c r="P966" s="17"/>
      <c r="Q966" s="17"/>
      <c r="R966" s="17"/>
      <c r="S966" s="17"/>
      <c r="T966" s="17"/>
      <c r="U966" s="17"/>
      <c r="V966" s="17"/>
    </row>
    <row r="967" ht="14.25" customHeight="1">
      <c r="A967" s="38"/>
      <c r="B967" s="38"/>
      <c r="C967" s="39"/>
      <c r="D967" s="39"/>
      <c r="E967" s="39"/>
      <c r="F967" s="39"/>
      <c r="G967" s="39"/>
      <c r="H967" s="39"/>
      <c r="I967" s="39"/>
      <c r="J967" s="39"/>
      <c r="K967" s="39"/>
      <c r="O967" s="17"/>
      <c r="P967" s="17"/>
      <c r="Q967" s="17"/>
      <c r="R967" s="17"/>
      <c r="S967" s="17"/>
      <c r="T967" s="17"/>
      <c r="U967" s="17"/>
      <c r="V967" s="17"/>
    </row>
    <row r="968" ht="14.25" customHeight="1">
      <c r="A968" s="38"/>
      <c r="B968" s="38"/>
      <c r="C968" s="39"/>
      <c r="D968" s="39"/>
      <c r="E968" s="39"/>
      <c r="F968" s="39"/>
      <c r="G968" s="39"/>
      <c r="H968" s="39"/>
      <c r="I968" s="39"/>
      <c r="J968" s="39"/>
      <c r="K968" s="39"/>
      <c r="O968" s="17"/>
      <c r="P968" s="17"/>
      <c r="Q968" s="17"/>
      <c r="R968" s="17"/>
      <c r="S968" s="17"/>
      <c r="T968" s="17"/>
      <c r="U968" s="17"/>
      <c r="V968" s="17"/>
    </row>
    <row r="969" ht="14.25" customHeight="1">
      <c r="A969" s="38"/>
      <c r="B969" s="38"/>
      <c r="C969" s="39"/>
      <c r="D969" s="39"/>
      <c r="E969" s="39"/>
      <c r="F969" s="39"/>
      <c r="G969" s="39"/>
      <c r="H969" s="39"/>
      <c r="I969" s="39"/>
      <c r="J969" s="39"/>
      <c r="K969" s="39"/>
      <c r="O969" s="17"/>
      <c r="P969" s="17"/>
      <c r="Q969" s="17"/>
      <c r="R969" s="17"/>
      <c r="S969" s="17"/>
      <c r="T969" s="17"/>
      <c r="U969" s="17"/>
      <c r="V969" s="17"/>
    </row>
    <row r="970" ht="14.25" customHeight="1">
      <c r="A970" s="38"/>
      <c r="B970" s="38"/>
      <c r="C970" s="39"/>
      <c r="D970" s="39"/>
      <c r="E970" s="39"/>
      <c r="F970" s="39"/>
      <c r="G970" s="39"/>
      <c r="H970" s="39"/>
      <c r="I970" s="39"/>
      <c r="J970" s="39"/>
      <c r="K970" s="39"/>
      <c r="O970" s="17"/>
      <c r="P970" s="17"/>
      <c r="Q970" s="17"/>
      <c r="R970" s="17"/>
      <c r="S970" s="17"/>
      <c r="T970" s="17"/>
      <c r="U970" s="17"/>
      <c r="V970" s="17"/>
    </row>
    <row r="971" ht="14.25" customHeight="1">
      <c r="A971" s="38"/>
      <c r="B971" s="38"/>
      <c r="C971" s="39"/>
      <c r="D971" s="39"/>
      <c r="E971" s="39"/>
      <c r="F971" s="39"/>
      <c r="G971" s="39"/>
      <c r="H971" s="39"/>
      <c r="I971" s="39"/>
      <c r="J971" s="39"/>
      <c r="K971" s="39"/>
      <c r="O971" s="17"/>
      <c r="P971" s="17"/>
      <c r="Q971" s="17"/>
      <c r="R971" s="17"/>
      <c r="S971" s="17"/>
      <c r="T971" s="17"/>
      <c r="U971" s="17"/>
      <c r="V971" s="17"/>
    </row>
    <row r="972" ht="14.25" customHeight="1">
      <c r="A972" s="38"/>
      <c r="B972" s="38"/>
      <c r="C972" s="39"/>
      <c r="D972" s="39"/>
      <c r="E972" s="39"/>
      <c r="F972" s="39"/>
      <c r="G972" s="39"/>
      <c r="H972" s="39"/>
      <c r="I972" s="39"/>
      <c r="J972" s="39"/>
      <c r="K972" s="39"/>
      <c r="O972" s="17"/>
      <c r="P972" s="17"/>
      <c r="Q972" s="17"/>
      <c r="R972" s="17"/>
      <c r="S972" s="17"/>
      <c r="T972" s="17"/>
      <c r="U972" s="17"/>
      <c r="V972" s="17"/>
    </row>
    <row r="973" ht="14.25" customHeight="1">
      <c r="A973" s="38"/>
      <c r="B973" s="38"/>
      <c r="C973" s="39"/>
      <c r="D973" s="39"/>
      <c r="E973" s="39"/>
      <c r="F973" s="39"/>
      <c r="G973" s="39"/>
      <c r="H973" s="39"/>
      <c r="I973" s="39"/>
      <c r="J973" s="39"/>
      <c r="K973" s="39"/>
      <c r="O973" s="17"/>
      <c r="P973" s="17"/>
      <c r="Q973" s="17"/>
      <c r="R973" s="17"/>
      <c r="S973" s="17"/>
      <c r="T973" s="17"/>
      <c r="U973" s="17"/>
      <c r="V973" s="17"/>
    </row>
    <row r="974" ht="14.25" customHeight="1">
      <c r="A974" s="38"/>
      <c r="B974" s="38"/>
      <c r="C974" s="39"/>
      <c r="D974" s="39"/>
      <c r="E974" s="39"/>
      <c r="F974" s="39"/>
      <c r="G974" s="39"/>
      <c r="H974" s="39"/>
      <c r="I974" s="39"/>
      <c r="J974" s="39"/>
      <c r="K974" s="39"/>
      <c r="O974" s="17"/>
      <c r="P974" s="17"/>
      <c r="Q974" s="17"/>
      <c r="R974" s="17"/>
      <c r="S974" s="17"/>
      <c r="T974" s="17"/>
      <c r="U974" s="17"/>
      <c r="V974" s="17"/>
    </row>
    <row r="975" ht="14.25" customHeight="1">
      <c r="A975" s="38"/>
      <c r="B975" s="38"/>
      <c r="C975" s="39"/>
      <c r="D975" s="39"/>
      <c r="E975" s="39"/>
      <c r="F975" s="39"/>
      <c r="G975" s="39"/>
      <c r="H975" s="39"/>
      <c r="I975" s="39"/>
      <c r="J975" s="39"/>
      <c r="K975" s="39"/>
      <c r="O975" s="17"/>
      <c r="P975" s="17"/>
      <c r="Q975" s="17"/>
      <c r="R975" s="17"/>
      <c r="S975" s="17"/>
      <c r="T975" s="17"/>
      <c r="U975" s="17"/>
      <c r="V975" s="17"/>
    </row>
    <row r="976" ht="14.25" customHeight="1">
      <c r="A976" s="38"/>
      <c r="B976" s="38"/>
      <c r="C976" s="39"/>
      <c r="D976" s="39"/>
      <c r="E976" s="39"/>
      <c r="F976" s="39"/>
      <c r="G976" s="39"/>
      <c r="H976" s="39"/>
      <c r="I976" s="39"/>
      <c r="J976" s="39"/>
      <c r="K976" s="39"/>
      <c r="O976" s="17"/>
      <c r="P976" s="17"/>
      <c r="Q976" s="17"/>
      <c r="R976" s="17"/>
      <c r="S976" s="17"/>
      <c r="T976" s="17"/>
      <c r="U976" s="17"/>
      <c r="V976" s="17"/>
    </row>
    <row r="977" ht="14.25" customHeight="1">
      <c r="A977" s="38"/>
      <c r="B977" s="38"/>
      <c r="C977" s="39"/>
      <c r="D977" s="39"/>
      <c r="E977" s="39"/>
      <c r="F977" s="39"/>
      <c r="G977" s="39"/>
      <c r="H977" s="39"/>
      <c r="I977" s="39"/>
      <c r="J977" s="39"/>
      <c r="K977" s="39"/>
      <c r="O977" s="17"/>
      <c r="P977" s="17"/>
      <c r="Q977" s="17"/>
      <c r="R977" s="17"/>
      <c r="S977" s="17"/>
      <c r="T977" s="17"/>
      <c r="U977" s="17"/>
      <c r="V977" s="17"/>
    </row>
    <row r="978" ht="14.25" customHeight="1">
      <c r="A978" s="38"/>
      <c r="B978" s="38"/>
      <c r="C978" s="39"/>
      <c r="D978" s="39"/>
      <c r="E978" s="39"/>
      <c r="F978" s="39"/>
      <c r="G978" s="39"/>
      <c r="H978" s="39"/>
      <c r="I978" s="39"/>
      <c r="J978" s="39"/>
      <c r="K978" s="39"/>
      <c r="O978" s="17"/>
      <c r="P978" s="17"/>
      <c r="Q978" s="17"/>
      <c r="R978" s="17"/>
      <c r="S978" s="17"/>
      <c r="T978" s="17"/>
      <c r="U978" s="17"/>
      <c r="V978" s="17"/>
    </row>
    <row r="979" ht="14.25" customHeight="1">
      <c r="A979" s="38"/>
      <c r="B979" s="38"/>
      <c r="C979" s="39"/>
      <c r="D979" s="39"/>
      <c r="E979" s="39"/>
      <c r="F979" s="39"/>
      <c r="G979" s="39"/>
      <c r="H979" s="39"/>
      <c r="I979" s="39"/>
      <c r="J979" s="39"/>
      <c r="K979" s="39"/>
      <c r="O979" s="17"/>
      <c r="P979" s="17"/>
      <c r="Q979" s="17"/>
      <c r="R979" s="17"/>
      <c r="S979" s="17"/>
      <c r="T979" s="17"/>
      <c r="U979" s="17"/>
      <c r="V979" s="17"/>
    </row>
    <row r="980" ht="14.25" customHeight="1">
      <c r="A980" s="38"/>
      <c r="B980" s="38"/>
      <c r="C980" s="39"/>
      <c r="D980" s="39"/>
      <c r="E980" s="39"/>
      <c r="F980" s="39"/>
      <c r="G980" s="39"/>
      <c r="H980" s="39"/>
      <c r="I980" s="39"/>
      <c r="J980" s="39"/>
      <c r="K980" s="39"/>
      <c r="O980" s="17"/>
      <c r="P980" s="17"/>
      <c r="Q980" s="17"/>
      <c r="R980" s="17"/>
      <c r="S980" s="17"/>
      <c r="T980" s="17"/>
      <c r="U980" s="17"/>
      <c r="V980" s="17"/>
    </row>
    <row r="981" ht="14.25" customHeight="1">
      <c r="A981" s="38"/>
      <c r="B981" s="38"/>
      <c r="C981" s="39"/>
      <c r="D981" s="39"/>
      <c r="E981" s="39"/>
      <c r="F981" s="39"/>
      <c r="G981" s="39"/>
      <c r="H981" s="39"/>
      <c r="I981" s="39"/>
      <c r="J981" s="39"/>
      <c r="K981" s="39"/>
      <c r="O981" s="17"/>
      <c r="P981" s="17"/>
      <c r="Q981" s="17"/>
      <c r="R981" s="17"/>
      <c r="S981" s="17"/>
      <c r="T981" s="17"/>
      <c r="U981" s="17"/>
      <c r="V981" s="17"/>
    </row>
    <row r="982" ht="14.25" customHeight="1">
      <c r="A982" s="38"/>
      <c r="B982" s="38"/>
      <c r="C982" s="39"/>
      <c r="D982" s="39"/>
      <c r="E982" s="39"/>
      <c r="F982" s="39"/>
      <c r="G982" s="39"/>
      <c r="H982" s="39"/>
      <c r="I982" s="39"/>
      <c r="J982" s="39"/>
      <c r="K982" s="39"/>
      <c r="O982" s="17"/>
      <c r="P982" s="17"/>
      <c r="Q982" s="17"/>
      <c r="R982" s="17"/>
      <c r="S982" s="17"/>
      <c r="T982" s="17"/>
      <c r="U982" s="17"/>
      <c r="V982" s="17"/>
    </row>
    <row r="983" ht="14.25" customHeight="1">
      <c r="A983" s="38"/>
      <c r="B983" s="38"/>
      <c r="C983" s="39"/>
      <c r="D983" s="39"/>
      <c r="E983" s="39"/>
      <c r="F983" s="39"/>
      <c r="G983" s="39"/>
      <c r="H983" s="39"/>
      <c r="I983" s="39"/>
      <c r="J983" s="39"/>
      <c r="K983" s="39"/>
      <c r="O983" s="17"/>
      <c r="P983" s="17"/>
      <c r="Q983" s="17"/>
      <c r="R983" s="17"/>
      <c r="S983" s="17"/>
      <c r="T983" s="17"/>
      <c r="U983" s="17"/>
      <c r="V983" s="17"/>
    </row>
    <row r="984" ht="14.25" customHeight="1">
      <c r="A984" s="38"/>
      <c r="B984" s="38"/>
      <c r="C984" s="39"/>
      <c r="D984" s="39"/>
      <c r="E984" s="39"/>
      <c r="F984" s="39"/>
      <c r="G984" s="39"/>
      <c r="H984" s="39"/>
      <c r="I984" s="39"/>
      <c r="J984" s="39"/>
      <c r="K984" s="39"/>
      <c r="O984" s="17"/>
      <c r="P984" s="17"/>
      <c r="Q984" s="17"/>
      <c r="R984" s="17"/>
      <c r="S984" s="17"/>
      <c r="T984" s="17"/>
      <c r="U984" s="17"/>
      <c r="V984" s="17"/>
    </row>
    <row r="985" ht="14.25" customHeight="1">
      <c r="A985" s="38"/>
      <c r="B985" s="38"/>
      <c r="C985" s="39"/>
      <c r="D985" s="39"/>
      <c r="E985" s="39"/>
      <c r="F985" s="39"/>
      <c r="G985" s="39"/>
      <c r="H985" s="39"/>
      <c r="I985" s="39"/>
      <c r="J985" s="39"/>
      <c r="K985" s="39"/>
      <c r="O985" s="17"/>
      <c r="P985" s="17"/>
      <c r="Q985" s="17"/>
      <c r="R985" s="17"/>
      <c r="S985" s="17"/>
      <c r="T985" s="17"/>
      <c r="U985" s="17"/>
      <c r="V985" s="17"/>
    </row>
    <row r="986" ht="14.25" customHeight="1">
      <c r="A986" s="38"/>
      <c r="B986" s="38"/>
      <c r="C986" s="39"/>
      <c r="D986" s="39"/>
      <c r="E986" s="39"/>
      <c r="F986" s="39"/>
      <c r="G986" s="39"/>
      <c r="H986" s="39"/>
      <c r="I986" s="39"/>
      <c r="J986" s="39"/>
      <c r="K986" s="39"/>
      <c r="O986" s="17"/>
      <c r="P986" s="17"/>
      <c r="Q986" s="17"/>
      <c r="R986" s="17"/>
      <c r="S986" s="17"/>
      <c r="T986" s="17"/>
      <c r="U986" s="17"/>
      <c r="V986" s="17"/>
    </row>
    <row r="987" ht="14.25" customHeight="1">
      <c r="A987" s="38"/>
      <c r="B987" s="38"/>
      <c r="C987" s="39"/>
      <c r="D987" s="39"/>
      <c r="E987" s="39"/>
      <c r="F987" s="39"/>
      <c r="G987" s="39"/>
      <c r="H987" s="39"/>
      <c r="I987" s="39"/>
      <c r="J987" s="39"/>
      <c r="K987" s="39"/>
      <c r="O987" s="17"/>
      <c r="P987" s="17"/>
      <c r="Q987" s="17"/>
      <c r="R987" s="17"/>
      <c r="S987" s="17"/>
      <c r="T987" s="17"/>
      <c r="U987" s="17"/>
      <c r="V987" s="17"/>
    </row>
    <row r="988" ht="14.25" customHeight="1">
      <c r="A988" s="38"/>
      <c r="B988" s="38"/>
      <c r="C988" s="39"/>
      <c r="D988" s="39"/>
      <c r="E988" s="39"/>
      <c r="F988" s="39"/>
      <c r="G988" s="39"/>
      <c r="H988" s="39"/>
      <c r="I988" s="39"/>
      <c r="J988" s="39"/>
      <c r="K988" s="39"/>
      <c r="O988" s="17"/>
      <c r="P988" s="17"/>
      <c r="Q988" s="17"/>
      <c r="R988" s="17"/>
      <c r="S988" s="17"/>
      <c r="T988" s="17"/>
      <c r="U988" s="17"/>
      <c r="V988" s="17"/>
    </row>
    <row r="989" ht="14.25" customHeight="1">
      <c r="A989" s="38"/>
      <c r="B989" s="38"/>
      <c r="C989" s="39"/>
      <c r="D989" s="39"/>
      <c r="E989" s="39"/>
      <c r="F989" s="39"/>
      <c r="G989" s="39"/>
      <c r="H989" s="39"/>
      <c r="I989" s="39"/>
      <c r="J989" s="39"/>
      <c r="K989" s="39"/>
      <c r="O989" s="17"/>
      <c r="P989" s="17"/>
      <c r="Q989" s="17"/>
      <c r="R989" s="17"/>
      <c r="S989" s="17"/>
      <c r="T989" s="17"/>
      <c r="U989" s="17"/>
      <c r="V989" s="17"/>
    </row>
    <row r="990" ht="14.25" customHeight="1">
      <c r="A990" s="38"/>
      <c r="B990" s="38"/>
      <c r="C990" s="39"/>
      <c r="D990" s="39"/>
      <c r="E990" s="39"/>
      <c r="F990" s="39"/>
      <c r="G990" s="39"/>
      <c r="H990" s="39"/>
      <c r="I990" s="39"/>
      <c r="J990" s="39"/>
      <c r="K990" s="39"/>
      <c r="O990" s="17"/>
      <c r="P990" s="17"/>
      <c r="Q990" s="17"/>
      <c r="R990" s="17"/>
      <c r="S990" s="17"/>
      <c r="T990" s="17"/>
      <c r="U990" s="17"/>
      <c r="V990" s="17"/>
    </row>
    <row r="991" ht="14.25" customHeight="1">
      <c r="A991" s="38"/>
      <c r="B991" s="38"/>
      <c r="C991" s="39"/>
      <c r="D991" s="39"/>
      <c r="E991" s="39"/>
      <c r="F991" s="39"/>
      <c r="G991" s="39"/>
      <c r="H991" s="39"/>
      <c r="I991" s="39"/>
      <c r="J991" s="39"/>
      <c r="K991" s="39"/>
      <c r="O991" s="17"/>
      <c r="P991" s="17"/>
      <c r="Q991" s="17"/>
      <c r="R991" s="17"/>
      <c r="S991" s="17"/>
      <c r="T991" s="17"/>
      <c r="U991" s="17"/>
      <c r="V991" s="17"/>
    </row>
    <row r="992" ht="14.25" customHeight="1">
      <c r="A992" s="38"/>
      <c r="B992" s="38"/>
      <c r="C992" s="39"/>
      <c r="D992" s="39"/>
      <c r="E992" s="39"/>
      <c r="F992" s="39"/>
      <c r="G992" s="39"/>
      <c r="H992" s="39"/>
      <c r="I992" s="39"/>
      <c r="J992" s="39"/>
      <c r="K992" s="39"/>
      <c r="O992" s="17"/>
      <c r="P992" s="17"/>
      <c r="Q992" s="17"/>
      <c r="R992" s="17"/>
      <c r="S992" s="17"/>
      <c r="T992" s="17"/>
      <c r="U992" s="17"/>
      <c r="V992" s="17"/>
    </row>
    <row r="993" ht="14.25" customHeight="1">
      <c r="A993" s="38"/>
      <c r="B993" s="38"/>
      <c r="C993" s="39"/>
      <c r="D993" s="39"/>
      <c r="E993" s="39"/>
      <c r="F993" s="39"/>
      <c r="G993" s="39"/>
      <c r="H993" s="39"/>
      <c r="I993" s="39"/>
      <c r="J993" s="39"/>
      <c r="K993" s="39"/>
      <c r="O993" s="17"/>
      <c r="P993" s="17"/>
      <c r="Q993" s="17"/>
      <c r="R993" s="17"/>
      <c r="S993" s="17"/>
      <c r="T993" s="17"/>
      <c r="U993" s="17"/>
      <c r="V993" s="17"/>
    </row>
    <row r="994" ht="14.25" customHeight="1">
      <c r="A994" s="38"/>
      <c r="B994" s="38"/>
      <c r="C994" s="39"/>
      <c r="D994" s="39"/>
      <c r="E994" s="39"/>
      <c r="F994" s="39"/>
      <c r="G994" s="39"/>
      <c r="H994" s="39"/>
      <c r="I994" s="39"/>
      <c r="J994" s="39"/>
      <c r="K994" s="39"/>
      <c r="O994" s="17"/>
      <c r="P994" s="17"/>
      <c r="Q994" s="17"/>
      <c r="R994" s="17"/>
      <c r="S994" s="17"/>
      <c r="T994" s="17"/>
      <c r="U994" s="17"/>
      <c r="V994" s="17"/>
    </row>
    <row r="995" ht="14.25" customHeight="1">
      <c r="A995" s="38"/>
      <c r="B995" s="38"/>
      <c r="C995" s="39"/>
      <c r="D995" s="39"/>
      <c r="E995" s="39"/>
      <c r="F995" s="39"/>
      <c r="G995" s="39"/>
      <c r="H995" s="39"/>
      <c r="I995" s="39"/>
      <c r="J995" s="39"/>
      <c r="K995" s="39"/>
      <c r="O995" s="17"/>
      <c r="P995" s="17"/>
      <c r="Q995" s="17"/>
      <c r="R995" s="17"/>
      <c r="S995" s="17"/>
      <c r="T995" s="17"/>
      <c r="U995" s="17"/>
      <c r="V995" s="17"/>
    </row>
    <row r="996" ht="14.25" customHeight="1">
      <c r="A996" s="38"/>
      <c r="B996" s="38"/>
      <c r="C996" s="39"/>
      <c r="D996" s="39"/>
      <c r="E996" s="39"/>
      <c r="F996" s="39"/>
      <c r="G996" s="39"/>
      <c r="H996" s="39"/>
      <c r="I996" s="39"/>
      <c r="J996" s="39"/>
      <c r="K996" s="39"/>
      <c r="O996" s="17"/>
      <c r="P996" s="17"/>
      <c r="Q996" s="17"/>
      <c r="R996" s="17"/>
      <c r="S996" s="17"/>
      <c r="T996" s="17"/>
      <c r="U996" s="17"/>
      <c r="V996" s="17"/>
    </row>
    <row r="997" ht="14.25" customHeight="1">
      <c r="A997" s="38"/>
      <c r="B997" s="38"/>
      <c r="C997" s="39"/>
      <c r="D997" s="39"/>
      <c r="E997" s="39"/>
      <c r="F997" s="39"/>
      <c r="G997" s="39"/>
      <c r="H997" s="39"/>
      <c r="I997" s="39"/>
      <c r="J997" s="39"/>
      <c r="K997" s="39"/>
      <c r="O997" s="17"/>
      <c r="P997" s="17"/>
      <c r="Q997" s="17"/>
      <c r="R997" s="17"/>
      <c r="S997" s="17"/>
      <c r="T997" s="17"/>
      <c r="U997" s="17"/>
      <c r="V997" s="17"/>
    </row>
    <row r="998" ht="14.25" customHeight="1">
      <c r="A998" s="38"/>
      <c r="B998" s="38"/>
      <c r="C998" s="39"/>
      <c r="D998" s="39"/>
      <c r="E998" s="39"/>
      <c r="F998" s="39"/>
      <c r="G998" s="39"/>
      <c r="H998" s="39"/>
      <c r="I998" s="39"/>
      <c r="J998" s="39"/>
      <c r="K998" s="39"/>
      <c r="O998" s="17"/>
      <c r="P998" s="17"/>
      <c r="Q998" s="17"/>
      <c r="R998" s="17"/>
      <c r="S998" s="17"/>
      <c r="T998" s="17"/>
      <c r="U998" s="17"/>
      <c r="V998" s="17"/>
    </row>
    <row r="999" ht="14.25" customHeight="1">
      <c r="A999" s="38"/>
      <c r="B999" s="38"/>
      <c r="C999" s="39"/>
      <c r="D999" s="39"/>
      <c r="E999" s="39"/>
      <c r="F999" s="39"/>
      <c r="G999" s="39"/>
      <c r="H999" s="39"/>
      <c r="I999" s="39"/>
      <c r="J999" s="39"/>
      <c r="K999" s="39"/>
      <c r="O999" s="17"/>
      <c r="P999" s="17"/>
      <c r="Q999" s="17"/>
      <c r="R999" s="17"/>
      <c r="S999" s="17"/>
      <c r="T999" s="17"/>
      <c r="U999" s="17"/>
      <c r="V999" s="17"/>
    </row>
    <row r="1000" ht="14.25" customHeight="1">
      <c r="A1000" s="38"/>
      <c r="B1000" s="38"/>
      <c r="C1000" s="39"/>
      <c r="D1000" s="39"/>
      <c r="E1000" s="39"/>
      <c r="F1000" s="39"/>
      <c r="G1000" s="39"/>
      <c r="H1000" s="39"/>
      <c r="I1000" s="39"/>
      <c r="J1000" s="39"/>
      <c r="K1000" s="39"/>
      <c r="O1000" s="17"/>
      <c r="P1000" s="17"/>
      <c r="Q1000" s="17"/>
      <c r="R1000" s="17"/>
      <c r="S1000" s="17"/>
      <c r="T1000" s="17"/>
      <c r="U1000" s="17"/>
      <c r="V1000" s="1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1.29"/>
    <col customWidth="1" min="3" max="3" width="17.86"/>
    <col customWidth="1" min="4" max="4" width="13.43"/>
    <col customWidth="1" min="5" max="5" width="15.14"/>
    <col customWidth="1" min="6" max="6" width="18.29"/>
    <col customWidth="1" min="7" max="7" width="24.29"/>
    <col customWidth="1" min="8" max="8" width="22.71"/>
    <col customWidth="1" min="9" max="9" width="18.71"/>
    <col customWidth="1" min="10" max="10" width="18.0"/>
    <col customWidth="1" min="11" max="11" width="22.14"/>
    <col customWidth="1" min="12" max="12" width="8.86"/>
    <col customWidth="1" min="13" max="13" width="14.71"/>
    <col customWidth="1" min="14" max="24" width="8.86"/>
  </cols>
  <sheetData>
    <row r="1" ht="14.25" customHeight="1">
      <c r="A1" s="40" t="s">
        <v>0</v>
      </c>
      <c r="B1" s="40" t="s">
        <v>1</v>
      </c>
      <c r="C1" s="34" t="s">
        <v>360</v>
      </c>
      <c r="D1" s="34" t="s">
        <v>361</v>
      </c>
      <c r="E1" s="34" t="s">
        <v>362</v>
      </c>
      <c r="F1" s="34" t="s">
        <v>363</v>
      </c>
      <c r="G1" s="35" t="s">
        <v>364</v>
      </c>
      <c r="H1" s="35" t="s">
        <v>365</v>
      </c>
      <c r="I1" s="34" t="s">
        <v>366</v>
      </c>
      <c r="J1" s="34" t="s">
        <v>367</v>
      </c>
      <c r="K1" s="34" t="s">
        <v>368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ht="14.25" customHeight="1">
      <c r="A2" s="36">
        <v>10101.0</v>
      </c>
      <c r="B2" s="36" t="s">
        <v>11</v>
      </c>
      <c r="C2" s="39">
        <v>10.390000343322754</v>
      </c>
      <c r="D2" s="39">
        <v>0.44999998807907104</v>
      </c>
      <c r="E2" s="39">
        <v>3.430000066757202</v>
      </c>
      <c r="F2" s="39">
        <v>0.8799999952316284</v>
      </c>
      <c r="G2" s="39">
        <v>2.609999895095825</v>
      </c>
      <c r="H2" s="39">
        <v>3.8499999046325684</v>
      </c>
      <c r="I2" s="39">
        <v>5.920000076293945</v>
      </c>
      <c r="J2" s="39">
        <v>2.5</v>
      </c>
      <c r="K2" s="39">
        <v>14.329999923706055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</row>
    <row r="3" ht="14.25" customHeight="1">
      <c r="A3" s="36">
        <v>10102.0</v>
      </c>
      <c r="B3" s="36" t="s">
        <v>13</v>
      </c>
      <c r="C3" s="39">
        <v>20.6200008392334</v>
      </c>
      <c r="D3" s="39">
        <v>1.1799999475479126</v>
      </c>
      <c r="E3" s="39">
        <v>7.0</v>
      </c>
      <c r="F3" s="39">
        <v>0.800000011920929</v>
      </c>
      <c r="G3" s="39">
        <v>3.2899999618530273</v>
      </c>
      <c r="H3" s="39">
        <v>6.460000038146973</v>
      </c>
      <c r="I3" s="39">
        <v>11.9399995803833</v>
      </c>
      <c r="J3" s="39">
        <v>8.270000457763672</v>
      </c>
      <c r="K3" s="39">
        <v>24.399999618530273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</row>
    <row r="4" ht="14.25" customHeight="1">
      <c r="A4" s="36">
        <v>10103.0</v>
      </c>
      <c r="B4" s="36" t="s">
        <v>15</v>
      </c>
      <c r="C4" s="39">
        <v>32.290000915527344</v>
      </c>
      <c r="D4" s="39">
        <v>0.7099999785423279</v>
      </c>
      <c r="E4" s="39">
        <v>24.510000228881836</v>
      </c>
      <c r="F4" s="39">
        <v>7.369999885559082</v>
      </c>
      <c r="G4" s="39">
        <v>8.449999809265137</v>
      </c>
      <c r="H4" s="39">
        <v>22.200000762939453</v>
      </c>
      <c r="I4" s="39">
        <v>34.279998779296875</v>
      </c>
      <c r="J4" s="39">
        <v>51.279998779296875</v>
      </c>
      <c r="K4" s="39">
        <v>83.81999969482422</v>
      </c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</row>
    <row r="5" ht="14.25" customHeight="1">
      <c r="A5" s="36">
        <v>10201.0</v>
      </c>
      <c r="B5" s="36" t="s">
        <v>17</v>
      </c>
      <c r="C5" s="39">
        <v>35.619998931884766</v>
      </c>
      <c r="D5" s="39">
        <v>0.699999988079071</v>
      </c>
      <c r="E5" s="39">
        <v>18.360000610351562</v>
      </c>
      <c r="F5" s="39">
        <v>8.0</v>
      </c>
      <c r="G5" s="39">
        <v>7.300000190734863</v>
      </c>
      <c r="H5" s="39">
        <v>20.540000915527344</v>
      </c>
      <c r="I5" s="39">
        <v>29.93000030517578</v>
      </c>
      <c r="J5" s="39">
        <v>43.59000015258789</v>
      </c>
      <c r="K5" s="39">
        <v>63.630001068115234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</row>
    <row r="6" ht="14.25" customHeight="1">
      <c r="A6" s="36">
        <v>10202.0</v>
      </c>
      <c r="B6" s="36" t="s">
        <v>19</v>
      </c>
      <c r="C6" s="39">
        <v>39.58000183105469</v>
      </c>
      <c r="D6" s="39">
        <v>0.23999999463558197</v>
      </c>
      <c r="E6" s="39">
        <v>17.59000015258789</v>
      </c>
      <c r="F6" s="39">
        <v>3.4000000953674316</v>
      </c>
      <c r="G6" s="39">
        <v>6.300000190734863</v>
      </c>
      <c r="H6" s="39">
        <v>16.579999923706055</v>
      </c>
      <c r="I6" s="39">
        <v>20.549999237060547</v>
      </c>
      <c r="J6" s="39">
        <v>28.020000457763672</v>
      </c>
      <c r="K6" s="39">
        <v>60.9900016784668</v>
      </c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</row>
    <row r="7" ht="14.25" customHeight="1">
      <c r="A7" s="36">
        <v>10301.0</v>
      </c>
      <c r="B7" s="36" t="s">
        <v>21</v>
      </c>
      <c r="C7" s="39">
        <v>28.920000076293945</v>
      </c>
      <c r="D7" s="39">
        <v>0.17000000178813934</v>
      </c>
      <c r="E7" s="39">
        <v>14.359999656677246</v>
      </c>
      <c r="F7" s="39">
        <v>1.6200000047683716</v>
      </c>
      <c r="G7" s="39">
        <v>7.800000190734863</v>
      </c>
      <c r="H7" s="39">
        <v>17.719999313354492</v>
      </c>
      <c r="I7" s="39">
        <v>12.890000343322754</v>
      </c>
      <c r="J7" s="39">
        <v>12.680000305175781</v>
      </c>
      <c r="K7" s="39">
        <v>56.79999923706055</v>
      </c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</row>
    <row r="8" ht="14.25" customHeight="1">
      <c r="A8" s="36">
        <v>10302.0</v>
      </c>
      <c r="B8" s="36" t="s">
        <v>23</v>
      </c>
      <c r="C8" s="39">
        <v>37.11000061035156</v>
      </c>
      <c r="D8" s="39">
        <v>0.9100000262260437</v>
      </c>
      <c r="E8" s="39">
        <v>20.040000915527344</v>
      </c>
      <c r="F8" s="39">
        <v>8.3100004196167</v>
      </c>
      <c r="G8" s="39">
        <v>6.909999847412109</v>
      </c>
      <c r="H8" s="39">
        <v>20.059999465942383</v>
      </c>
      <c r="I8" s="39">
        <v>17.920000076293945</v>
      </c>
      <c r="J8" s="39">
        <v>24.739999771118164</v>
      </c>
      <c r="K8" s="39">
        <v>55.34000015258789</v>
      </c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</row>
    <row r="9" ht="14.25" customHeight="1">
      <c r="A9" s="36">
        <v>10303.0</v>
      </c>
      <c r="B9" s="36" t="s">
        <v>25</v>
      </c>
      <c r="C9" s="39">
        <v>22.850000381469727</v>
      </c>
      <c r="D9" s="39">
        <v>0.1599999964237213</v>
      </c>
      <c r="E9" s="39">
        <v>13.470000267028809</v>
      </c>
      <c r="F9" s="39">
        <v>2.319999933242798</v>
      </c>
      <c r="G9" s="39">
        <v>4.210000038146973</v>
      </c>
      <c r="H9" s="39">
        <v>10.760000228881836</v>
      </c>
      <c r="I9" s="39">
        <v>12.75</v>
      </c>
      <c r="J9" s="39">
        <v>23.219999313354492</v>
      </c>
      <c r="K9" s="39">
        <v>48.61000061035156</v>
      </c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</row>
    <row r="10" ht="14.25" customHeight="1">
      <c r="A10" s="36">
        <v>10304.0</v>
      </c>
      <c r="B10" s="36" t="s">
        <v>27</v>
      </c>
      <c r="C10" s="39">
        <v>39.38999938964844</v>
      </c>
      <c r="D10" s="39">
        <v>0.5899999737739563</v>
      </c>
      <c r="E10" s="39">
        <v>15.0</v>
      </c>
      <c r="F10" s="39">
        <v>4.159999847412109</v>
      </c>
      <c r="G10" s="39">
        <v>7.489999771118164</v>
      </c>
      <c r="H10" s="39">
        <v>24.0</v>
      </c>
      <c r="I10" s="39">
        <v>12.9399995803833</v>
      </c>
      <c r="J10" s="39">
        <v>24.229999542236328</v>
      </c>
      <c r="K10" s="39">
        <v>44.5099983215332</v>
      </c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</row>
    <row r="11" ht="14.25" customHeight="1">
      <c r="A11" s="36">
        <v>10401.0</v>
      </c>
      <c r="B11" s="36" t="s">
        <v>29</v>
      </c>
      <c r="C11" s="39">
        <v>21.139999389648438</v>
      </c>
      <c r="D11" s="39">
        <v>0.3499999940395355</v>
      </c>
      <c r="E11" s="39">
        <v>8.369999885559082</v>
      </c>
      <c r="F11" s="39">
        <v>1.1100000143051147</v>
      </c>
      <c r="G11" s="39">
        <v>4.829999923706055</v>
      </c>
      <c r="H11" s="39">
        <v>10.010000228881836</v>
      </c>
      <c r="I11" s="39">
        <v>11.300000190734863</v>
      </c>
      <c r="J11" s="39">
        <v>18.860000610351562</v>
      </c>
      <c r="K11" s="39">
        <v>45.79999923706055</v>
      </c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</row>
    <row r="12" ht="14.25" customHeight="1">
      <c r="A12" s="36">
        <v>10402.0</v>
      </c>
      <c r="B12" s="36" t="s">
        <v>31</v>
      </c>
      <c r="C12" s="39">
        <v>36.959999084472656</v>
      </c>
      <c r="D12" s="39">
        <v>1.0800000429153442</v>
      </c>
      <c r="E12" s="39">
        <v>9.789999961853027</v>
      </c>
      <c r="F12" s="39">
        <v>1.9299999475479126</v>
      </c>
      <c r="G12" s="39">
        <v>9.859999656677246</v>
      </c>
      <c r="H12" s="39">
        <v>22.34000015258789</v>
      </c>
      <c r="I12" s="39">
        <v>8.920000076293945</v>
      </c>
      <c r="J12" s="39">
        <v>9.069999694824219</v>
      </c>
      <c r="K12" s="39">
        <v>34.959999084472656</v>
      </c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</row>
    <row r="13" ht="14.25" customHeight="1">
      <c r="A13" s="36">
        <v>10403.0</v>
      </c>
      <c r="B13" s="36" t="s">
        <v>33</v>
      </c>
      <c r="C13" s="39">
        <v>41.59000015258789</v>
      </c>
      <c r="D13" s="39">
        <v>0.5099999904632568</v>
      </c>
      <c r="E13" s="39">
        <v>12.539999961853027</v>
      </c>
      <c r="F13" s="39">
        <v>2.2799999713897705</v>
      </c>
      <c r="G13" s="39">
        <v>7.849999904632568</v>
      </c>
      <c r="H13" s="39">
        <v>23.290000915527344</v>
      </c>
      <c r="I13" s="39">
        <v>22.809999465942383</v>
      </c>
      <c r="J13" s="39">
        <v>31.6200008392334</v>
      </c>
      <c r="K13" s="39">
        <v>54.33000183105469</v>
      </c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</row>
    <row r="14" ht="14.25" customHeight="1">
      <c r="A14" s="36">
        <v>10404.0</v>
      </c>
      <c r="B14" s="36" t="s">
        <v>34</v>
      </c>
      <c r="C14" s="39">
        <v>25.389999389648438</v>
      </c>
      <c r="D14" s="39">
        <v>1.059999942779541</v>
      </c>
      <c r="E14" s="39">
        <v>6.150000095367432</v>
      </c>
      <c r="F14" s="39">
        <v>0.9300000071525574</v>
      </c>
      <c r="G14" s="39">
        <v>3.6500000953674316</v>
      </c>
      <c r="H14" s="39">
        <v>10.649999618530273</v>
      </c>
      <c r="I14" s="39">
        <v>6.230000019073486</v>
      </c>
      <c r="J14" s="39">
        <v>6.420000076293945</v>
      </c>
      <c r="K14" s="39">
        <v>35.70000076293945</v>
      </c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</row>
    <row r="15" ht="14.25" customHeight="1">
      <c r="A15" s="36">
        <v>10405.0</v>
      </c>
      <c r="B15" s="36" t="s">
        <v>35</v>
      </c>
      <c r="C15" s="39">
        <v>29.899999618530273</v>
      </c>
      <c r="D15" s="39">
        <v>1.059999942779541</v>
      </c>
      <c r="E15" s="39">
        <v>14.539999961853027</v>
      </c>
      <c r="F15" s="39">
        <v>1.8799999952316284</v>
      </c>
      <c r="G15" s="39">
        <v>5.320000171661377</v>
      </c>
      <c r="H15" s="39">
        <v>11.600000381469727</v>
      </c>
      <c r="I15" s="39">
        <v>15.0</v>
      </c>
      <c r="J15" s="39">
        <v>23.920000076293945</v>
      </c>
      <c r="K15" s="39">
        <v>44.47999954223633</v>
      </c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</row>
    <row r="16" ht="14.25" customHeight="1">
      <c r="A16" s="36">
        <v>10501.0</v>
      </c>
      <c r="B16" s="36" t="s">
        <v>36</v>
      </c>
      <c r="C16" s="39">
        <v>19.68000030517578</v>
      </c>
      <c r="D16" s="39">
        <v>0.4300000071525574</v>
      </c>
      <c r="E16" s="39">
        <v>10.109999656677246</v>
      </c>
      <c r="F16" s="39">
        <v>0.6399999856948853</v>
      </c>
      <c r="G16" s="39">
        <v>3.109999895095825</v>
      </c>
      <c r="H16" s="39">
        <v>6.349999904632568</v>
      </c>
      <c r="I16" s="39">
        <v>10.800000190734863</v>
      </c>
      <c r="J16" s="39">
        <v>12.229999542236328</v>
      </c>
      <c r="K16" s="39">
        <v>28.8700008392334</v>
      </c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</row>
    <row r="17" ht="14.25" customHeight="1">
      <c r="A17" s="36">
        <v>10502.0</v>
      </c>
      <c r="B17" s="36" t="s">
        <v>38</v>
      </c>
      <c r="C17" s="39">
        <v>24.889999389648438</v>
      </c>
      <c r="D17" s="39">
        <v>0.5</v>
      </c>
      <c r="E17" s="39">
        <v>14.869999885559082</v>
      </c>
      <c r="F17" s="39">
        <v>2.640000104904175</v>
      </c>
      <c r="G17" s="39">
        <v>4.550000190734863</v>
      </c>
      <c r="H17" s="39">
        <v>7.989999771118164</v>
      </c>
      <c r="I17" s="39">
        <v>12.59000015258789</v>
      </c>
      <c r="J17" s="39">
        <v>16.420000076293945</v>
      </c>
      <c r="K17" s="39">
        <v>49.09000015258789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</row>
    <row r="18" ht="14.25" customHeight="1">
      <c r="A18" s="36">
        <v>10601.0</v>
      </c>
      <c r="B18" s="36" t="s">
        <v>40</v>
      </c>
      <c r="C18" s="39">
        <v>43.529998779296875</v>
      </c>
      <c r="D18" s="39">
        <v>0.20999999344348907</v>
      </c>
      <c r="E18" s="39">
        <v>13.34000015258789</v>
      </c>
      <c r="F18" s="39">
        <v>5.829999923706055</v>
      </c>
      <c r="G18" s="39">
        <v>6.199999809265137</v>
      </c>
      <c r="H18" s="39">
        <v>15.920000076293945</v>
      </c>
      <c r="I18" s="39">
        <v>13.949999809265137</v>
      </c>
      <c r="J18" s="39">
        <v>12.920000076293945</v>
      </c>
      <c r="K18" s="39">
        <v>49.310001373291016</v>
      </c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</row>
    <row r="19" ht="14.25" customHeight="1">
      <c r="A19" s="36">
        <v>10602.0</v>
      </c>
      <c r="B19" s="36" t="s">
        <v>42</v>
      </c>
      <c r="C19" s="39">
        <v>27.690000534057617</v>
      </c>
      <c r="D19" s="39">
        <v>0.30000001192092896</v>
      </c>
      <c r="E19" s="39">
        <v>9.670000076293945</v>
      </c>
      <c r="F19" s="39">
        <v>1.2999999523162842</v>
      </c>
      <c r="G19" s="39">
        <v>4.369999885559082</v>
      </c>
      <c r="H19" s="39">
        <v>9.5600004196167</v>
      </c>
      <c r="I19" s="39">
        <v>24.290000915527344</v>
      </c>
      <c r="J19" s="39">
        <v>13.609999656677246</v>
      </c>
      <c r="K19" s="39">
        <v>48.09000015258789</v>
      </c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</row>
    <row r="20" ht="14.25" customHeight="1">
      <c r="A20" s="36">
        <v>10701.0</v>
      </c>
      <c r="B20" s="36" t="s">
        <v>44</v>
      </c>
      <c r="C20" s="39">
        <v>13.890000343322754</v>
      </c>
      <c r="D20" s="39">
        <v>1.2599999904632568</v>
      </c>
      <c r="E20" s="39">
        <v>7.710000038146973</v>
      </c>
      <c r="F20" s="39">
        <v>1.4600000381469727</v>
      </c>
      <c r="G20" s="39">
        <v>3.0899999141693115</v>
      </c>
      <c r="H20" s="39">
        <v>10.039999961853027</v>
      </c>
      <c r="I20" s="39">
        <v>11.65999984741211</v>
      </c>
      <c r="J20" s="39">
        <v>11.399999618530273</v>
      </c>
      <c r="K20" s="39">
        <v>42.16999816894531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</row>
    <row r="21" ht="14.25" customHeight="1">
      <c r="A21" s="36">
        <v>10702.0</v>
      </c>
      <c r="B21" s="36" t="s">
        <v>45</v>
      </c>
      <c r="C21" s="39">
        <v>24.059999465942383</v>
      </c>
      <c r="D21" s="39">
        <v>1.0199999809265137</v>
      </c>
      <c r="E21" s="39">
        <v>11.739999771118164</v>
      </c>
      <c r="F21" s="39">
        <v>6.840000152587891</v>
      </c>
      <c r="G21" s="39">
        <v>6.900000095367432</v>
      </c>
      <c r="H21" s="39">
        <v>18.940000534057617</v>
      </c>
      <c r="I21" s="39">
        <v>27.899999618530273</v>
      </c>
      <c r="J21" s="39">
        <v>21.959999084472656</v>
      </c>
      <c r="K21" s="39">
        <v>61.84000015258789</v>
      </c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</row>
    <row r="22" ht="14.25" customHeight="1">
      <c r="A22" s="36">
        <v>10703.0</v>
      </c>
      <c r="B22" s="36" t="s">
        <v>47</v>
      </c>
      <c r="C22" s="39">
        <v>30.739999771118164</v>
      </c>
      <c r="D22" s="39">
        <v>1.4500000476837158</v>
      </c>
      <c r="E22" s="39">
        <v>22.809999465942383</v>
      </c>
      <c r="F22" s="39">
        <v>8.819999694824219</v>
      </c>
      <c r="G22" s="39">
        <v>6.610000133514404</v>
      </c>
      <c r="H22" s="39">
        <v>23.860000610351562</v>
      </c>
      <c r="I22" s="39">
        <v>35.040000915527344</v>
      </c>
      <c r="J22" s="39">
        <v>36.63999938964844</v>
      </c>
      <c r="K22" s="39">
        <v>66.41999816894531</v>
      </c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</row>
    <row r="23" ht="14.25" customHeight="1">
      <c r="A23" s="36">
        <v>10704.0</v>
      </c>
      <c r="B23" s="36" t="s">
        <v>48</v>
      </c>
      <c r="C23" s="39">
        <v>26.579999923706055</v>
      </c>
      <c r="D23" s="39">
        <v>2.630000114440918</v>
      </c>
      <c r="E23" s="39">
        <v>15.289999961853027</v>
      </c>
      <c r="F23" s="39">
        <v>6.110000133514404</v>
      </c>
      <c r="G23" s="39">
        <v>8.199999809265137</v>
      </c>
      <c r="H23" s="39">
        <v>25.709999084472656</v>
      </c>
      <c r="I23" s="39">
        <v>28.829999923706055</v>
      </c>
      <c r="J23" s="39">
        <v>25.15999984741211</v>
      </c>
      <c r="K23" s="39">
        <v>62.33000183105469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</row>
    <row r="24" ht="14.25" customHeight="1">
      <c r="A24" s="36">
        <v>10801.0</v>
      </c>
      <c r="B24" s="36" t="s">
        <v>49</v>
      </c>
      <c r="C24" s="39">
        <v>27.549999237060547</v>
      </c>
      <c r="D24" s="39">
        <v>0.17000000178813934</v>
      </c>
      <c r="E24" s="39">
        <v>11.170000076293945</v>
      </c>
      <c r="F24" s="39">
        <v>1.8600000143051147</v>
      </c>
      <c r="G24" s="39">
        <v>4.550000190734863</v>
      </c>
      <c r="H24" s="39">
        <v>9.880000114440918</v>
      </c>
      <c r="I24" s="39">
        <v>8.869999885559082</v>
      </c>
      <c r="J24" s="39">
        <v>12.289999961853027</v>
      </c>
      <c r="K24" s="39">
        <v>36.310001373291016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</row>
    <row r="25" ht="14.25" customHeight="1">
      <c r="A25" s="36">
        <v>10901.0</v>
      </c>
      <c r="B25" s="36" t="s">
        <v>50</v>
      </c>
      <c r="C25" s="39">
        <v>18.440000534057617</v>
      </c>
      <c r="D25" s="39">
        <v>6.230000019073486</v>
      </c>
      <c r="E25" s="39">
        <v>8.819999694824219</v>
      </c>
      <c r="F25" s="39">
        <v>1.6399999856948853</v>
      </c>
      <c r="G25" s="39">
        <v>3.859999895095825</v>
      </c>
      <c r="H25" s="39">
        <v>12.050000190734863</v>
      </c>
      <c r="I25" s="39">
        <v>10.239999771118164</v>
      </c>
      <c r="J25" s="39">
        <v>11.859999656677246</v>
      </c>
      <c r="K25" s="39">
        <v>49.529998779296875</v>
      </c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</row>
    <row r="26" ht="14.25" customHeight="1">
      <c r="A26" s="36">
        <v>10902.0</v>
      </c>
      <c r="B26" s="36" t="s">
        <v>51</v>
      </c>
      <c r="C26" s="39">
        <v>22.540000915527344</v>
      </c>
      <c r="D26" s="39">
        <v>1.5399999618530273</v>
      </c>
      <c r="E26" s="39">
        <v>13.619999885559082</v>
      </c>
      <c r="F26" s="39">
        <v>4.619999885559082</v>
      </c>
      <c r="G26" s="39">
        <v>5.75</v>
      </c>
      <c r="H26" s="39">
        <v>23.559999465942383</v>
      </c>
      <c r="I26" s="39">
        <v>20.850000381469727</v>
      </c>
      <c r="J26" s="39">
        <v>27.700000762939453</v>
      </c>
      <c r="K26" s="39">
        <v>54.0</v>
      </c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</row>
    <row r="27" ht="14.25" customHeight="1">
      <c r="A27" s="36">
        <v>10903.0</v>
      </c>
      <c r="B27" s="36" t="s">
        <v>52</v>
      </c>
      <c r="C27" s="39">
        <v>19.899999618530273</v>
      </c>
      <c r="D27" s="39">
        <v>7.960000038146973</v>
      </c>
      <c r="E27" s="39">
        <v>12.880000114440918</v>
      </c>
      <c r="F27" s="39">
        <v>2.190000057220459</v>
      </c>
      <c r="G27" s="39">
        <v>4.199999809265137</v>
      </c>
      <c r="H27" s="39">
        <v>12.229999542236328</v>
      </c>
      <c r="I27" s="39">
        <v>23.600000381469727</v>
      </c>
      <c r="J27" s="39">
        <v>7.949999809265137</v>
      </c>
      <c r="K27" s="39">
        <v>23.600000381469727</v>
      </c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</row>
    <row r="28" ht="14.25" customHeight="1">
      <c r="A28" s="36">
        <v>11001.0</v>
      </c>
      <c r="B28" s="36" t="s">
        <v>53</v>
      </c>
      <c r="C28" s="39">
        <v>23.959999084472656</v>
      </c>
      <c r="D28" s="39">
        <v>1.0299999713897705</v>
      </c>
      <c r="E28" s="39">
        <v>17.8700008392334</v>
      </c>
      <c r="F28" s="39">
        <v>3.380000114440918</v>
      </c>
      <c r="G28" s="39">
        <v>3.869999885559082</v>
      </c>
      <c r="H28" s="39">
        <v>13.3100004196167</v>
      </c>
      <c r="I28" s="39">
        <v>11.010000228881836</v>
      </c>
      <c r="J28" s="39">
        <v>18.700000762939453</v>
      </c>
      <c r="K28" s="39">
        <v>36.380001068115234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</row>
    <row r="29" ht="14.25" customHeight="1">
      <c r="A29" s="36">
        <v>11002.0</v>
      </c>
      <c r="B29" s="36" t="s">
        <v>54</v>
      </c>
      <c r="C29" s="39">
        <v>8.869999885559082</v>
      </c>
      <c r="D29" s="39">
        <v>0.4699999988079071</v>
      </c>
      <c r="E29" s="39">
        <v>17.469999313354492</v>
      </c>
      <c r="F29" s="39">
        <v>2.009999990463257</v>
      </c>
      <c r="G29" s="39">
        <v>5.0</v>
      </c>
      <c r="H29" s="39">
        <v>9.180000305175781</v>
      </c>
      <c r="I29" s="39">
        <v>7.210000038146973</v>
      </c>
      <c r="J29" s="39">
        <v>9.460000038146973</v>
      </c>
      <c r="K29" s="39">
        <v>19.540000915527344</v>
      </c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</row>
    <row r="30" ht="14.25" customHeight="1">
      <c r="A30" s="36">
        <v>11003.0</v>
      </c>
      <c r="B30" s="36" t="s">
        <v>55</v>
      </c>
      <c r="C30" s="39">
        <v>10.130000114440918</v>
      </c>
      <c r="D30" s="39">
        <v>0.7799999713897705</v>
      </c>
      <c r="E30" s="39">
        <v>16.719999313354492</v>
      </c>
      <c r="F30" s="39">
        <v>2.359999895095825</v>
      </c>
      <c r="G30" s="39">
        <v>5.510000228881836</v>
      </c>
      <c r="H30" s="39">
        <v>10.529999732971191</v>
      </c>
      <c r="I30" s="39">
        <v>6.039999961853027</v>
      </c>
      <c r="J30" s="39">
        <v>20.8700008392334</v>
      </c>
      <c r="K30" s="39">
        <v>13.84000015258789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</row>
    <row r="31" ht="14.25" customHeight="1">
      <c r="A31" s="36">
        <v>20101.0</v>
      </c>
      <c r="B31" s="36" t="s">
        <v>56</v>
      </c>
      <c r="C31" s="39">
        <v>3.440000057220459</v>
      </c>
      <c r="D31" s="39">
        <v>0.5899999737739563</v>
      </c>
      <c r="E31" s="39">
        <v>1.6699999570846558</v>
      </c>
      <c r="F31" s="39">
        <v>0.4300000071525574</v>
      </c>
      <c r="G31" s="39">
        <v>1.25</v>
      </c>
      <c r="H31" s="39">
        <v>2.5799999237060547</v>
      </c>
      <c r="I31" s="39">
        <v>2.990000009536743</v>
      </c>
      <c r="J31" s="39">
        <v>0.7699999809265137</v>
      </c>
      <c r="K31" s="39">
        <v>5.170000076293945</v>
      </c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</row>
    <row r="32" ht="14.25" customHeight="1">
      <c r="A32" s="36">
        <v>20102.0</v>
      </c>
      <c r="B32" s="36" t="s">
        <v>57</v>
      </c>
      <c r="C32" s="39">
        <v>10.819999694824219</v>
      </c>
      <c r="D32" s="39">
        <v>0.3400000035762787</v>
      </c>
      <c r="E32" s="39">
        <v>10.630000114440918</v>
      </c>
      <c r="F32" s="39">
        <v>9.350000381469727</v>
      </c>
      <c r="G32" s="39">
        <v>4.110000133514404</v>
      </c>
      <c r="H32" s="39">
        <v>8.800000190734863</v>
      </c>
      <c r="I32" s="39">
        <v>28.520000457763672</v>
      </c>
      <c r="J32" s="39">
        <v>9.489999771118164</v>
      </c>
      <c r="K32" s="39">
        <v>54.61000061035156</v>
      </c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</row>
    <row r="33" ht="14.25" customHeight="1">
      <c r="A33" s="36">
        <v>20103.0</v>
      </c>
      <c r="B33" s="36" t="s">
        <v>58</v>
      </c>
      <c r="C33" s="39">
        <v>9.59000015258789</v>
      </c>
      <c r="D33" s="39">
        <v>0.6299999952316284</v>
      </c>
      <c r="E33" s="39">
        <v>6.849999904632568</v>
      </c>
      <c r="F33" s="39">
        <v>4.920000076293945</v>
      </c>
      <c r="G33" s="39">
        <v>2.700000047683716</v>
      </c>
      <c r="H33" s="39">
        <v>6.010000228881836</v>
      </c>
      <c r="I33" s="39">
        <v>10.890000343322754</v>
      </c>
      <c r="J33" s="39">
        <v>6.980000019073486</v>
      </c>
      <c r="K33" s="39">
        <v>39.27000045776367</v>
      </c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</row>
    <row r="34" ht="14.25" customHeight="1">
      <c r="A34" s="36">
        <v>20104.0</v>
      </c>
      <c r="B34" s="36" t="s">
        <v>59</v>
      </c>
      <c r="C34" s="39">
        <v>7.960000038146973</v>
      </c>
      <c r="D34" s="39">
        <v>0.3400000035762787</v>
      </c>
      <c r="E34" s="39">
        <v>6.300000190734863</v>
      </c>
      <c r="F34" s="39">
        <v>3.0299999713897705</v>
      </c>
      <c r="G34" s="39">
        <v>2.7200000286102295</v>
      </c>
      <c r="H34" s="39">
        <v>5.619999885559082</v>
      </c>
      <c r="I34" s="39">
        <v>28.719999313354492</v>
      </c>
      <c r="J34" s="39">
        <v>10.289999961853027</v>
      </c>
      <c r="K34" s="39">
        <v>79.8499984741211</v>
      </c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</row>
    <row r="35" ht="14.25" customHeight="1">
      <c r="A35" s="36">
        <v>20105.0</v>
      </c>
      <c r="B35" s="36" t="s">
        <v>60</v>
      </c>
      <c r="C35" s="39">
        <v>5.460000038146973</v>
      </c>
      <c r="D35" s="39">
        <v>0.3700000047683716</v>
      </c>
      <c r="E35" s="39">
        <v>2.950000047683716</v>
      </c>
      <c r="F35" s="39">
        <v>2.2699999809265137</v>
      </c>
      <c r="G35" s="39">
        <v>2.2200000286102295</v>
      </c>
      <c r="H35" s="39">
        <v>4.789999961853027</v>
      </c>
      <c r="I35" s="39">
        <v>2.0199999809265137</v>
      </c>
      <c r="J35" s="39">
        <v>1.6699999570846558</v>
      </c>
      <c r="K35" s="39">
        <v>12.59000015258789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</row>
    <row r="36" ht="14.25" customHeight="1">
      <c r="A36" s="36">
        <v>20201.0</v>
      </c>
      <c r="B36" s="36" t="s">
        <v>61</v>
      </c>
      <c r="C36" s="39">
        <v>15.210000038146973</v>
      </c>
      <c r="D36" s="39">
        <v>0.11999999731779099</v>
      </c>
      <c r="E36" s="39">
        <v>11.210000038146973</v>
      </c>
      <c r="F36" s="39">
        <v>6.179999828338623</v>
      </c>
      <c r="G36" s="39">
        <v>2.5399999618530273</v>
      </c>
      <c r="H36" s="39">
        <v>5.210000038146973</v>
      </c>
      <c r="I36" s="39">
        <v>12.850000381469727</v>
      </c>
      <c r="J36" s="39">
        <v>11.869999885559082</v>
      </c>
      <c r="K36" s="39">
        <v>29.030000686645508</v>
      </c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</row>
    <row r="37" ht="14.25" customHeight="1">
      <c r="A37" s="36">
        <v>20202.0</v>
      </c>
      <c r="B37" s="36" t="s">
        <v>62</v>
      </c>
      <c r="C37" s="39">
        <v>18.520000457763672</v>
      </c>
      <c r="D37" s="39">
        <v>0.18000000715255737</v>
      </c>
      <c r="E37" s="39">
        <v>17.920000076293945</v>
      </c>
      <c r="F37" s="39">
        <v>9.039999961853027</v>
      </c>
      <c r="G37" s="39">
        <v>2.3499999046325684</v>
      </c>
      <c r="H37" s="39">
        <v>6.21999979019165</v>
      </c>
      <c r="I37" s="39">
        <v>15.539999961853027</v>
      </c>
      <c r="J37" s="39">
        <v>21.059999465942383</v>
      </c>
      <c r="K37" s="39">
        <v>51.290000915527344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</row>
    <row r="38" ht="14.25" customHeight="1">
      <c r="A38" s="36">
        <v>20203.0</v>
      </c>
      <c r="B38" s="36" t="s">
        <v>63</v>
      </c>
      <c r="C38" s="39">
        <v>12.300000190734863</v>
      </c>
      <c r="D38" s="39">
        <v>0.4699999988079071</v>
      </c>
      <c r="E38" s="39">
        <v>11.420000076293945</v>
      </c>
      <c r="F38" s="39">
        <v>2.700000047683716</v>
      </c>
      <c r="G38" s="39">
        <v>2.3499999046325684</v>
      </c>
      <c r="H38" s="39">
        <v>4.989999771118164</v>
      </c>
      <c r="I38" s="39">
        <v>7.110000133514404</v>
      </c>
      <c r="J38" s="39">
        <v>19.1200008392334</v>
      </c>
      <c r="K38" s="39">
        <v>37.77000045776367</v>
      </c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</row>
    <row r="39" ht="14.25" customHeight="1">
      <c r="A39" s="36">
        <v>20204.0</v>
      </c>
      <c r="B39" s="36" t="s">
        <v>64</v>
      </c>
      <c r="C39" s="39">
        <v>12.390000343322754</v>
      </c>
      <c r="D39" s="39">
        <v>0.33000001311302185</v>
      </c>
      <c r="E39" s="39">
        <v>11.760000228881836</v>
      </c>
      <c r="F39" s="39">
        <v>3.549999952316284</v>
      </c>
      <c r="G39" s="39">
        <v>1.940000057220459</v>
      </c>
      <c r="H39" s="39">
        <v>3.8299999237060547</v>
      </c>
      <c r="I39" s="39">
        <v>18.549999237060547</v>
      </c>
      <c r="J39" s="39">
        <v>17.579999923706055</v>
      </c>
      <c r="K39" s="39">
        <v>31.3799991607666</v>
      </c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</row>
    <row r="40" ht="14.25" customHeight="1">
      <c r="A40" s="36">
        <v>20205.0</v>
      </c>
      <c r="B40" s="36" t="s">
        <v>65</v>
      </c>
      <c r="C40" s="39">
        <v>12.289999961853027</v>
      </c>
      <c r="D40" s="39">
        <v>0.4099999964237213</v>
      </c>
      <c r="E40" s="39">
        <v>13.350000381469727</v>
      </c>
      <c r="F40" s="39">
        <v>4.050000190734863</v>
      </c>
      <c r="G40" s="39">
        <v>2.4700000286102295</v>
      </c>
      <c r="H40" s="39">
        <v>3.7300000190734863</v>
      </c>
      <c r="I40" s="39">
        <v>10.59000015258789</v>
      </c>
      <c r="J40" s="39">
        <v>15.640000343322754</v>
      </c>
      <c r="K40" s="39">
        <v>31.850000381469727</v>
      </c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</row>
    <row r="41" ht="14.25" customHeight="1">
      <c r="A41" s="36">
        <v>20206.0</v>
      </c>
      <c r="B41" s="36" t="s">
        <v>66</v>
      </c>
      <c r="C41" s="39">
        <v>6.230000019073486</v>
      </c>
      <c r="D41" s="39">
        <v>0.41999998688697815</v>
      </c>
      <c r="E41" s="39">
        <v>12.600000381469727</v>
      </c>
      <c r="F41" s="39">
        <v>1.0499999523162842</v>
      </c>
      <c r="G41" s="39">
        <v>1.0399999618530273</v>
      </c>
      <c r="H41" s="39">
        <v>3.2200000286102295</v>
      </c>
      <c r="I41" s="39">
        <v>6.929999828338623</v>
      </c>
      <c r="J41" s="39">
        <v>12.380000114440918</v>
      </c>
      <c r="K41" s="39">
        <v>21.299999237060547</v>
      </c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</row>
    <row r="42" ht="14.25" customHeight="1">
      <c r="A42" s="36">
        <v>20301.0</v>
      </c>
      <c r="B42" s="36" t="s">
        <v>67</v>
      </c>
      <c r="C42" s="39">
        <v>8.119999885559082</v>
      </c>
      <c r="D42" s="39">
        <v>0.12999999523162842</v>
      </c>
      <c r="E42" s="39">
        <v>15.970000267028809</v>
      </c>
      <c r="F42" s="39">
        <v>6.050000190734863</v>
      </c>
      <c r="G42" s="39">
        <v>2.390000104904175</v>
      </c>
      <c r="H42" s="39">
        <v>7.940000057220459</v>
      </c>
      <c r="I42" s="39">
        <v>34.58000183105469</v>
      </c>
      <c r="J42" s="39">
        <v>23.1200008392334</v>
      </c>
      <c r="K42" s="39">
        <v>62.40999984741211</v>
      </c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</row>
    <row r="43" ht="14.25" customHeight="1">
      <c r="A43" s="36">
        <v>20302.0</v>
      </c>
      <c r="B43" s="36" t="s">
        <v>68</v>
      </c>
      <c r="C43" s="39">
        <v>7.369999885559082</v>
      </c>
      <c r="D43" s="39">
        <v>0.20000000298023224</v>
      </c>
      <c r="E43" s="39">
        <v>15.260000228881836</v>
      </c>
      <c r="F43" s="39">
        <v>6.409999847412109</v>
      </c>
      <c r="G43" s="39">
        <v>3.119999885559082</v>
      </c>
      <c r="H43" s="39">
        <v>7.849999904632568</v>
      </c>
      <c r="I43" s="39">
        <v>27.989999771118164</v>
      </c>
      <c r="J43" s="39">
        <v>19.90999984741211</v>
      </c>
      <c r="K43" s="39">
        <v>46.630001068115234</v>
      </c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</row>
    <row r="44" ht="14.25" customHeight="1">
      <c r="A44" s="36">
        <v>20303.0</v>
      </c>
      <c r="B44" s="36" t="s">
        <v>69</v>
      </c>
      <c r="C44" s="39">
        <v>5.989999771118164</v>
      </c>
      <c r="D44" s="39">
        <v>0.3799999952316284</v>
      </c>
      <c r="E44" s="39">
        <v>22.5</v>
      </c>
      <c r="F44" s="39">
        <v>5.349999904632568</v>
      </c>
      <c r="G44" s="39">
        <v>2.559999942779541</v>
      </c>
      <c r="H44" s="39">
        <v>7.480000019073486</v>
      </c>
      <c r="I44" s="39">
        <v>40.560001373291016</v>
      </c>
      <c r="J44" s="39">
        <v>42.0</v>
      </c>
      <c r="K44" s="39">
        <v>46.22999954223633</v>
      </c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</row>
    <row r="45" ht="14.25" customHeight="1">
      <c r="A45" s="36">
        <v>20304.0</v>
      </c>
      <c r="B45" s="36" t="s">
        <v>70</v>
      </c>
      <c r="C45" s="39">
        <v>8.279999732971191</v>
      </c>
      <c r="D45" s="39">
        <v>0.27000001072883606</v>
      </c>
      <c r="E45" s="39">
        <v>11.3100004196167</v>
      </c>
      <c r="F45" s="39">
        <v>4.619999885559082</v>
      </c>
      <c r="G45" s="39">
        <v>3.180000066757202</v>
      </c>
      <c r="H45" s="39">
        <v>6.739999771118164</v>
      </c>
      <c r="I45" s="39">
        <v>20.75</v>
      </c>
      <c r="J45" s="39">
        <v>15.390000343322754</v>
      </c>
      <c r="K45" s="39">
        <v>46.459999084472656</v>
      </c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</row>
    <row r="46" ht="14.25" customHeight="1">
      <c r="A46" s="36">
        <v>20305.0</v>
      </c>
      <c r="B46" s="36" t="s">
        <v>71</v>
      </c>
      <c r="C46" s="39">
        <v>2.7300000190734863</v>
      </c>
      <c r="D46" s="39">
        <v>0.75</v>
      </c>
      <c r="E46" s="39">
        <v>19.969999313354492</v>
      </c>
      <c r="F46" s="39">
        <v>4.269999980926514</v>
      </c>
      <c r="G46" s="39">
        <v>2.430000066757202</v>
      </c>
      <c r="H46" s="39">
        <v>6.409999847412109</v>
      </c>
      <c r="I46" s="39">
        <v>44.91999816894531</v>
      </c>
      <c r="J46" s="39">
        <v>53.88999938964844</v>
      </c>
      <c r="K46" s="39">
        <v>47.59000015258789</v>
      </c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</row>
    <row r="47" ht="14.25" customHeight="1">
      <c r="A47" s="36">
        <v>20306.0</v>
      </c>
      <c r="B47" s="36" t="s">
        <v>72</v>
      </c>
      <c r="C47" s="39">
        <v>4.269999980926514</v>
      </c>
      <c r="D47" s="39">
        <v>0.3499999940395355</v>
      </c>
      <c r="E47" s="39">
        <v>27.6200008392334</v>
      </c>
      <c r="F47" s="39">
        <v>4.369999885559082</v>
      </c>
      <c r="G47" s="39">
        <v>2.1600000858306885</v>
      </c>
      <c r="H47" s="39">
        <v>10.529999732971191</v>
      </c>
      <c r="I47" s="39">
        <v>17.079999923706055</v>
      </c>
      <c r="J47" s="39">
        <v>21.770000457763672</v>
      </c>
      <c r="K47" s="39">
        <v>63.470001220703125</v>
      </c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</row>
    <row r="48" ht="14.25" customHeight="1">
      <c r="A48" s="36">
        <v>20307.0</v>
      </c>
      <c r="B48" s="36" t="s">
        <v>73</v>
      </c>
      <c r="C48" s="39">
        <v>13.289999961853027</v>
      </c>
      <c r="D48" s="39">
        <v>0.6700000166893005</v>
      </c>
      <c r="E48" s="39">
        <v>17.100000381469727</v>
      </c>
      <c r="F48" s="39">
        <v>6.059999942779541</v>
      </c>
      <c r="G48" s="39">
        <v>4.190000057220459</v>
      </c>
      <c r="H48" s="39">
        <v>9.960000038146973</v>
      </c>
      <c r="I48" s="39">
        <v>24.770000457763672</v>
      </c>
      <c r="J48" s="39">
        <v>25.09000015258789</v>
      </c>
      <c r="K48" s="39">
        <v>49.06999969482422</v>
      </c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</row>
    <row r="49" ht="14.25" customHeight="1">
      <c r="A49" s="36">
        <v>20308.0</v>
      </c>
      <c r="B49" s="36" t="s">
        <v>74</v>
      </c>
      <c r="C49" s="39">
        <v>11.100000381469727</v>
      </c>
      <c r="D49" s="39">
        <v>0.1899999976158142</v>
      </c>
      <c r="E49" s="39">
        <v>20.190000534057617</v>
      </c>
      <c r="F49" s="39">
        <v>6.28000020980835</v>
      </c>
      <c r="G49" s="39">
        <v>2.190000057220459</v>
      </c>
      <c r="H49" s="39">
        <v>5.880000114440918</v>
      </c>
      <c r="I49" s="39">
        <v>46.66999816894531</v>
      </c>
      <c r="J49" s="39">
        <v>38.79999923706055</v>
      </c>
      <c r="K49" s="39">
        <v>80.87999725341797</v>
      </c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</row>
    <row r="50" ht="14.25" customHeight="1">
      <c r="A50" s="36">
        <v>20401.0</v>
      </c>
      <c r="B50" s="36" t="s">
        <v>75</v>
      </c>
      <c r="C50" s="39">
        <v>18.059999465942383</v>
      </c>
      <c r="D50" s="39">
        <v>0.41999998688697815</v>
      </c>
      <c r="E50" s="39">
        <v>18.579999923706055</v>
      </c>
      <c r="F50" s="39">
        <v>6.829999923706055</v>
      </c>
      <c r="G50" s="39">
        <v>1.840000033378601</v>
      </c>
      <c r="H50" s="39">
        <v>5.679999828338623</v>
      </c>
      <c r="I50" s="39">
        <v>23.790000915527344</v>
      </c>
      <c r="J50" s="39">
        <v>24.079999923706055</v>
      </c>
      <c r="K50" s="39">
        <v>69.58999633789062</v>
      </c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</row>
    <row r="51" ht="14.25" customHeight="1">
      <c r="A51" s="36">
        <v>20402.0</v>
      </c>
      <c r="B51" s="36" t="s">
        <v>76</v>
      </c>
      <c r="C51" s="39">
        <v>20.280000686645508</v>
      </c>
      <c r="D51" s="39">
        <v>0.3199999928474426</v>
      </c>
      <c r="E51" s="39">
        <v>18.6200008392334</v>
      </c>
      <c r="F51" s="39">
        <v>7.389999866485596</v>
      </c>
      <c r="G51" s="39">
        <v>2.690000057220459</v>
      </c>
      <c r="H51" s="39">
        <v>8.180000305175781</v>
      </c>
      <c r="I51" s="39">
        <v>11.0</v>
      </c>
      <c r="J51" s="39">
        <v>24.68000030517578</v>
      </c>
      <c r="K51" s="39">
        <v>54.15999984741211</v>
      </c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</row>
    <row r="52" ht="14.25" customHeight="1">
      <c r="A52" s="36">
        <v>20403.0</v>
      </c>
      <c r="B52" s="36" t="s">
        <v>77</v>
      </c>
      <c r="C52" s="39">
        <v>15.380000114440918</v>
      </c>
      <c r="D52" s="39">
        <v>0.25</v>
      </c>
      <c r="E52" s="39">
        <v>15.619999885559082</v>
      </c>
      <c r="F52" s="39">
        <v>7.210000038146973</v>
      </c>
      <c r="G52" s="39">
        <v>2.569999933242798</v>
      </c>
      <c r="H52" s="39">
        <v>6.579999923706055</v>
      </c>
      <c r="I52" s="39">
        <v>16.739999771118164</v>
      </c>
      <c r="J52" s="39">
        <v>18.1200008392334</v>
      </c>
      <c r="K52" s="39">
        <v>59.099998474121094</v>
      </c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</row>
    <row r="53" ht="14.25" customHeight="1">
      <c r="A53" s="36">
        <v>20404.0</v>
      </c>
      <c r="B53" s="36" t="s">
        <v>78</v>
      </c>
      <c r="C53" s="39">
        <v>20.6200008392334</v>
      </c>
      <c r="D53" s="39">
        <v>0.3499999940395355</v>
      </c>
      <c r="E53" s="39">
        <v>21.229999542236328</v>
      </c>
      <c r="F53" s="39">
        <v>10.0600004196167</v>
      </c>
      <c r="G53" s="39">
        <v>2.0999999046325684</v>
      </c>
      <c r="H53" s="39">
        <v>8.6899995803833</v>
      </c>
      <c r="I53" s="39">
        <v>27.18000030517578</v>
      </c>
      <c r="J53" s="39">
        <v>23.729999542236328</v>
      </c>
      <c r="K53" s="39">
        <v>69.79000091552734</v>
      </c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</row>
    <row r="54" ht="14.25" customHeight="1">
      <c r="A54" s="36">
        <v>20405.0</v>
      </c>
      <c r="B54" s="36" t="s">
        <v>79</v>
      </c>
      <c r="C54" s="39">
        <v>17.350000381469727</v>
      </c>
      <c r="D54" s="39">
        <v>0.1899999976158142</v>
      </c>
      <c r="E54" s="39">
        <v>16.6200008392334</v>
      </c>
      <c r="F54" s="39">
        <v>5.550000190734863</v>
      </c>
      <c r="G54" s="39">
        <v>1.9900000095367432</v>
      </c>
      <c r="H54" s="39">
        <v>4.25</v>
      </c>
      <c r="I54" s="39">
        <v>21.719999313354492</v>
      </c>
      <c r="J54" s="39">
        <v>25.219999313354492</v>
      </c>
      <c r="K54" s="39">
        <v>66.19000244140625</v>
      </c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</row>
    <row r="55" ht="14.25" customHeight="1">
      <c r="A55" s="36">
        <v>20501.0</v>
      </c>
      <c r="B55" s="36" t="s">
        <v>80</v>
      </c>
      <c r="C55" s="39">
        <v>16.579999923706055</v>
      </c>
      <c r="D55" s="39">
        <v>0.6000000238418579</v>
      </c>
      <c r="E55" s="39">
        <v>17.729999542236328</v>
      </c>
      <c r="F55" s="39">
        <v>7.539999961853027</v>
      </c>
      <c r="G55" s="39">
        <v>3.380000114440918</v>
      </c>
      <c r="H55" s="39">
        <v>10.319999694824219</v>
      </c>
      <c r="I55" s="39">
        <v>8.649999618530273</v>
      </c>
      <c r="J55" s="39">
        <v>18.40999984741211</v>
      </c>
      <c r="K55" s="39">
        <v>48.7599983215332</v>
      </c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</row>
    <row r="56" ht="14.25" customHeight="1">
      <c r="A56" s="36">
        <v>20502.0</v>
      </c>
      <c r="B56" s="36" t="s">
        <v>81</v>
      </c>
      <c r="C56" s="39">
        <v>20.610000610351562</v>
      </c>
      <c r="D56" s="39">
        <v>0.7599999904632568</v>
      </c>
      <c r="E56" s="39">
        <v>22.450000762939453</v>
      </c>
      <c r="F56" s="39">
        <v>10.029999732971191</v>
      </c>
      <c r="G56" s="39">
        <v>3.8399999141693115</v>
      </c>
      <c r="H56" s="39">
        <v>14.170000076293945</v>
      </c>
      <c r="I56" s="39">
        <v>20.6299991607666</v>
      </c>
      <c r="J56" s="39">
        <v>14.260000228881836</v>
      </c>
      <c r="K56" s="39">
        <v>50.75</v>
      </c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</row>
    <row r="57" ht="14.25" customHeight="1">
      <c r="A57" s="36">
        <v>20503.0</v>
      </c>
      <c r="B57" s="36" t="s">
        <v>82</v>
      </c>
      <c r="C57" s="39">
        <v>20.790000915527344</v>
      </c>
      <c r="D57" s="39">
        <v>0.20000000298023224</v>
      </c>
      <c r="E57" s="39">
        <v>17.280000686645508</v>
      </c>
      <c r="F57" s="39">
        <v>10.029999732971191</v>
      </c>
      <c r="G57" s="39">
        <v>4.800000190734863</v>
      </c>
      <c r="H57" s="39">
        <v>12.880000114440918</v>
      </c>
      <c r="I57" s="39">
        <v>14.199999809265137</v>
      </c>
      <c r="J57" s="39">
        <v>14.6899995803833</v>
      </c>
      <c r="K57" s="39">
        <v>58.040000915527344</v>
      </c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</row>
    <row r="58" ht="14.25" customHeight="1">
      <c r="A58" s="36">
        <v>20601.0</v>
      </c>
      <c r="B58" s="36" t="s">
        <v>83</v>
      </c>
      <c r="C58" s="39">
        <v>11.819999694824219</v>
      </c>
      <c r="D58" s="39">
        <v>0.4000000059604645</v>
      </c>
      <c r="E58" s="39">
        <v>14.899999618530273</v>
      </c>
      <c r="F58" s="39">
        <v>6.570000171661377</v>
      </c>
      <c r="G58" s="39">
        <v>3.3299999237060547</v>
      </c>
      <c r="H58" s="39">
        <v>8.109999656677246</v>
      </c>
      <c r="I58" s="39">
        <v>21.81999969482422</v>
      </c>
      <c r="J58" s="39">
        <v>15.40999984741211</v>
      </c>
      <c r="K58" s="39">
        <v>44.38999938964844</v>
      </c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</row>
    <row r="59" ht="14.25" customHeight="1">
      <c r="A59" s="36">
        <v>20602.0</v>
      </c>
      <c r="B59" s="36" t="s">
        <v>84</v>
      </c>
      <c r="C59" s="39">
        <v>5.46999979019165</v>
      </c>
      <c r="D59" s="39">
        <v>0.7200000286102295</v>
      </c>
      <c r="E59" s="39">
        <v>10.020000457763672</v>
      </c>
      <c r="F59" s="39">
        <v>2.569999933242798</v>
      </c>
      <c r="G59" s="39">
        <v>4.480000019073486</v>
      </c>
      <c r="H59" s="39">
        <v>9.210000038146973</v>
      </c>
      <c r="I59" s="39">
        <v>17.899999618530273</v>
      </c>
      <c r="J59" s="39">
        <v>13.6899995803833</v>
      </c>
      <c r="K59" s="39">
        <v>32.0</v>
      </c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</row>
    <row r="60" ht="14.25" customHeight="1">
      <c r="A60" s="36">
        <v>20603.0</v>
      </c>
      <c r="B60" s="36" t="s">
        <v>85</v>
      </c>
      <c r="C60" s="39">
        <v>9.859999656677246</v>
      </c>
      <c r="D60" s="39">
        <v>0.20999999344348907</v>
      </c>
      <c r="E60" s="39">
        <v>13.869999885559082</v>
      </c>
      <c r="F60" s="39">
        <v>4.860000133514404</v>
      </c>
      <c r="G60" s="39">
        <v>3.640000104904175</v>
      </c>
      <c r="H60" s="39">
        <v>7.809999942779541</v>
      </c>
      <c r="I60" s="39">
        <v>41.58000183105469</v>
      </c>
      <c r="J60" s="39">
        <v>19.709999084472656</v>
      </c>
      <c r="K60" s="39">
        <v>38.22999954223633</v>
      </c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</row>
    <row r="61" ht="14.25" customHeight="1">
      <c r="A61" s="36">
        <v>20604.0</v>
      </c>
      <c r="B61" s="36" t="s">
        <v>86</v>
      </c>
      <c r="C61" s="39">
        <v>17.09000015258789</v>
      </c>
      <c r="D61" s="39">
        <v>0.6299999952316284</v>
      </c>
      <c r="E61" s="39">
        <v>20.709999084472656</v>
      </c>
      <c r="F61" s="39">
        <v>8.119999885559082</v>
      </c>
      <c r="G61" s="39">
        <v>6.210000038146973</v>
      </c>
      <c r="H61" s="39">
        <v>10.829999923706055</v>
      </c>
      <c r="I61" s="39">
        <v>23.25</v>
      </c>
      <c r="J61" s="39">
        <v>18.709999084472656</v>
      </c>
      <c r="K61" s="39">
        <v>57.2400016784668</v>
      </c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</row>
    <row r="62" ht="14.25" customHeight="1">
      <c r="A62" s="36">
        <v>20605.0</v>
      </c>
      <c r="B62" s="36" t="s">
        <v>87</v>
      </c>
      <c r="C62" s="39">
        <v>16.40999984741211</v>
      </c>
      <c r="D62" s="39">
        <v>0.17000000178813934</v>
      </c>
      <c r="E62" s="39">
        <v>27.25</v>
      </c>
      <c r="F62" s="39">
        <v>4.760000228881836</v>
      </c>
      <c r="G62" s="39">
        <v>2.7899999618530273</v>
      </c>
      <c r="H62" s="39">
        <v>7.559999942779541</v>
      </c>
      <c r="I62" s="39">
        <v>8.760000228881836</v>
      </c>
      <c r="J62" s="39">
        <v>18.540000915527344</v>
      </c>
      <c r="K62" s="39">
        <v>61.38999938964844</v>
      </c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</row>
    <row r="63" ht="14.25" customHeight="1">
      <c r="A63" s="36">
        <v>20606.0</v>
      </c>
      <c r="B63" s="36" t="s">
        <v>88</v>
      </c>
      <c r="C63" s="39">
        <v>5.71999979019165</v>
      </c>
      <c r="D63" s="39">
        <v>0.6100000143051147</v>
      </c>
      <c r="E63" s="39">
        <v>7.210000038146973</v>
      </c>
      <c r="F63" s="39">
        <v>0.8999999761581421</v>
      </c>
      <c r="G63" s="39">
        <v>3.4700000286102295</v>
      </c>
      <c r="H63" s="39">
        <v>6.46999979019165</v>
      </c>
      <c r="I63" s="39">
        <v>31.34000015258789</v>
      </c>
      <c r="J63" s="39">
        <v>4.75</v>
      </c>
      <c r="K63" s="39">
        <v>48.0099983215332</v>
      </c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</row>
    <row r="64" ht="14.25" customHeight="1">
      <c r="A64" s="36">
        <v>20607.0</v>
      </c>
      <c r="B64" s="36" t="s">
        <v>89</v>
      </c>
      <c r="C64" s="39">
        <v>5.519999980926514</v>
      </c>
      <c r="D64" s="39">
        <v>1.2400000095367432</v>
      </c>
      <c r="E64" s="39">
        <v>6.389999866485596</v>
      </c>
      <c r="F64" s="39">
        <v>2.25</v>
      </c>
      <c r="G64" s="39">
        <v>6.75</v>
      </c>
      <c r="H64" s="39">
        <v>11.210000038146973</v>
      </c>
      <c r="I64" s="39">
        <v>9.100000381469727</v>
      </c>
      <c r="J64" s="39">
        <v>3.4600000381469727</v>
      </c>
      <c r="K64" s="39">
        <v>34.900001525878906</v>
      </c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</row>
    <row r="65" ht="14.25" customHeight="1">
      <c r="A65" s="36">
        <v>20608.0</v>
      </c>
      <c r="B65" s="36" t="s">
        <v>90</v>
      </c>
      <c r="C65" s="39">
        <v>6.619999885559082</v>
      </c>
      <c r="D65" s="39">
        <v>1.5299999713897705</v>
      </c>
      <c r="E65" s="39">
        <v>12.34000015258789</v>
      </c>
      <c r="F65" s="39">
        <v>2.390000104904175</v>
      </c>
      <c r="G65" s="39">
        <v>5.460000038146973</v>
      </c>
      <c r="H65" s="39">
        <v>14.1899995803833</v>
      </c>
      <c r="I65" s="39">
        <v>26.270000457763672</v>
      </c>
      <c r="J65" s="39">
        <v>28.40999984741211</v>
      </c>
      <c r="K65" s="39">
        <v>51.04999923706055</v>
      </c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</row>
    <row r="66" ht="14.25" customHeight="1">
      <c r="A66" s="36">
        <v>20701.0</v>
      </c>
      <c r="B66" s="36" t="s">
        <v>91</v>
      </c>
      <c r="C66" s="39">
        <v>12.920000076293945</v>
      </c>
      <c r="D66" s="39">
        <v>0.7900000214576721</v>
      </c>
      <c r="E66" s="39">
        <v>15.40999984741211</v>
      </c>
      <c r="F66" s="39">
        <v>12.329999923706055</v>
      </c>
      <c r="G66" s="39">
        <v>6.929999828338623</v>
      </c>
      <c r="H66" s="39">
        <v>13.579999923706055</v>
      </c>
      <c r="I66" s="39">
        <v>15.010000228881836</v>
      </c>
      <c r="J66" s="39">
        <v>18.020000457763672</v>
      </c>
      <c r="K66" s="39">
        <v>58.900001525878906</v>
      </c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</row>
    <row r="67" ht="14.25" customHeight="1">
      <c r="A67" s="36">
        <v>20702.0</v>
      </c>
      <c r="B67" s="36" t="s">
        <v>92</v>
      </c>
      <c r="C67" s="39">
        <v>9.199999809265137</v>
      </c>
      <c r="D67" s="39">
        <v>2.4700000286102295</v>
      </c>
      <c r="E67" s="39">
        <v>16.3799991607666</v>
      </c>
      <c r="F67" s="39">
        <v>10.470000267028809</v>
      </c>
      <c r="G67" s="39">
        <v>2.380000114440918</v>
      </c>
      <c r="H67" s="39">
        <v>11.649999618530273</v>
      </c>
      <c r="I67" s="39">
        <v>24.969999313354492</v>
      </c>
      <c r="J67" s="39">
        <v>15.90999984741211</v>
      </c>
      <c r="K67" s="39">
        <v>31.15999984741211</v>
      </c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</row>
    <row r="68" ht="14.25" customHeight="1">
      <c r="A68" s="36">
        <v>20801.0</v>
      </c>
      <c r="B68" s="36" t="s">
        <v>93</v>
      </c>
      <c r="C68" s="39">
        <v>5.730000019073486</v>
      </c>
      <c r="D68" s="39">
        <v>0.25</v>
      </c>
      <c r="E68" s="39">
        <v>5.739999771118164</v>
      </c>
      <c r="F68" s="39">
        <v>2.819999933242798</v>
      </c>
      <c r="G68" s="39">
        <v>2.799999952316284</v>
      </c>
      <c r="H68" s="39">
        <v>4.980000019073486</v>
      </c>
      <c r="I68" s="39">
        <v>8.199999809265137</v>
      </c>
      <c r="J68" s="39">
        <v>7.480000019073486</v>
      </c>
      <c r="K68" s="39">
        <v>37.540000915527344</v>
      </c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</row>
    <row r="69" ht="14.25" customHeight="1">
      <c r="A69" s="36">
        <v>20802.0</v>
      </c>
      <c r="B69" s="36" t="s">
        <v>94</v>
      </c>
      <c r="C69" s="39">
        <v>13.25</v>
      </c>
      <c r="D69" s="39">
        <v>0.20000000298023224</v>
      </c>
      <c r="E69" s="39">
        <v>11.149999618530273</v>
      </c>
      <c r="F69" s="39">
        <v>4.829999923706055</v>
      </c>
      <c r="G69" s="39">
        <v>2.8299999237060547</v>
      </c>
      <c r="H69" s="39">
        <v>5.539999961853027</v>
      </c>
      <c r="I69" s="39">
        <v>7.590000152587891</v>
      </c>
      <c r="J69" s="39">
        <v>12.029999732971191</v>
      </c>
      <c r="K69" s="39">
        <v>27.889999389648438</v>
      </c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</row>
    <row r="70" ht="14.25" customHeight="1">
      <c r="A70" s="36">
        <v>20803.0</v>
      </c>
      <c r="B70" s="36" t="s">
        <v>95</v>
      </c>
      <c r="C70" s="39">
        <v>15.760000228881836</v>
      </c>
      <c r="D70" s="39">
        <v>0.27000001072883606</v>
      </c>
      <c r="E70" s="39">
        <v>16.889999389648438</v>
      </c>
      <c r="F70" s="39">
        <v>6.769999980926514</v>
      </c>
      <c r="G70" s="39">
        <v>3.869999885559082</v>
      </c>
      <c r="H70" s="39">
        <v>7.429999828338623</v>
      </c>
      <c r="I70" s="39">
        <v>24.15999984741211</v>
      </c>
      <c r="J70" s="39">
        <v>18.299999237060547</v>
      </c>
      <c r="K70" s="39">
        <v>43.75</v>
      </c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</row>
    <row r="71" ht="14.25" customHeight="1">
      <c r="A71" s="36">
        <v>20804.0</v>
      </c>
      <c r="B71" s="36" t="s">
        <v>96</v>
      </c>
      <c r="C71" s="39">
        <v>9.369999885559082</v>
      </c>
      <c r="D71" s="39">
        <v>2.5299999713897705</v>
      </c>
      <c r="E71" s="39">
        <v>5.769999980926514</v>
      </c>
      <c r="F71" s="39">
        <v>2.3299999237060547</v>
      </c>
      <c r="G71" s="39">
        <v>2.759999990463257</v>
      </c>
      <c r="H71" s="39">
        <v>5.809999942779541</v>
      </c>
      <c r="I71" s="39">
        <v>4.25</v>
      </c>
      <c r="J71" s="39">
        <v>4.550000190734863</v>
      </c>
      <c r="K71" s="39">
        <v>31.520000457763672</v>
      </c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</row>
    <row r="72" ht="14.25" customHeight="1">
      <c r="A72" s="36">
        <v>20805.0</v>
      </c>
      <c r="B72" s="36" t="s">
        <v>97</v>
      </c>
      <c r="C72" s="39">
        <v>9.420000076293945</v>
      </c>
      <c r="D72" s="39">
        <v>1.8899999856948853</v>
      </c>
      <c r="E72" s="39">
        <v>15.9399995803833</v>
      </c>
      <c r="F72" s="39">
        <v>5.599999904632568</v>
      </c>
      <c r="G72" s="39">
        <v>2.309999942779541</v>
      </c>
      <c r="H72" s="39">
        <v>6.349999904632568</v>
      </c>
      <c r="I72" s="39">
        <v>35.279998779296875</v>
      </c>
      <c r="J72" s="39">
        <v>23.799999237060547</v>
      </c>
      <c r="K72" s="39">
        <v>35.40999984741211</v>
      </c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</row>
    <row r="73" ht="14.25" customHeight="1">
      <c r="A73" s="36">
        <v>20806.0</v>
      </c>
      <c r="B73" s="36" t="s">
        <v>98</v>
      </c>
      <c r="C73" s="39">
        <v>10.369999885559082</v>
      </c>
      <c r="D73" s="39">
        <v>0.15000000596046448</v>
      </c>
      <c r="E73" s="39">
        <v>16.889999389648438</v>
      </c>
      <c r="F73" s="39">
        <v>6.0</v>
      </c>
      <c r="G73" s="39">
        <v>2.950000047683716</v>
      </c>
      <c r="H73" s="39">
        <v>7.059999942779541</v>
      </c>
      <c r="I73" s="39">
        <v>20.1299991607666</v>
      </c>
      <c r="J73" s="39">
        <v>21.440000534057617</v>
      </c>
      <c r="K73" s="39">
        <v>28.190000534057617</v>
      </c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</row>
    <row r="74" ht="14.25" customHeight="1">
      <c r="A74" s="36">
        <v>20807.0</v>
      </c>
      <c r="B74" s="36" t="s">
        <v>99</v>
      </c>
      <c r="C74" s="39">
        <v>16.989999771118164</v>
      </c>
      <c r="D74" s="39">
        <v>0.36000001430511475</v>
      </c>
      <c r="E74" s="39">
        <v>9.630000114440918</v>
      </c>
      <c r="F74" s="39">
        <v>6.010000228881836</v>
      </c>
      <c r="G74" s="39">
        <v>3.440000057220459</v>
      </c>
      <c r="H74" s="39">
        <v>6.860000133514404</v>
      </c>
      <c r="I74" s="39">
        <v>11.970000267028809</v>
      </c>
      <c r="J74" s="39">
        <v>12.460000038146973</v>
      </c>
      <c r="K74" s="39">
        <v>46.93000030517578</v>
      </c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</row>
    <row r="75" ht="14.25" customHeight="1">
      <c r="A75" s="36">
        <v>20901.0</v>
      </c>
      <c r="B75" s="36" t="s">
        <v>100</v>
      </c>
      <c r="C75" s="39">
        <v>11.479999542236328</v>
      </c>
      <c r="D75" s="39">
        <v>0.6000000238418579</v>
      </c>
      <c r="E75" s="39">
        <v>13.989999771118164</v>
      </c>
      <c r="F75" s="39">
        <v>3.25</v>
      </c>
      <c r="G75" s="39">
        <v>3.2699999809265137</v>
      </c>
      <c r="H75" s="39">
        <v>6.28000020980835</v>
      </c>
      <c r="I75" s="39">
        <v>9.649999618530273</v>
      </c>
      <c r="J75" s="39">
        <v>14.609999656677246</v>
      </c>
      <c r="K75" s="39">
        <v>39.880001068115234</v>
      </c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</row>
    <row r="76" ht="14.25" customHeight="1">
      <c r="A76" s="36">
        <v>20902.0</v>
      </c>
      <c r="B76" s="36" t="s">
        <v>101</v>
      </c>
      <c r="C76" s="39">
        <v>11.479999542236328</v>
      </c>
      <c r="D76" s="39">
        <v>0.6000000238418579</v>
      </c>
      <c r="E76" s="39">
        <v>10.710000038146973</v>
      </c>
      <c r="F76" s="39">
        <v>6.440000057220459</v>
      </c>
      <c r="G76" s="39">
        <v>3.059999942779541</v>
      </c>
      <c r="H76" s="39">
        <v>8.359999656677246</v>
      </c>
      <c r="I76" s="39">
        <v>14.260000228881836</v>
      </c>
      <c r="J76" s="39">
        <v>16.760000228881836</v>
      </c>
      <c r="K76" s="39">
        <v>60.06999969482422</v>
      </c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</row>
    <row r="77" ht="14.25" customHeight="1">
      <c r="A77" s="36">
        <v>20903.0</v>
      </c>
      <c r="B77" s="36" t="s">
        <v>102</v>
      </c>
      <c r="C77" s="39">
        <v>8.880000114440918</v>
      </c>
      <c r="D77" s="39">
        <v>0.4000000059604645</v>
      </c>
      <c r="E77" s="39">
        <v>17.309999465942383</v>
      </c>
      <c r="F77" s="39">
        <v>9.130000114440918</v>
      </c>
      <c r="G77" s="39">
        <v>3.5299999713897705</v>
      </c>
      <c r="H77" s="39">
        <v>12.979999542236328</v>
      </c>
      <c r="I77" s="39">
        <v>25.450000762939453</v>
      </c>
      <c r="J77" s="39">
        <v>22.959999084472656</v>
      </c>
      <c r="K77" s="39">
        <v>68.41999816894531</v>
      </c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</row>
    <row r="78" ht="14.25" customHeight="1">
      <c r="A78" s="36">
        <v>20904.0</v>
      </c>
      <c r="B78" s="36" t="s">
        <v>103</v>
      </c>
      <c r="C78" s="39">
        <v>12.210000038146973</v>
      </c>
      <c r="D78" s="39">
        <v>1.0499999523162842</v>
      </c>
      <c r="E78" s="39">
        <v>15.050000190734863</v>
      </c>
      <c r="F78" s="39">
        <v>12.119999885559082</v>
      </c>
      <c r="G78" s="39">
        <v>4.179999828338623</v>
      </c>
      <c r="H78" s="39">
        <v>12.800000190734863</v>
      </c>
      <c r="I78" s="39">
        <v>16.219999313354492</v>
      </c>
      <c r="J78" s="39">
        <v>26.3700008392334</v>
      </c>
      <c r="K78" s="39">
        <v>67.66999816894531</v>
      </c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</row>
    <row r="79" ht="14.25" customHeight="1">
      <c r="A79" s="36">
        <v>20905.0</v>
      </c>
      <c r="B79" s="36" t="s">
        <v>104</v>
      </c>
      <c r="C79" s="39">
        <v>8.510000228881836</v>
      </c>
      <c r="D79" s="39">
        <v>0.7099999785423279</v>
      </c>
      <c r="E79" s="39">
        <v>14.520000457763672</v>
      </c>
      <c r="F79" s="39">
        <v>6.019999980926514</v>
      </c>
      <c r="G79" s="39">
        <v>3.759999990463257</v>
      </c>
      <c r="H79" s="39">
        <v>10.880000114440918</v>
      </c>
      <c r="I79" s="39">
        <v>22.81999969482422</v>
      </c>
      <c r="J79" s="39">
        <v>11.010000228881836</v>
      </c>
      <c r="K79" s="39">
        <v>68.62000274658203</v>
      </c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</row>
    <row r="80" ht="14.25" customHeight="1">
      <c r="A80" s="36">
        <v>21001.0</v>
      </c>
      <c r="B80" s="36" t="s">
        <v>105</v>
      </c>
      <c r="C80" s="39">
        <v>9.300000190734863</v>
      </c>
      <c r="D80" s="39">
        <v>0.5699999928474426</v>
      </c>
      <c r="E80" s="39">
        <v>15.470000267028809</v>
      </c>
      <c r="F80" s="39">
        <v>10.40999984741211</v>
      </c>
      <c r="G80" s="39">
        <v>5.159999847412109</v>
      </c>
      <c r="H80" s="39">
        <v>10.239999771118164</v>
      </c>
      <c r="I80" s="39">
        <v>34.189998626708984</v>
      </c>
      <c r="J80" s="39">
        <v>25.469999313354492</v>
      </c>
      <c r="K80" s="39">
        <v>65.33000183105469</v>
      </c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</row>
    <row r="81" ht="14.25" customHeight="1">
      <c r="A81" s="36">
        <v>21002.0</v>
      </c>
      <c r="B81" s="36" t="s">
        <v>106</v>
      </c>
      <c r="C81" s="39">
        <v>9.09000015258789</v>
      </c>
      <c r="D81" s="39">
        <v>0.38999998569488525</v>
      </c>
      <c r="E81" s="39">
        <v>12.869999885559082</v>
      </c>
      <c r="F81" s="39">
        <v>4.78000020980835</v>
      </c>
      <c r="G81" s="39">
        <v>2.5899999141693115</v>
      </c>
      <c r="H81" s="39">
        <v>6.590000152587891</v>
      </c>
      <c r="I81" s="39">
        <v>13.399999618530273</v>
      </c>
      <c r="J81" s="39">
        <v>16.479999542236328</v>
      </c>
      <c r="K81" s="39">
        <v>49.880001068115234</v>
      </c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</row>
    <row r="82" ht="14.25" customHeight="1">
      <c r="A82" s="36">
        <v>21003.0</v>
      </c>
      <c r="B82" s="36" t="s">
        <v>107</v>
      </c>
      <c r="C82" s="39">
        <v>8.300000190734863</v>
      </c>
      <c r="D82" s="39">
        <v>0.6600000262260437</v>
      </c>
      <c r="E82" s="39">
        <v>12.279999732971191</v>
      </c>
      <c r="F82" s="39">
        <v>3.700000047683716</v>
      </c>
      <c r="G82" s="39">
        <v>5.0</v>
      </c>
      <c r="H82" s="39">
        <v>11.720000267028809</v>
      </c>
      <c r="I82" s="39">
        <v>8.899999618530273</v>
      </c>
      <c r="J82" s="39">
        <v>9.100000381469727</v>
      </c>
      <c r="K82" s="39">
        <v>41.34000015258789</v>
      </c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</row>
    <row r="83" ht="14.25" customHeight="1">
      <c r="A83" s="36">
        <v>21004.0</v>
      </c>
      <c r="B83" s="36" t="s">
        <v>108</v>
      </c>
      <c r="C83" s="39">
        <v>12.260000228881836</v>
      </c>
      <c r="D83" s="39">
        <v>0.20999999344348907</v>
      </c>
      <c r="E83" s="39">
        <v>10.710000038146973</v>
      </c>
      <c r="F83" s="39">
        <v>7.21999979019165</v>
      </c>
      <c r="G83" s="39">
        <v>4.489999771118164</v>
      </c>
      <c r="H83" s="39">
        <v>7.510000228881836</v>
      </c>
      <c r="I83" s="39">
        <v>15.260000228881836</v>
      </c>
      <c r="J83" s="39">
        <v>13.539999961853027</v>
      </c>
      <c r="K83" s="39">
        <v>69.91999816894531</v>
      </c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</row>
    <row r="84" ht="14.25" customHeight="1">
      <c r="A84" s="36">
        <v>21005.0</v>
      </c>
      <c r="B84" s="36" t="s">
        <v>109</v>
      </c>
      <c r="C84" s="39">
        <v>6.369999885559082</v>
      </c>
      <c r="D84" s="39">
        <v>0.4000000059604645</v>
      </c>
      <c r="E84" s="39">
        <v>19.829999923706055</v>
      </c>
      <c r="F84" s="39">
        <v>11.180000305175781</v>
      </c>
      <c r="G84" s="39">
        <v>2.2200000286102295</v>
      </c>
      <c r="H84" s="39">
        <v>11.779999732971191</v>
      </c>
      <c r="I84" s="39">
        <v>49.54999923706055</v>
      </c>
      <c r="J84" s="39">
        <v>32.22999954223633</v>
      </c>
      <c r="K84" s="39">
        <v>79.4000015258789</v>
      </c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</row>
    <row r="85" ht="14.25" customHeight="1">
      <c r="A85" s="36">
        <v>21006.0</v>
      </c>
      <c r="B85" s="36" t="s">
        <v>110</v>
      </c>
      <c r="C85" s="39">
        <v>9.039999961853027</v>
      </c>
      <c r="D85" s="39">
        <v>0.5099999904632568</v>
      </c>
      <c r="E85" s="39">
        <v>18.670000076293945</v>
      </c>
      <c r="F85" s="39">
        <v>3.5999999046325684</v>
      </c>
      <c r="G85" s="39">
        <v>3.059999942779541</v>
      </c>
      <c r="H85" s="39">
        <v>10.470000267028809</v>
      </c>
      <c r="I85" s="39">
        <v>15.9399995803833</v>
      </c>
      <c r="J85" s="39">
        <v>16.200000762939453</v>
      </c>
      <c r="K85" s="39">
        <v>44.0099983215332</v>
      </c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</row>
    <row r="86" ht="14.25" customHeight="1">
      <c r="A86" s="36">
        <v>21101.0</v>
      </c>
      <c r="B86" s="36" t="s">
        <v>111</v>
      </c>
      <c r="C86" s="39">
        <v>6.610000133514404</v>
      </c>
      <c r="D86" s="39">
        <v>0.46000000834465027</v>
      </c>
      <c r="E86" s="39">
        <v>8.380000114440918</v>
      </c>
      <c r="F86" s="39">
        <v>1.5800000429153442</v>
      </c>
      <c r="G86" s="39">
        <v>2.9100000858306885</v>
      </c>
      <c r="H86" s="39">
        <v>7.769999980926514</v>
      </c>
      <c r="I86" s="39">
        <v>13.720000267028809</v>
      </c>
      <c r="J86" s="39">
        <v>5.840000152587891</v>
      </c>
      <c r="K86" s="39">
        <v>33.15999984741211</v>
      </c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</row>
    <row r="87" ht="14.25" customHeight="1">
      <c r="A87" s="36">
        <v>21102.0</v>
      </c>
      <c r="B87" s="36" t="s">
        <v>112</v>
      </c>
      <c r="C87" s="39">
        <v>6.929999828338623</v>
      </c>
      <c r="D87" s="39">
        <v>0.41999998688697815</v>
      </c>
      <c r="E87" s="39">
        <v>10.65999984741211</v>
      </c>
      <c r="F87" s="39">
        <v>3.880000114440918</v>
      </c>
      <c r="G87" s="39">
        <v>3.119999885559082</v>
      </c>
      <c r="H87" s="39">
        <v>8.640000343322754</v>
      </c>
      <c r="I87" s="39">
        <v>26.040000915527344</v>
      </c>
      <c r="J87" s="39">
        <v>12.390000343322754</v>
      </c>
      <c r="K87" s="39">
        <v>42.93000030517578</v>
      </c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</row>
    <row r="88" ht="14.25" customHeight="1">
      <c r="A88" s="36">
        <v>21103.0</v>
      </c>
      <c r="B88" s="36" t="s">
        <v>113</v>
      </c>
      <c r="C88" s="39">
        <v>5.429999828338623</v>
      </c>
      <c r="D88" s="39">
        <v>0.1899999976158142</v>
      </c>
      <c r="E88" s="39">
        <v>6.949999809265137</v>
      </c>
      <c r="F88" s="39">
        <v>1.840000033378601</v>
      </c>
      <c r="G88" s="39">
        <v>2.5199999809265137</v>
      </c>
      <c r="H88" s="39">
        <v>5.440000057220459</v>
      </c>
      <c r="I88" s="39">
        <v>12.4399995803833</v>
      </c>
      <c r="J88" s="39">
        <v>8.65999984741211</v>
      </c>
      <c r="K88" s="39">
        <v>21.1299991607666</v>
      </c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</row>
    <row r="89" ht="14.25" customHeight="1">
      <c r="A89" s="36">
        <v>21104.0</v>
      </c>
      <c r="B89" s="36" t="s">
        <v>114</v>
      </c>
      <c r="C89" s="39">
        <v>7.829999923706055</v>
      </c>
      <c r="D89" s="39">
        <v>0.699999988079071</v>
      </c>
      <c r="E89" s="39">
        <v>11.59000015258789</v>
      </c>
      <c r="F89" s="39">
        <v>4.849999904632568</v>
      </c>
      <c r="G89" s="39">
        <v>4.480000019073486</v>
      </c>
      <c r="H89" s="39">
        <v>10.779999732971191</v>
      </c>
      <c r="I89" s="39">
        <v>21.920000076293945</v>
      </c>
      <c r="J89" s="39">
        <v>32.7599983215332</v>
      </c>
      <c r="K89" s="39">
        <v>46.130001068115234</v>
      </c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</row>
    <row r="90" ht="14.25" customHeight="1">
      <c r="A90" s="36">
        <v>21105.0</v>
      </c>
      <c r="B90" s="36" t="s">
        <v>115</v>
      </c>
      <c r="C90" s="39">
        <v>6.179999828338623</v>
      </c>
      <c r="D90" s="39">
        <v>0.36000001430511475</v>
      </c>
      <c r="E90" s="39">
        <v>13.789999961853027</v>
      </c>
      <c r="F90" s="39">
        <v>5.179999828338623</v>
      </c>
      <c r="G90" s="39">
        <v>4.579999923706055</v>
      </c>
      <c r="H90" s="39">
        <v>11.949999809265137</v>
      </c>
      <c r="I90" s="39">
        <v>28.25</v>
      </c>
      <c r="J90" s="39">
        <v>22.790000915527344</v>
      </c>
      <c r="K90" s="39">
        <v>50.099998474121094</v>
      </c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</row>
    <row r="91" ht="14.25" customHeight="1">
      <c r="A91" s="36">
        <v>21201.0</v>
      </c>
      <c r="B91" s="36" t="s">
        <v>116</v>
      </c>
      <c r="C91" s="39">
        <v>10.850000381469727</v>
      </c>
      <c r="D91" s="39">
        <v>0.23999999463558197</v>
      </c>
      <c r="E91" s="39">
        <v>12.720000267028809</v>
      </c>
      <c r="F91" s="39">
        <v>7.670000076293945</v>
      </c>
      <c r="G91" s="39">
        <v>3.049999952316284</v>
      </c>
      <c r="H91" s="39">
        <v>6.880000114440918</v>
      </c>
      <c r="I91" s="39">
        <v>20.15999984741211</v>
      </c>
      <c r="J91" s="39">
        <v>19.190000534057617</v>
      </c>
      <c r="K91" s="39">
        <v>52.93000030517578</v>
      </c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</row>
    <row r="92" ht="14.25" customHeight="1">
      <c r="A92" s="36">
        <v>21202.0</v>
      </c>
      <c r="B92" s="36" t="s">
        <v>117</v>
      </c>
      <c r="C92" s="39">
        <v>11.8100004196167</v>
      </c>
      <c r="D92" s="39">
        <v>0.3799999952316284</v>
      </c>
      <c r="E92" s="39">
        <v>11.869999885559082</v>
      </c>
      <c r="F92" s="39">
        <v>7.090000152587891</v>
      </c>
      <c r="G92" s="39">
        <v>3.0899999141693115</v>
      </c>
      <c r="H92" s="39">
        <v>8.380000114440918</v>
      </c>
      <c r="I92" s="39">
        <v>14.8100004196167</v>
      </c>
      <c r="J92" s="39">
        <v>15.600000381469727</v>
      </c>
      <c r="K92" s="39">
        <v>39.90999984741211</v>
      </c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</row>
    <row r="93" ht="14.25" customHeight="1">
      <c r="A93" s="36">
        <v>21203.0</v>
      </c>
      <c r="B93" s="36" t="s">
        <v>118</v>
      </c>
      <c r="C93" s="39">
        <v>12.25</v>
      </c>
      <c r="D93" s="39">
        <v>0.3100000023841858</v>
      </c>
      <c r="E93" s="39">
        <v>12.720000267028809</v>
      </c>
      <c r="F93" s="39">
        <v>6.820000171661377</v>
      </c>
      <c r="G93" s="39">
        <v>2.880000114440918</v>
      </c>
      <c r="H93" s="39">
        <v>5.889999866485596</v>
      </c>
      <c r="I93" s="39">
        <v>22.559999465942383</v>
      </c>
      <c r="J93" s="39">
        <v>15.430000305175781</v>
      </c>
      <c r="K93" s="39">
        <v>29.510000228881836</v>
      </c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</row>
    <row r="94" ht="14.25" customHeight="1">
      <c r="A94" s="36">
        <v>21204.0</v>
      </c>
      <c r="B94" s="36" t="s">
        <v>119</v>
      </c>
      <c r="C94" s="39">
        <v>14.640000343322754</v>
      </c>
      <c r="D94" s="39">
        <v>0.5</v>
      </c>
      <c r="E94" s="39">
        <v>16.579999923706055</v>
      </c>
      <c r="F94" s="39">
        <v>6.349999904632568</v>
      </c>
      <c r="G94" s="39">
        <v>1.809999942779541</v>
      </c>
      <c r="H94" s="39">
        <v>5.800000190734863</v>
      </c>
      <c r="I94" s="39">
        <v>21.790000915527344</v>
      </c>
      <c r="J94" s="39">
        <v>14.770000457763672</v>
      </c>
      <c r="K94" s="39">
        <v>53.02000045776367</v>
      </c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</row>
    <row r="95" ht="14.25" customHeight="1">
      <c r="A95" s="36">
        <v>21301.0</v>
      </c>
      <c r="B95" s="36" t="s">
        <v>120</v>
      </c>
      <c r="C95" s="39">
        <v>7.420000076293945</v>
      </c>
      <c r="D95" s="39">
        <v>0.41999998688697815</v>
      </c>
      <c r="E95" s="39">
        <v>14.869999885559082</v>
      </c>
      <c r="F95" s="39">
        <v>6.900000095367432</v>
      </c>
      <c r="G95" s="39">
        <v>2.930000066757202</v>
      </c>
      <c r="H95" s="39">
        <v>7.630000114440918</v>
      </c>
      <c r="I95" s="39">
        <v>22.059999465942383</v>
      </c>
      <c r="J95" s="39">
        <v>20.790000915527344</v>
      </c>
      <c r="K95" s="39">
        <v>59.08000183105469</v>
      </c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</row>
    <row r="96" ht="14.25" customHeight="1">
      <c r="A96" s="36">
        <v>21302.0</v>
      </c>
      <c r="B96" s="36" t="s">
        <v>121</v>
      </c>
      <c r="C96" s="39">
        <v>7.820000171661377</v>
      </c>
      <c r="D96" s="39">
        <v>0.4300000071525574</v>
      </c>
      <c r="E96" s="39">
        <v>14.899999618530273</v>
      </c>
      <c r="F96" s="39">
        <v>6.650000095367432</v>
      </c>
      <c r="G96" s="39">
        <v>2.9600000381469727</v>
      </c>
      <c r="H96" s="39">
        <v>6.21999979019165</v>
      </c>
      <c r="I96" s="39">
        <v>22.579999923706055</v>
      </c>
      <c r="J96" s="39">
        <v>19.770000457763672</v>
      </c>
      <c r="K96" s="39">
        <v>44.130001068115234</v>
      </c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</row>
    <row r="97" ht="14.25" customHeight="1">
      <c r="A97" s="36">
        <v>21303.0</v>
      </c>
      <c r="B97" s="36" t="s">
        <v>122</v>
      </c>
      <c r="C97" s="39">
        <v>7.409999847412109</v>
      </c>
      <c r="D97" s="39">
        <v>0.3700000047683716</v>
      </c>
      <c r="E97" s="39">
        <v>15.930000305175781</v>
      </c>
      <c r="F97" s="39">
        <v>8.170000076293945</v>
      </c>
      <c r="G97" s="39">
        <v>2.7699999809265137</v>
      </c>
      <c r="H97" s="39">
        <v>7.900000095367432</v>
      </c>
      <c r="I97" s="39">
        <v>36.810001373291016</v>
      </c>
      <c r="J97" s="39">
        <v>25.09000015258789</v>
      </c>
      <c r="K97" s="39">
        <v>64.19999694824219</v>
      </c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</row>
    <row r="98" ht="14.25" customHeight="1">
      <c r="A98" s="36">
        <v>21304.0</v>
      </c>
      <c r="B98" s="36" t="s">
        <v>123</v>
      </c>
      <c r="C98" s="39">
        <v>7.510000228881836</v>
      </c>
      <c r="D98" s="39">
        <v>0.3199999928474426</v>
      </c>
      <c r="E98" s="39">
        <v>12.430000305175781</v>
      </c>
      <c r="F98" s="39">
        <v>7.320000171661377</v>
      </c>
      <c r="G98" s="39">
        <v>3.380000114440918</v>
      </c>
      <c r="H98" s="39">
        <v>8.109999656677246</v>
      </c>
      <c r="I98" s="39">
        <v>17.969999313354492</v>
      </c>
      <c r="J98" s="39">
        <v>14.319999694824219</v>
      </c>
      <c r="K98" s="39">
        <v>43.540000915527344</v>
      </c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</row>
    <row r="99" ht="14.25" customHeight="1">
      <c r="A99" s="36">
        <v>21305.0</v>
      </c>
      <c r="B99" s="36" t="s">
        <v>124</v>
      </c>
      <c r="C99" s="39">
        <v>8.260000228881836</v>
      </c>
      <c r="D99" s="39">
        <v>0.3199999928474426</v>
      </c>
      <c r="E99" s="39">
        <v>10.180000305175781</v>
      </c>
      <c r="F99" s="39">
        <v>6.400000095367432</v>
      </c>
      <c r="G99" s="39">
        <v>3.7699999809265137</v>
      </c>
      <c r="H99" s="39">
        <v>6.320000171661377</v>
      </c>
      <c r="I99" s="39">
        <v>13.40999984741211</v>
      </c>
      <c r="J99" s="39">
        <v>11.539999961853027</v>
      </c>
      <c r="K99" s="39">
        <v>44.95000076293945</v>
      </c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</row>
    <row r="100" ht="14.25" customHeight="1">
      <c r="A100" s="36">
        <v>21306.0</v>
      </c>
      <c r="B100" s="36" t="s">
        <v>125</v>
      </c>
      <c r="C100" s="39">
        <v>5.28000020980835</v>
      </c>
      <c r="D100" s="39">
        <v>0.3700000047683716</v>
      </c>
      <c r="E100" s="39">
        <v>11.569999694824219</v>
      </c>
      <c r="F100" s="39">
        <v>5.619999885559082</v>
      </c>
      <c r="G100" s="39">
        <v>3.450000047683716</v>
      </c>
      <c r="H100" s="39">
        <v>7.760000228881836</v>
      </c>
      <c r="I100" s="39">
        <v>15.84000015258789</v>
      </c>
      <c r="J100" s="39">
        <v>15.100000381469727</v>
      </c>
      <c r="K100" s="39">
        <v>68.16000366210938</v>
      </c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</row>
    <row r="101" ht="14.25" customHeight="1">
      <c r="A101" s="36">
        <v>21307.0</v>
      </c>
      <c r="B101" s="36" t="s">
        <v>126</v>
      </c>
      <c r="C101" s="39">
        <v>7.349999904632568</v>
      </c>
      <c r="D101" s="39">
        <v>1.1100000143051147</v>
      </c>
      <c r="E101" s="39">
        <v>15.020000457763672</v>
      </c>
      <c r="F101" s="39">
        <v>3.450000047683716</v>
      </c>
      <c r="G101" s="39">
        <v>1.1299999952316284</v>
      </c>
      <c r="H101" s="39">
        <v>6.090000152587891</v>
      </c>
      <c r="I101" s="39">
        <v>14.489999771118164</v>
      </c>
      <c r="J101" s="39">
        <v>10.369999885559082</v>
      </c>
      <c r="K101" s="39">
        <v>73.95999908447266</v>
      </c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</row>
    <row r="102" ht="14.25" customHeight="1">
      <c r="A102" s="36">
        <v>21401.0</v>
      </c>
      <c r="B102" s="36" t="s">
        <v>127</v>
      </c>
      <c r="C102" s="39">
        <v>6.760000228881836</v>
      </c>
      <c r="D102" s="39">
        <v>0.6000000238418579</v>
      </c>
      <c r="E102" s="39">
        <v>9.180000305175781</v>
      </c>
      <c r="F102" s="39">
        <v>2.799999952316284</v>
      </c>
      <c r="G102" s="39">
        <v>2.940000057220459</v>
      </c>
      <c r="H102" s="39">
        <v>8.119999885559082</v>
      </c>
      <c r="I102" s="39">
        <v>16.170000076293945</v>
      </c>
      <c r="J102" s="39">
        <v>17.93000030517578</v>
      </c>
      <c r="K102" s="39">
        <v>39.369998931884766</v>
      </c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</row>
    <row r="103" ht="14.25" customHeight="1">
      <c r="A103" s="36">
        <v>21402.0</v>
      </c>
      <c r="B103" s="36" t="s">
        <v>128</v>
      </c>
      <c r="C103" s="39">
        <v>5.960000038146973</v>
      </c>
      <c r="D103" s="39">
        <v>0.6200000047683716</v>
      </c>
      <c r="E103" s="39">
        <v>9.649999618530273</v>
      </c>
      <c r="F103" s="39">
        <v>2.8399999141693115</v>
      </c>
      <c r="G103" s="39">
        <v>2.7799999713897705</v>
      </c>
      <c r="H103" s="39">
        <v>8.239999771118164</v>
      </c>
      <c r="I103" s="39">
        <v>10.020000457763672</v>
      </c>
      <c r="J103" s="39">
        <v>5.199999809265137</v>
      </c>
      <c r="K103" s="39">
        <v>29.690000534057617</v>
      </c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</row>
    <row r="104" ht="14.25" customHeight="1">
      <c r="A104" s="36">
        <v>21501.0</v>
      </c>
      <c r="B104" s="36" t="s">
        <v>129</v>
      </c>
      <c r="C104" s="39">
        <v>7.760000228881836</v>
      </c>
      <c r="D104" s="39">
        <v>1.840000033378601</v>
      </c>
      <c r="E104" s="39">
        <v>23.899999618530273</v>
      </c>
      <c r="F104" s="39">
        <v>8.630000114440918</v>
      </c>
      <c r="G104" s="39">
        <v>7.389999866485596</v>
      </c>
      <c r="H104" s="39">
        <v>16.389999389648438</v>
      </c>
      <c r="I104" s="39">
        <v>32.369998931884766</v>
      </c>
      <c r="J104" s="39">
        <v>30.709999084472656</v>
      </c>
      <c r="K104" s="39">
        <v>49.5099983215332</v>
      </c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</row>
    <row r="105" ht="14.25" customHeight="1">
      <c r="A105" s="36">
        <v>21502.0</v>
      </c>
      <c r="B105" s="36" t="s">
        <v>130</v>
      </c>
      <c r="C105" s="39">
        <v>10.600000381469727</v>
      </c>
      <c r="D105" s="39">
        <v>1.600000023841858</v>
      </c>
      <c r="E105" s="39">
        <v>10.710000038146973</v>
      </c>
      <c r="F105" s="39">
        <v>4.349999904632568</v>
      </c>
      <c r="G105" s="39">
        <v>6.619999885559082</v>
      </c>
      <c r="H105" s="39">
        <v>11.140000343322754</v>
      </c>
      <c r="I105" s="39">
        <v>6.619999885559082</v>
      </c>
      <c r="J105" s="39">
        <v>8.930000305175781</v>
      </c>
      <c r="K105" s="39">
        <v>29.690000534057617</v>
      </c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</row>
    <row r="106" ht="14.25" customHeight="1">
      <c r="A106" s="36">
        <v>21601.0</v>
      </c>
      <c r="B106" s="36" t="s">
        <v>131</v>
      </c>
      <c r="C106" s="39">
        <v>21.15999984741211</v>
      </c>
      <c r="D106" s="39">
        <v>0.8500000238418579</v>
      </c>
      <c r="E106" s="39">
        <v>17.579999923706055</v>
      </c>
      <c r="F106" s="39">
        <v>13.90999984741211</v>
      </c>
      <c r="G106" s="39">
        <v>5.039999961853027</v>
      </c>
      <c r="H106" s="39">
        <v>12.8100004196167</v>
      </c>
      <c r="I106" s="39">
        <v>17.15999984741211</v>
      </c>
      <c r="J106" s="39">
        <v>17.899999618530273</v>
      </c>
      <c r="K106" s="39">
        <v>53.040000915527344</v>
      </c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</row>
    <row r="107" ht="14.25" customHeight="1">
      <c r="A107" s="36">
        <v>21602.0</v>
      </c>
      <c r="B107" s="36" t="s">
        <v>132</v>
      </c>
      <c r="C107" s="39">
        <v>23.93000030517578</v>
      </c>
      <c r="D107" s="39">
        <v>4.369999885559082</v>
      </c>
      <c r="E107" s="39">
        <v>18.020000457763672</v>
      </c>
      <c r="F107" s="39">
        <v>19.719999313354492</v>
      </c>
      <c r="G107" s="39">
        <v>4.650000095367432</v>
      </c>
      <c r="H107" s="39">
        <v>17.729999542236328</v>
      </c>
      <c r="I107" s="39">
        <v>20.809999465942383</v>
      </c>
      <c r="J107" s="39">
        <v>31.780000686645508</v>
      </c>
      <c r="K107" s="39">
        <v>43.7599983215332</v>
      </c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</row>
    <row r="108" ht="14.25" customHeight="1">
      <c r="A108" s="36">
        <v>21701.0</v>
      </c>
      <c r="B108" s="36" t="s">
        <v>133</v>
      </c>
      <c r="C108" s="39">
        <v>14.149999618530273</v>
      </c>
      <c r="D108" s="39">
        <v>1.7000000476837158</v>
      </c>
      <c r="E108" s="39">
        <v>10.260000228881836</v>
      </c>
      <c r="F108" s="39">
        <v>5.050000190734863</v>
      </c>
      <c r="G108" s="39">
        <v>2.3399999141693115</v>
      </c>
      <c r="H108" s="39">
        <v>6.28000020980835</v>
      </c>
      <c r="I108" s="39">
        <v>11.829999923706055</v>
      </c>
      <c r="J108" s="39">
        <v>15.630000114440918</v>
      </c>
      <c r="K108" s="39">
        <v>37.459999084472656</v>
      </c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</row>
    <row r="109" ht="14.25" customHeight="1">
      <c r="A109" s="36">
        <v>21702.0</v>
      </c>
      <c r="B109" s="36" t="s">
        <v>134</v>
      </c>
      <c r="C109" s="39">
        <v>12.819999694824219</v>
      </c>
      <c r="D109" s="39">
        <v>0.6499999761581421</v>
      </c>
      <c r="E109" s="39">
        <v>10.630000114440918</v>
      </c>
      <c r="F109" s="39">
        <v>2.559999942779541</v>
      </c>
      <c r="G109" s="39">
        <v>1.940000057220459</v>
      </c>
      <c r="H109" s="39">
        <v>5.110000133514404</v>
      </c>
      <c r="I109" s="39">
        <v>10.510000228881836</v>
      </c>
      <c r="J109" s="39">
        <v>14.649999618530273</v>
      </c>
      <c r="K109" s="39">
        <v>48.22999954223633</v>
      </c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</row>
    <row r="110" ht="14.25" customHeight="1">
      <c r="A110" s="36">
        <v>21703.0</v>
      </c>
      <c r="B110" s="36" t="s">
        <v>135</v>
      </c>
      <c r="C110" s="39">
        <v>22.219999313354492</v>
      </c>
      <c r="D110" s="39">
        <v>3.1700000762939453</v>
      </c>
      <c r="E110" s="39">
        <v>16.6299991607666</v>
      </c>
      <c r="F110" s="39">
        <v>3.6600000858306885</v>
      </c>
      <c r="G110" s="39">
        <v>1.3600000143051147</v>
      </c>
      <c r="H110" s="39">
        <v>10.0600004196167</v>
      </c>
      <c r="I110" s="39">
        <v>15.699999809265137</v>
      </c>
      <c r="J110" s="39">
        <v>26.049999237060547</v>
      </c>
      <c r="K110" s="39">
        <v>77.13999938964844</v>
      </c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</row>
    <row r="111" ht="14.25" customHeight="1">
      <c r="A111" s="36">
        <v>21801.0</v>
      </c>
      <c r="B111" s="36" t="s">
        <v>136</v>
      </c>
      <c r="C111" s="39">
        <v>6.96999979019165</v>
      </c>
      <c r="D111" s="39">
        <v>0.5199999809265137</v>
      </c>
      <c r="E111" s="39">
        <v>15.949999809265137</v>
      </c>
      <c r="F111" s="39">
        <v>7.119999885559082</v>
      </c>
      <c r="G111" s="39">
        <v>3.5199999809265137</v>
      </c>
      <c r="H111" s="39">
        <v>8.229999542236328</v>
      </c>
      <c r="I111" s="39">
        <v>30.520000457763672</v>
      </c>
      <c r="J111" s="39">
        <v>20.479999542236328</v>
      </c>
      <c r="K111" s="39">
        <v>62.459999084472656</v>
      </c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</row>
    <row r="112" ht="14.25" customHeight="1">
      <c r="A112" s="36">
        <v>21802.0</v>
      </c>
      <c r="B112" s="36" t="s">
        <v>137</v>
      </c>
      <c r="C112" s="39">
        <v>7.300000190734863</v>
      </c>
      <c r="D112" s="39">
        <v>0.27000001072883606</v>
      </c>
      <c r="E112" s="39">
        <v>13.149999618530273</v>
      </c>
      <c r="F112" s="39">
        <v>3.5199999809265137</v>
      </c>
      <c r="G112" s="39">
        <v>2.2699999809265137</v>
      </c>
      <c r="H112" s="39">
        <v>6.210000038146973</v>
      </c>
      <c r="I112" s="39">
        <v>25.239999771118164</v>
      </c>
      <c r="J112" s="39">
        <v>24.270000457763672</v>
      </c>
      <c r="K112" s="39">
        <v>37.779998779296875</v>
      </c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</row>
    <row r="113" ht="14.25" customHeight="1">
      <c r="A113" s="36">
        <v>21803.0</v>
      </c>
      <c r="B113" s="36" t="s">
        <v>138</v>
      </c>
      <c r="C113" s="39">
        <v>6.360000133514404</v>
      </c>
      <c r="D113" s="39">
        <v>0.05000000074505806</v>
      </c>
      <c r="E113" s="39">
        <v>12.9399995803833</v>
      </c>
      <c r="F113" s="39">
        <v>7.820000171661377</v>
      </c>
      <c r="G113" s="39">
        <v>3.7200000286102295</v>
      </c>
      <c r="H113" s="39">
        <v>5.619999885559082</v>
      </c>
      <c r="I113" s="39">
        <v>31.149999618530273</v>
      </c>
      <c r="J113" s="39">
        <v>32.279998779296875</v>
      </c>
      <c r="K113" s="39">
        <v>79.38999938964844</v>
      </c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</row>
    <row r="114" ht="14.25" customHeight="1">
      <c r="A114" s="36">
        <v>21901.0</v>
      </c>
      <c r="B114" s="36" t="s">
        <v>139</v>
      </c>
      <c r="C114" s="39">
        <v>6.429999828338623</v>
      </c>
      <c r="D114" s="39">
        <v>1.0399999618530273</v>
      </c>
      <c r="E114" s="39">
        <v>15.279999732971191</v>
      </c>
      <c r="F114" s="39">
        <v>4.289999961853027</v>
      </c>
      <c r="G114" s="39">
        <v>2.549999952316284</v>
      </c>
      <c r="H114" s="39">
        <v>5.829999923706055</v>
      </c>
      <c r="I114" s="39">
        <v>35.869998931884766</v>
      </c>
      <c r="J114" s="39">
        <v>21.600000381469727</v>
      </c>
      <c r="K114" s="39">
        <v>34.310001373291016</v>
      </c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</row>
    <row r="115" ht="14.25" customHeight="1">
      <c r="A115" s="36">
        <v>21902.0</v>
      </c>
      <c r="B115" s="36" t="s">
        <v>140</v>
      </c>
      <c r="C115" s="39">
        <v>4.909999847412109</v>
      </c>
      <c r="D115" s="39">
        <v>6.519999980926514</v>
      </c>
      <c r="E115" s="39">
        <v>22.5</v>
      </c>
      <c r="F115" s="39">
        <v>6.849999904632568</v>
      </c>
      <c r="G115" s="39">
        <v>2.3499999046325684</v>
      </c>
      <c r="H115" s="39">
        <v>9.899999618530273</v>
      </c>
      <c r="I115" s="39">
        <v>32.279998779296875</v>
      </c>
      <c r="J115" s="39">
        <v>22.940000534057617</v>
      </c>
      <c r="K115" s="39">
        <v>29.3700008392334</v>
      </c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</row>
    <row r="116" ht="14.25" customHeight="1">
      <c r="A116" s="36">
        <v>22001.0</v>
      </c>
      <c r="B116" s="36" t="s">
        <v>141</v>
      </c>
      <c r="C116" s="39">
        <v>6.849999904632568</v>
      </c>
      <c r="D116" s="39">
        <v>0.49000000953674316</v>
      </c>
      <c r="E116" s="39">
        <v>10.640000343322754</v>
      </c>
      <c r="F116" s="39">
        <v>3.3299999237060547</v>
      </c>
      <c r="G116" s="39">
        <v>3.640000104904175</v>
      </c>
      <c r="H116" s="39">
        <v>9.140000343322754</v>
      </c>
      <c r="I116" s="39">
        <v>21.56999969482422</v>
      </c>
      <c r="J116" s="39">
        <v>15.800000190734863</v>
      </c>
      <c r="K116" s="39">
        <v>35.81999969482422</v>
      </c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</row>
    <row r="117" ht="14.25" customHeight="1">
      <c r="A117" s="36">
        <v>22002.0</v>
      </c>
      <c r="B117" s="36" t="s">
        <v>142</v>
      </c>
      <c r="C117" s="39">
        <v>7.880000114440918</v>
      </c>
      <c r="D117" s="39">
        <v>0.46000000834465027</v>
      </c>
      <c r="E117" s="39">
        <v>11.920000076293945</v>
      </c>
      <c r="F117" s="39">
        <v>2.630000114440918</v>
      </c>
      <c r="G117" s="39">
        <v>3.2200000286102295</v>
      </c>
      <c r="H117" s="39">
        <v>9.399999618530273</v>
      </c>
      <c r="I117" s="39">
        <v>31.079999923706055</v>
      </c>
      <c r="J117" s="39">
        <v>37.77000045776367</v>
      </c>
      <c r="K117" s="39">
        <v>45.869998931884766</v>
      </c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</row>
    <row r="118" ht="14.25" customHeight="1">
      <c r="A118" s="36">
        <v>30101.0</v>
      </c>
      <c r="B118" s="36" t="s">
        <v>16</v>
      </c>
      <c r="C118" s="39">
        <v>5.599999904632568</v>
      </c>
      <c r="D118" s="39">
        <v>0.7099999785423279</v>
      </c>
      <c r="E118" s="39">
        <v>2.3299999237060547</v>
      </c>
      <c r="F118" s="39">
        <v>0.800000011920929</v>
      </c>
      <c r="G118" s="39">
        <v>2.140000104904175</v>
      </c>
      <c r="H118" s="39">
        <v>4.460000038146973</v>
      </c>
      <c r="I118" s="39">
        <v>27.31999969482422</v>
      </c>
      <c r="J118" s="39">
        <v>1.3700000047683716</v>
      </c>
      <c r="K118" s="39">
        <v>33.119998931884766</v>
      </c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</row>
    <row r="119" ht="14.25" customHeight="1">
      <c r="A119" s="36">
        <v>30201.0</v>
      </c>
      <c r="B119" s="36" t="s">
        <v>143</v>
      </c>
      <c r="C119" s="39">
        <v>19.219999313354492</v>
      </c>
      <c r="D119" s="39">
        <v>0.36000001430511475</v>
      </c>
      <c r="E119" s="39">
        <v>12.039999961853027</v>
      </c>
      <c r="F119" s="39">
        <v>3.5999999046325684</v>
      </c>
      <c r="G119" s="39">
        <v>4.570000171661377</v>
      </c>
      <c r="H119" s="39">
        <v>11.739999771118164</v>
      </c>
      <c r="I119" s="39">
        <v>14.479999542236328</v>
      </c>
      <c r="J119" s="39">
        <v>18.790000915527344</v>
      </c>
      <c r="K119" s="39">
        <v>42.18000030517578</v>
      </c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</row>
    <row r="120" ht="14.25" customHeight="1">
      <c r="A120" s="36">
        <v>30202.0</v>
      </c>
      <c r="B120" s="36" t="s">
        <v>144</v>
      </c>
      <c r="C120" s="39">
        <v>13.170000076293945</v>
      </c>
      <c r="D120" s="39">
        <v>0.9800000190734863</v>
      </c>
      <c r="E120" s="39">
        <v>12.539999961853027</v>
      </c>
      <c r="F120" s="39">
        <v>1.5800000429153442</v>
      </c>
      <c r="G120" s="39">
        <v>2.640000104904175</v>
      </c>
      <c r="H120" s="39">
        <v>8.760000228881836</v>
      </c>
      <c r="I120" s="39">
        <v>11.829999923706055</v>
      </c>
      <c r="J120" s="39">
        <v>24.559999465942383</v>
      </c>
      <c r="K120" s="39">
        <v>47.54999923706055</v>
      </c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</row>
    <row r="121" ht="14.25" customHeight="1">
      <c r="A121" s="36">
        <v>30203.0</v>
      </c>
      <c r="B121" s="36" t="s">
        <v>145</v>
      </c>
      <c r="C121" s="39">
        <v>16.3700008392334</v>
      </c>
      <c r="D121" s="39">
        <v>0.44999998807907104</v>
      </c>
      <c r="E121" s="39">
        <v>8.289999961853027</v>
      </c>
      <c r="F121" s="39">
        <v>1.9900000095367432</v>
      </c>
      <c r="G121" s="39">
        <v>5.75</v>
      </c>
      <c r="H121" s="39">
        <v>15.229999542236328</v>
      </c>
      <c r="I121" s="39">
        <v>8.729999542236328</v>
      </c>
      <c r="J121" s="39">
        <v>7.889999866485596</v>
      </c>
      <c r="K121" s="39">
        <v>26.670000076293945</v>
      </c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</row>
    <row r="122" ht="14.25" customHeight="1">
      <c r="A122" s="36">
        <v>30301.0</v>
      </c>
      <c r="B122" s="36" t="s">
        <v>146</v>
      </c>
      <c r="C122" s="39">
        <v>26.329999923706055</v>
      </c>
      <c r="D122" s="39">
        <v>0.1899999976158142</v>
      </c>
      <c r="E122" s="39">
        <v>12.600000381469727</v>
      </c>
      <c r="F122" s="39">
        <v>8.130000114440918</v>
      </c>
      <c r="G122" s="39">
        <v>5.190000057220459</v>
      </c>
      <c r="H122" s="39">
        <v>11.25</v>
      </c>
      <c r="I122" s="39">
        <v>24.93000030517578</v>
      </c>
      <c r="J122" s="39">
        <v>22.989999771118164</v>
      </c>
      <c r="K122" s="39">
        <v>64.3499984741211</v>
      </c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</row>
    <row r="123" ht="14.25" customHeight="1">
      <c r="A123" s="36">
        <v>30302.0</v>
      </c>
      <c r="B123" s="36" t="s">
        <v>147</v>
      </c>
      <c r="C123" s="39">
        <v>26.25</v>
      </c>
      <c r="D123" s="39">
        <v>0.23000000417232513</v>
      </c>
      <c r="E123" s="39">
        <v>13.220000267028809</v>
      </c>
      <c r="F123" s="39">
        <v>7.369999885559082</v>
      </c>
      <c r="G123" s="39">
        <v>5.269999980926514</v>
      </c>
      <c r="H123" s="39">
        <v>11.930000305175781</v>
      </c>
      <c r="I123" s="39">
        <v>18.5</v>
      </c>
      <c r="J123" s="39">
        <v>33.540000915527344</v>
      </c>
      <c r="K123" s="39">
        <v>57.220001220703125</v>
      </c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</row>
    <row r="124" ht="14.25" customHeight="1">
      <c r="A124" s="36">
        <v>30303.0</v>
      </c>
      <c r="B124" s="36" t="s">
        <v>148</v>
      </c>
      <c r="C124" s="39">
        <v>14.930000305175781</v>
      </c>
      <c r="D124" s="39">
        <v>0.2199999988079071</v>
      </c>
      <c r="E124" s="39">
        <v>21.610000610351562</v>
      </c>
      <c r="F124" s="39">
        <v>9.510000228881836</v>
      </c>
      <c r="G124" s="39">
        <v>6.539999961853027</v>
      </c>
      <c r="H124" s="39">
        <v>15.199999809265137</v>
      </c>
      <c r="I124" s="39">
        <v>51.7400016784668</v>
      </c>
      <c r="J124" s="39">
        <v>31.030000686645508</v>
      </c>
      <c r="K124" s="39">
        <v>56.34000015258789</v>
      </c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</row>
    <row r="125" ht="14.25" customHeight="1">
      <c r="A125" s="36">
        <v>30401.0</v>
      </c>
      <c r="B125" s="36" t="s">
        <v>149</v>
      </c>
      <c r="C125" s="39">
        <v>13.399999618530273</v>
      </c>
      <c r="D125" s="39">
        <v>0.9599999785423279</v>
      </c>
      <c r="E125" s="39">
        <v>10.59000015258789</v>
      </c>
      <c r="F125" s="39">
        <v>2.2200000286102295</v>
      </c>
      <c r="G125" s="39">
        <v>4.099999904632568</v>
      </c>
      <c r="H125" s="39">
        <v>8.850000381469727</v>
      </c>
      <c r="I125" s="39">
        <v>14.40999984741211</v>
      </c>
      <c r="J125" s="39">
        <v>18.329999923706055</v>
      </c>
      <c r="K125" s="39">
        <v>38.77000045776367</v>
      </c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</row>
    <row r="126" ht="14.25" customHeight="1">
      <c r="A126" s="36">
        <v>30402.0</v>
      </c>
      <c r="B126" s="36" t="s">
        <v>150</v>
      </c>
      <c r="C126" s="39">
        <v>19.3700008392334</v>
      </c>
      <c r="D126" s="39">
        <v>0.1899999976158142</v>
      </c>
      <c r="E126" s="39">
        <v>15.25</v>
      </c>
      <c r="F126" s="39">
        <v>4.699999809265137</v>
      </c>
      <c r="G126" s="39">
        <v>3.569999933242798</v>
      </c>
      <c r="H126" s="39">
        <v>9.640000343322754</v>
      </c>
      <c r="I126" s="39">
        <v>20.780000686645508</v>
      </c>
      <c r="J126" s="39">
        <v>33.7599983215332</v>
      </c>
      <c r="K126" s="39">
        <v>68.5199966430664</v>
      </c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</row>
    <row r="127" ht="14.25" customHeight="1">
      <c r="A127" s="36">
        <v>30403.0</v>
      </c>
      <c r="B127" s="36" t="s">
        <v>151</v>
      </c>
      <c r="C127" s="39">
        <v>12.239999771118164</v>
      </c>
      <c r="D127" s="39">
        <v>0.8299999833106995</v>
      </c>
      <c r="E127" s="39">
        <v>6.619999885559082</v>
      </c>
      <c r="F127" s="39">
        <v>2.5299999713897705</v>
      </c>
      <c r="G127" s="39">
        <v>4.53000020980835</v>
      </c>
      <c r="H127" s="39">
        <v>7.300000190734863</v>
      </c>
      <c r="I127" s="39">
        <v>61.650001525878906</v>
      </c>
      <c r="J127" s="39">
        <v>22.360000610351562</v>
      </c>
      <c r="K127" s="39">
        <v>72.86000061035156</v>
      </c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</row>
    <row r="128" ht="14.25" customHeight="1">
      <c r="A128" s="36">
        <v>30404.0</v>
      </c>
      <c r="B128" s="36" t="s">
        <v>152</v>
      </c>
      <c r="C128" s="39">
        <v>18.450000762939453</v>
      </c>
      <c r="D128" s="39">
        <v>0.3799999952316284</v>
      </c>
      <c r="E128" s="39">
        <v>20.56999969482422</v>
      </c>
      <c r="F128" s="39">
        <v>4.199999809265137</v>
      </c>
      <c r="G128" s="39">
        <v>3.5299999713897705</v>
      </c>
      <c r="H128" s="39">
        <v>13.680000305175781</v>
      </c>
      <c r="I128" s="39">
        <v>27.1299991607666</v>
      </c>
      <c r="J128" s="39">
        <v>39.0</v>
      </c>
      <c r="K128" s="39">
        <v>64.6500015258789</v>
      </c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</row>
    <row r="129" ht="14.25" customHeight="1">
      <c r="A129" s="36">
        <v>30501.0</v>
      </c>
      <c r="B129" s="36" t="s">
        <v>153</v>
      </c>
      <c r="C129" s="39">
        <v>15.34000015258789</v>
      </c>
      <c r="D129" s="39">
        <v>0.5299999713897705</v>
      </c>
      <c r="E129" s="39">
        <v>9.65999984741211</v>
      </c>
      <c r="F129" s="39">
        <v>1.2100000381469727</v>
      </c>
      <c r="G129" s="39">
        <v>2.359999895095825</v>
      </c>
      <c r="H129" s="39">
        <v>5.480000019073486</v>
      </c>
      <c r="I129" s="39">
        <v>6.119999885559082</v>
      </c>
      <c r="J129" s="39">
        <v>6.949999809265137</v>
      </c>
      <c r="K129" s="39">
        <v>25.030000686645508</v>
      </c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</row>
    <row r="130" ht="14.25" customHeight="1">
      <c r="A130" s="36">
        <v>30502.0</v>
      </c>
      <c r="B130" s="36" t="s">
        <v>154</v>
      </c>
      <c r="C130" s="39">
        <v>26.950000762939453</v>
      </c>
      <c r="D130" s="39">
        <v>0.10000000149011612</v>
      </c>
      <c r="E130" s="39">
        <v>15.819999694824219</v>
      </c>
      <c r="F130" s="39">
        <v>3.4100000858306885</v>
      </c>
      <c r="G130" s="39">
        <v>4.309999942779541</v>
      </c>
      <c r="H130" s="39">
        <v>8.149999618530273</v>
      </c>
      <c r="I130" s="39">
        <v>12.010000228881836</v>
      </c>
      <c r="J130" s="39">
        <v>19.469999313354492</v>
      </c>
      <c r="K130" s="39">
        <v>50.720001220703125</v>
      </c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</row>
    <row r="131" ht="14.25" customHeight="1">
      <c r="A131" s="36">
        <v>30601.0</v>
      </c>
      <c r="B131" s="36" t="s">
        <v>155</v>
      </c>
      <c r="C131" s="39">
        <v>32.66999816894531</v>
      </c>
      <c r="D131" s="39">
        <v>0.17000000178813934</v>
      </c>
      <c r="E131" s="39">
        <v>22.3799991607666</v>
      </c>
      <c r="F131" s="39">
        <v>14.569999694824219</v>
      </c>
      <c r="G131" s="39">
        <v>5.650000095367432</v>
      </c>
      <c r="H131" s="39">
        <v>14.029999732971191</v>
      </c>
      <c r="I131" s="39">
        <v>29.059999465942383</v>
      </c>
      <c r="J131" s="39">
        <v>31.450000762939453</v>
      </c>
      <c r="K131" s="39">
        <v>71.88999938964844</v>
      </c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</row>
    <row r="132" ht="14.25" customHeight="1">
      <c r="A132" s="36">
        <v>30602.0</v>
      </c>
      <c r="B132" s="36" t="s">
        <v>156</v>
      </c>
      <c r="C132" s="39">
        <v>29.540000915527344</v>
      </c>
      <c r="D132" s="39">
        <v>0.07999999821186066</v>
      </c>
      <c r="E132" s="39">
        <v>18.110000610351562</v>
      </c>
      <c r="F132" s="39">
        <v>7.079999923706055</v>
      </c>
      <c r="G132" s="39">
        <v>3.880000114440918</v>
      </c>
      <c r="H132" s="39">
        <v>10.84000015258789</v>
      </c>
      <c r="I132" s="39">
        <v>13.329999923706055</v>
      </c>
      <c r="J132" s="39">
        <v>28.530000686645508</v>
      </c>
      <c r="K132" s="39">
        <v>50.45000076293945</v>
      </c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</row>
    <row r="133" ht="14.25" customHeight="1">
      <c r="A133" s="36">
        <v>30701.0</v>
      </c>
      <c r="B133" s="36" t="s">
        <v>157</v>
      </c>
      <c r="C133" s="39">
        <v>15.390000343322754</v>
      </c>
      <c r="D133" s="39">
        <v>0.5199999809265137</v>
      </c>
      <c r="E133" s="39">
        <v>8.149999618530273</v>
      </c>
      <c r="F133" s="39">
        <v>2.890000104904175</v>
      </c>
      <c r="G133" s="39">
        <v>4.639999866485596</v>
      </c>
      <c r="H133" s="39">
        <v>7.079999923706055</v>
      </c>
      <c r="I133" s="39">
        <v>12.970000267028809</v>
      </c>
      <c r="J133" s="39">
        <v>13.380000114440918</v>
      </c>
      <c r="K133" s="39">
        <v>35.209999084472656</v>
      </c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</row>
    <row r="134" ht="14.25" customHeight="1">
      <c r="A134" s="36">
        <v>30702.0</v>
      </c>
      <c r="B134" s="36" t="s">
        <v>158</v>
      </c>
      <c r="C134" s="39">
        <v>11.949999809265137</v>
      </c>
      <c r="D134" s="39">
        <v>0.2199999988079071</v>
      </c>
      <c r="E134" s="39">
        <v>8.279999732971191</v>
      </c>
      <c r="F134" s="39">
        <v>1.0499999523162842</v>
      </c>
      <c r="G134" s="39">
        <v>4.550000190734863</v>
      </c>
      <c r="H134" s="39">
        <v>7.230000019073486</v>
      </c>
      <c r="I134" s="39">
        <v>8.199999809265137</v>
      </c>
      <c r="J134" s="39">
        <v>11.369999885559082</v>
      </c>
      <c r="K134" s="39">
        <v>25.299999237060547</v>
      </c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</row>
    <row r="135" ht="14.25" customHeight="1">
      <c r="A135" s="36">
        <v>30703.0</v>
      </c>
      <c r="B135" s="36" t="s">
        <v>159</v>
      </c>
      <c r="C135" s="39">
        <v>21.8799991607666</v>
      </c>
      <c r="D135" s="39">
        <v>0.5299999713897705</v>
      </c>
      <c r="E135" s="39">
        <v>11.220000267028809</v>
      </c>
      <c r="F135" s="39">
        <v>5.099999904632568</v>
      </c>
      <c r="G135" s="39">
        <v>5.829999923706055</v>
      </c>
      <c r="H135" s="39">
        <v>13.170000076293945</v>
      </c>
      <c r="I135" s="39">
        <v>9.350000381469727</v>
      </c>
      <c r="J135" s="39">
        <v>16.170000076293945</v>
      </c>
      <c r="K135" s="39">
        <v>42.27000045776367</v>
      </c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</row>
    <row r="136" ht="14.25" customHeight="1">
      <c r="A136" s="36">
        <v>30801.0</v>
      </c>
      <c r="B136" s="36" t="s">
        <v>160</v>
      </c>
      <c r="C136" s="39">
        <v>11.069999694824219</v>
      </c>
      <c r="D136" s="39">
        <v>1.0399999618530273</v>
      </c>
      <c r="E136" s="39">
        <v>5.75</v>
      </c>
      <c r="F136" s="39">
        <v>0.7599999904632568</v>
      </c>
      <c r="G136" s="39">
        <v>3.049999952316284</v>
      </c>
      <c r="H136" s="39">
        <v>6.300000190734863</v>
      </c>
      <c r="I136" s="39">
        <v>1.440000057220459</v>
      </c>
      <c r="J136" s="39">
        <v>1.6200000047683716</v>
      </c>
      <c r="K136" s="39">
        <v>15.460000038146973</v>
      </c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</row>
    <row r="137" ht="14.25" customHeight="1">
      <c r="A137" s="36">
        <v>30802.0</v>
      </c>
      <c r="B137" s="36" t="s">
        <v>161</v>
      </c>
      <c r="C137" s="39">
        <v>17.5</v>
      </c>
      <c r="D137" s="39">
        <v>0.8999999761581421</v>
      </c>
      <c r="E137" s="39">
        <v>11.430000305175781</v>
      </c>
      <c r="F137" s="39">
        <v>1.2699999809265137</v>
      </c>
      <c r="G137" s="39">
        <v>3.759999990463257</v>
      </c>
      <c r="H137" s="39">
        <v>8.25</v>
      </c>
      <c r="I137" s="39">
        <v>5.690000057220459</v>
      </c>
      <c r="J137" s="39">
        <v>9.800000190734863</v>
      </c>
      <c r="K137" s="39">
        <v>28.649999618530273</v>
      </c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</row>
    <row r="138" ht="14.25" customHeight="1">
      <c r="A138" s="36">
        <v>30803.0</v>
      </c>
      <c r="B138" s="36" t="s">
        <v>162</v>
      </c>
      <c r="C138" s="39">
        <v>10.380000114440918</v>
      </c>
      <c r="D138" s="39">
        <v>1.059999942779541</v>
      </c>
      <c r="E138" s="39">
        <v>4.170000076293945</v>
      </c>
      <c r="F138" s="39">
        <v>1.6399999856948853</v>
      </c>
      <c r="G138" s="39">
        <v>3.2899999618530273</v>
      </c>
      <c r="H138" s="39">
        <v>6.46999979019165</v>
      </c>
      <c r="I138" s="39">
        <v>24.040000915527344</v>
      </c>
      <c r="J138" s="39">
        <v>17.889999389648438</v>
      </c>
      <c r="K138" s="39">
        <v>31.889999389648438</v>
      </c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</row>
    <row r="139" ht="14.25" customHeight="1">
      <c r="A139" s="36">
        <v>30901.0</v>
      </c>
      <c r="B139" s="36" t="s">
        <v>163</v>
      </c>
      <c r="C139" s="39">
        <v>7.570000171661377</v>
      </c>
      <c r="D139" s="39">
        <v>0.5699999928474426</v>
      </c>
      <c r="E139" s="39">
        <v>3.009999990463257</v>
      </c>
      <c r="F139" s="39">
        <v>0.9900000095367432</v>
      </c>
      <c r="G139" s="39">
        <v>2.880000114440918</v>
      </c>
      <c r="H139" s="39">
        <v>5.099999904632568</v>
      </c>
      <c r="I139" s="39">
        <v>17.81999969482422</v>
      </c>
      <c r="J139" s="39">
        <v>1.5099999904632568</v>
      </c>
      <c r="K139" s="39">
        <v>32.81999969482422</v>
      </c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</row>
    <row r="140" ht="14.25" customHeight="1">
      <c r="A140" s="36">
        <v>30902.0</v>
      </c>
      <c r="B140" s="36" t="s">
        <v>164</v>
      </c>
      <c r="C140" s="39">
        <v>13.520000457763672</v>
      </c>
      <c r="D140" s="39">
        <v>0.41999998688697815</v>
      </c>
      <c r="E140" s="39">
        <v>4.840000152587891</v>
      </c>
      <c r="F140" s="39">
        <v>2.390000104904175</v>
      </c>
      <c r="G140" s="39">
        <v>4.590000152587891</v>
      </c>
      <c r="H140" s="39">
        <v>7.599999904632568</v>
      </c>
      <c r="I140" s="39">
        <v>13.529999732971191</v>
      </c>
      <c r="J140" s="39">
        <v>4.119999885559082</v>
      </c>
      <c r="K140" s="39">
        <v>62.77000045776367</v>
      </c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</row>
    <row r="141" ht="14.25" customHeight="1">
      <c r="A141" s="36">
        <v>30903.0</v>
      </c>
      <c r="B141" s="36" t="s">
        <v>165</v>
      </c>
      <c r="C141" s="39">
        <v>6.150000095367432</v>
      </c>
      <c r="D141" s="39">
        <v>1.149999976158142</v>
      </c>
      <c r="E141" s="39">
        <v>2.930000066757202</v>
      </c>
      <c r="F141" s="39">
        <v>1.3300000429153442</v>
      </c>
      <c r="G141" s="39">
        <v>2.5999999046325684</v>
      </c>
      <c r="H141" s="39">
        <v>5.300000190734863</v>
      </c>
      <c r="I141" s="39">
        <v>17.31999969482422</v>
      </c>
      <c r="J141" s="39">
        <v>1.9600000381469727</v>
      </c>
      <c r="K141" s="39">
        <v>33.31999969482422</v>
      </c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</row>
    <row r="142" ht="14.25" customHeight="1">
      <c r="A142" s="36">
        <v>30904.0</v>
      </c>
      <c r="B142" s="36" t="s">
        <v>166</v>
      </c>
      <c r="C142" s="39">
        <v>9.140000343322754</v>
      </c>
      <c r="D142" s="39">
        <v>0.38999998569488525</v>
      </c>
      <c r="E142" s="39">
        <v>3.640000104904175</v>
      </c>
      <c r="F142" s="39">
        <v>1.3300000429153442</v>
      </c>
      <c r="G142" s="39">
        <v>3.450000047683716</v>
      </c>
      <c r="H142" s="39">
        <v>5.730000019073486</v>
      </c>
      <c r="I142" s="39">
        <v>16.329999923706055</v>
      </c>
      <c r="J142" s="39">
        <v>1.909999966621399</v>
      </c>
      <c r="K142" s="39">
        <v>58.65999984741211</v>
      </c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</row>
    <row r="143" ht="14.25" customHeight="1">
      <c r="A143" s="36">
        <v>30905.0</v>
      </c>
      <c r="B143" s="36" t="s">
        <v>167</v>
      </c>
      <c r="C143" s="39">
        <v>5.110000133514404</v>
      </c>
      <c r="D143" s="39">
        <v>0.6299999952316284</v>
      </c>
      <c r="E143" s="39">
        <v>2.0299999713897705</v>
      </c>
      <c r="F143" s="39">
        <v>0.36000001430511475</v>
      </c>
      <c r="G143" s="39">
        <v>2.069999933242798</v>
      </c>
      <c r="H143" s="39">
        <v>4.170000076293945</v>
      </c>
      <c r="I143" s="39">
        <v>15.760000228881836</v>
      </c>
      <c r="J143" s="39">
        <v>0.3400000035762787</v>
      </c>
      <c r="K143" s="39">
        <v>17.979999542236328</v>
      </c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</row>
    <row r="144" ht="14.25" customHeight="1">
      <c r="A144" s="36">
        <v>31001.0</v>
      </c>
      <c r="B144" s="36" t="s">
        <v>168</v>
      </c>
      <c r="C144" s="39">
        <v>8.020000457763672</v>
      </c>
      <c r="D144" s="39">
        <v>0.7599999904632568</v>
      </c>
      <c r="E144" s="39">
        <v>3.390000104904175</v>
      </c>
      <c r="F144" s="39">
        <v>0.7900000214576721</v>
      </c>
      <c r="G144" s="39">
        <v>2.8399999141693115</v>
      </c>
      <c r="H144" s="39">
        <v>5.079999923706055</v>
      </c>
      <c r="I144" s="39">
        <v>24.8700008392334</v>
      </c>
      <c r="J144" s="39">
        <v>4.269999980926514</v>
      </c>
      <c r="K144" s="39">
        <v>27.670000076293945</v>
      </c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</row>
    <row r="145" ht="14.25" customHeight="1">
      <c r="A145" s="36">
        <v>31002.0</v>
      </c>
      <c r="B145" s="36" t="s">
        <v>169</v>
      </c>
      <c r="C145" s="39">
        <v>13.420000076293945</v>
      </c>
      <c r="D145" s="39">
        <v>0.3400000035762787</v>
      </c>
      <c r="E145" s="39">
        <v>11.119999885559082</v>
      </c>
      <c r="F145" s="39">
        <v>3.0199999809265137</v>
      </c>
      <c r="G145" s="39">
        <v>5.869999885559082</v>
      </c>
      <c r="H145" s="39">
        <v>9.90999984741211</v>
      </c>
      <c r="I145" s="39">
        <v>16.8700008392334</v>
      </c>
      <c r="J145" s="39">
        <v>19.059999465942383</v>
      </c>
      <c r="K145" s="39">
        <v>24.829999923706055</v>
      </c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</row>
    <row r="146" ht="14.25" customHeight="1">
      <c r="A146" s="36">
        <v>31003.0</v>
      </c>
      <c r="B146" s="36" t="s">
        <v>170</v>
      </c>
      <c r="C146" s="39">
        <v>9.390000343322754</v>
      </c>
      <c r="D146" s="39">
        <v>0.33000001311302185</v>
      </c>
      <c r="E146" s="39">
        <v>11.0600004196167</v>
      </c>
      <c r="F146" s="39">
        <v>4.070000171661377</v>
      </c>
      <c r="G146" s="39">
        <v>4.940000057220459</v>
      </c>
      <c r="H146" s="39">
        <v>9.430000305175781</v>
      </c>
      <c r="I146" s="39">
        <v>32.65999984741211</v>
      </c>
      <c r="J146" s="39">
        <v>25.639999389648438</v>
      </c>
      <c r="K146" s="39">
        <v>31.219999313354492</v>
      </c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</row>
    <row r="147" ht="14.25" customHeight="1">
      <c r="A147" s="36">
        <v>31101.0</v>
      </c>
      <c r="B147" s="36" t="s">
        <v>171</v>
      </c>
      <c r="C147" s="39">
        <v>26.1200008392334</v>
      </c>
      <c r="D147" s="39">
        <v>0.05999999865889549</v>
      </c>
      <c r="E147" s="39">
        <v>18.700000762939453</v>
      </c>
      <c r="F147" s="39">
        <v>11.539999961853027</v>
      </c>
      <c r="G147" s="39">
        <v>4.789999961853027</v>
      </c>
      <c r="H147" s="39">
        <v>11.109999656677246</v>
      </c>
      <c r="I147" s="39">
        <v>27.139999389648438</v>
      </c>
      <c r="J147" s="39">
        <v>37.86000061035156</v>
      </c>
      <c r="K147" s="39">
        <v>78.77999877929688</v>
      </c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</row>
    <row r="148" ht="14.25" customHeight="1">
      <c r="A148" s="36">
        <v>31201.0</v>
      </c>
      <c r="B148" s="36" t="s">
        <v>172</v>
      </c>
      <c r="C148" s="39">
        <v>17.549999237060547</v>
      </c>
      <c r="D148" s="39">
        <v>0.12999999523162842</v>
      </c>
      <c r="E148" s="39">
        <v>13.489999771118164</v>
      </c>
      <c r="F148" s="39">
        <v>5.329999923706055</v>
      </c>
      <c r="G148" s="39">
        <v>8.970000267028809</v>
      </c>
      <c r="H148" s="39">
        <v>17.040000915527344</v>
      </c>
      <c r="I148" s="39">
        <v>27.290000915527344</v>
      </c>
      <c r="J148" s="39">
        <v>22.979999542236328</v>
      </c>
      <c r="K148" s="39">
        <v>65.23999786376953</v>
      </c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</row>
    <row r="149" ht="14.25" customHeight="1">
      <c r="A149" s="36">
        <v>31202.0</v>
      </c>
      <c r="B149" s="36" t="s">
        <v>173</v>
      </c>
      <c r="C149" s="39">
        <v>15.40999984741211</v>
      </c>
      <c r="D149" s="39">
        <v>0.6800000071525574</v>
      </c>
      <c r="E149" s="39">
        <v>13.350000381469727</v>
      </c>
      <c r="F149" s="39">
        <v>3.9800000190734863</v>
      </c>
      <c r="G149" s="39">
        <v>6.929999828338623</v>
      </c>
      <c r="H149" s="39">
        <v>17.530000686645508</v>
      </c>
      <c r="I149" s="39">
        <v>32.130001068115234</v>
      </c>
      <c r="J149" s="39">
        <v>29.760000228881836</v>
      </c>
      <c r="K149" s="39">
        <v>55.810001373291016</v>
      </c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</row>
    <row r="150" ht="14.25" customHeight="1">
      <c r="A150" s="36">
        <v>31203.0</v>
      </c>
      <c r="B150" s="36" t="s">
        <v>174</v>
      </c>
      <c r="C150" s="39">
        <v>15.289999961853027</v>
      </c>
      <c r="D150" s="39">
        <v>0.3400000035762787</v>
      </c>
      <c r="E150" s="39">
        <v>9.979999542236328</v>
      </c>
      <c r="F150" s="39">
        <v>2.119999885559082</v>
      </c>
      <c r="G150" s="39">
        <v>4.630000114440918</v>
      </c>
      <c r="H150" s="39">
        <v>10.5600004196167</v>
      </c>
      <c r="I150" s="39">
        <v>15.699999809265137</v>
      </c>
      <c r="J150" s="39">
        <v>16.43000030517578</v>
      </c>
      <c r="K150" s="39">
        <v>47.209999084472656</v>
      </c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</row>
    <row r="151" ht="14.25" customHeight="1">
      <c r="A151" s="36">
        <v>31204.0</v>
      </c>
      <c r="B151" s="36" t="s">
        <v>175</v>
      </c>
      <c r="C151" s="39">
        <v>8.720000267028809</v>
      </c>
      <c r="D151" s="39">
        <v>0.36000001430511475</v>
      </c>
      <c r="E151" s="39">
        <v>8.380000114440918</v>
      </c>
      <c r="F151" s="39">
        <v>4.210000038146973</v>
      </c>
      <c r="G151" s="39">
        <v>5.78000020980835</v>
      </c>
      <c r="H151" s="39">
        <v>10.5</v>
      </c>
      <c r="I151" s="39">
        <v>21.639999389648438</v>
      </c>
      <c r="J151" s="39">
        <v>21.709999084472656</v>
      </c>
      <c r="K151" s="39">
        <v>41.2400016784668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</row>
    <row r="152" ht="14.25" customHeight="1">
      <c r="A152" s="36">
        <v>31205.0</v>
      </c>
      <c r="B152" s="36" t="s">
        <v>176</v>
      </c>
      <c r="C152" s="39">
        <v>10.649999618530273</v>
      </c>
      <c r="D152" s="39">
        <v>0.3700000047683716</v>
      </c>
      <c r="E152" s="39">
        <v>8.119999885559082</v>
      </c>
      <c r="F152" s="39">
        <v>1.9500000476837158</v>
      </c>
      <c r="G152" s="39">
        <v>5.920000076293945</v>
      </c>
      <c r="H152" s="39">
        <v>10.710000038146973</v>
      </c>
      <c r="I152" s="39">
        <v>18.889999389648438</v>
      </c>
      <c r="J152" s="39">
        <v>18.229999542236328</v>
      </c>
      <c r="K152" s="39">
        <v>40.220001220703125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</row>
    <row r="153" ht="14.25" customHeight="1">
      <c r="A153" s="36">
        <v>31206.0</v>
      </c>
      <c r="B153" s="36" t="s">
        <v>177</v>
      </c>
      <c r="C153" s="39">
        <v>9.779999732971191</v>
      </c>
      <c r="D153" s="39">
        <v>0.550000011920929</v>
      </c>
      <c r="E153" s="39">
        <v>7.25</v>
      </c>
      <c r="F153" s="39">
        <v>1.3700000047683716</v>
      </c>
      <c r="G153" s="39">
        <v>5.150000095367432</v>
      </c>
      <c r="H153" s="39">
        <v>11.039999961853027</v>
      </c>
      <c r="I153" s="39">
        <v>14.710000038146973</v>
      </c>
      <c r="J153" s="39">
        <v>18.579999923706055</v>
      </c>
      <c r="K153" s="39">
        <v>55.529998779296875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</row>
    <row r="154" ht="14.25" customHeight="1">
      <c r="A154" s="36">
        <v>31301.0</v>
      </c>
      <c r="B154" s="36" t="s">
        <v>178</v>
      </c>
      <c r="C154" s="39">
        <v>20.520000457763672</v>
      </c>
      <c r="D154" s="39">
        <v>0.38999998569488525</v>
      </c>
      <c r="E154" s="39">
        <v>10.130000114440918</v>
      </c>
      <c r="F154" s="39">
        <v>3.1600000858306885</v>
      </c>
      <c r="G154" s="39">
        <v>5.78000020980835</v>
      </c>
      <c r="H154" s="39">
        <v>11.380000114440918</v>
      </c>
      <c r="I154" s="39">
        <v>13.979999542236328</v>
      </c>
      <c r="J154" s="39">
        <v>15.630000114440918</v>
      </c>
      <c r="K154" s="39">
        <v>50.81999969482422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</row>
    <row r="155" ht="14.25" customHeight="1">
      <c r="A155" s="36">
        <v>31302.0</v>
      </c>
      <c r="B155" s="36" t="s">
        <v>179</v>
      </c>
      <c r="C155" s="39">
        <v>28.290000915527344</v>
      </c>
      <c r="D155" s="39">
        <v>0.5899999737739563</v>
      </c>
      <c r="E155" s="39">
        <v>23.25</v>
      </c>
      <c r="F155" s="39">
        <v>7.559999942779541</v>
      </c>
      <c r="G155" s="39">
        <v>8.890000343322754</v>
      </c>
      <c r="H155" s="39">
        <v>18.239999771118164</v>
      </c>
      <c r="I155" s="39">
        <v>42.029998779296875</v>
      </c>
      <c r="J155" s="39">
        <v>44.040000915527344</v>
      </c>
      <c r="K155" s="39">
        <v>73.88999938964844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</row>
    <row r="156" ht="14.25" customHeight="1">
      <c r="A156" s="36">
        <v>31303.0</v>
      </c>
      <c r="B156" s="36" t="s">
        <v>180</v>
      </c>
      <c r="C156" s="39">
        <v>23.09000015258789</v>
      </c>
      <c r="D156" s="39">
        <v>0.7200000286102295</v>
      </c>
      <c r="E156" s="39">
        <v>21.209999084472656</v>
      </c>
      <c r="F156" s="39">
        <v>6.420000076293945</v>
      </c>
      <c r="G156" s="39">
        <v>5.71999979019165</v>
      </c>
      <c r="H156" s="39">
        <v>17.399999618530273</v>
      </c>
      <c r="I156" s="39">
        <v>27.520000457763672</v>
      </c>
      <c r="J156" s="39">
        <v>43.63999938964844</v>
      </c>
      <c r="K156" s="39">
        <v>77.72000122070312</v>
      </c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</row>
    <row r="157" ht="14.25" customHeight="1">
      <c r="A157" s="36">
        <v>31304.0</v>
      </c>
      <c r="B157" s="36" t="s">
        <v>181</v>
      </c>
      <c r="C157" s="39">
        <v>42.25</v>
      </c>
      <c r="D157" s="39">
        <v>0.9200000166893005</v>
      </c>
      <c r="E157" s="39">
        <v>29.75</v>
      </c>
      <c r="F157" s="39">
        <v>15.789999961853027</v>
      </c>
      <c r="G157" s="39">
        <v>6.309999942779541</v>
      </c>
      <c r="H157" s="39">
        <v>22.8700008392334</v>
      </c>
      <c r="I157" s="39">
        <v>51.22999954223633</v>
      </c>
      <c r="J157" s="39">
        <v>58.65999984741211</v>
      </c>
      <c r="K157" s="39">
        <v>88.66000366210938</v>
      </c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</row>
    <row r="158" ht="14.25" customHeight="1">
      <c r="A158" s="36">
        <v>31401.0</v>
      </c>
      <c r="B158" s="36" t="s">
        <v>182</v>
      </c>
      <c r="C158" s="39">
        <v>12.470000267028809</v>
      </c>
      <c r="D158" s="39">
        <v>0.8999999761581421</v>
      </c>
      <c r="E158" s="39">
        <v>4.920000076293945</v>
      </c>
      <c r="F158" s="39">
        <v>0.8799999952316284</v>
      </c>
      <c r="G158" s="39">
        <v>2.799999952316284</v>
      </c>
      <c r="H158" s="39">
        <v>5.360000133514404</v>
      </c>
      <c r="I158" s="39">
        <v>16.889999389648438</v>
      </c>
      <c r="J158" s="39">
        <v>1.9800000190734863</v>
      </c>
      <c r="K158" s="39">
        <v>29.739999771118164</v>
      </c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</row>
    <row r="159" ht="14.25" customHeight="1">
      <c r="A159" s="36">
        <v>31402.0</v>
      </c>
      <c r="B159" s="36" t="s">
        <v>183</v>
      </c>
      <c r="C159" s="39">
        <v>13.529999732971191</v>
      </c>
      <c r="D159" s="39">
        <v>0.6899999976158142</v>
      </c>
      <c r="E159" s="39">
        <v>10.470000267028809</v>
      </c>
      <c r="F159" s="39">
        <v>1.4199999570846558</v>
      </c>
      <c r="G159" s="39">
        <v>3.5799999237060547</v>
      </c>
      <c r="H159" s="39">
        <v>7.5</v>
      </c>
      <c r="I159" s="39">
        <v>5.760000228881836</v>
      </c>
      <c r="J159" s="39">
        <v>7.800000190734863</v>
      </c>
      <c r="K159" s="39">
        <v>43.63999938964844</v>
      </c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</row>
    <row r="160" ht="14.25" customHeight="1">
      <c r="A160" s="36">
        <v>31403.0</v>
      </c>
      <c r="B160" s="36" t="s">
        <v>184</v>
      </c>
      <c r="C160" s="39">
        <v>11.710000038146973</v>
      </c>
      <c r="D160" s="39">
        <v>0.6800000071525574</v>
      </c>
      <c r="E160" s="39">
        <v>5.059999942779541</v>
      </c>
      <c r="F160" s="39">
        <v>1.1699999570846558</v>
      </c>
      <c r="G160" s="39">
        <v>3.2899999618530273</v>
      </c>
      <c r="H160" s="39">
        <v>5.829999923706055</v>
      </c>
      <c r="I160" s="39">
        <v>9.600000381469727</v>
      </c>
      <c r="J160" s="39">
        <v>2.9800000190734863</v>
      </c>
      <c r="K160" s="39">
        <v>38.599998474121094</v>
      </c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</row>
    <row r="161" ht="14.25" customHeight="1">
      <c r="A161" s="36">
        <v>31404.0</v>
      </c>
      <c r="B161" s="36" t="s">
        <v>185</v>
      </c>
      <c r="C161" s="39">
        <v>7.730000019073486</v>
      </c>
      <c r="D161" s="39">
        <v>0.1599999964237213</v>
      </c>
      <c r="E161" s="39">
        <v>12.069999694824219</v>
      </c>
      <c r="F161" s="39">
        <v>2.3499999046325684</v>
      </c>
      <c r="G161" s="39">
        <v>2.3399999141693115</v>
      </c>
      <c r="H161" s="39">
        <v>8.1899995803833</v>
      </c>
      <c r="I161" s="39">
        <v>4.989999771118164</v>
      </c>
      <c r="J161" s="39">
        <v>5.300000190734863</v>
      </c>
      <c r="K161" s="39">
        <v>32.84000015258789</v>
      </c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</row>
    <row r="162" ht="14.25" customHeight="1">
      <c r="A162" s="36">
        <v>31405.0</v>
      </c>
      <c r="B162" s="36" t="s">
        <v>186</v>
      </c>
      <c r="C162" s="39">
        <v>12.470000267028809</v>
      </c>
      <c r="D162" s="39">
        <v>0.8100000023841858</v>
      </c>
      <c r="E162" s="39">
        <v>24.3700008392334</v>
      </c>
      <c r="F162" s="39">
        <v>1.5</v>
      </c>
      <c r="G162" s="39">
        <v>1.7599999904632568</v>
      </c>
      <c r="H162" s="39">
        <v>7.679999828338623</v>
      </c>
      <c r="I162" s="39">
        <v>10.600000381469727</v>
      </c>
      <c r="J162" s="39">
        <v>21.950000762939453</v>
      </c>
      <c r="K162" s="39">
        <v>39.91999816894531</v>
      </c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</row>
    <row r="163" ht="14.25" customHeight="1">
      <c r="A163" s="36">
        <v>31501.0</v>
      </c>
      <c r="B163" s="36" t="s">
        <v>187</v>
      </c>
      <c r="C163" s="39">
        <v>22.020000457763672</v>
      </c>
      <c r="D163" s="39">
        <v>0.1599999964237213</v>
      </c>
      <c r="E163" s="39">
        <v>18.239999771118164</v>
      </c>
      <c r="F163" s="39">
        <v>12.460000038146973</v>
      </c>
      <c r="G163" s="39">
        <v>3.640000104904175</v>
      </c>
      <c r="H163" s="39">
        <v>9.449999809265137</v>
      </c>
      <c r="I163" s="39">
        <v>15.270000457763672</v>
      </c>
      <c r="J163" s="39">
        <v>28.149999618530273</v>
      </c>
      <c r="K163" s="39">
        <v>85.02999877929688</v>
      </c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</row>
    <row r="164" ht="14.25" customHeight="1">
      <c r="A164" s="36">
        <v>31601.0</v>
      </c>
      <c r="B164" s="36" t="s">
        <v>188</v>
      </c>
      <c r="C164" s="39">
        <v>16.520000457763672</v>
      </c>
      <c r="D164" s="39">
        <v>0.3499999940395355</v>
      </c>
      <c r="E164" s="39">
        <v>14.40999984741211</v>
      </c>
      <c r="F164" s="39">
        <v>2.259999990463257</v>
      </c>
      <c r="G164" s="39">
        <v>4.360000133514404</v>
      </c>
      <c r="H164" s="39">
        <v>12.109999656677246</v>
      </c>
      <c r="I164" s="39">
        <v>11.869999885559082</v>
      </c>
      <c r="J164" s="39">
        <v>12.760000228881836</v>
      </c>
      <c r="K164" s="39">
        <v>30.530000686645508</v>
      </c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</row>
    <row r="165" ht="14.25" customHeight="1">
      <c r="A165" s="36">
        <v>31602.0</v>
      </c>
      <c r="B165" s="36" t="s">
        <v>189</v>
      </c>
      <c r="C165" s="39">
        <v>10.5600004196167</v>
      </c>
      <c r="D165" s="39">
        <v>0.47999998927116394</v>
      </c>
      <c r="E165" s="39">
        <v>8.75</v>
      </c>
      <c r="F165" s="39">
        <v>1.659999966621399</v>
      </c>
      <c r="G165" s="39">
        <v>5.010000228881836</v>
      </c>
      <c r="H165" s="39">
        <v>9.880000114440918</v>
      </c>
      <c r="I165" s="39">
        <v>13.649999618530273</v>
      </c>
      <c r="J165" s="39">
        <v>20.5</v>
      </c>
      <c r="K165" s="39">
        <v>25.170000076293945</v>
      </c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</row>
    <row r="166" ht="14.25" customHeight="1">
      <c r="A166" s="36">
        <v>40101.0</v>
      </c>
      <c r="B166" s="36" t="s">
        <v>18</v>
      </c>
      <c r="C166" s="39">
        <v>4.639999866485596</v>
      </c>
      <c r="D166" s="39">
        <v>0.2800000011920929</v>
      </c>
      <c r="E166" s="39">
        <v>2.5299999713897705</v>
      </c>
      <c r="F166" s="39">
        <v>1.659999966621399</v>
      </c>
      <c r="G166" s="39">
        <v>2.3499999046325684</v>
      </c>
      <c r="H166" s="39">
        <v>3.2200000286102295</v>
      </c>
      <c r="I166" s="39">
        <v>2.7699999809265137</v>
      </c>
      <c r="J166" s="39">
        <v>1.4600000381469727</v>
      </c>
      <c r="K166" s="39">
        <v>22.0</v>
      </c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</row>
    <row r="167" ht="14.25" customHeight="1">
      <c r="A167" s="36">
        <v>40102.0</v>
      </c>
      <c r="B167" s="36" t="s">
        <v>190</v>
      </c>
      <c r="C167" s="39">
        <v>6.78000020980835</v>
      </c>
      <c r="D167" s="39">
        <v>0.11999999731779099</v>
      </c>
      <c r="E167" s="39">
        <v>8.380000114440918</v>
      </c>
      <c r="F167" s="39">
        <v>3.509999990463257</v>
      </c>
      <c r="G167" s="39">
        <v>3.390000104904175</v>
      </c>
      <c r="H167" s="39">
        <v>5.78000020980835</v>
      </c>
      <c r="I167" s="39">
        <v>27.690000534057617</v>
      </c>
      <c r="J167" s="39">
        <v>11.90999984741211</v>
      </c>
      <c r="K167" s="39">
        <v>55.0</v>
      </c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</row>
    <row r="168" ht="14.25" customHeight="1">
      <c r="A168" s="36">
        <v>40103.0</v>
      </c>
      <c r="B168" s="36" t="s">
        <v>191</v>
      </c>
      <c r="C168" s="39">
        <v>6.559999942779541</v>
      </c>
      <c r="D168" s="39">
        <v>1.5099999904632568</v>
      </c>
      <c r="E168" s="39">
        <v>21.360000610351562</v>
      </c>
      <c r="F168" s="39">
        <v>1.7400000095367432</v>
      </c>
      <c r="G168" s="39">
        <v>1.4299999475479126</v>
      </c>
      <c r="H168" s="39">
        <v>9.069999694824219</v>
      </c>
      <c r="I168" s="39">
        <v>51.86000061035156</v>
      </c>
      <c r="J168" s="39">
        <v>67.66999816894531</v>
      </c>
      <c r="K168" s="39">
        <v>90.69999694824219</v>
      </c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</row>
    <row r="169" ht="14.25" customHeight="1">
      <c r="A169" s="36">
        <v>40104.0</v>
      </c>
      <c r="B169" s="36" t="s">
        <v>192</v>
      </c>
      <c r="C169" s="39">
        <v>10.239999771118164</v>
      </c>
      <c r="D169" s="39">
        <v>0.10999999940395355</v>
      </c>
      <c r="E169" s="39">
        <v>9.90999984741211</v>
      </c>
      <c r="F169" s="39">
        <v>5.050000190734863</v>
      </c>
      <c r="G169" s="39">
        <v>3.0399999618530273</v>
      </c>
      <c r="H169" s="39">
        <v>7.079999923706055</v>
      </c>
      <c r="I169" s="39">
        <v>13.449999809265137</v>
      </c>
      <c r="J169" s="39">
        <v>10.670000076293945</v>
      </c>
      <c r="K169" s="39">
        <v>67.66999816894531</v>
      </c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</row>
    <row r="170" ht="14.25" customHeight="1">
      <c r="A170" s="36">
        <v>40201.0</v>
      </c>
      <c r="B170" s="36" t="s">
        <v>193</v>
      </c>
      <c r="C170" s="39">
        <v>11.930000305175781</v>
      </c>
      <c r="D170" s="39">
        <v>0.38999998569488525</v>
      </c>
      <c r="E170" s="39">
        <v>11.920000076293945</v>
      </c>
      <c r="F170" s="39">
        <v>6.650000095367432</v>
      </c>
      <c r="G170" s="39">
        <v>3.4100000858306885</v>
      </c>
      <c r="H170" s="39">
        <v>7.340000152587891</v>
      </c>
      <c r="I170" s="39">
        <v>17.68000030517578</v>
      </c>
      <c r="J170" s="39">
        <v>16.959999084472656</v>
      </c>
      <c r="K170" s="39">
        <v>59.099998474121094</v>
      </c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</row>
    <row r="171" ht="14.25" customHeight="1">
      <c r="A171" s="36">
        <v>40202.0</v>
      </c>
      <c r="B171" s="36" t="s">
        <v>194</v>
      </c>
      <c r="C171" s="39">
        <v>4.570000171661377</v>
      </c>
      <c r="D171" s="39">
        <v>0.550000011920929</v>
      </c>
      <c r="E171" s="39">
        <v>10.489999771118164</v>
      </c>
      <c r="F171" s="39">
        <v>2.0299999713897705</v>
      </c>
      <c r="G171" s="39">
        <v>1.0</v>
      </c>
      <c r="H171" s="39">
        <v>4.670000076293945</v>
      </c>
      <c r="I171" s="39">
        <v>26.139999389648438</v>
      </c>
      <c r="J171" s="39">
        <v>28.260000228881836</v>
      </c>
      <c r="K171" s="39">
        <v>64.88999938964844</v>
      </c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</row>
    <row r="172" ht="14.25" customHeight="1">
      <c r="A172" s="36">
        <v>40301.0</v>
      </c>
      <c r="B172" s="36" t="s">
        <v>195</v>
      </c>
      <c r="C172" s="39">
        <v>7.869999885559082</v>
      </c>
      <c r="D172" s="39">
        <v>2.1700000762939453</v>
      </c>
      <c r="E172" s="39">
        <v>14.479999542236328</v>
      </c>
      <c r="F172" s="39">
        <v>3.740000009536743</v>
      </c>
      <c r="G172" s="39">
        <v>3.440000057220459</v>
      </c>
      <c r="H172" s="39">
        <v>8.319999694824219</v>
      </c>
      <c r="I172" s="39">
        <v>41.29999923706055</v>
      </c>
      <c r="J172" s="39">
        <v>32.34000015258789</v>
      </c>
      <c r="K172" s="39">
        <v>86.87000274658203</v>
      </c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</row>
    <row r="173" ht="14.25" customHeight="1">
      <c r="A173" s="36">
        <v>40302.0</v>
      </c>
      <c r="B173" s="36" t="s">
        <v>196</v>
      </c>
      <c r="C173" s="39">
        <v>6.170000076293945</v>
      </c>
      <c r="D173" s="39">
        <v>0.36000001430511475</v>
      </c>
      <c r="E173" s="39">
        <v>8.5600004196167</v>
      </c>
      <c r="F173" s="39">
        <v>2.049999952316284</v>
      </c>
      <c r="G173" s="39">
        <v>3.6500000953674316</v>
      </c>
      <c r="H173" s="39">
        <v>6.239999771118164</v>
      </c>
      <c r="I173" s="39">
        <v>57.099998474121094</v>
      </c>
      <c r="J173" s="39">
        <v>27.40999984741211</v>
      </c>
      <c r="K173" s="39">
        <v>66.47000122070312</v>
      </c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</row>
    <row r="174" ht="14.25" customHeight="1">
      <c r="A174" s="36">
        <v>40401.0</v>
      </c>
      <c r="B174" s="36" t="s">
        <v>197</v>
      </c>
      <c r="C174" s="39">
        <v>11.199999809265137</v>
      </c>
      <c r="D174" s="39">
        <v>1.8700000047683716</v>
      </c>
      <c r="E174" s="39">
        <v>11.819999694824219</v>
      </c>
      <c r="F174" s="39">
        <v>6.519999980926514</v>
      </c>
      <c r="G174" s="39">
        <v>2.690000057220459</v>
      </c>
      <c r="H174" s="39">
        <v>6.739999771118164</v>
      </c>
      <c r="I174" s="39">
        <v>31.40999984741211</v>
      </c>
      <c r="J174" s="39">
        <v>18.420000076293945</v>
      </c>
      <c r="K174" s="39">
        <v>54.630001068115234</v>
      </c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</row>
    <row r="175" ht="14.25" customHeight="1">
      <c r="A175" s="36">
        <v>40402.0</v>
      </c>
      <c r="B175" s="36" t="s">
        <v>198</v>
      </c>
      <c r="C175" s="39">
        <v>7.150000095367432</v>
      </c>
      <c r="D175" s="39">
        <v>1.2899999618530273</v>
      </c>
      <c r="E175" s="39">
        <v>15.5600004196167</v>
      </c>
      <c r="F175" s="39">
        <v>3.2200000286102295</v>
      </c>
      <c r="G175" s="39">
        <v>1.8300000429153442</v>
      </c>
      <c r="H175" s="39">
        <v>7.789999961853027</v>
      </c>
      <c r="I175" s="39">
        <v>40.59000015258789</v>
      </c>
      <c r="J175" s="39">
        <v>45.08000183105469</v>
      </c>
      <c r="K175" s="39">
        <v>60.84000015258789</v>
      </c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</row>
    <row r="176" ht="14.25" customHeight="1">
      <c r="A176" s="36">
        <v>40501.0</v>
      </c>
      <c r="B176" s="36" t="s">
        <v>199</v>
      </c>
      <c r="C176" s="39">
        <v>6.079999923706055</v>
      </c>
      <c r="D176" s="39">
        <v>3.6500000953674316</v>
      </c>
      <c r="E176" s="39">
        <v>8.220000267028809</v>
      </c>
      <c r="F176" s="39">
        <v>3.259999990463257</v>
      </c>
      <c r="G176" s="39">
        <v>1.350000023841858</v>
      </c>
      <c r="H176" s="39">
        <v>7.050000190734863</v>
      </c>
      <c r="I176" s="39">
        <v>3.2200000286102295</v>
      </c>
      <c r="J176" s="39">
        <v>2.9000000953674316</v>
      </c>
      <c r="K176" s="39">
        <v>27.040000915527344</v>
      </c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</row>
    <row r="177" ht="14.25" customHeight="1">
      <c r="A177" s="36">
        <v>40502.0</v>
      </c>
      <c r="B177" s="36" t="s">
        <v>200</v>
      </c>
      <c r="C177" s="39">
        <v>2.890000104904175</v>
      </c>
      <c r="D177" s="39">
        <v>0.6299999952316284</v>
      </c>
      <c r="E177" s="39">
        <v>13.010000228881836</v>
      </c>
      <c r="F177" s="39">
        <v>4.539999961853027</v>
      </c>
      <c r="G177" s="39">
        <v>1.659999966621399</v>
      </c>
      <c r="H177" s="39">
        <v>6.599999904632568</v>
      </c>
      <c r="I177" s="39">
        <v>20.68000030517578</v>
      </c>
      <c r="J177" s="39">
        <v>19.219999313354492</v>
      </c>
      <c r="K177" s="39">
        <v>53.70000076293945</v>
      </c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</row>
    <row r="178" ht="14.25" customHeight="1">
      <c r="A178" s="36">
        <v>40503.0</v>
      </c>
      <c r="B178" s="36" t="s">
        <v>201</v>
      </c>
      <c r="C178" s="39">
        <v>2.890000104904175</v>
      </c>
      <c r="D178" s="39">
        <v>9.920000076293945</v>
      </c>
      <c r="E178" s="39">
        <v>14.390000343322754</v>
      </c>
      <c r="F178" s="39">
        <v>6.920000076293945</v>
      </c>
      <c r="G178" s="39">
        <v>3.0899999141693115</v>
      </c>
      <c r="H178" s="39">
        <v>12.989999771118164</v>
      </c>
      <c r="I178" s="39">
        <v>12.260000228881836</v>
      </c>
      <c r="J178" s="39">
        <v>5.829999923706055</v>
      </c>
      <c r="K178" s="39">
        <v>34.09000015258789</v>
      </c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</row>
    <row r="179" ht="14.25" customHeight="1">
      <c r="A179" s="36">
        <v>40504.0</v>
      </c>
      <c r="B179" s="36" t="s">
        <v>202</v>
      </c>
      <c r="C179" s="39">
        <v>6.400000095367432</v>
      </c>
      <c r="D179" s="39">
        <v>11.65999984741211</v>
      </c>
      <c r="E179" s="39">
        <v>4.650000095367432</v>
      </c>
      <c r="F179" s="39">
        <v>6.059999942779541</v>
      </c>
      <c r="G179" s="39">
        <v>2.1700000762939453</v>
      </c>
      <c r="H179" s="39">
        <v>14.630000114440918</v>
      </c>
      <c r="I179" s="39">
        <v>1.600000023841858</v>
      </c>
      <c r="J179" s="39">
        <v>6.289999961853027</v>
      </c>
      <c r="K179" s="39">
        <v>5.369999885559082</v>
      </c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</row>
    <row r="180" ht="14.25" customHeight="1">
      <c r="A180" s="36">
        <v>40505.0</v>
      </c>
      <c r="B180" s="36" t="s">
        <v>203</v>
      </c>
      <c r="C180" s="39">
        <v>5.409999847412109</v>
      </c>
      <c r="D180" s="39">
        <v>6.670000076293945</v>
      </c>
      <c r="E180" s="39">
        <v>17.68000030517578</v>
      </c>
      <c r="F180" s="39">
        <v>10.130000114440918</v>
      </c>
      <c r="G180" s="39">
        <v>1.5800000429153442</v>
      </c>
      <c r="H180" s="39">
        <v>13.770000457763672</v>
      </c>
      <c r="I180" s="39">
        <v>6.25</v>
      </c>
      <c r="J180" s="39">
        <v>6.510000228881836</v>
      </c>
      <c r="K180" s="39">
        <v>36.4900016784668</v>
      </c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</row>
    <row r="181" ht="14.25" customHeight="1">
      <c r="A181" s="36">
        <v>40601.0</v>
      </c>
      <c r="B181" s="36" t="s">
        <v>204</v>
      </c>
      <c r="C181" s="39">
        <v>7.710000038146973</v>
      </c>
      <c r="D181" s="39">
        <v>1.2400000095367432</v>
      </c>
      <c r="E181" s="39">
        <v>8.369999885559082</v>
      </c>
      <c r="F181" s="39">
        <v>1.1699999570846558</v>
      </c>
      <c r="G181" s="39">
        <v>2.2200000286102295</v>
      </c>
      <c r="H181" s="39">
        <v>2.8399999141693115</v>
      </c>
      <c r="I181" s="39">
        <v>12.09000015258789</v>
      </c>
      <c r="J181" s="39">
        <v>16.049999237060547</v>
      </c>
      <c r="K181" s="39">
        <v>46.43000030517578</v>
      </c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</row>
    <row r="182" ht="14.25" customHeight="1">
      <c r="A182" s="36">
        <v>40602.0</v>
      </c>
      <c r="B182" s="36" t="s">
        <v>205</v>
      </c>
      <c r="C182" s="39">
        <v>11.619999885559082</v>
      </c>
      <c r="D182" s="39">
        <v>0.3799999952316284</v>
      </c>
      <c r="E182" s="39">
        <v>9.899999618530273</v>
      </c>
      <c r="F182" s="39">
        <v>4.050000190734863</v>
      </c>
      <c r="G182" s="39">
        <v>2.3499999046325684</v>
      </c>
      <c r="H182" s="39">
        <v>4.190000057220459</v>
      </c>
      <c r="I182" s="39">
        <v>20.5</v>
      </c>
      <c r="J182" s="39">
        <v>10.229999542236328</v>
      </c>
      <c r="K182" s="39">
        <v>64.5999984741211</v>
      </c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</row>
    <row r="183" ht="14.25" customHeight="1">
      <c r="A183" s="36">
        <v>40603.0</v>
      </c>
      <c r="B183" s="36" t="s">
        <v>206</v>
      </c>
      <c r="C183" s="39">
        <v>6.119999885559082</v>
      </c>
      <c r="D183" s="39">
        <v>0.05999999865889549</v>
      </c>
      <c r="E183" s="39">
        <v>6.980000019073486</v>
      </c>
      <c r="F183" s="39">
        <v>1.6299999952316284</v>
      </c>
      <c r="G183" s="39">
        <v>2.9200000762939453</v>
      </c>
      <c r="H183" s="39">
        <v>3.369999885559082</v>
      </c>
      <c r="I183" s="39">
        <v>12.210000038146973</v>
      </c>
      <c r="J183" s="39">
        <v>7.75</v>
      </c>
      <c r="K183" s="39">
        <v>54.95000076293945</v>
      </c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</row>
    <row r="184" ht="14.25" customHeight="1">
      <c r="A184" s="36">
        <v>40701.0</v>
      </c>
      <c r="B184" s="36" t="s">
        <v>207</v>
      </c>
      <c r="C184" s="39">
        <v>6.409999847412109</v>
      </c>
      <c r="D184" s="39">
        <v>0.12999999523162842</v>
      </c>
      <c r="E184" s="39">
        <v>4.820000171661377</v>
      </c>
      <c r="F184" s="39">
        <v>1.2799999713897705</v>
      </c>
      <c r="G184" s="39">
        <v>3.2699999809265137</v>
      </c>
      <c r="H184" s="39">
        <v>2.930000066757202</v>
      </c>
      <c r="I184" s="39">
        <v>4.940000057220459</v>
      </c>
      <c r="J184" s="39">
        <v>1.9600000381469727</v>
      </c>
      <c r="K184" s="39">
        <v>30.43000030517578</v>
      </c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</row>
    <row r="185" ht="14.25" customHeight="1">
      <c r="A185" s="36">
        <v>40702.0</v>
      </c>
      <c r="B185" s="36" t="s">
        <v>208</v>
      </c>
      <c r="C185" s="39">
        <v>7.409999847412109</v>
      </c>
      <c r="D185" s="39">
        <v>0.18000000715255737</v>
      </c>
      <c r="E185" s="39">
        <v>4.989999771118164</v>
      </c>
      <c r="F185" s="39">
        <v>2.6500000953674316</v>
      </c>
      <c r="G185" s="39">
        <v>4.070000171661377</v>
      </c>
      <c r="H185" s="39">
        <v>5.480000019073486</v>
      </c>
      <c r="I185" s="39">
        <v>9.890000343322754</v>
      </c>
      <c r="J185" s="39">
        <v>4.230000019073486</v>
      </c>
      <c r="K185" s="39">
        <v>38.880001068115234</v>
      </c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</row>
    <row r="186" ht="14.25" customHeight="1">
      <c r="A186" s="36">
        <v>40801.0</v>
      </c>
      <c r="B186" s="36" t="s">
        <v>209</v>
      </c>
      <c r="C186" s="39">
        <v>4.070000171661377</v>
      </c>
      <c r="D186" s="39">
        <v>0.4099999964237213</v>
      </c>
      <c r="E186" s="39">
        <v>9.539999961853027</v>
      </c>
      <c r="F186" s="39">
        <v>3.319999933242798</v>
      </c>
      <c r="G186" s="39">
        <v>2.819999933242798</v>
      </c>
      <c r="H186" s="39">
        <v>5.860000133514404</v>
      </c>
      <c r="I186" s="39">
        <v>18.739999771118164</v>
      </c>
      <c r="J186" s="39">
        <v>20.260000228881836</v>
      </c>
      <c r="K186" s="39">
        <v>61.5</v>
      </c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</row>
    <row r="187" ht="14.25" customHeight="1">
      <c r="A187" s="36">
        <v>40802.0</v>
      </c>
      <c r="B187" s="36" t="s">
        <v>210</v>
      </c>
      <c r="C187" s="39">
        <v>9.989999771118164</v>
      </c>
      <c r="D187" s="39">
        <v>0.0</v>
      </c>
      <c r="E187" s="39">
        <v>8.619999885559082</v>
      </c>
      <c r="F187" s="39">
        <v>6.71999979019165</v>
      </c>
      <c r="G187" s="39">
        <v>2.9200000762939453</v>
      </c>
      <c r="H187" s="39">
        <v>5.730000019073486</v>
      </c>
      <c r="I187" s="39">
        <v>29.510000228881836</v>
      </c>
      <c r="J187" s="39">
        <v>21.209999084472656</v>
      </c>
      <c r="K187" s="39">
        <v>58.2400016784668</v>
      </c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</row>
    <row r="188" ht="14.25" customHeight="1">
      <c r="A188" s="36">
        <v>40901.0</v>
      </c>
      <c r="B188" s="36" t="s">
        <v>211</v>
      </c>
      <c r="C188" s="39">
        <v>3.0399999618530273</v>
      </c>
      <c r="D188" s="39">
        <v>2.9200000762939453</v>
      </c>
      <c r="E188" s="39">
        <v>10.970000267028809</v>
      </c>
      <c r="F188" s="39">
        <v>7.829999923706055</v>
      </c>
      <c r="G188" s="39">
        <v>2.549999952316284</v>
      </c>
      <c r="H188" s="39">
        <v>11.109999656677246</v>
      </c>
      <c r="I188" s="39">
        <v>13.399999618530273</v>
      </c>
      <c r="J188" s="39">
        <v>7.099999904632568</v>
      </c>
      <c r="K188" s="39">
        <v>54.43000030517578</v>
      </c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</row>
    <row r="189" ht="14.25" customHeight="1">
      <c r="A189" s="36">
        <v>40902.0</v>
      </c>
      <c r="B189" s="36" t="s">
        <v>212</v>
      </c>
      <c r="C189" s="39">
        <v>0.5799999833106995</v>
      </c>
      <c r="D189" s="39">
        <v>2.680000066757202</v>
      </c>
      <c r="E189" s="39">
        <v>9.239999771118164</v>
      </c>
      <c r="F189" s="39">
        <v>3.490000009536743</v>
      </c>
      <c r="G189" s="39">
        <v>5.519999980926514</v>
      </c>
      <c r="H189" s="39">
        <v>7.539999961853027</v>
      </c>
      <c r="I189" s="39">
        <v>10.59000015258789</v>
      </c>
      <c r="J189" s="39">
        <v>14.359999656677246</v>
      </c>
      <c r="K189" s="39">
        <v>55.470001220703125</v>
      </c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</row>
    <row r="190" ht="14.25" customHeight="1">
      <c r="A190" s="36">
        <v>40903.0</v>
      </c>
      <c r="B190" s="36" t="s">
        <v>213</v>
      </c>
      <c r="C190" s="39">
        <v>1.8899999856948853</v>
      </c>
      <c r="D190" s="39">
        <v>4.110000133514404</v>
      </c>
      <c r="E190" s="39">
        <v>19.829999923706055</v>
      </c>
      <c r="F190" s="39">
        <v>7.349999904632568</v>
      </c>
      <c r="G190" s="39">
        <v>2.6700000762939453</v>
      </c>
      <c r="H190" s="39">
        <v>11.029999732971191</v>
      </c>
      <c r="I190" s="39">
        <v>43.08000183105469</v>
      </c>
      <c r="J190" s="39">
        <v>47.310001373291016</v>
      </c>
      <c r="K190" s="39">
        <v>58.33000183105469</v>
      </c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</row>
    <row r="191" ht="14.25" customHeight="1">
      <c r="A191" s="36">
        <v>41001.0</v>
      </c>
      <c r="B191" s="36" t="s">
        <v>214</v>
      </c>
      <c r="C191" s="39">
        <v>6.349999904632568</v>
      </c>
      <c r="D191" s="39">
        <v>0.36000001430511475</v>
      </c>
      <c r="E191" s="39">
        <v>16.110000610351562</v>
      </c>
      <c r="F191" s="39">
        <v>2.0</v>
      </c>
      <c r="G191" s="39">
        <v>1.7799999713897705</v>
      </c>
      <c r="H191" s="39">
        <v>4.860000133514404</v>
      </c>
      <c r="I191" s="39">
        <v>37.33000183105469</v>
      </c>
      <c r="J191" s="39">
        <v>42.7599983215332</v>
      </c>
      <c r="K191" s="39">
        <v>82.77999877929688</v>
      </c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</row>
    <row r="192" ht="14.25" customHeight="1">
      <c r="A192" s="36">
        <v>41101.0</v>
      </c>
      <c r="B192" s="36" t="s">
        <v>215</v>
      </c>
      <c r="C192" s="39">
        <v>10.229999542236328</v>
      </c>
      <c r="D192" s="39">
        <v>0.3799999952316284</v>
      </c>
      <c r="E192" s="39">
        <v>10.479999542236328</v>
      </c>
      <c r="F192" s="39">
        <v>4.039999961853027</v>
      </c>
      <c r="G192" s="39">
        <v>2.440000057220459</v>
      </c>
      <c r="H192" s="39">
        <v>5.579999923706055</v>
      </c>
      <c r="I192" s="39">
        <v>19.56999969482422</v>
      </c>
      <c r="J192" s="39">
        <v>9.579999923706055</v>
      </c>
      <c r="K192" s="39">
        <v>60.63999938964844</v>
      </c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</row>
    <row r="193" ht="14.25" customHeight="1">
      <c r="A193" s="36">
        <v>41201.0</v>
      </c>
      <c r="B193" s="36" t="s">
        <v>216</v>
      </c>
      <c r="C193" s="39">
        <v>8.220000267028809</v>
      </c>
      <c r="D193" s="39">
        <v>0.44999998807907104</v>
      </c>
      <c r="E193" s="39">
        <v>16.350000381469727</v>
      </c>
      <c r="F193" s="39">
        <v>2.990000009536743</v>
      </c>
      <c r="G193" s="39">
        <v>2.0999999046325684</v>
      </c>
      <c r="H193" s="39">
        <v>5.809999942779541</v>
      </c>
      <c r="I193" s="39">
        <v>33.90999984741211</v>
      </c>
      <c r="J193" s="39">
        <v>37.2599983215332</v>
      </c>
      <c r="K193" s="39">
        <v>73.91000366210938</v>
      </c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</row>
    <row r="194" ht="14.25" customHeight="1">
      <c r="A194" s="36">
        <v>41202.0</v>
      </c>
      <c r="B194" s="36" t="s">
        <v>217</v>
      </c>
      <c r="C194" s="39">
        <v>5.309999942779541</v>
      </c>
      <c r="D194" s="39">
        <v>0.5600000023841858</v>
      </c>
      <c r="E194" s="39">
        <v>10.989999771118164</v>
      </c>
      <c r="F194" s="39">
        <v>2.9800000190734863</v>
      </c>
      <c r="G194" s="39">
        <v>1.5399999618530273</v>
      </c>
      <c r="H194" s="39">
        <v>5.900000095367432</v>
      </c>
      <c r="I194" s="39">
        <v>21.149999618530273</v>
      </c>
      <c r="J194" s="39">
        <v>32.2599983215332</v>
      </c>
      <c r="K194" s="39">
        <v>59.25</v>
      </c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</row>
    <row r="195" ht="14.25" customHeight="1">
      <c r="A195" s="36">
        <v>41301.0</v>
      </c>
      <c r="B195" s="36" t="s">
        <v>172</v>
      </c>
      <c r="C195" s="39">
        <v>7.429999828338623</v>
      </c>
      <c r="D195" s="39">
        <v>1.3300000429153442</v>
      </c>
      <c r="E195" s="39">
        <v>13.680000305175781</v>
      </c>
      <c r="F195" s="39">
        <v>4.809999942779541</v>
      </c>
      <c r="G195" s="39">
        <v>2.2100000381469727</v>
      </c>
      <c r="H195" s="39">
        <v>7.019999980926514</v>
      </c>
      <c r="I195" s="39">
        <v>41.04999923706055</v>
      </c>
      <c r="J195" s="39">
        <v>51.2400016784668</v>
      </c>
      <c r="K195" s="39">
        <v>70.05000305175781</v>
      </c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</row>
    <row r="196" ht="14.25" customHeight="1">
      <c r="A196" s="36">
        <v>41401.0</v>
      </c>
      <c r="B196" s="36" t="s">
        <v>218</v>
      </c>
      <c r="C196" s="39">
        <v>11.600000381469727</v>
      </c>
      <c r="D196" s="39">
        <v>0.18000000715255737</v>
      </c>
      <c r="E196" s="39">
        <v>12.949999809265137</v>
      </c>
      <c r="F196" s="39">
        <v>4.559999942779541</v>
      </c>
      <c r="G196" s="39">
        <v>2.0999999046325684</v>
      </c>
      <c r="H196" s="39">
        <v>7.5</v>
      </c>
      <c r="I196" s="39">
        <v>18.3700008392334</v>
      </c>
      <c r="J196" s="39">
        <v>19.020000457763672</v>
      </c>
      <c r="K196" s="39">
        <v>60.11000061035156</v>
      </c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</row>
    <row r="197" ht="14.25" customHeight="1">
      <c r="A197" s="36">
        <v>41501.0</v>
      </c>
      <c r="B197" s="36" t="s">
        <v>219</v>
      </c>
      <c r="C197" s="39">
        <v>4.289999961853027</v>
      </c>
      <c r="D197" s="39">
        <v>17.790000915527344</v>
      </c>
      <c r="E197" s="39">
        <v>16.56999969482422</v>
      </c>
      <c r="F197" s="39">
        <v>9.609999656677246</v>
      </c>
      <c r="G197" s="39">
        <v>5.320000171661377</v>
      </c>
      <c r="H197" s="39">
        <v>10.479999542236328</v>
      </c>
      <c r="I197" s="39">
        <v>32.40999984741211</v>
      </c>
      <c r="J197" s="39">
        <v>22.079999923706055</v>
      </c>
      <c r="K197" s="39">
        <v>55.040000915527344</v>
      </c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</row>
    <row r="198" ht="14.25" customHeight="1">
      <c r="A198" s="36">
        <v>41502.0</v>
      </c>
      <c r="B198" s="36" t="s">
        <v>220</v>
      </c>
      <c r="C198" s="39">
        <v>1.6699999570846558</v>
      </c>
      <c r="D198" s="39">
        <v>0.6499999761581421</v>
      </c>
      <c r="E198" s="39">
        <v>10.779999732971191</v>
      </c>
      <c r="F198" s="39">
        <v>9.489999771118164</v>
      </c>
      <c r="G198" s="39">
        <v>2.319999933242798</v>
      </c>
      <c r="H198" s="39">
        <v>7.159999847412109</v>
      </c>
      <c r="I198" s="39">
        <v>25.530000686645508</v>
      </c>
      <c r="J198" s="39">
        <v>14.479999542236328</v>
      </c>
      <c r="K198" s="39">
        <v>30.829999923706055</v>
      </c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</row>
    <row r="199" ht="14.25" customHeight="1">
      <c r="A199" s="36">
        <v>41503.0</v>
      </c>
      <c r="B199" s="36" t="s">
        <v>221</v>
      </c>
      <c r="C199" s="39">
        <v>3.930000066757202</v>
      </c>
      <c r="D199" s="39">
        <v>8.670000076293945</v>
      </c>
      <c r="E199" s="39">
        <v>13.079999923706055</v>
      </c>
      <c r="F199" s="39">
        <v>5.269999980926514</v>
      </c>
      <c r="G199" s="39">
        <v>3.930000066757202</v>
      </c>
      <c r="H199" s="39">
        <v>12.0600004196167</v>
      </c>
      <c r="I199" s="39">
        <v>16.09000015258789</v>
      </c>
      <c r="J199" s="39">
        <v>17.25</v>
      </c>
      <c r="K199" s="39">
        <v>60.04999923706055</v>
      </c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</row>
    <row r="200" ht="14.25" customHeight="1">
      <c r="A200" s="36">
        <v>41601.0</v>
      </c>
      <c r="B200" s="36" t="s">
        <v>222</v>
      </c>
      <c r="C200" s="39">
        <v>7.989999771118164</v>
      </c>
      <c r="D200" s="39">
        <v>0.05000000074505806</v>
      </c>
      <c r="E200" s="39">
        <v>16.81999969482422</v>
      </c>
      <c r="F200" s="39">
        <v>2.6500000953674316</v>
      </c>
      <c r="G200" s="39">
        <v>1.9900000095367432</v>
      </c>
      <c r="H200" s="39">
        <v>4.78000020980835</v>
      </c>
      <c r="I200" s="39">
        <v>31.860000610351562</v>
      </c>
      <c r="J200" s="39">
        <v>40.040000915527344</v>
      </c>
      <c r="K200" s="39">
        <v>70.37999725341797</v>
      </c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</row>
    <row r="201" ht="14.25" customHeight="1">
      <c r="A201" s="36">
        <v>50101.0</v>
      </c>
      <c r="B201" s="36" t="s">
        <v>20</v>
      </c>
      <c r="C201" s="39">
        <v>7.550000190734863</v>
      </c>
      <c r="D201" s="39">
        <v>0.6299999952316284</v>
      </c>
      <c r="E201" s="39">
        <v>3.1600000858306885</v>
      </c>
      <c r="F201" s="39">
        <v>1.4500000476837158</v>
      </c>
      <c r="G201" s="39">
        <v>3.4100000858306885</v>
      </c>
      <c r="H201" s="39">
        <v>4.079999923706055</v>
      </c>
      <c r="I201" s="39">
        <v>4.579999923706055</v>
      </c>
      <c r="J201" s="39">
        <v>3.4100000858306885</v>
      </c>
      <c r="K201" s="39">
        <v>14.010000228881836</v>
      </c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</row>
    <row r="202" ht="14.25" customHeight="1">
      <c r="A202" s="36">
        <v>50102.0</v>
      </c>
      <c r="B202" s="36" t="s">
        <v>223</v>
      </c>
      <c r="C202" s="39">
        <v>31.06999969482422</v>
      </c>
      <c r="D202" s="39">
        <v>0.25999999046325684</v>
      </c>
      <c r="E202" s="39">
        <v>16.75</v>
      </c>
      <c r="F202" s="39">
        <v>10.529999732971191</v>
      </c>
      <c r="G202" s="39">
        <v>5.550000190734863</v>
      </c>
      <c r="H202" s="39">
        <v>13.630000114440918</v>
      </c>
      <c r="I202" s="39">
        <v>26.350000381469727</v>
      </c>
      <c r="J202" s="39">
        <v>20.950000762939453</v>
      </c>
      <c r="K202" s="39">
        <v>88.4000015258789</v>
      </c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</row>
    <row r="203" ht="14.25" customHeight="1">
      <c r="A203" s="36">
        <v>50103.0</v>
      </c>
      <c r="B203" s="36" t="s">
        <v>224</v>
      </c>
      <c r="C203" s="39">
        <v>14.779999732971191</v>
      </c>
      <c r="D203" s="39">
        <v>1.7000000476837158</v>
      </c>
      <c r="E203" s="39">
        <v>9.170000076293945</v>
      </c>
      <c r="F203" s="39">
        <v>1.2400000095367432</v>
      </c>
      <c r="G203" s="39">
        <v>2.2899999618530273</v>
      </c>
      <c r="H203" s="39">
        <v>4.650000095367432</v>
      </c>
      <c r="I203" s="39">
        <v>10.34000015258789</v>
      </c>
      <c r="J203" s="39">
        <v>10.350000381469727</v>
      </c>
      <c r="K203" s="39">
        <v>54.130001068115234</v>
      </c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</row>
    <row r="204" ht="14.25" customHeight="1">
      <c r="A204" s="36">
        <v>50104.0</v>
      </c>
      <c r="B204" s="36" t="s">
        <v>225</v>
      </c>
      <c r="C204" s="39">
        <v>10.399999618530273</v>
      </c>
      <c r="D204" s="39">
        <v>0.2199999988079071</v>
      </c>
      <c r="E204" s="39">
        <v>14.300000190734863</v>
      </c>
      <c r="F204" s="39">
        <v>2.4200000762939453</v>
      </c>
      <c r="G204" s="39">
        <v>3.7300000190734863</v>
      </c>
      <c r="H204" s="39">
        <v>5.070000171661377</v>
      </c>
      <c r="I204" s="39">
        <v>34.41999816894531</v>
      </c>
      <c r="J204" s="39">
        <v>52.970001220703125</v>
      </c>
      <c r="K204" s="39">
        <v>79.33999633789062</v>
      </c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</row>
    <row r="205" ht="14.25" customHeight="1">
      <c r="A205" s="36">
        <v>50201.0</v>
      </c>
      <c r="B205" s="36" t="s">
        <v>226</v>
      </c>
      <c r="C205" s="39">
        <v>18.549999237060547</v>
      </c>
      <c r="D205" s="39">
        <v>0.2199999988079071</v>
      </c>
      <c r="E205" s="39">
        <v>13.65999984741211</v>
      </c>
      <c r="F205" s="39">
        <v>5.369999885559082</v>
      </c>
      <c r="G205" s="39">
        <v>3.309999942779541</v>
      </c>
      <c r="H205" s="39">
        <v>5.659999847412109</v>
      </c>
      <c r="I205" s="39">
        <v>11.760000228881836</v>
      </c>
      <c r="J205" s="39">
        <v>16.3799991607666</v>
      </c>
      <c r="K205" s="39">
        <v>55.130001068115234</v>
      </c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</row>
    <row r="206" ht="14.25" customHeight="1">
      <c r="A206" s="36">
        <v>50202.0</v>
      </c>
      <c r="B206" s="36" t="s">
        <v>227</v>
      </c>
      <c r="C206" s="39">
        <v>22.799999237060547</v>
      </c>
      <c r="D206" s="39">
        <v>0.10000000149011612</v>
      </c>
      <c r="E206" s="39">
        <v>14.1899995803833</v>
      </c>
      <c r="F206" s="39">
        <v>6.929999828338623</v>
      </c>
      <c r="G206" s="39">
        <v>5.230000019073486</v>
      </c>
      <c r="H206" s="39">
        <v>9.75</v>
      </c>
      <c r="I206" s="39">
        <v>4.840000152587891</v>
      </c>
      <c r="J206" s="39">
        <v>9.899999618530273</v>
      </c>
      <c r="K206" s="39">
        <v>61.209999084472656</v>
      </c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</row>
    <row r="207" ht="14.25" customHeight="1">
      <c r="A207" s="36">
        <v>50203.0</v>
      </c>
      <c r="B207" s="36" t="s">
        <v>228</v>
      </c>
      <c r="C207" s="39">
        <v>11.3100004196167</v>
      </c>
      <c r="D207" s="39">
        <v>0.23000000417232513</v>
      </c>
      <c r="E207" s="39">
        <v>6.53000020980835</v>
      </c>
      <c r="F207" s="39">
        <v>3.6700000762939453</v>
      </c>
      <c r="G207" s="39">
        <v>4.019999980926514</v>
      </c>
      <c r="H207" s="39">
        <v>3.950000047683716</v>
      </c>
      <c r="I207" s="39">
        <v>4.789999961853027</v>
      </c>
      <c r="J207" s="39">
        <v>6.670000076293945</v>
      </c>
      <c r="K207" s="39">
        <v>33.709999084472656</v>
      </c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</row>
    <row r="208" ht="14.25" customHeight="1">
      <c r="A208" s="36">
        <v>50204.0</v>
      </c>
      <c r="B208" s="36" t="s">
        <v>229</v>
      </c>
      <c r="C208" s="39">
        <v>22.420000076293945</v>
      </c>
      <c r="D208" s="39">
        <v>0.12999999523162842</v>
      </c>
      <c r="E208" s="39">
        <v>21.079999923706055</v>
      </c>
      <c r="F208" s="39">
        <v>11.989999771118164</v>
      </c>
      <c r="G208" s="39">
        <v>4.610000133514404</v>
      </c>
      <c r="H208" s="39">
        <v>9.0</v>
      </c>
      <c r="I208" s="39">
        <v>15.229999542236328</v>
      </c>
      <c r="J208" s="39">
        <v>13.470000267028809</v>
      </c>
      <c r="K208" s="39">
        <v>85.1500015258789</v>
      </c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</row>
    <row r="209" ht="14.25" customHeight="1">
      <c r="A209" s="36">
        <v>50301.0</v>
      </c>
      <c r="B209" s="36" t="s">
        <v>230</v>
      </c>
      <c r="C209" s="39">
        <v>24.729999542236328</v>
      </c>
      <c r="D209" s="39">
        <v>0.7400000095367432</v>
      </c>
      <c r="E209" s="39">
        <v>11.369999885559082</v>
      </c>
      <c r="F209" s="39">
        <v>4.5</v>
      </c>
      <c r="G209" s="39">
        <v>5.650000095367432</v>
      </c>
      <c r="H209" s="39">
        <v>11.369999885559082</v>
      </c>
      <c r="I209" s="39">
        <v>20.639999389648438</v>
      </c>
      <c r="J209" s="39">
        <v>16.0</v>
      </c>
      <c r="K209" s="39">
        <v>55.38999938964844</v>
      </c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</row>
    <row r="210" ht="14.25" customHeight="1">
      <c r="A210" s="36">
        <v>50302.0</v>
      </c>
      <c r="B210" s="36" t="s">
        <v>231</v>
      </c>
      <c r="C210" s="39">
        <v>25.700000762939453</v>
      </c>
      <c r="D210" s="39">
        <v>0.9800000190734863</v>
      </c>
      <c r="E210" s="39">
        <v>11.510000228881836</v>
      </c>
      <c r="F210" s="39">
        <v>3.069999933242798</v>
      </c>
      <c r="G210" s="39">
        <v>4.809999942779541</v>
      </c>
      <c r="H210" s="39">
        <v>8.510000228881836</v>
      </c>
      <c r="I210" s="39">
        <v>18.239999771118164</v>
      </c>
      <c r="J210" s="39">
        <v>15.350000381469727</v>
      </c>
      <c r="K210" s="39">
        <v>56.08000183105469</v>
      </c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</row>
    <row r="211" ht="14.25" customHeight="1">
      <c r="A211" s="36">
        <v>50303.0</v>
      </c>
      <c r="B211" s="36" t="s">
        <v>232</v>
      </c>
      <c r="C211" s="39">
        <v>32.72999954223633</v>
      </c>
      <c r="D211" s="39">
        <v>0.49000000953674316</v>
      </c>
      <c r="E211" s="39">
        <v>17.670000076293945</v>
      </c>
      <c r="F211" s="39">
        <v>7.980000019073486</v>
      </c>
      <c r="G211" s="39">
        <v>5.079999923706055</v>
      </c>
      <c r="H211" s="39">
        <v>10.949999809265137</v>
      </c>
      <c r="I211" s="39">
        <v>36.130001068115234</v>
      </c>
      <c r="J211" s="39">
        <v>35.04999923706055</v>
      </c>
      <c r="K211" s="39">
        <v>93.93000030517578</v>
      </c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</row>
    <row r="212" ht="14.25" customHeight="1">
      <c r="A212" s="36">
        <v>50401.0</v>
      </c>
      <c r="B212" s="36" t="s">
        <v>233</v>
      </c>
      <c r="C212" s="39">
        <v>30.75</v>
      </c>
      <c r="D212" s="39">
        <v>0.47999998927116394</v>
      </c>
      <c r="E212" s="39">
        <v>17.739999771118164</v>
      </c>
      <c r="F212" s="39">
        <v>8.520000457763672</v>
      </c>
      <c r="G212" s="39">
        <v>4.239999771118164</v>
      </c>
      <c r="H212" s="39">
        <v>13.039999961853027</v>
      </c>
      <c r="I212" s="39">
        <v>24.3799991607666</v>
      </c>
      <c r="J212" s="39">
        <v>27.350000381469727</v>
      </c>
      <c r="K212" s="39">
        <v>67.25</v>
      </c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</row>
    <row r="213" ht="14.25" customHeight="1">
      <c r="A213" s="36">
        <v>50402.0</v>
      </c>
      <c r="B213" s="36" t="s">
        <v>234</v>
      </c>
      <c r="C213" s="39">
        <v>43.459999084472656</v>
      </c>
      <c r="D213" s="39">
        <v>0.6200000047683716</v>
      </c>
      <c r="E213" s="39">
        <v>20.549999237060547</v>
      </c>
      <c r="F213" s="39">
        <v>5.010000228881836</v>
      </c>
      <c r="G213" s="39">
        <v>5.079999923706055</v>
      </c>
      <c r="H213" s="39">
        <v>12.899999618530273</v>
      </c>
      <c r="I213" s="39">
        <v>21.229999542236328</v>
      </c>
      <c r="J213" s="39">
        <v>32.84000015258789</v>
      </c>
      <c r="K213" s="39">
        <v>72.0</v>
      </c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</row>
    <row r="214" ht="14.25" customHeight="1">
      <c r="A214" s="36">
        <v>50403.0</v>
      </c>
      <c r="B214" s="36" t="s">
        <v>235</v>
      </c>
      <c r="C214" s="39">
        <v>20.190000534057617</v>
      </c>
      <c r="D214" s="39">
        <v>0.3700000047683716</v>
      </c>
      <c r="E214" s="39">
        <v>19.860000610351562</v>
      </c>
      <c r="F214" s="39">
        <v>9.899999618530273</v>
      </c>
      <c r="G214" s="39">
        <v>5.170000076293945</v>
      </c>
      <c r="H214" s="39">
        <v>11.3100004196167</v>
      </c>
      <c r="I214" s="39">
        <v>19.139999389648438</v>
      </c>
      <c r="J214" s="39">
        <v>25.219999313354492</v>
      </c>
      <c r="K214" s="39">
        <v>80.16000366210938</v>
      </c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</row>
    <row r="215" ht="14.25" customHeight="1">
      <c r="A215" s="36">
        <v>50404.0</v>
      </c>
      <c r="B215" s="36" t="s">
        <v>236</v>
      </c>
      <c r="C215" s="39">
        <v>37.70000076293945</v>
      </c>
      <c r="D215" s="39">
        <v>0.25999999046325684</v>
      </c>
      <c r="E215" s="39">
        <v>16.850000381469727</v>
      </c>
      <c r="F215" s="39">
        <v>7.199999809265137</v>
      </c>
      <c r="G215" s="39">
        <v>3.6700000762939453</v>
      </c>
      <c r="H215" s="39">
        <v>11.6899995803833</v>
      </c>
      <c r="I215" s="39">
        <v>28.780000686645508</v>
      </c>
      <c r="J215" s="39">
        <v>35.0099983215332</v>
      </c>
      <c r="K215" s="39">
        <v>80.45999908447266</v>
      </c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</row>
    <row r="216" ht="14.25" customHeight="1">
      <c r="A216" s="36">
        <v>50405.0</v>
      </c>
      <c r="B216" s="36" t="s">
        <v>237</v>
      </c>
      <c r="C216" s="39">
        <v>28.309999465942383</v>
      </c>
      <c r="D216" s="39">
        <v>0.75</v>
      </c>
      <c r="E216" s="39">
        <v>16.020000457763672</v>
      </c>
      <c r="F216" s="39">
        <v>12.079999923706055</v>
      </c>
      <c r="G216" s="39">
        <v>4.369999885559082</v>
      </c>
      <c r="H216" s="39">
        <v>12.279999732971191</v>
      </c>
      <c r="I216" s="39">
        <v>22.579999923706055</v>
      </c>
      <c r="J216" s="39">
        <v>26.350000381469727</v>
      </c>
      <c r="K216" s="39">
        <v>78.98999786376953</v>
      </c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</row>
    <row r="217" ht="14.25" customHeight="1">
      <c r="A217" s="36">
        <v>50501.0</v>
      </c>
      <c r="B217" s="36" t="s">
        <v>238</v>
      </c>
      <c r="C217" s="39">
        <v>28.260000228881836</v>
      </c>
      <c r="D217" s="39">
        <v>0.4000000059604645</v>
      </c>
      <c r="E217" s="39">
        <v>25.200000762939453</v>
      </c>
      <c r="F217" s="39">
        <v>15.380000114440918</v>
      </c>
      <c r="G217" s="39">
        <v>6.110000133514404</v>
      </c>
      <c r="H217" s="39">
        <v>13.890000343322754</v>
      </c>
      <c r="I217" s="39">
        <v>32.2599983215332</v>
      </c>
      <c r="J217" s="39">
        <v>54.04999923706055</v>
      </c>
      <c r="K217" s="39">
        <v>86.66000366210938</v>
      </c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</row>
    <row r="218" ht="14.25" customHeight="1">
      <c r="A218" s="36">
        <v>50502.0</v>
      </c>
      <c r="B218" s="36" t="s">
        <v>239</v>
      </c>
      <c r="C218" s="39">
        <v>25.989999771118164</v>
      </c>
      <c r="D218" s="39">
        <v>0.3499999940395355</v>
      </c>
      <c r="E218" s="39">
        <v>19.469999313354492</v>
      </c>
      <c r="F218" s="39">
        <v>12.789999961853027</v>
      </c>
      <c r="G218" s="39">
        <v>6.829999923706055</v>
      </c>
      <c r="H218" s="39">
        <v>12.760000228881836</v>
      </c>
      <c r="I218" s="39">
        <v>23.079999923706055</v>
      </c>
      <c r="J218" s="39">
        <v>46.09000015258789</v>
      </c>
      <c r="K218" s="39">
        <v>70.94999694824219</v>
      </c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</row>
    <row r="219" ht="14.25" customHeight="1">
      <c r="A219" s="36">
        <v>50601.0</v>
      </c>
      <c r="B219" s="36" t="s">
        <v>240</v>
      </c>
      <c r="C219" s="39">
        <v>16.649999618530273</v>
      </c>
      <c r="D219" s="39">
        <v>3.2699999809265137</v>
      </c>
      <c r="E219" s="39">
        <v>14.270000457763672</v>
      </c>
      <c r="F219" s="39">
        <v>2.6700000762939453</v>
      </c>
      <c r="G219" s="39">
        <v>3.240000009536743</v>
      </c>
      <c r="H219" s="39">
        <v>8.430000305175781</v>
      </c>
      <c r="I219" s="39">
        <v>24.309999465942383</v>
      </c>
      <c r="J219" s="39">
        <v>18.6200008392334</v>
      </c>
      <c r="K219" s="39">
        <v>50.08000183105469</v>
      </c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</row>
    <row r="220" ht="14.25" customHeight="1">
      <c r="A220" s="36">
        <v>50602.0</v>
      </c>
      <c r="B220" s="36" t="s">
        <v>241</v>
      </c>
      <c r="C220" s="39">
        <v>17.979999542236328</v>
      </c>
      <c r="D220" s="39">
        <v>3.7100000381469727</v>
      </c>
      <c r="E220" s="39">
        <v>10.84000015258789</v>
      </c>
      <c r="F220" s="39">
        <v>3.7100000381469727</v>
      </c>
      <c r="G220" s="39">
        <v>4.150000095367432</v>
      </c>
      <c r="H220" s="39">
        <v>10.520000457763672</v>
      </c>
      <c r="I220" s="39">
        <v>15.100000381469727</v>
      </c>
      <c r="J220" s="39">
        <v>15.039999961853027</v>
      </c>
      <c r="K220" s="39">
        <v>45.119998931884766</v>
      </c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</row>
    <row r="221" ht="14.25" customHeight="1">
      <c r="A221" s="36">
        <v>50701.0</v>
      </c>
      <c r="B221" s="36" t="s">
        <v>242</v>
      </c>
      <c r="C221" s="39">
        <v>23.950000762939453</v>
      </c>
      <c r="D221" s="39">
        <v>0.12999999523162842</v>
      </c>
      <c r="E221" s="39">
        <v>19.809999465942383</v>
      </c>
      <c r="F221" s="39">
        <v>12.6899995803833</v>
      </c>
      <c r="G221" s="39">
        <v>5.070000171661377</v>
      </c>
      <c r="H221" s="39">
        <v>11.890000343322754</v>
      </c>
      <c r="I221" s="39">
        <v>11.020000457763672</v>
      </c>
      <c r="J221" s="39">
        <v>19.15999984741211</v>
      </c>
      <c r="K221" s="39">
        <v>76.56999969482422</v>
      </c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</row>
    <row r="222" ht="14.25" customHeight="1">
      <c r="A222" s="36">
        <v>50702.0</v>
      </c>
      <c r="B222" s="36" t="s">
        <v>243</v>
      </c>
      <c r="C222" s="39">
        <v>18.3700008392334</v>
      </c>
      <c r="D222" s="39">
        <v>0.07000000029802322</v>
      </c>
      <c r="E222" s="39">
        <v>16.709999084472656</v>
      </c>
      <c r="F222" s="39">
        <v>10.5</v>
      </c>
      <c r="G222" s="39">
        <v>5.849999904632568</v>
      </c>
      <c r="H222" s="39">
        <v>10.050000190734863</v>
      </c>
      <c r="I222" s="39">
        <v>9.880000114440918</v>
      </c>
      <c r="J222" s="39">
        <v>23.899999618530273</v>
      </c>
      <c r="K222" s="39">
        <v>85.37000274658203</v>
      </c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</row>
    <row r="223" ht="14.25" customHeight="1">
      <c r="A223" s="36">
        <v>50801.0</v>
      </c>
      <c r="B223" s="36" t="s">
        <v>244</v>
      </c>
      <c r="C223" s="39">
        <v>11.510000228881836</v>
      </c>
      <c r="D223" s="39">
        <v>1.909999966621399</v>
      </c>
      <c r="E223" s="39">
        <v>5.170000076293945</v>
      </c>
      <c r="F223" s="39">
        <v>1.9199999570846558</v>
      </c>
      <c r="G223" s="39">
        <v>3.799999952316284</v>
      </c>
      <c r="H223" s="39">
        <v>5.599999904632568</v>
      </c>
      <c r="I223" s="39">
        <v>9.40999984741211</v>
      </c>
      <c r="J223" s="39">
        <v>6.230000019073486</v>
      </c>
      <c r="K223" s="39">
        <v>19.729999542236328</v>
      </c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</row>
    <row r="224" ht="14.25" customHeight="1">
      <c r="A224" s="36">
        <v>50802.0</v>
      </c>
      <c r="B224" s="36" t="s">
        <v>245</v>
      </c>
      <c r="C224" s="39">
        <v>5.0</v>
      </c>
      <c r="D224" s="39">
        <v>0.28999999165534973</v>
      </c>
      <c r="E224" s="39">
        <v>3.4200000762939453</v>
      </c>
      <c r="F224" s="39">
        <v>1.8300000429153442</v>
      </c>
      <c r="G224" s="39">
        <v>3.700000047683716</v>
      </c>
      <c r="H224" s="39">
        <v>3.680000066757202</v>
      </c>
      <c r="I224" s="39">
        <v>6.0</v>
      </c>
      <c r="J224" s="39">
        <v>3.569999933242798</v>
      </c>
      <c r="K224" s="39">
        <v>61.290000915527344</v>
      </c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</row>
    <row r="225" ht="14.25" customHeight="1">
      <c r="A225" s="36">
        <v>50901.0</v>
      </c>
      <c r="B225" s="36" t="s">
        <v>246</v>
      </c>
      <c r="C225" s="39">
        <v>5.400000095367432</v>
      </c>
      <c r="D225" s="39">
        <v>0.7799999713897705</v>
      </c>
      <c r="E225" s="39">
        <v>4.349999904632568</v>
      </c>
      <c r="F225" s="39">
        <v>4.010000228881836</v>
      </c>
      <c r="G225" s="39">
        <v>3.8499999046325684</v>
      </c>
      <c r="H225" s="39">
        <v>5.789999961853027</v>
      </c>
      <c r="I225" s="39">
        <v>8.949999809265137</v>
      </c>
      <c r="J225" s="39">
        <v>8.050000190734863</v>
      </c>
      <c r="K225" s="39">
        <v>24.329999923706055</v>
      </c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</row>
    <row r="226" ht="14.25" customHeight="1">
      <c r="A226" s="36">
        <v>50902.0</v>
      </c>
      <c r="B226" s="36" t="s">
        <v>247</v>
      </c>
      <c r="C226" s="39">
        <v>3.109999895095825</v>
      </c>
      <c r="D226" s="39">
        <v>2.509999990463257</v>
      </c>
      <c r="E226" s="39">
        <v>13.020000457763672</v>
      </c>
      <c r="F226" s="39">
        <v>2.200000047683716</v>
      </c>
      <c r="G226" s="39">
        <v>3.380000114440918</v>
      </c>
      <c r="H226" s="39">
        <v>5.289999961853027</v>
      </c>
      <c r="I226" s="39">
        <v>9.390000343322754</v>
      </c>
      <c r="J226" s="39">
        <v>12.890000343322754</v>
      </c>
      <c r="K226" s="39">
        <v>26.170000076293945</v>
      </c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</row>
    <row r="227" ht="14.25" customHeight="1">
      <c r="A227" s="36">
        <v>51001.0</v>
      </c>
      <c r="B227" s="36" t="s">
        <v>248</v>
      </c>
      <c r="C227" s="39">
        <v>7.929999828338623</v>
      </c>
      <c r="D227" s="39">
        <v>0.8299999833106995</v>
      </c>
      <c r="E227" s="39">
        <v>9.100000381469727</v>
      </c>
      <c r="F227" s="39">
        <v>6.130000114440918</v>
      </c>
      <c r="G227" s="39">
        <v>5.03000020980835</v>
      </c>
      <c r="H227" s="39">
        <v>9.239999771118164</v>
      </c>
      <c r="I227" s="39">
        <v>23.959999084472656</v>
      </c>
      <c r="J227" s="39">
        <v>28.149999618530273</v>
      </c>
      <c r="K227" s="39">
        <v>45.68000030517578</v>
      </c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</row>
    <row r="228" ht="14.25" customHeight="1">
      <c r="A228" s="36">
        <v>51002.0</v>
      </c>
      <c r="B228" s="36" t="s">
        <v>249</v>
      </c>
      <c r="C228" s="39">
        <v>7.889999866485596</v>
      </c>
      <c r="D228" s="39">
        <v>17.100000381469727</v>
      </c>
      <c r="E228" s="39">
        <v>12.010000228881836</v>
      </c>
      <c r="F228" s="39">
        <v>5.409999847412109</v>
      </c>
      <c r="G228" s="39">
        <v>2.180000066757202</v>
      </c>
      <c r="H228" s="39">
        <v>8.8100004196167</v>
      </c>
      <c r="I228" s="39">
        <v>32.540000915527344</v>
      </c>
      <c r="J228" s="39">
        <v>63.52000045776367</v>
      </c>
      <c r="K228" s="39">
        <v>35.34000015258789</v>
      </c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</row>
    <row r="229" ht="14.25" customHeight="1">
      <c r="A229" s="36">
        <v>51003.0</v>
      </c>
      <c r="B229" s="36" t="s">
        <v>250</v>
      </c>
      <c r="C229" s="39">
        <v>11.069999694824219</v>
      </c>
      <c r="D229" s="39">
        <v>6.449999809265137</v>
      </c>
      <c r="E229" s="39">
        <v>25.760000228881836</v>
      </c>
      <c r="F229" s="39">
        <v>11.420000076293945</v>
      </c>
      <c r="G229" s="39">
        <v>5.070000171661377</v>
      </c>
      <c r="H229" s="39">
        <v>9.329999923706055</v>
      </c>
      <c r="I229" s="39">
        <v>11.1899995803833</v>
      </c>
      <c r="J229" s="39">
        <v>54.04999923706055</v>
      </c>
      <c r="K229" s="39">
        <v>32.68000030517578</v>
      </c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</row>
    <row r="230" ht="14.25" customHeight="1">
      <c r="A230" s="36">
        <v>51101.0</v>
      </c>
      <c r="B230" s="36" t="s">
        <v>251</v>
      </c>
      <c r="C230" s="39">
        <v>22.389999389648438</v>
      </c>
      <c r="D230" s="39">
        <v>2.049999952316284</v>
      </c>
      <c r="E230" s="39">
        <v>10.430000305175781</v>
      </c>
      <c r="F230" s="39">
        <v>3.069999933242798</v>
      </c>
      <c r="G230" s="39">
        <v>4.199999809265137</v>
      </c>
      <c r="H230" s="39">
        <v>7.739999771118164</v>
      </c>
      <c r="I230" s="39">
        <v>17.280000686645508</v>
      </c>
      <c r="J230" s="39">
        <v>13.359999656677246</v>
      </c>
      <c r="K230" s="39">
        <v>45.130001068115234</v>
      </c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</row>
    <row r="231" ht="14.25" customHeight="1">
      <c r="A231" s="36">
        <v>51102.0</v>
      </c>
      <c r="B231" s="36" t="s">
        <v>252</v>
      </c>
      <c r="C231" s="39">
        <v>13.779999732971191</v>
      </c>
      <c r="D231" s="39">
        <v>2.0</v>
      </c>
      <c r="E231" s="39">
        <v>9.59000015258789</v>
      </c>
      <c r="F231" s="39">
        <v>3.2699999809265137</v>
      </c>
      <c r="G231" s="39">
        <v>4.889999866485596</v>
      </c>
      <c r="H231" s="39">
        <v>6.869999885559082</v>
      </c>
      <c r="I231" s="39">
        <v>17.989999771118164</v>
      </c>
      <c r="J231" s="39">
        <v>15.59000015258789</v>
      </c>
      <c r="K231" s="39">
        <v>42.939998626708984</v>
      </c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</row>
    <row r="232" ht="14.25" customHeight="1">
      <c r="A232" s="36">
        <v>51103.0</v>
      </c>
      <c r="B232" s="36" t="s">
        <v>253</v>
      </c>
      <c r="C232" s="39">
        <v>33.060001373291016</v>
      </c>
      <c r="D232" s="39">
        <v>1.1200000047683716</v>
      </c>
      <c r="E232" s="39">
        <v>11.550000190734863</v>
      </c>
      <c r="F232" s="39">
        <v>11.800000190734863</v>
      </c>
      <c r="G232" s="39">
        <v>9.550000190734863</v>
      </c>
      <c r="H232" s="39">
        <v>21.809999465942383</v>
      </c>
      <c r="I232" s="39">
        <v>42.33000183105469</v>
      </c>
      <c r="J232" s="39">
        <v>25.219999313354492</v>
      </c>
      <c r="K232" s="39">
        <v>83.2300033569336</v>
      </c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</row>
    <row r="233" ht="14.25" customHeight="1">
      <c r="A233" s="36">
        <v>51201.0</v>
      </c>
      <c r="B233" s="36" t="s">
        <v>254</v>
      </c>
      <c r="C233" s="39">
        <v>4.869999885559082</v>
      </c>
      <c r="D233" s="39">
        <v>0.3799999952316284</v>
      </c>
      <c r="E233" s="39">
        <v>4.25</v>
      </c>
      <c r="F233" s="39">
        <v>3.2899999618530273</v>
      </c>
      <c r="G233" s="39">
        <v>3.2699999809265137</v>
      </c>
      <c r="H233" s="39">
        <v>4.949999809265137</v>
      </c>
      <c r="I233" s="39">
        <v>11.630000114440918</v>
      </c>
      <c r="J233" s="39">
        <v>6.110000133514404</v>
      </c>
      <c r="K233" s="39">
        <v>79.04000091552734</v>
      </c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</row>
    <row r="234" ht="14.25" customHeight="1">
      <c r="A234" s="36">
        <v>51202.0</v>
      </c>
      <c r="B234" s="36" t="s">
        <v>255</v>
      </c>
      <c r="C234" s="39">
        <v>11.579999923706055</v>
      </c>
      <c r="D234" s="39">
        <v>0.25999999046325684</v>
      </c>
      <c r="E234" s="39">
        <v>12.680000305175781</v>
      </c>
      <c r="F234" s="39">
        <v>2.9800000190734863</v>
      </c>
      <c r="G234" s="39">
        <v>2.7799999713897705</v>
      </c>
      <c r="H234" s="39">
        <v>5.300000190734863</v>
      </c>
      <c r="I234" s="39">
        <v>31.450000762939453</v>
      </c>
      <c r="J234" s="39">
        <v>19.579999923706055</v>
      </c>
      <c r="K234" s="39">
        <v>71.55000305175781</v>
      </c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</row>
    <row r="235" ht="14.25" customHeight="1">
      <c r="A235" s="36">
        <v>51203.0</v>
      </c>
      <c r="B235" s="36" t="s">
        <v>256</v>
      </c>
      <c r="C235" s="39">
        <v>5.539999961853027</v>
      </c>
      <c r="D235" s="39">
        <v>0.3499999940395355</v>
      </c>
      <c r="E235" s="39">
        <v>7.010000228881836</v>
      </c>
      <c r="F235" s="39">
        <v>2.5399999618530273</v>
      </c>
      <c r="G235" s="39">
        <v>5.130000114440918</v>
      </c>
      <c r="H235" s="39">
        <v>6.360000133514404</v>
      </c>
      <c r="I235" s="39">
        <v>11.979999542236328</v>
      </c>
      <c r="J235" s="39">
        <v>4.269999980926514</v>
      </c>
      <c r="K235" s="39">
        <v>22.100000381469727</v>
      </c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</row>
    <row r="236" ht="14.25" customHeight="1">
      <c r="A236" s="36">
        <v>51204.0</v>
      </c>
      <c r="B236" s="36" t="s">
        <v>257</v>
      </c>
      <c r="C236" s="39">
        <v>16.540000915527344</v>
      </c>
      <c r="D236" s="39">
        <v>0.8999999761581421</v>
      </c>
      <c r="E236" s="39">
        <v>12.15999984741211</v>
      </c>
      <c r="F236" s="39">
        <v>3.369999885559082</v>
      </c>
      <c r="G236" s="39">
        <v>4.96999979019165</v>
      </c>
      <c r="H236" s="39">
        <v>6.420000076293945</v>
      </c>
      <c r="I236" s="39">
        <v>27.520000457763672</v>
      </c>
      <c r="J236" s="39">
        <v>18.219999313354492</v>
      </c>
      <c r="K236" s="39">
        <v>65.44000244140625</v>
      </c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</row>
    <row r="237" ht="14.25" customHeight="1">
      <c r="A237" s="36">
        <v>51301.0</v>
      </c>
      <c r="B237" s="36" t="s">
        <v>258</v>
      </c>
      <c r="C237" s="39">
        <v>19.040000915527344</v>
      </c>
      <c r="D237" s="39">
        <v>0.3799999952316284</v>
      </c>
      <c r="E237" s="39">
        <v>27.1200008392334</v>
      </c>
      <c r="F237" s="39">
        <v>8.539999961853027</v>
      </c>
      <c r="G237" s="39">
        <v>5.960000038146973</v>
      </c>
      <c r="H237" s="39">
        <v>18.139999389648438</v>
      </c>
      <c r="I237" s="39">
        <v>12.3100004196167</v>
      </c>
      <c r="J237" s="39">
        <v>23.149999618530273</v>
      </c>
      <c r="K237" s="39">
        <v>66.5</v>
      </c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</row>
    <row r="238" ht="14.25" customHeight="1">
      <c r="A238" s="36">
        <v>51302.0</v>
      </c>
      <c r="B238" s="36" t="s">
        <v>259</v>
      </c>
      <c r="C238" s="39">
        <v>22.399999618530273</v>
      </c>
      <c r="D238" s="39">
        <v>0.4300000071525574</v>
      </c>
      <c r="E238" s="39">
        <v>19.559999465942383</v>
      </c>
      <c r="F238" s="39">
        <v>7.360000133514404</v>
      </c>
      <c r="G238" s="39">
        <v>5.099999904632568</v>
      </c>
      <c r="H238" s="39">
        <v>11.119999885559082</v>
      </c>
      <c r="I238" s="39">
        <v>10.800000190734863</v>
      </c>
      <c r="J238" s="39">
        <v>22.3799991607666</v>
      </c>
      <c r="K238" s="39">
        <v>73.3499984741211</v>
      </c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</row>
    <row r="239" ht="14.25" customHeight="1">
      <c r="A239" s="36">
        <v>51401.0</v>
      </c>
      <c r="B239" s="36" t="s">
        <v>260</v>
      </c>
      <c r="C239" s="39">
        <v>2.9200000762939453</v>
      </c>
      <c r="D239" s="39">
        <v>3.0399999618530273</v>
      </c>
      <c r="E239" s="39">
        <v>5.53000020980835</v>
      </c>
      <c r="F239" s="39">
        <v>3.5899999141693115</v>
      </c>
      <c r="G239" s="39">
        <v>3.799999952316284</v>
      </c>
      <c r="H239" s="39">
        <v>4.650000095367432</v>
      </c>
      <c r="I239" s="39">
        <v>6.920000076293945</v>
      </c>
      <c r="J239" s="39">
        <v>6.449999809265137</v>
      </c>
      <c r="K239" s="39">
        <v>44.380001068115234</v>
      </c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</row>
    <row r="240" ht="14.25" customHeight="1">
      <c r="A240" s="36">
        <v>51402.0</v>
      </c>
      <c r="B240" s="36" t="s">
        <v>261</v>
      </c>
      <c r="C240" s="39">
        <v>1.7599999904632568</v>
      </c>
      <c r="D240" s="39">
        <v>2.4000000953674316</v>
      </c>
      <c r="E240" s="39">
        <v>11.449999809265137</v>
      </c>
      <c r="F240" s="39">
        <v>5.409999847412109</v>
      </c>
      <c r="G240" s="39">
        <v>2.619999885559082</v>
      </c>
      <c r="H240" s="39">
        <v>6.880000114440918</v>
      </c>
      <c r="I240" s="39">
        <v>16.09000015258789</v>
      </c>
      <c r="J240" s="39">
        <v>20.56999969482422</v>
      </c>
      <c r="K240" s="39">
        <v>60.47999954223633</v>
      </c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</row>
    <row r="241" ht="14.25" customHeight="1">
      <c r="A241" s="36">
        <v>51501.0</v>
      </c>
      <c r="B241" s="36" t="s">
        <v>262</v>
      </c>
      <c r="C241" s="39">
        <v>13.619999885559082</v>
      </c>
      <c r="D241" s="39">
        <v>6.369999885559082</v>
      </c>
      <c r="E241" s="39">
        <v>5.869999885559082</v>
      </c>
      <c r="F241" s="39">
        <v>1.7000000476837158</v>
      </c>
      <c r="G241" s="39">
        <v>3.440000057220459</v>
      </c>
      <c r="H241" s="39">
        <v>7.440000057220459</v>
      </c>
      <c r="I241" s="39">
        <v>8.960000038146973</v>
      </c>
      <c r="J241" s="39">
        <v>4.25</v>
      </c>
      <c r="K241" s="39">
        <v>13.520000457763672</v>
      </c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</row>
    <row r="242" ht="14.25" customHeight="1">
      <c r="A242" s="36">
        <v>51601.0</v>
      </c>
      <c r="B242" s="36" t="s">
        <v>263</v>
      </c>
      <c r="C242" s="39">
        <v>7.03000020980835</v>
      </c>
      <c r="D242" s="39">
        <v>3.6600000858306885</v>
      </c>
      <c r="E242" s="39">
        <v>6.289999961853027</v>
      </c>
      <c r="F242" s="39">
        <v>7.199999809265137</v>
      </c>
      <c r="G242" s="39">
        <v>4.639999866485596</v>
      </c>
      <c r="H242" s="39">
        <v>7.659999847412109</v>
      </c>
      <c r="I242" s="39">
        <v>9.760000228881836</v>
      </c>
      <c r="J242" s="39">
        <v>5.860000133514404</v>
      </c>
      <c r="K242" s="39">
        <v>27.920000076293945</v>
      </c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</row>
    <row r="243" ht="14.25" customHeight="1">
      <c r="A243" s="36">
        <v>60101.0</v>
      </c>
      <c r="B243" s="36" t="s">
        <v>22</v>
      </c>
      <c r="C243" s="39">
        <v>8.770000457763672</v>
      </c>
      <c r="D243" s="39">
        <v>1.0700000524520874</v>
      </c>
      <c r="E243" s="39">
        <v>3.680000066757202</v>
      </c>
      <c r="F243" s="39">
        <v>0.5299999713897705</v>
      </c>
      <c r="G243" s="39">
        <v>2.2699999809265137</v>
      </c>
      <c r="H243" s="39">
        <v>4.230000019073486</v>
      </c>
      <c r="I243" s="39">
        <v>6.820000171661377</v>
      </c>
      <c r="J243" s="39">
        <v>1.4299999475479126</v>
      </c>
      <c r="K243" s="39">
        <v>23.1200008392334</v>
      </c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</row>
    <row r="244" ht="14.25" customHeight="1">
      <c r="A244" s="36">
        <v>60201.0</v>
      </c>
      <c r="B244" s="36" t="s">
        <v>264</v>
      </c>
      <c r="C244" s="39">
        <v>20.200000762939453</v>
      </c>
      <c r="D244" s="39">
        <v>1.809999942779541</v>
      </c>
      <c r="E244" s="39">
        <v>7.809999942779541</v>
      </c>
      <c r="F244" s="39">
        <v>1.4800000190734863</v>
      </c>
      <c r="G244" s="39">
        <v>4.010000228881836</v>
      </c>
      <c r="H244" s="39">
        <v>10.09000015258789</v>
      </c>
      <c r="I244" s="39">
        <v>12.140000343322754</v>
      </c>
      <c r="J244" s="39">
        <v>9.800000190734863</v>
      </c>
      <c r="K244" s="39">
        <v>26.940000534057617</v>
      </c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</row>
    <row r="245" ht="14.25" customHeight="1">
      <c r="A245" s="36">
        <v>60202.0</v>
      </c>
      <c r="B245" s="36" t="s">
        <v>265</v>
      </c>
      <c r="C245" s="39">
        <v>13.0600004196167</v>
      </c>
      <c r="D245" s="39">
        <v>2.8499999046325684</v>
      </c>
      <c r="E245" s="39">
        <v>4.440000057220459</v>
      </c>
      <c r="F245" s="39">
        <v>0.5899999737739563</v>
      </c>
      <c r="G245" s="39">
        <v>3.140000104904175</v>
      </c>
      <c r="H245" s="39">
        <v>6.309999942779541</v>
      </c>
      <c r="I245" s="39">
        <v>7.309999942779541</v>
      </c>
      <c r="J245" s="39">
        <v>1.350000023841858</v>
      </c>
      <c r="K245" s="39">
        <v>12.739999771118164</v>
      </c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</row>
    <row r="246" ht="14.25" customHeight="1">
      <c r="A246" s="36">
        <v>60301.0</v>
      </c>
      <c r="B246" s="36" t="s">
        <v>266</v>
      </c>
      <c r="C246" s="39">
        <v>12.720000267028809</v>
      </c>
      <c r="D246" s="39">
        <v>2.299999952316284</v>
      </c>
      <c r="E246" s="39">
        <v>8.729999542236328</v>
      </c>
      <c r="F246" s="39">
        <v>1.5700000524520874</v>
      </c>
      <c r="G246" s="39">
        <v>3.509999990463257</v>
      </c>
      <c r="H246" s="39">
        <v>9.380000114440918</v>
      </c>
      <c r="I246" s="39">
        <v>5.730000019073486</v>
      </c>
      <c r="J246" s="39">
        <v>1.8300000429153442</v>
      </c>
      <c r="K246" s="39">
        <v>18.31999969482422</v>
      </c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</row>
    <row r="247" ht="14.25" customHeight="1">
      <c r="A247" s="36">
        <v>60302.0</v>
      </c>
      <c r="B247" s="36" t="s">
        <v>267</v>
      </c>
      <c r="C247" s="39">
        <v>14.539999961853027</v>
      </c>
      <c r="D247" s="39">
        <v>0.9599999785423279</v>
      </c>
      <c r="E247" s="39">
        <v>6.980000019073486</v>
      </c>
      <c r="F247" s="39">
        <v>1.4900000095367432</v>
      </c>
      <c r="G247" s="39">
        <v>3.8399999141693115</v>
      </c>
      <c r="H247" s="39">
        <v>7.679999828338623</v>
      </c>
      <c r="I247" s="39">
        <v>9.470000267028809</v>
      </c>
      <c r="J247" s="39">
        <v>5.170000076293945</v>
      </c>
      <c r="K247" s="39">
        <v>15.899999618530273</v>
      </c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</row>
    <row r="248" ht="14.25" customHeight="1">
      <c r="A248" s="36">
        <v>60303.0</v>
      </c>
      <c r="B248" s="36" t="s">
        <v>268</v>
      </c>
      <c r="C248" s="39">
        <v>9.079999923706055</v>
      </c>
      <c r="D248" s="39">
        <v>0.7599999904632568</v>
      </c>
      <c r="E248" s="39">
        <v>11.390000343322754</v>
      </c>
      <c r="F248" s="39">
        <v>0.949999988079071</v>
      </c>
      <c r="G248" s="39">
        <v>4.119999885559082</v>
      </c>
      <c r="H248" s="39">
        <v>7.900000095367432</v>
      </c>
      <c r="I248" s="39">
        <v>6.829999923706055</v>
      </c>
      <c r="J248" s="39">
        <v>5.139999866485596</v>
      </c>
      <c r="K248" s="39">
        <v>34.630001068115234</v>
      </c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</row>
    <row r="249" ht="14.25" customHeight="1">
      <c r="A249" s="36">
        <v>60401.0</v>
      </c>
      <c r="B249" s="36" t="s">
        <v>269</v>
      </c>
      <c r="C249" s="39">
        <v>17.760000228881836</v>
      </c>
      <c r="D249" s="39">
        <v>1.2400000095367432</v>
      </c>
      <c r="E249" s="39">
        <v>7.400000095367432</v>
      </c>
      <c r="F249" s="39">
        <v>0.8799999952316284</v>
      </c>
      <c r="G249" s="39">
        <v>3.680000066757202</v>
      </c>
      <c r="H249" s="39">
        <v>10.510000228881836</v>
      </c>
      <c r="I249" s="39">
        <v>8.609999656677246</v>
      </c>
      <c r="J249" s="39">
        <v>6.260000228881836</v>
      </c>
      <c r="K249" s="39">
        <v>22.93000030517578</v>
      </c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</row>
    <row r="250" ht="14.25" customHeight="1">
      <c r="A250" s="36">
        <v>60402.0</v>
      </c>
      <c r="B250" s="36" t="s">
        <v>270</v>
      </c>
      <c r="C250" s="39">
        <v>28.040000915527344</v>
      </c>
      <c r="D250" s="39">
        <v>1.6299999952316284</v>
      </c>
      <c r="E250" s="39">
        <v>9.649999618530273</v>
      </c>
      <c r="F250" s="39">
        <v>6.730000019073486</v>
      </c>
      <c r="G250" s="39">
        <v>6.079999923706055</v>
      </c>
      <c r="H250" s="39">
        <v>16.040000915527344</v>
      </c>
      <c r="I250" s="39">
        <v>12.869999885559082</v>
      </c>
      <c r="J250" s="39">
        <v>6.639999866485596</v>
      </c>
      <c r="K250" s="39">
        <v>21.06999969482422</v>
      </c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</row>
    <row r="251" ht="14.25" customHeight="1">
      <c r="A251" s="36">
        <v>60501.0</v>
      </c>
      <c r="B251" s="36" t="s">
        <v>271</v>
      </c>
      <c r="C251" s="39">
        <v>20.06999969482422</v>
      </c>
      <c r="D251" s="39">
        <v>1.4299999475479126</v>
      </c>
      <c r="E251" s="39">
        <v>7.059999942779541</v>
      </c>
      <c r="F251" s="39">
        <v>1.4199999570846558</v>
      </c>
      <c r="G251" s="39">
        <v>3.2300000190734863</v>
      </c>
      <c r="H251" s="39">
        <v>7.989999771118164</v>
      </c>
      <c r="I251" s="39">
        <v>10.8100004196167</v>
      </c>
      <c r="J251" s="39">
        <v>9.3100004196167</v>
      </c>
      <c r="K251" s="39">
        <v>22.530000686645508</v>
      </c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</row>
    <row r="252" ht="14.25" customHeight="1">
      <c r="A252" s="36">
        <v>60502.0</v>
      </c>
      <c r="B252" s="36" t="s">
        <v>272</v>
      </c>
      <c r="C252" s="39">
        <v>25.40999984741211</v>
      </c>
      <c r="D252" s="39">
        <v>0.3400000035762787</v>
      </c>
      <c r="E252" s="39">
        <v>9.039999961853027</v>
      </c>
      <c r="F252" s="39">
        <v>2.5999999046325684</v>
      </c>
      <c r="G252" s="39">
        <v>3.9000000953674316</v>
      </c>
      <c r="H252" s="39">
        <v>11.609999656677246</v>
      </c>
      <c r="I252" s="39">
        <v>10.300000190734863</v>
      </c>
      <c r="J252" s="39">
        <v>4.179999828338623</v>
      </c>
      <c r="K252" s="39">
        <v>13.630000114440918</v>
      </c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</row>
    <row r="253" ht="14.25" customHeight="1">
      <c r="A253" s="36">
        <v>60601.0</v>
      </c>
      <c r="B253" s="36" t="s">
        <v>177</v>
      </c>
      <c r="C253" s="39">
        <v>20.440000534057617</v>
      </c>
      <c r="D253" s="39">
        <v>0.7400000095367432</v>
      </c>
      <c r="E253" s="39">
        <v>10.449999809265137</v>
      </c>
      <c r="F253" s="39">
        <v>2.7899999618530273</v>
      </c>
      <c r="G253" s="39">
        <v>4.230000019073486</v>
      </c>
      <c r="H253" s="39">
        <v>9.300000190734863</v>
      </c>
      <c r="I253" s="39">
        <v>10.520000457763672</v>
      </c>
      <c r="J253" s="39">
        <v>8.8100004196167</v>
      </c>
      <c r="K253" s="39">
        <v>32.439998626708984</v>
      </c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</row>
    <row r="254" ht="14.25" customHeight="1">
      <c r="A254" s="36">
        <v>70101.0</v>
      </c>
      <c r="B254" s="36" t="s">
        <v>273</v>
      </c>
      <c r="C254" s="39">
        <v>4.199999809265137</v>
      </c>
      <c r="D254" s="39">
        <v>1.2699999809265137</v>
      </c>
      <c r="E254" s="39">
        <v>3.5</v>
      </c>
      <c r="F254" s="39">
        <v>0.4300000071525574</v>
      </c>
      <c r="G254" s="39">
        <v>3.299999952316284</v>
      </c>
      <c r="H254" s="39">
        <v>6.989999771118164</v>
      </c>
      <c r="I254" s="39">
        <v>0.9800000190734863</v>
      </c>
      <c r="J254" s="39">
        <v>0.3400000035762787</v>
      </c>
      <c r="K254" s="39">
        <v>31.190000534057617</v>
      </c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</row>
    <row r="255" ht="14.25" customHeight="1">
      <c r="A255" s="36">
        <v>70102.0</v>
      </c>
      <c r="B255" s="36" t="s">
        <v>274</v>
      </c>
      <c r="C255" s="39">
        <v>6.599999904632568</v>
      </c>
      <c r="D255" s="39">
        <v>1.5199999809265137</v>
      </c>
      <c r="E255" s="39">
        <v>5.71999979019165</v>
      </c>
      <c r="F255" s="39">
        <v>0.8899999856948853</v>
      </c>
      <c r="G255" s="39">
        <v>5.630000114440918</v>
      </c>
      <c r="H255" s="39">
        <v>11.84000015258789</v>
      </c>
      <c r="I255" s="39">
        <v>6.260000228881836</v>
      </c>
      <c r="J255" s="39">
        <v>1.8700000047683716</v>
      </c>
      <c r="K255" s="39">
        <v>71.55000305175781</v>
      </c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</row>
    <row r="256" ht="14.25" customHeight="1">
      <c r="A256" s="36">
        <v>70103.0</v>
      </c>
      <c r="B256" s="36" t="s">
        <v>275</v>
      </c>
      <c r="C256" s="39">
        <v>5.650000095367432</v>
      </c>
      <c r="D256" s="39">
        <v>2.069999933242798</v>
      </c>
      <c r="E256" s="39">
        <v>4.769999980926514</v>
      </c>
      <c r="F256" s="39">
        <v>0.550000011920929</v>
      </c>
      <c r="G256" s="39">
        <v>3.549999952316284</v>
      </c>
      <c r="H256" s="39">
        <v>6.769999980926514</v>
      </c>
      <c r="I256" s="39">
        <v>5.690000057220459</v>
      </c>
      <c r="J256" s="39">
        <v>3.5899999141693115</v>
      </c>
      <c r="K256" s="39">
        <v>26.959999084472656</v>
      </c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</row>
    <row r="257" ht="14.25" customHeight="1">
      <c r="A257" s="36">
        <v>70104.0</v>
      </c>
      <c r="B257" s="36" t="s">
        <v>276</v>
      </c>
      <c r="C257" s="39">
        <v>7.349999904632568</v>
      </c>
      <c r="D257" s="39">
        <v>0.9100000262260437</v>
      </c>
      <c r="E257" s="39">
        <v>3.450000047683716</v>
      </c>
      <c r="F257" s="39">
        <v>0.5199999809265137</v>
      </c>
      <c r="G257" s="39">
        <v>3.9700000286102295</v>
      </c>
      <c r="H257" s="39">
        <v>8.0600004196167</v>
      </c>
      <c r="I257" s="39">
        <v>1.7699999809265137</v>
      </c>
      <c r="J257" s="39">
        <v>0.6899999976158142</v>
      </c>
      <c r="K257" s="39">
        <v>82.86000061035156</v>
      </c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</row>
    <row r="258" ht="14.25" customHeight="1">
      <c r="A258" s="36">
        <v>70105.0</v>
      </c>
      <c r="B258" s="36" t="s">
        <v>277</v>
      </c>
      <c r="C258" s="39">
        <v>13.029999732971191</v>
      </c>
      <c r="D258" s="39">
        <v>0.7799999713897705</v>
      </c>
      <c r="E258" s="39">
        <v>6.039999961853027</v>
      </c>
      <c r="F258" s="39">
        <v>0.699999988079071</v>
      </c>
      <c r="G258" s="39">
        <v>4.099999904632568</v>
      </c>
      <c r="H258" s="39">
        <v>9.470000267028809</v>
      </c>
      <c r="I258" s="39">
        <v>2.630000114440918</v>
      </c>
      <c r="J258" s="39">
        <v>2.75</v>
      </c>
      <c r="K258" s="39">
        <v>56.15999984741211</v>
      </c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</row>
    <row r="259" ht="14.25" customHeight="1">
      <c r="A259" s="36">
        <v>70201.0</v>
      </c>
      <c r="B259" s="36" t="s">
        <v>278</v>
      </c>
      <c r="C259" s="39">
        <v>7.25</v>
      </c>
      <c r="D259" s="39">
        <v>1.3300000429153442</v>
      </c>
      <c r="E259" s="39">
        <v>6.019999980926514</v>
      </c>
      <c r="F259" s="39">
        <v>0.8600000143051147</v>
      </c>
      <c r="G259" s="39">
        <v>5.429999828338623</v>
      </c>
      <c r="H259" s="39">
        <v>10.680000305175781</v>
      </c>
      <c r="I259" s="39">
        <v>2.440000057220459</v>
      </c>
      <c r="J259" s="39">
        <v>1.2799999713897705</v>
      </c>
      <c r="K259" s="39">
        <v>69.20999908447266</v>
      </c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</row>
    <row r="260" ht="14.25" customHeight="1">
      <c r="A260" s="36">
        <v>70202.0</v>
      </c>
      <c r="B260" s="36" t="s">
        <v>279</v>
      </c>
      <c r="C260" s="39">
        <v>8.510000228881836</v>
      </c>
      <c r="D260" s="39">
        <v>2.4600000381469727</v>
      </c>
      <c r="E260" s="39">
        <v>7.289999961853027</v>
      </c>
      <c r="F260" s="39">
        <v>0.5799999833106995</v>
      </c>
      <c r="G260" s="39">
        <v>5.239999771118164</v>
      </c>
      <c r="H260" s="39">
        <v>9.90999984741211</v>
      </c>
      <c r="I260" s="39">
        <v>1.4700000286102295</v>
      </c>
      <c r="J260" s="39">
        <v>2.180000066757202</v>
      </c>
      <c r="K260" s="39">
        <v>37.13999938964844</v>
      </c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</row>
    <row r="261" ht="14.25" customHeight="1">
      <c r="A261" s="36">
        <v>70301.0</v>
      </c>
      <c r="B261" s="36" t="s">
        <v>280</v>
      </c>
      <c r="C261" s="39">
        <v>9.09000015258789</v>
      </c>
      <c r="D261" s="39">
        <v>2.0399999618530273</v>
      </c>
      <c r="E261" s="39">
        <v>20.079999923706055</v>
      </c>
      <c r="F261" s="39">
        <v>4.230000019073486</v>
      </c>
      <c r="G261" s="39">
        <v>7.349999904632568</v>
      </c>
      <c r="H261" s="39">
        <v>18.200000762939453</v>
      </c>
      <c r="I261" s="39">
        <v>9.399999618530273</v>
      </c>
      <c r="J261" s="39">
        <v>14.0600004196167</v>
      </c>
      <c r="K261" s="39">
        <v>41.029998779296875</v>
      </c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</row>
    <row r="262" ht="14.25" customHeight="1">
      <c r="A262" s="36">
        <v>70302.0</v>
      </c>
      <c r="B262" s="36" t="s">
        <v>281</v>
      </c>
      <c r="C262" s="39">
        <v>8.609999656677246</v>
      </c>
      <c r="D262" s="39">
        <v>1.9299999475479126</v>
      </c>
      <c r="E262" s="39">
        <v>30.690000534057617</v>
      </c>
      <c r="F262" s="39">
        <v>1.7400000095367432</v>
      </c>
      <c r="G262" s="39">
        <v>5.659999847412109</v>
      </c>
      <c r="H262" s="39">
        <v>17.170000076293945</v>
      </c>
      <c r="I262" s="39">
        <v>11.270000457763672</v>
      </c>
      <c r="J262" s="39">
        <v>25.68000030517578</v>
      </c>
      <c r="K262" s="39">
        <v>35.15999984741211</v>
      </c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</row>
    <row r="263" ht="14.25" customHeight="1">
      <c r="A263" s="36">
        <v>70303.0</v>
      </c>
      <c r="B263" s="36" t="s">
        <v>282</v>
      </c>
      <c r="C263" s="39">
        <v>5.510000228881836</v>
      </c>
      <c r="D263" s="39">
        <v>4.5</v>
      </c>
      <c r="E263" s="39">
        <v>29.989999771118164</v>
      </c>
      <c r="F263" s="39">
        <v>2.5399999618530273</v>
      </c>
      <c r="G263" s="39">
        <v>6.050000190734863</v>
      </c>
      <c r="H263" s="39">
        <v>14.40999984741211</v>
      </c>
      <c r="I263" s="39">
        <v>8.119999885559082</v>
      </c>
      <c r="J263" s="39">
        <v>27.899999618530273</v>
      </c>
      <c r="K263" s="39">
        <v>33.08000183105469</v>
      </c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</row>
    <row r="264" ht="14.25" customHeight="1">
      <c r="A264" s="36">
        <v>70401.0</v>
      </c>
      <c r="B264" s="36" t="s">
        <v>283</v>
      </c>
      <c r="C264" s="39">
        <v>13.399999618530273</v>
      </c>
      <c r="D264" s="39">
        <v>0.9599999785423279</v>
      </c>
      <c r="E264" s="39">
        <v>7.46999979019165</v>
      </c>
      <c r="F264" s="39">
        <v>0.8299999833106995</v>
      </c>
      <c r="G264" s="39">
        <v>6.130000114440918</v>
      </c>
      <c r="H264" s="39">
        <v>10.470000267028809</v>
      </c>
      <c r="I264" s="39">
        <v>5.159999847412109</v>
      </c>
      <c r="J264" s="39">
        <v>4.940000057220459</v>
      </c>
      <c r="K264" s="39">
        <v>27.5</v>
      </c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</row>
    <row r="265" ht="14.25" customHeight="1">
      <c r="A265" s="36">
        <v>70402.0</v>
      </c>
      <c r="B265" s="36" t="s">
        <v>284</v>
      </c>
      <c r="C265" s="39">
        <v>12.470000267028809</v>
      </c>
      <c r="D265" s="39">
        <v>1.090000033378601</v>
      </c>
      <c r="E265" s="39">
        <v>8.220000267028809</v>
      </c>
      <c r="F265" s="39">
        <v>0.75</v>
      </c>
      <c r="G265" s="39">
        <v>5.519999980926514</v>
      </c>
      <c r="H265" s="39">
        <v>9.819999694824219</v>
      </c>
      <c r="I265" s="39">
        <v>4.78000020980835</v>
      </c>
      <c r="J265" s="39">
        <v>6.03000020980835</v>
      </c>
      <c r="K265" s="39">
        <v>45.939998626708984</v>
      </c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</row>
    <row r="266" ht="14.25" customHeight="1">
      <c r="A266" s="36">
        <v>70403.0</v>
      </c>
      <c r="B266" s="36" t="s">
        <v>285</v>
      </c>
      <c r="C266" s="39">
        <v>10.880000114440918</v>
      </c>
      <c r="D266" s="39">
        <v>0.8399999737739563</v>
      </c>
      <c r="E266" s="39">
        <v>9.40999984741211</v>
      </c>
      <c r="F266" s="39">
        <v>1.0299999713897705</v>
      </c>
      <c r="G266" s="39">
        <v>4.630000114440918</v>
      </c>
      <c r="H266" s="39">
        <v>8.949999809265137</v>
      </c>
      <c r="I266" s="39">
        <v>13.770000457763672</v>
      </c>
      <c r="J266" s="39">
        <v>15.359999656677246</v>
      </c>
      <c r="K266" s="39">
        <v>51.29999923706055</v>
      </c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</row>
    <row r="267" ht="14.25" customHeight="1">
      <c r="A267" s="36">
        <v>70404.0</v>
      </c>
      <c r="B267" s="36" t="s">
        <v>286</v>
      </c>
      <c r="C267" s="39">
        <v>7.710000038146973</v>
      </c>
      <c r="D267" s="39">
        <v>1.090000033378601</v>
      </c>
      <c r="E267" s="39">
        <v>8.680000305175781</v>
      </c>
      <c r="F267" s="39">
        <v>0.44999998807907104</v>
      </c>
      <c r="G267" s="39">
        <v>5.329999923706055</v>
      </c>
      <c r="H267" s="39">
        <v>9.680000305175781</v>
      </c>
      <c r="I267" s="39">
        <v>10.850000381469727</v>
      </c>
      <c r="J267" s="39">
        <v>8.819999694824219</v>
      </c>
      <c r="K267" s="39">
        <v>33.0099983215332</v>
      </c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</row>
    <row r="268" ht="14.25" customHeight="1">
      <c r="A268" s="36">
        <v>70501.0</v>
      </c>
      <c r="B268" s="36" t="s">
        <v>287</v>
      </c>
      <c r="C268" s="39">
        <v>3.640000104904175</v>
      </c>
      <c r="D268" s="39">
        <v>3.009999990463257</v>
      </c>
      <c r="E268" s="39">
        <v>46.90999984741211</v>
      </c>
      <c r="F268" s="39">
        <v>6.869999885559082</v>
      </c>
      <c r="G268" s="39">
        <v>3.5999999046325684</v>
      </c>
      <c r="H268" s="39">
        <v>27.799999237060547</v>
      </c>
      <c r="I268" s="39">
        <v>5.96999979019165</v>
      </c>
      <c r="J268" s="39">
        <v>20.790000915527344</v>
      </c>
      <c r="K268" s="39">
        <v>24.040000915527344</v>
      </c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</row>
    <row r="269" ht="14.25" customHeight="1">
      <c r="A269" s="36">
        <v>70502.0</v>
      </c>
      <c r="B269" s="36" t="s">
        <v>288</v>
      </c>
      <c r="C269" s="39">
        <v>4.440000057220459</v>
      </c>
      <c r="D269" s="39">
        <v>2.7799999713897705</v>
      </c>
      <c r="E269" s="39">
        <v>41.290000915527344</v>
      </c>
      <c r="F269" s="39">
        <v>5.769999980926514</v>
      </c>
      <c r="G269" s="39">
        <v>4.349999904632568</v>
      </c>
      <c r="H269" s="39">
        <v>28.170000076293945</v>
      </c>
      <c r="I269" s="39">
        <v>5.710000038146973</v>
      </c>
      <c r="J269" s="39">
        <v>9.010000228881836</v>
      </c>
      <c r="K269" s="39">
        <v>34.45000076293945</v>
      </c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</row>
    <row r="270" ht="14.25" customHeight="1">
      <c r="A270" s="36">
        <v>70503.0</v>
      </c>
      <c r="B270" s="36" t="s">
        <v>289</v>
      </c>
      <c r="C270" s="39">
        <v>3.9800000190734863</v>
      </c>
      <c r="D270" s="39">
        <v>1.8600000143051147</v>
      </c>
      <c r="E270" s="39">
        <v>13.40999984741211</v>
      </c>
      <c r="F270" s="39">
        <v>1.2400000095367432</v>
      </c>
      <c r="G270" s="39">
        <v>4.610000133514404</v>
      </c>
      <c r="H270" s="39">
        <v>10.390000343322754</v>
      </c>
      <c r="I270" s="39">
        <v>4.829999923706055</v>
      </c>
      <c r="J270" s="39">
        <v>5.699999809265137</v>
      </c>
      <c r="K270" s="39">
        <v>35.43000030517578</v>
      </c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</row>
    <row r="271" ht="14.25" customHeight="1">
      <c r="A271" s="36">
        <v>70601.0</v>
      </c>
      <c r="B271" s="36" t="s">
        <v>290</v>
      </c>
      <c r="C271" s="39">
        <v>8.119999885559082</v>
      </c>
      <c r="D271" s="39">
        <v>1.6799999475479126</v>
      </c>
      <c r="E271" s="39">
        <v>6.769999980926514</v>
      </c>
      <c r="F271" s="39">
        <v>0.28999999165534973</v>
      </c>
      <c r="G271" s="39">
        <v>6.480000019073486</v>
      </c>
      <c r="H271" s="39">
        <v>8.399999618530273</v>
      </c>
      <c r="I271" s="39">
        <v>4.28000020980835</v>
      </c>
      <c r="J271" s="39">
        <v>1.159999966621399</v>
      </c>
      <c r="K271" s="39">
        <v>20.299999237060547</v>
      </c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</row>
    <row r="272" ht="14.25" customHeight="1">
      <c r="A272" s="36">
        <v>70602.0</v>
      </c>
      <c r="B272" s="36" t="s">
        <v>291</v>
      </c>
      <c r="C272" s="39">
        <v>12.520000457763672</v>
      </c>
      <c r="D272" s="39">
        <v>1.190000057220459</v>
      </c>
      <c r="E272" s="39">
        <v>8.829999923706055</v>
      </c>
      <c r="F272" s="39">
        <v>1.3700000047683716</v>
      </c>
      <c r="G272" s="39">
        <v>5.980000019073486</v>
      </c>
      <c r="H272" s="39">
        <v>10.220000267028809</v>
      </c>
      <c r="I272" s="39">
        <v>7.420000076293945</v>
      </c>
      <c r="J272" s="39">
        <v>13.40999984741211</v>
      </c>
      <c r="K272" s="39">
        <v>36.20000076293945</v>
      </c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</row>
    <row r="273" ht="14.25" customHeight="1">
      <c r="A273" s="36">
        <v>70603.0</v>
      </c>
      <c r="B273" s="36" t="s">
        <v>292</v>
      </c>
      <c r="C273" s="39">
        <v>6.769999980926514</v>
      </c>
      <c r="D273" s="39">
        <v>1.9299999475479126</v>
      </c>
      <c r="E273" s="39">
        <v>7.320000171661377</v>
      </c>
      <c r="F273" s="39">
        <v>0.6700000166893005</v>
      </c>
      <c r="G273" s="39">
        <v>7.820000171661377</v>
      </c>
      <c r="H273" s="39">
        <v>11.609999656677246</v>
      </c>
      <c r="I273" s="39">
        <v>4.760000228881836</v>
      </c>
      <c r="J273" s="39">
        <v>2.0</v>
      </c>
      <c r="K273" s="39">
        <v>72.38999938964844</v>
      </c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</row>
    <row r="274" ht="14.25" customHeight="1">
      <c r="A274" s="36">
        <v>70701.0</v>
      </c>
      <c r="B274" s="36" t="s">
        <v>293</v>
      </c>
      <c r="C274" s="39">
        <v>13.020000457763672</v>
      </c>
      <c r="D274" s="39">
        <v>0.9399999976158142</v>
      </c>
      <c r="E274" s="39">
        <v>13.270000457763672</v>
      </c>
      <c r="F274" s="39">
        <v>3.549999952316284</v>
      </c>
      <c r="G274" s="39">
        <v>6.260000228881836</v>
      </c>
      <c r="H274" s="39">
        <v>12.800000190734863</v>
      </c>
      <c r="I274" s="39">
        <v>10.90999984741211</v>
      </c>
      <c r="J274" s="39">
        <v>5.25</v>
      </c>
      <c r="K274" s="39">
        <v>14.069999694824219</v>
      </c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</row>
    <row r="275" ht="14.25" customHeight="1">
      <c r="A275" s="36">
        <v>70702.0</v>
      </c>
      <c r="B275" s="36" t="s">
        <v>294</v>
      </c>
      <c r="C275" s="39">
        <v>7.329999923706055</v>
      </c>
      <c r="D275" s="39">
        <v>4.820000171661377</v>
      </c>
      <c r="E275" s="39">
        <v>34.58000183105469</v>
      </c>
      <c r="F275" s="39">
        <v>3.799999952316284</v>
      </c>
      <c r="G275" s="39">
        <v>5.230000019073486</v>
      </c>
      <c r="H275" s="39">
        <v>24.8799991607666</v>
      </c>
      <c r="I275" s="39">
        <v>5.099999904632568</v>
      </c>
      <c r="J275" s="39">
        <v>14.970000267028809</v>
      </c>
      <c r="K275" s="39">
        <v>26.940000534057617</v>
      </c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</row>
    <row r="276" ht="14.25" customHeight="1">
      <c r="A276" s="36">
        <v>70703.0</v>
      </c>
      <c r="B276" s="36" t="s">
        <v>295</v>
      </c>
      <c r="C276" s="39">
        <v>8.25</v>
      </c>
      <c r="D276" s="39">
        <v>2.869999885559082</v>
      </c>
      <c r="E276" s="39">
        <v>36.599998474121094</v>
      </c>
      <c r="F276" s="39">
        <v>2.380000114440918</v>
      </c>
      <c r="G276" s="39">
        <v>5.409999847412109</v>
      </c>
      <c r="H276" s="39">
        <v>24.979999542236328</v>
      </c>
      <c r="I276" s="39">
        <v>5.400000095367432</v>
      </c>
      <c r="J276" s="39">
        <v>11.0600004196167</v>
      </c>
      <c r="K276" s="39">
        <v>33.150001525878906</v>
      </c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</row>
    <row r="277" ht="14.25" customHeight="1">
      <c r="A277" s="36">
        <v>70704.0</v>
      </c>
      <c r="B277" s="36" t="s">
        <v>296</v>
      </c>
      <c r="C277" s="39">
        <v>10.430000305175781</v>
      </c>
      <c r="D277" s="39">
        <v>0.3400000035762787</v>
      </c>
      <c r="E277" s="39">
        <v>16.489999771118164</v>
      </c>
      <c r="F277" s="39">
        <v>2.299999952316284</v>
      </c>
      <c r="G277" s="39">
        <v>4.210000038146973</v>
      </c>
      <c r="H277" s="39">
        <v>8.170000076293945</v>
      </c>
      <c r="I277" s="39">
        <v>3.690000057220459</v>
      </c>
      <c r="J277" s="39">
        <v>5.019999980926514</v>
      </c>
      <c r="K277" s="39">
        <v>29.40999984741211</v>
      </c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</row>
    <row r="278" ht="14.25" customHeight="1">
      <c r="A278" s="36">
        <v>70705.0</v>
      </c>
      <c r="B278" s="36" t="s">
        <v>297</v>
      </c>
      <c r="C278" s="39">
        <v>10.270000457763672</v>
      </c>
      <c r="D278" s="39">
        <v>0.9200000166893005</v>
      </c>
      <c r="E278" s="39">
        <v>17.43000030517578</v>
      </c>
      <c r="F278" s="39">
        <v>6.019999980926514</v>
      </c>
      <c r="G278" s="39">
        <v>8.180000305175781</v>
      </c>
      <c r="H278" s="39">
        <v>16.1200008392334</v>
      </c>
      <c r="I278" s="39">
        <v>12.199999809265137</v>
      </c>
      <c r="J278" s="39">
        <v>9.829999923706055</v>
      </c>
      <c r="K278" s="39">
        <v>22.100000381469727</v>
      </c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</row>
    <row r="279" ht="14.25" customHeight="1">
      <c r="A279" s="36">
        <v>70706.0</v>
      </c>
      <c r="B279" s="36" t="s">
        <v>298</v>
      </c>
      <c r="C279" s="39">
        <v>7.539999961853027</v>
      </c>
      <c r="D279" s="39">
        <v>0.6200000047683716</v>
      </c>
      <c r="E279" s="39">
        <v>6.099999904632568</v>
      </c>
      <c r="F279" s="39">
        <v>0.7400000095367432</v>
      </c>
      <c r="G279" s="39">
        <v>4.239999771118164</v>
      </c>
      <c r="H279" s="39">
        <v>5.570000171661377</v>
      </c>
      <c r="I279" s="39">
        <v>3.200000047683716</v>
      </c>
      <c r="J279" s="39">
        <v>2.0299999713897705</v>
      </c>
      <c r="K279" s="39">
        <v>28.489999771118164</v>
      </c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</row>
    <row r="280" ht="14.25" customHeight="1">
      <c r="A280" s="36">
        <v>70707.0</v>
      </c>
      <c r="B280" s="36" t="s">
        <v>299</v>
      </c>
      <c r="C280" s="39">
        <v>9.020000457763672</v>
      </c>
      <c r="D280" s="39">
        <v>3.700000047683716</v>
      </c>
      <c r="E280" s="39">
        <v>22.68000030517578</v>
      </c>
      <c r="F280" s="39">
        <v>5.630000114440918</v>
      </c>
      <c r="G280" s="39">
        <v>5.46999979019165</v>
      </c>
      <c r="H280" s="39">
        <v>15.149999618530273</v>
      </c>
      <c r="I280" s="39">
        <v>3.190000057220459</v>
      </c>
      <c r="J280" s="39">
        <v>10.880000114440918</v>
      </c>
      <c r="K280" s="39">
        <v>24.0</v>
      </c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</row>
    <row r="281" ht="14.25" customHeight="1">
      <c r="A281" s="36">
        <v>70801.0</v>
      </c>
      <c r="B281" s="36" t="s">
        <v>300</v>
      </c>
      <c r="C281" s="39">
        <v>10.329999923706055</v>
      </c>
      <c r="D281" s="39">
        <v>0.27000001072883606</v>
      </c>
      <c r="E281" s="39">
        <v>8.329999923706055</v>
      </c>
      <c r="F281" s="39">
        <v>0.3499999940395355</v>
      </c>
      <c r="G281" s="39">
        <v>3.359999895095825</v>
      </c>
      <c r="H281" s="39">
        <v>3.869999885559082</v>
      </c>
      <c r="I281" s="39">
        <v>5.150000095367432</v>
      </c>
      <c r="J281" s="39">
        <v>3.819999933242798</v>
      </c>
      <c r="K281" s="39">
        <v>25.690000534057617</v>
      </c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</row>
    <row r="282" ht="14.25" customHeight="1">
      <c r="A282" s="36">
        <v>70802.0</v>
      </c>
      <c r="B282" s="36" t="s">
        <v>301</v>
      </c>
      <c r="C282" s="39">
        <v>5.440000057220459</v>
      </c>
      <c r="D282" s="39">
        <v>0.4699999988079071</v>
      </c>
      <c r="E282" s="39">
        <v>6.480000019073486</v>
      </c>
      <c r="F282" s="39">
        <v>0.20999999344348907</v>
      </c>
      <c r="G282" s="39">
        <v>2.0</v>
      </c>
      <c r="H282" s="39">
        <v>4.329999923706055</v>
      </c>
      <c r="I282" s="39">
        <v>4.119999885559082</v>
      </c>
      <c r="J282" s="39">
        <v>2.3299999237060547</v>
      </c>
      <c r="K282" s="39">
        <v>11.630000114440918</v>
      </c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</row>
    <row r="283" ht="14.25" customHeight="1">
      <c r="A283" s="36">
        <v>70803.0</v>
      </c>
      <c r="B283" s="36" t="s">
        <v>302</v>
      </c>
      <c r="C283" s="39">
        <v>13.140000343322754</v>
      </c>
      <c r="D283" s="39">
        <v>0.28999999165534973</v>
      </c>
      <c r="E283" s="39">
        <v>11.220000267028809</v>
      </c>
      <c r="F283" s="39">
        <v>0.9399999976158142</v>
      </c>
      <c r="G283" s="39">
        <v>6.170000076293945</v>
      </c>
      <c r="H283" s="39">
        <v>7.909999847412109</v>
      </c>
      <c r="I283" s="39">
        <v>10.34000015258789</v>
      </c>
      <c r="J283" s="39">
        <v>6.269999980926514</v>
      </c>
      <c r="K283" s="39">
        <v>31.049999237060547</v>
      </c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</row>
    <row r="284" ht="14.25" customHeight="1">
      <c r="A284" s="36">
        <v>70804.0</v>
      </c>
      <c r="B284" s="36" t="s">
        <v>303</v>
      </c>
      <c r="C284" s="39">
        <v>14.5</v>
      </c>
      <c r="D284" s="39">
        <v>0.9700000286102295</v>
      </c>
      <c r="E284" s="39">
        <v>13.960000038146973</v>
      </c>
      <c r="F284" s="39">
        <v>2.1600000858306885</v>
      </c>
      <c r="G284" s="39">
        <v>5.099999904632568</v>
      </c>
      <c r="H284" s="39">
        <v>7.929999828338623</v>
      </c>
      <c r="I284" s="39">
        <v>18.75</v>
      </c>
      <c r="J284" s="39">
        <v>9.289999961853027</v>
      </c>
      <c r="K284" s="39">
        <v>31.100000381469727</v>
      </c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</row>
    <row r="285" ht="14.25" customHeight="1">
      <c r="A285" s="36">
        <v>70805.0</v>
      </c>
      <c r="B285" s="36" t="s">
        <v>304</v>
      </c>
      <c r="C285" s="39">
        <v>10.119999885559082</v>
      </c>
      <c r="D285" s="39">
        <v>1.0</v>
      </c>
      <c r="E285" s="39">
        <v>11.489999771118164</v>
      </c>
      <c r="F285" s="39">
        <v>1.2000000476837158</v>
      </c>
      <c r="G285" s="39">
        <v>1.940000057220459</v>
      </c>
      <c r="H285" s="39">
        <v>4.679999828338623</v>
      </c>
      <c r="I285" s="39">
        <v>6.920000076293945</v>
      </c>
      <c r="J285" s="39">
        <v>9.260000228881836</v>
      </c>
      <c r="K285" s="39">
        <v>39.56999969482422</v>
      </c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</row>
    <row r="286" ht="14.25" customHeight="1">
      <c r="A286" s="36">
        <v>70901.0</v>
      </c>
      <c r="B286" s="36" t="s">
        <v>305</v>
      </c>
      <c r="C286" s="39">
        <v>10.630000114440918</v>
      </c>
      <c r="D286" s="39">
        <v>1.5299999713897705</v>
      </c>
      <c r="E286" s="39">
        <v>8.3100004196167</v>
      </c>
      <c r="F286" s="39">
        <v>2.130000114440918</v>
      </c>
      <c r="G286" s="39">
        <v>3.9100000858306885</v>
      </c>
      <c r="H286" s="39">
        <v>8.5600004196167</v>
      </c>
      <c r="I286" s="39">
        <v>8.329999923706055</v>
      </c>
      <c r="J286" s="39">
        <v>4.650000095367432</v>
      </c>
      <c r="K286" s="39">
        <v>34.77000045776367</v>
      </c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</row>
    <row r="287" ht="14.25" customHeight="1">
      <c r="A287" s="36">
        <v>70902.0</v>
      </c>
      <c r="B287" s="36" t="s">
        <v>306</v>
      </c>
      <c r="C287" s="39">
        <v>14.039999961853027</v>
      </c>
      <c r="D287" s="39">
        <v>0.7300000190734863</v>
      </c>
      <c r="E287" s="39">
        <v>6.090000152587891</v>
      </c>
      <c r="F287" s="39">
        <v>3.7899999618530273</v>
      </c>
      <c r="G287" s="39">
        <v>5.730000019073486</v>
      </c>
      <c r="H287" s="39">
        <v>9.59000015258789</v>
      </c>
      <c r="I287" s="39">
        <v>3.8299999237060547</v>
      </c>
      <c r="J287" s="39">
        <v>8.880000114440918</v>
      </c>
      <c r="K287" s="39">
        <v>27.770000457763672</v>
      </c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</row>
    <row r="288" ht="14.25" customHeight="1">
      <c r="A288" s="36">
        <v>70903.0</v>
      </c>
      <c r="B288" s="36" t="s">
        <v>307</v>
      </c>
      <c r="C288" s="39">
        <v>12.300000190734863</v>
      </c>
      <c r="D288" s="39">
        <v>0.4699999988079071</v>
      </c>
      <c r="E288" s="39">
        <v>9.279999732971191</v>
      </c>
      <c r="F288" s="39">
        <v>1.600000023841858</v>
      </c>
      <c r="G288" s="39">
        <v>5.460000038146973</v>
      </c>
      <c r="H288" s="39">
        <v>10.010000228881836</v>
      </c>
      <c r="I288" s="39">
        <v>5.840000152587891</v>
      </c>
      <c r="J288" s="39">
        <v>10.6899995803833</v>
      </c>
      <c r="K288" s="39">
        <v>52.2599983215332</v>
      </c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</row>
    <row r="289" ht="14.25" customHeight="1">
      <c r="A289" s="36">
        <v>70904.0</v>
      </c>
      <c r="B289" s="36" t="s">
        <v>308</v>
      </c>
      <c r="C289" s="39">
        <v>11.050000190734863</v>
      </c>
      <c r="D289" s="39">
        <v>2.2200000286102295</v>
      </c>
      <c r="E289" s="39">
        <v>10.649999618530273</v>
      </c>
      <c r="F289" s="39">
        <v>0.949999988079071</v>
      </c>
      <c r="G289" s="39">
        <v>3.700000047683716</v>
      </c>
      <c r="H289" s="39">
        <v>9.579999923706055</v>
      </c>
      <c r="I289" s="39">
        <v>6.960000038146973</v>
      </c>
      <c r="J289" s="39">
        <v>8.199999809265137</v>
      </c>
      <c r="K289" s="39">
        <v>23.760000228881836</v>
      </c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</row>
    <row r="290" ht="14.25" customHeight="1">
      <c r="A290" s="36">
        <v>71001.0</v>
      </c>
      <c r="B290" s="36" t="s">
        <v>309</v>
      </c>
      <c r="C290" s="39">
        <v>7.71999979019165</v>
      </c>
      <c r="D290" s="39">
        <v>0.9900000095367432</v>
      </c>
      <c r="E290" s="39">
        <v>4.789999961853027</v>
      </c>
      <c r="F290" s="39">
        <v>0.5400000214576721</v>
      </c>
      <c r="G290" s="39">
        <v>4.679999828338623</v>
      </c>
      <c r="H290" s="39">
        <v>8.479999542236328</v>
      </c>
      <c r="I290" s="39">
        <v>4.769999980926514</v>
      </c>
      <c r="J290" s="39">
        <v>0.699999988079071</v>
      </c>
      <c r="K290" s="39">
        <v>57.939998626708984</v>
      </c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</row>
    <row r="291" ht="14.25" customHeight="1">
      <c r="A291" s="36">
        <v>71002.0</v>
      </c>
      <c r="B291" s="36" t="s">
        <v>310</v>
      </c>
      <c r="C291" s="39">
        <v>13.510000228881836</v>
      </c>
      <c r="D291" s="39">
        <v>1.4800000190734863</v>
      </c>
      <c r="E291" s="39">
        <v>10.449999809265137</v>
      </c>
      <c r="F291" s="39">
        <v>1.2100000381469727</v>
      </c>
      <c r="G291" s="39">
        <v>8.210000038146973</v>
      </c>
      <c r="H291" s="39">
        <v>14.34000015258789</v>
      </c>
      <c r="I291" s="39">
        <v>3.7300000190734863</v>
      </c>
      <c r="J291" s="39">
        <v>4.210000038146973</v>
      </c>
      <c r="K291" s="39">
        <v>48.310001373291016</v>
      </c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</row>
    <row r="292" ht="14.25" customHeight="1">
      <c r="A292" s="36">
        <v>71003.0</v>
      </c>
      <c r="B292" s="36" t="s">
        <v>311</v>
      </c>
      <c r="C292" s="39">
        <v>10.25</v>
      </c>
      <c r="D292" s="39">
        <v>1.4700000286102295</v>
      </c>
      <c r="E292" s="39">
        <v>8.399999618530273</v>
      </c>
      <c r="F292" s="39">
        <v>0.6399999856948853</v>
      </c>
      <c r="G292" s="39">
        <v>6.059999942779541</v>
      </c>
      <c r="H292" s="39">
        <v>11.59000015258789</v>
      </c>
      <c r="I292" s="39">
        <v>2.299999952316284</v>
      </c>
      <c r="J292" s="39">
        <v>2.3399999141693115</v>
      </c>
      <c r="K292" s="39">
        <v>46.630001068115234</v>
      </c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</row>
    <row r="293" ht="14.25" customHeight="1">
      <c r="A293" s="36">
        <v>71004.0</v>
      </c>
      <c r="B293" s="36" t="s">
        <v>312</v>
      </c>
      <c r="C293" s="39">
        <v>14.850000381469727</v>
      </c>
      <c r="D293" s="39">
        <v>1.149999976158142</v>
      </c>
      <c r="E293" s="39">
        <v>6.460000038146973</v>
      </c>
      <c r="F293" s="39">
        <v>0.7900000214576721</v>
      </c>
      <c r="G293" s="39">
        <v>5.570000171661377</v>
      </c>
      <c r="H293" s="39">
        <v>13.3100004196167</v>
      </c>
      <c r="I293" s="39">
        <v>3.559999942779541</v>
      </c>
      <c r="J293" s="39">
        <v>5.78000020980835</v>
      </c>
      <c r="K293" s="39">
        <v>55.33000183105469</v>
      </c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</row>
    <row r="294" ht="14.25" customHeight="1">
      <c r="A294" s="36">
        <v>71005.0</v>
      </c>
      <c r="B294" s="36" t="s">
        <v>238</v>
      </c>
      <c r="C294" s="39">
        <v>11.850000381469727</v>
      </c>
      <c r="D294" s="39">
        <v>1.6299999952316284</v>
      </c>
      <c r="E294" s="39">
        <v>6.21999979019165</v>
      </c>
      <c r="F294" s="39">
        <v>0.6000000238418579</v>
      </c>
      <c r="G294" s="39">
        <v>5.21999979019165</v>
      </c>
      <c r="H294" s="39">
        <v>10.75</v>
      </c>
      <c r="I294" s="39">
        <v>4.070000171661377</v>
      </c>
      <c r="J294" s="39">
        <v>4.25</v>
      </c>
      <c r="K294" s="39">
        <v>53.439998626708984</v>
      </c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</row>
    <row r="295" ht="14.25" customHeight="1">
      <c r="A295" s="36">
        <v>71101.0</v>
      </c>
      <c r="B295" s="36" t="s">
        <v>313</v>
      </c>
      <c r="C295" s="39">
        <v>11.15999984741211</v>
      </c>
      <c r="D295" s="39">
        <v>1.8200000524520874</v>
      </c>
      <c r="E295" s="39">
        <v>15.350000381469727</v>
      </c>
      <c r="F295" s="39">
        <v>3.7200000286102295</v>
      </c>
      <c r="G295" s="39">
        <v>7.340000152587891</v>
      </c>
      <c r="H295" s="39">
        <v>14.600000381469727</v>
      </c>
      <c r="I295" s="39">
        <v>20.09000015258789</v>
      </c>
      <c r="J295" s="39">
        <v>17.709999084472656</v>
      </c>
      <c r="K295" s="39">
        <v>48.869998931884766</v>
      </c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</row>
    <row r="296" ht="14.25" customHeight="1">
      <c r="A296" s="36">
        <v>71102.0</v>
      </c>
      <c r="B296" s="36" t="s">
        <v>314</v>
      </c>
      <c r="C296" s="39">
        <v>12.430000305175781</v>
      </c>
      <c r="D296" s="39">
        <v>2.6600000858306885</v>
      </c>
      <c r="E296" s="39">
        <v>13.890000343322754</v>
      </c>
      <c r="F296" s="39">
        <v>2.700000047683716</v>
      </c>
      <c r="G296" s="39">
        <v>6.650000095367432</v>
      </c>
      <c r="H296" s="39">
        <v>13.510000228881836</v>
      </c>
      <c r="I296" s="39">
        <v>10.15999984741211</v>
      </c>
      <c r="J296" s="39">
        <v>5.949999809265137</v>
      </c>
      <c r="K296" s="39">
        <v>55.43000030517578</v>
      </c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</row>
    <row r="297" ht="14.25" customHeight="1">
      <c r="A297" s="36">
        <v>71103.0</v>
      </c>
      <c r="B297" s="36" t="s">
        <v>315</v>
      </c>
      <c r="C297" s="39">
        <v>9.670000076293945</v>
      </c>
      <c r="D297" s="39">
        <v>1.9800000190734863</v>
      </c>
      <c r="E297" s="39">
        <v>12.329999923706055</v>
      </c>
      <c r="F297" s="39">
        <v>1.6100000143051147</v>
      </c>
      <c r="G297" s="39">
        <v>7.130000114440918</v>
      </c>
      <c r="H297" s="39">
        <v>12.569999694824219</v>
      </c>
      <c r="I297" s="39">
        <v>3.859999895095825</v>
      </c>
      <c r="J297" s="39">
        <v>7.489999771118164</v>
      </c>
      <c r="K297" s="39">
        <v>80.44000244140625</v>
      </c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</row>
    <row r="298" ht="14.25" customHeight="1">
      <c r="A298" s="36">
        <v>71104.0</v>
      </c>
      <c r="B298" s="36" t="s">
        <v>316</v>
      </c>
      <c r="C298" s="39">
        <v>11.890000343322754</v>
      </c>
      <c r="D298" s="39">
        <v>1.1399999856948853</v>
      </c>
      <c r="E298" s="39">
        <v>9.149999618530273</v>
      </c>
      <c r="F298" s="39">
        <v>0.949999988079071</v>
      </c>
      <c r="G298" s="39">
        <v>4.929999828338623</v>
      </c>
      <c r="H298" s="39">
        <v>11.710000038146973</v>
      </c>
      <c r="I298" s="39">
        <v>3.3299999237060547</v>
      </c>
      <c r="J298" s="39">
        <v>6.989999771118164</v>
      </c>
      <c r="K298" s="39">
        <v>55.939998626708984</v>
      </c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</row>
    <row r="299" ht="14.25" customHeight="1">
      <c r="A299" s="36">
        <v>71105.0</v>
      </c>
      <c r="B299" s="36" t="s">
        <v>317</v>
      </c>
      <c r="C299" s="39">
        <v>15.329999923706055</v>
      </c>
      <c r="D299" s="39">
        <v>0.8700000047683716</v>
      </c>
      <c r="E299" s="39">
        <v>17.770000457763672</v>
      </c>
      <c r="F299" s="39">
        <v>6.71999979019165</v>
      </c>
      <c r="G299" s="39">
        <v>9.6899995803833</v>
      </c>
      <c r="H299" s="39">
        <v>15.300000190734863</v>
      </c>
      <c r="I299" s="39">
        <v>5.260000228881836</v>
      </c>
      <c r="J299" s="39">
        <v>4.329999923706055</v>
      </c>
      <c r="K299" s="39">
        <v>6.309999942779541</v>
      </c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</row>
    <row r="300" ht="14.25" customHeight="1">
      <c r="A300" s="36">
        <v>71106.0</v>
      </c>
      <c r="B300" s="36" t="s">
        <v>318</v>
      </c>
      <c r="C300" s="39">
        <v>9.640000343322754</v>
      </c>
      <c r="D300" s="39">
        <v>2.9000000953674316</v>
      </c>
      <c r="E300" s="39">
        <v>19.1299991607666</v>
      </c>
      <c r="F300" s="39">
        <v>2.5199999809265137</v>
      </c>
      <c r="G300" s="39">
        <v>4.670000076293945</v>
      </c>
      <c r="H300" s="39">
        <v>21.020000457763672</v>
      </c>
      <c r="I300" s="39">
        <v>3.069999933242798</v>
      </c>
      <c r="J300" s="39">
        <v>3.759999990463257</v>
      </c>
      <c r="K300" s="39">
        <v>24.690000534057617</v>
      </c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</row>
    <row r="301" ht="14.25" customHeight="1">
      <c r="A301" s="36">
        <v>71201.0</v>
      </c>
      <c r="B301" s="36" t="s">
        <v>319</v>
      </c>
      <c r="C301" s="39">
        <v>6.28000020980835</v>
      </c>
      <c r="D301" s="39">
        <v>5.829999923706055</v>
      </c>
      <c r="E301" s="39">
        <v>16.299999237060547</v>
      </c>
      <c r="F301" s="39">
        <v>3.609999895095825</v>
      </c>
      <c r="G301" s="39">
        <v>7.579999923706055</v>
      </c>
      <c r="H301" s="39">
        <v>14.479999542236328</v>
      </c>
      <c r="I301" s="39">
        <v>23.200000762939453</v>
      </c>
      <c r="J301" s="39">
        <v>7.260000228881836</v>
      </c>
      <c r="K301" s="39">
        <v>50.209999084472656</v>
      </c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</row>
    <row r="302" ht="14.25" customHeight="1">
      <c r="A302" s="36">
        <v>71301.0</v>
      </c>
      <c r="B302" s="36" t="s">
        <v>320</v>
      </c>
      <c r="C302" s="39">
        <v>12.6899995803833</v>
      </c>
      <c r="D302" s="39">
        <v>0.46000000834465027</v>
      </c>
      <c r="E302" s="39">
        <v>5.940000057220459</v>
      </c>
      <c r="F302" s="39">
        <v>1.2899999618530273</v>
      </c>
      <c r="G302" s="39">
        <v>5.409999847412109</v>
      </c>
      <c r="H302" s="39">
        <v>8.020000457763672</v>
      </c>
      <c r="I302" s="39">
        <v>20.940000534057617</v>
      </c>
      <c r="J302" s="39">
        <v>6.5</v>
      </c>
      <c r="K302" s="39">
        <v>27.639999389648438</v>
      </c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</row>
    <row r="303" ht="14.25" customHeight="1">
      <c r="A303" s="36">
        <v>71302.0</v>
      </c>
      <c r="B303" s="36" t="s">
        <v>321</v>
      </c>
      <c r="C303" s="39">
        <v>12.239999771118164</v>
      </c>
      <c r="D303" s="39">
        <v>0.4000000059604645</v>
      </c>
      <c r="E303" s="39">
        <v>5.570000171661377</v>
      </c>
      <c r="F303" s="39">
        <v>1.1799999475479126</v>
      </c>
      <c r="G303" s="39">
        <v>3.8499999046325684</v>
      </c>
      <c r="H303" s="39">
        <v>11.770000457763672</v>
      </c>
      <c r="I303" s="39">
        <v>8.5600004196167</v>
      </c>
      <c r="J303" s="39">
        <v>4.429999828338623</v>
      </c>
      <c r="K303" s="39">
        <v>45.599998474121094</v>
      </c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</row>
    <row r="304" ht="14.25" customHeight="1">
      <c r="A304" s="36">
        <v>71401.0</v>
      </c>
      <c r="B304" s="36" t="s">
        <v>322</v>
      </c>
      <c r="C304" s="39">
        <v>4.139999866485596</v>
      </c>
      <c r="D304" s="39">
        <v>1.4600000381469727</v>
      </c>
      <c r="E304" s="39">
        <v>10.359999656677246</v>
      </c>
      <c r="F304" s="39">
        <v>0.7200000286102295</v>
      </c>
      <c r="G304" s="39">
        <v>4.659999847412109</v>
      </c>
      <c r="H304" s="39">
        <v>10.239999771118164</v>
      </c>
      <c r="I304" s="39">
        <v>3.7100000381469727</v>
      </c>
      <c r="J304" s="39">
        <v>4.880000114440918</v>
      </c>
      <c r="K304" s="39">
        <v>63.22999954223633</v>
      </c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</row>
    <row r="305" ht="14.25" customHeight="1">
      <c r="A305" s="36">
        <v>71402.0</v>
      </c>
      <c r="B305" s="36" t="s">
        <v>323</v>
      </c>
      <c r="C305" s="39">
        <v>3.930000066757202</v>
      </c>
      <c r="D305" s="39">
        <v>4.099999904632568</v>
      </c>
      <c r="E305" s="39">
        <v>6.590000152587891</v>
      </c>
      <c r="F305" s="39">
        <v>0.7200000286102295</v>
      </c>
      <c r="G305" s="39">
        <v>6.079999923706055</v>
      </c>
      <c r="H305" s="39">
        <v>9.319999694824219</v>
      </c>
      <c r="I305" s="39">
        <v>2.8299999237060547</v>
      </c>
      <c r="J305" s="39">
        <v>1.5700000524520874</v>
      </c>
      <c r="K305" s="39">
        <v>85.80999755859375</v>
      </c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</row>
    <row r="306" ht="14.25" customHeight="1">
      <c r="A306" s="36">
        <v>71403.0</v>
      </c>
      <c r="B306" s="36" t="s">
        <v>324</v>
      </c>
      <c r="C306" s="39">
        <v>4.900000095367432</v>
      </c>
      <c r="D306" s="39">
        <v>3.809999942779541</v>
      </c>
      <c r="E306" s="39">
        <v>28.700000762939453</v>
      </c>
      <c r="F306" s="39">
        <v>4.619999885559082</v>
      </c>
      <c r="G306" s="39">
        <v>5.349999904632568</v>
      </c>
      <c r="H306" s="39">
        <v>17.68000030517578</v>
      </c>
      <c r="I306" s="39">
        <v>9.760000228881836</v>
      </c>
      <c r="J306" s="39">
        <v>15.430000305175781</v>
      </c>
      <c r="K306" s="39">
        <v>22.579999923706055</v>
      </c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</row>
    <row r="307" ht="14.25" customHeight="1">
      <c r="A307" s="36">
        <v>71501.0</v>
      </c>
      <c r="B307" s="36" t="s">
        <v>325</v>
      </c>
      <c r="C307" s="39">
        <v>8.729999542236328</v>
      </c>
      <c r="D307" s="39">
        <v>1.899999976158142</v>
      </c>
      <c r="E307" s="39">
        <v>14.359999656677246</v>
      </c>
      <c r="F307" s="39">
        <v>1.7100000381469727</v>
      </c>
      <c r="G307" s="39">
        <v>7.449999809265137</v>
      </c>
      <c r="H307" s="39">
        <v>16.030000686645508</v>
      </c>
      <c r="I307" s="39">
        <v>25.239999771118164</v>
      </c>
      <c r="J307" s="39">
        <v>15.979999542236328</v>
      </c>
      <c r="K307" s="39">
        <v>70.68000030517578</v>
      </c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</row>
    <row r="308" ht="14.25" customHeight="1">
      <c r="A308" s="36">
        <v>71502.0</v>
      </c>
      <c r="B308" s="36" t="s">
        <v>326</v>
      </c>
      <c r="C308" s="39">
        <v>7.070000171661377</v>
      </c>
      <c r="D308" s="39">
        <v>1.2400000095367432</v>
      </c>
      <c r="E308" s="39">
        <v>16.700000762939453</v>
      </c>
      <c r="F308" s="39">
        <v>2.2100000381469727</v>
      </c>
      <c r="G308" s="39">
        <v>7.480000019073486</v>
      </c>
      <c r="H308" s="39">
        <v>16.040000915527344</v>
      </c>
      <c r="I308" s="39">
        <v>17.350000381469727</v>
      </c>
      <c r="J308" s="39">
        <v>12.180000305175781</v>
      </c>
      <c r="K308" s="39">
        <v>45.279998779296875</v>
      </c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</row>
    <row r="309" ht="14.25" customHeight="1">
      <c r="A309" s="36">
        <v>71503.0</v>
      </c>
      <c r="B309" s="36" t="s">
        <v>272</v>
      </c>
      <c r="C309" s="39">
        <v>11.859999656677246</v>
      </c>
      <c r="D309" s="39">
        <v>1.659999966621399</v>
      </c>
      <c r="E309" s="39">
        <v>17.6200008392334</v>
      </c>
      <c r="F309" s="39">
        <v>1.9299999475479126</v>
      </c>
      <c r="G309" s="39">
        <v>5.380000114440918</v>
      </c>
      <c r="H309" s="39">
        <v>14.039999961853027</v>
      </c>
      <c r="I309" s="39">
        <v>14.460000038146973</v>
      </c>
      <c r="J309" s="39">
        <v>25.40999984741211</v>
      </c>
      <c r="K309" s="39">
        <v>34.77000045776367</v>
      </c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</row>
    <row r="310" ht="14.25" customHeight="1">
      <c r="A310" s="36">
        <v>80101.0</v>
      </c>
      <c r="B310" s="36" t="s">
        <v>327</v>
      </c>
      <c r="C310" s="39">
        <v>4.679999828338623</v>
      </c>
      <c r="D310" s="39">
        <v>0.6200000047683716</v>
      </c>
      <c r="E310" s="39">
        <v>5.71999979019165</v>
      </c>
      <c r="F310" s="39">
        <v>1.0700000524520874</v>
      </c>
      <c r="G310" s="39">
        <v>6.269999980926514</v>
      </c>
      <c r="H310" s="39">
        <v>7.079999923706055</v>
      </c>
      <c r="I310" s="39">
        <v>41.25</v>
      </c>
      <c r="J310" s="39">
        <v>1.7400000095367432</v>
      </c>
      <c r="K310" s="39">
        <v>67.97000122070312</v>
      </c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</row>
    <row r="311" ht="14.25" customHeight="1">
      <c r="A311" s="36">
        <v>80102.0</v>
      </c>
      <c r="B311" s="36" t="s">
        <v>314</v>
      </c>
      <c r="C311" s="39">
        <v>6.980000019073486</v>
      </c>
      <c r="D311" s="39">
        <v>1.190000057220459</v>
      </c>
      <c r="E311" s="39">
        <v>43.13999938964844</v>
      </c>
      <c r="F311" s="39">
        <v>8.180000305175781</v>
      </c>
      <c r="G311" s="39">
        <v>6.480000019073486</v>
      </c>
      <c r="H311" s="39">
        <v>25.90999984741211</v>
      </c>
      <c r="I311" s="39">
        <v>21.229999542236328</v>
      </c>
      <c r="J311" s="39">
        <v>28.989999771118164</v>
      </c>
      <c r="K311" s="39">
        <v>14.199999809265137</v>
      </c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</row>
    <row r="312" ht="14.25" customHeight="1">
      <c r="A312" s="36">
        <v>80201.0</v>
      </c>
      <c r="B312" s="36" t="s">
        <v>328</v>
      </c>
      <c r="C312" s="39">
        <v>5.849999904632568</v>
      </c>
      <c r="D312" s="39">
        <v>0.7400000095367432</v>
      </c>
      <c r="E312" s="39">
        <v>10.779999732971191</v>
      </c>
      <c r="F312" s="39">
        <v>1.6100000143051147</v>
      </c>
      <c r="G312" s="39">
        <v>9.40999984741211</v>
      </c>
      <c r="H312" s="39">
        <v>11.880000114440918</v>
      </c>
      <c r="I312" s="39">
        <v>75.18000030517578</v>
      </c>
      <c r="J312" s="39">
        <v>8.4399995803833</v>
      </c>
      <c r="K312" s="39">
        <v>66.58000183105469</v>
      </c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</row>
    <row r="313" ht="14.25" customHeight="1">
      <c r="A313" s="36">
        <v>80202.0</v>
      </c>
      <c r="B313" s="36" t="s">
        <v>329</v>
      </c>
      <c r="C313" s="39">
        <v>5.650000095367432</v>
      </c>
      <c r="D313" s="39">
        <v>1.8799999952316284</v>
      </c>
      <c r="E313" s="39">
        <v>13.069999694824219</v>
      </c>
      <c r="F313" s="39">
        <v>0.9300000071525574</v>
      </c>
      <c r="G313" s="39">
        <v>7.769999980926514</v>
      </c>
      <c r="H313" s="39">
        <v>9.970000267028809</v>
      </c>
      <c r="I313" s="39">
        <v>17.1200008392334</v>
      </c>
      <c r="J313" s="39">
        <v>5.909999847412109</v>
      </c>
      <c r="K313" s="39">
        <v>54.36000061035156</v>
      </c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</row>
    <row r="314" ht="14.25" customHeight="1">
      <c r="A314" s="36">
        <v>80301.0</v>
      </c>
      <c r="B314" s="36" t="s">
        <v>330</v>
      </c>
      <c r="C314" s="39">
        <v>6.619999885559082</v>
      </c>
      <c r="D314" s="39">
        <v>0.8500000238418579</v>
      </c>
      <c r="E314" s="39">
        <v>13.6899995803833</v>
      </c>
      <c r="F314" s="39">
        <v>6.03000020980835</v>
      </c>
      <c r="G314" s="39">
        <v>7.190000057220459</v>
      </c>
      <c r="H314" s="39">
        <v>11.869999885559082</v>
      </c>
      <c r="I314" s="39">
        <v>63.02000045776367</v>
      </c>
      <c r="J314" s="39">
        <v>17.639999389648438</v>
      </c>
      <c r="K314" s="39">
        <v>56.72999954223633</v>
      </c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</row>
    <row r="315" ht="14.25" customHeight="1">
      <c r="A315" s="36">
        <v>80302.0</v>
      </c>
      <c r="B315" s="36" t="s">
        <v>331</v>
      </c>
      <c r="C315" s="39">
        <v>17.75</v>
      </c>
      <c r="D315" s="39">
        <v>2.640000104904175</v>
      </c>
      <c r="E315" s="39">
        <v>26.479999542236328</v>
      </c>
      <c r="F315" s="39">
        <v>16.940000534057617</v>
      </c>
      <c r="G315" s="39">
        <v>7.619999885559082</v>
      </c>
      <c r="H315" s="39">
        <v>16.6299991607666</v>
      </c>
      <c r="I315" s="39">
        <v>39.279998779296875</v>
      </c>
      <c r="J315" s="39">
        <v>31.68000030517578</v>
      </c>
      <c r="K315" s="39">
        <v>61.79999923706055</v>
      </c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</row>
    <row r="316" ht="14.25" customHeight="1">
      <c r="A316" s="36">
        <v>80303.0</v>
      </c>
      <c r="B316" s="36" t="s">
        <v>291</v>
      </c>
      <c r="C316" s="39">
        <v>8.130000114440918</v>
      </c>
      <c r="D316" s="39">
        <v>1.649999976158142</v>
      </c>
      <c r="E316" s="39">
        <v>12.4399995803833</v>
      </c>
      <c r="F316" s="39">
        <v>5.949999809265137</v>
      </c>
      <c r="G316" s="39">
        <v>9.920000076293945</v>
      </c>
      <c r="H316" s="39">
        <v>13.229999542236328</v>
      </c>
      <c r="I316" s="39">
        <v>15.970000267028809</v>
      </c>
      <c r="J316" s="39">
        <v>14.449999809265137</v>
      </c>
      <c r="K316" s="39">
        <v>45.939998626708984</v>
      </c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</row>
    <row r="317" ht="14.25" customHeight="1">
      <c r="A317" s="36">
        <v>80304.0</v>
      </c>
      <c r="B317" s="36" t="s">
        <v>332</v>
      </c>
      <c r="C317" s="39">
        <v>7.519999980926514</v>
      </c>
      <c r="D317" s="39">
        <v>0.9100000262260437</v>
      </c>
      <c r="E317" s="39">
        <v>12.949999809265137</v>
      </c>
      <c r="F317" s="39">
        <v>6.070000171661377</v>
      </c>
      <c r="G317" s="39">
        <v>5.900000095367432</v>
      </c>
      <c r="H317" s="39">
        <v>9.9399995803833</v>
      </c>
      <c r="I317" s="39">
        <v>13.649999618530273</v>
      </c>
      <c r="J317" s="39">
        <v>15.869999885559082</v>
      </c>
      <c r="K317" s="39">
        <v>48.45000076293945</v>
      </c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</row>
    <row r="318" ht="14.25" customHeight="1">
      <c r="A318" s="36">
        <v>80401.0</v>
      </c>
      <c r="B318" s="36" t="s">
        <v>333</v>
      </c>
      <c r="C318" s="39">
        <v>15.720000267028809</v>
      </c>
      <c r="D318" s="39">
        <v>4.909999847412109</v>
      </c>
      <c r="E318" s="39">
        <v>17.010000228881836</v>
      </c>
      <c r="F318" s="39">
        <v>6.21999979019165</v>
      </c>
      <c r="G318" s="39">
        <v>10.920000076293945</v>
      </c>
      <c r="H318" s="39">
        <v>19.260000228881836</v>
      </c>
      <c r="I318" s="39">
        <v>29.030000686645508</v>
      </c>
      <c r="J318" s="39">
        <v>12.729999542236328</v>
      </c>
      <c r="K318" s="39">
        <v>34.040000915527344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</row>
    <row r="319" ht="14.25" customHeight="1">
      <c r="A319" s="36">
        <v>80402.0</v>
      </c>
      <c r="B319" s="36" t="s">
        <v>334</v>
      </c>
      <c r="C319" s="39">
        <v>12.449999809265137</v>
      </c>
      <c r="D319" s="39">
        <v>3.609999895095825</v>
      </c>
      <c r="E319" s="39">
        <v>22.110000610351562</v>
      </c>
      <c r="F319" s="39">
        <v>6.159999847412109</v>
      </c>
      <c r="G319" s="39">
        <v>10.039999961853027</v>
      </c>
      <c r="H319" s="39">
        <v>28.290000915527344</v>
      </c>
      <c r="I319" s="39">
        <v>48.79999923706055</v>
      </c>
      <c r="J319" s="39">
        <v>16.530000686645508</v>
      </c>
      <c r="K319" s="39">
        <v>29.829999923706055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</row>
    <row r="320" ht="14.25" customHeight="1">
      <c r="A320" s="36">
        <v>80501.0</v>
      </c>
      <c r="B320" s="36" t="s">
        <v>280</v>
      </c>
      <c r="C320" s="39">
        <v>14.550000190734863</v>
      </c>
      <c r="D320" s="39">
        <v>0.9200000166893005</v>
      </c>
      <c r="E320" s="39">
        <v>15.850000381469727</v>
      </c>
      <c r="F320" s="39">
        <v>13.069999694824219</v>
      </c>
      <c r="G320" s="39">
        <v>9.960000038146973</v>
      </c>
      <c r="H320" s="39">
        <v>12.970000267028809</v>
      </c>
      <c r="I320" s="39">
        <v>24.709999084472656</v>
      </c>
      <c r="J320" s="39">
        <v>15.539999961853027</v>
      </c>
      <c r="K320" s="39">
        <v>53.040000915527344</v>
      </c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</row>
    <row r="321" ht="14.25" customHeight="1">
      <c r="A321" s="36">
        <v>80601.0</v>
      </c>
      <c r="B321" s="36" t="s">
        <v>335</v>
      </c>
      <c r="C321" s="39">
        <v>12.649999618530273</v>
      </c>
      <c r="D321" s="39">
        <v>1.159999966621399</v>
      </c>
      <c r="E321" s="39">
        <v>20.229999542236328</v>
      </c>
      <c r="F321" s="39">
        <v>19.149999618530273</v>
      </c>
      <c r="G321" s="39">
        <v>11.1899995803833</v>
      </c>
      <c r="H321" s="39">
        <v>19.780000686645508</v>
      </c>
      <c r="I321" s="39">
        <v>39.65999984741211</v>
      </c>
      <c r="J321" s="39">
        <v>22.709999084472656</v>
      </c>
      <c r="K321" s="39">
        <v>11.720000267028809</v>
      </c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</row>
    <row r="322" ht="14.25" customHeight="1">
      <c r="A322" s="36">
        <v>80602.0</v>
      </c>
      <c r="B322" s="36" t="s">
        <v>336</v>
      </c>
      <c r="C322" s="39">
        <v>8.289999961853027</v>
      </c>
      <c r="D322" s="39">
        <v>0.800000011920929</v>
      </c>
      <c r="E322" s="39">
        <v>18.860000610351562</v>
      </c>
      <c r="F322" s="39">
        <v>3.700000047683716</v>
      </c>
      <c r="G322" s="39">
        <v>5.46999979019165</v>
      </c>
      <c r="H322" s="39">
        <v>10.680000305175781</v>
      </c>
      <c r="I322" s="39">
        <v>15.989999771118164</v>
      </c>
      <c r="J322" s="39">
        <v>27.860000610351562</v>
      </c>
      <c r="K322" s="39">
        <v>35.02000045776367</v>
      </c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</row>
    <row r="323" ht="14.25" customHeight="1">
      <c r="A323" s="36">
        <v>80701.0</v>
      </c>
      <c r="B323" s="36" t="s">
        <v>337</v>
      </c>
      <c r="C323" s="39">
        <v>6.21999979019165</v>
      </c>
      <c r="D323" s="39">
        <v>2.7699999809265137</v>
      </c>
      <c r="E323" s="39">
        <v>18.389999389648438</v>
      </c>
      <c r="F323" s="39">
        <v>1.659999966621399</v>
      </c>
      <c r="G323" s="39">
        <v>6.440000057220459</v>
      </c>
      <c r="H323" s="39">
        <v>14.0</v>
      </c>
      <c r="I323" s="39">
        <v>24.709999084472656</v>
      </c>
      <c r="J323" s="39">
        <v>9.779999732971191</v>
      </c>
      <c r="K323" s="39">
        <v>60.79999923706055</v>
      </c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</row>
    <row r="324" ht="14.25" customHeight="1">
      <c r="A324" s="36">
        <v>80702.0</v>
      </c>
      <c r="B324" s="36" t="s">
        <v>315</v>
      </c>
      <c r="C324" s="39">
        <v>9.0</v>
      </c>
      <c r="D324" s="39">
        <v>1.1100000143051147</v>
      </c>
      <c r="E324" s="39">
        <v>10.720000267028809</v>
      </c>
      <c r="F324" s="39">
        <v>1.7100000381469727</v>
      </c>
      <c r="G324" s="39">
        <v>8.300000190734863</v>
      </c>
      <c r="H324" s="39">
        <v>15.619999885559082</v>
      </c>
      <c r="I324" s="39">
        <v>17.520000457763672</v>
      </c>
      <c r="J324" s="39">
        <v>9.489999771118164</v>
      </c>
      <c r="K324" s="39">
        <v>65.41000366210938</v>
      </c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</row>
    <row r="325" ht="14.25" customHeight="1">
      <c r="A325" s="36">
        <v>80703.0</v>
      </c>
      <c r="B325" s="36" t="s">
        <v>338</v>
      </c>
      <c r="C325" s="39">
        <v>5.119999885559082</v>
      </c>
      <c r="D325" s="39">
        <v>1.2100000381469727</v>
      </c>
      <c r="E325" s="39">
        <v>18.530000686645508</v>
      </c>
      <c r="F325" s="39">
        <v>4.460000038146973</v>
      </c>
      <c r="G325" s="39">
        <v>11.5</v>
      </c>
      <c r="H325" s="39">
        <v>16.600000381469727</v>
      </c>
      <c r="I325" s="39">
        <v>29.3799991607666</v>
      </c>
      <c r="J325" s="39">
        <v>7.230000019073486</v>
      </c>
      <c r="K325" s="39">
        <v>10.65999984741211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</row>
    <row r="326" ht="14.25" customHeight="1">
      <c r="A326" s="36">
        <v>80801.0</v>
      </c>
      <c r="B326" s="36" t="s">
        <v>339</v>
      </c>
      <c r="C326" s="39">
        <v>6.230000019073486</v>
      </c>
      <c r="D326" s="39">
        <v>1.2400000095367432</v>
      </c>
      <c r="E326" s="39">
        <v>12.050000190734863</v>
      </c>
      <c r="F326" s="39">
        <v>2.0199999809265137</v>
      </c>
      <c r="G326" s="39">
        <v>7.079999923706055</v>
      </c>
      <c r="H326" s="39">
        <v>12.34000015258789</v>
      </c>
      <c r="I326" s="39">
        <v>47.939998626708984</v>
      </c>
      <c r="J326" s="39">
        <v>4.559999942779541</v>
      </c>
      <c r="K326" s="39">
        <v>69.20999908447266</v>
      </c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</row>
    <row r="327" ht="14.25" customHeight="1">
      <c r="A327" s="36">
        <v>80802.0</v>
      </c>
      <c r="B327" s="36" t="s">
        <v>340</v>
      </c>
      <c r="C327" s="39">
        <v>7.53000020980835</v>
      </c>
      <c r="D327" s="39">
        <v>2.890000104904175</v>
      </c>
      <c r="E327" s="39">
        <v>14.539999961853027</v>
      </c>
      <c r="F327" s="39">
        <v>1.7400000095367432</v>
      </c>
      <c r="G327" s="39">
        <v>6.71999979019165</v>
      </c>
      <c r="H327" s="39">
        <v>11.180000305175781</v>
      </c>
      <c r="I327" s="39">
        <v>48.599998474121094</v>
      </c>
      <c r="J327" s="39">
        <v>14.630000114440918</v>
      </c>
      <c r="K327" s="39">
        <v>38.5099983215332</v>
      </c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</row>
    <row r="328" ht="14.25" customHeight="1">
      <c r="A328" s="36">
        <v>80803.0</v>
      </c>
      <c r="B328" s="36" t="s">
        <v>341</v>
      </c>
      <c r="C328" s="39">
        <v>10.4399995803833</v>
      </c>
      <c r="D328" s="39">
        <v>2.299999952316284</v>
      </c>
      <c r="E328" s="39">
        <v>10.199999809265137</v>
      </c>
      <c r="F328" s="39">
        <v>2.140000104904175</v>
      </c>
      <c r="G328" s="39">
        <v>8.1899995803833</v>
      </c>
      <c r="H328" s="39">
        <v>14.4399995803833</v>
      </c>
      <c r="I328" s="39">
        <v>40.58000183105469</v>
      </c>
      <c r="J328" s="39">
        <v>5.050000190734863</v>
      </c>
      <c r="K328" s="39">
        <v>45.220001220703125</v>
      </c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</row>
    <row r="329" ht="14.25" customHeight="1">
      <c r="A329" s="36">
        <v>80901.0</v>
      </c>
      <c r="B329" s="36" t="s">
        <v>342</v>
      </c>
      <c r="C329" s="39">
        <v>24.309999465942383</v>
      </c>
      <c r="D329" s="39">
        <v>3.450000047683716</v>
      </c>
      <c r="E329" s="39">
        <v>31.270000457763672</v>
      </c>
      <c r="F329" s="39">
        <v>26.969999313354492</v>
      </c>
      <c r="G329" s="39">
        <v>10.5</v>
      </c>
      <c r="H329" s="39">
        <v>22.31999969482422</v>
      </c>
      <c r="I329" s="39">
        <v>46.59000015258789</v>
      </c>
      <c r="J329" s="39">
        <v>26.709999084472656</v>
      </c>
      <c r="K329" s="39">
        <v>24.75</v>
      </c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</row>
    <row r="330" ht="14.25" customHeight="1">
      <c r="A330" s="36">
        <v>90101.0</v>
      </c>
      <c r="B330" s="36" t="s">
        <v>343</v>
      </c>
      <c r="C330" s="39">
        <v>3.119999885559082</v>
      </c>
      <c r="D330" s="39">
        <v>1.1299999952316284</v>
      </c>
      <c r="E330" s="39">
        <v>4.849999904632568</v>
      </c>
      <c r="F330" s="39">
        <v>0.6100000143051147</v>
      </c>
      <c r="G330" s="39">
        <v>5.429999828338623</v>
      </c>
      <c r="H330" s="39">
        <v>5.150000095367432</v>
      </c>
      <c r="I330" s="39">
        <v>19.75</v>
      </c>
      <c r="J330" s="39">
        <v>2.069999933242798</v>
      </c>
      <c r="K330" s="39">
        <v>57.2400016784668</v>
      </c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</row>
    <row r="331" ht="14.25" customHeight="1">
      <c r="A331" s="36">
        <v>90102.0</v>
      </c>
      <c r="B331" s="36" t="s">
        <v>344</v>
      </c>
      <c r="C331" s="39">
        <v>7.059999942779541</v>
      </c>
      <c r="D331" s="39">
        <v>1.7699999809265137</v>
      </c>
      <c r="E331" s="39">
        <v>14.770000457763672</v>
      </c>
      <c r="F331" s="39">
        <v>0.8399999737739563</v>
      </c>
      <c r="G331" s="39">
        <v>5.5</v>
      </c>
      <c r="H331" s="39">
        <v>8.869999885559082</v>
      </c>
      <c r="I331" s="39">
        <v>16.15999984741211</v>
      </c>
      <c r="J331" s="39">
        <v>7.619999885559082</v>
      </c>
      <c r="K331" s="39">
        <v>63.81999969482422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</row>
    <row r="332" ht="14.25" customHeight="1">
      <c r="A332" s="36">
        <v>90103.0</v>
      </c>
      <c r="B332" s="36" t="s">
        <v>345</v>
      </c>
      <c r="C332" s="39">
        <v>8.34000015258789</v>
      </c>
      <c r="D332" s="39">
        <v>5.289999961853027</v>
      </c>
      <c r="E332" s="39">
        <v>13.40999984741211</v>
      </c>
      <c r="F332" s="39">
        <v>1.3300000429153442</v>
      </c>
      <c r="G332" s="39">
        <v>6.289999961853027</v>
      </c>
      <c r="H332" s="39">
        <v>8.25</v>
      </c>
      <c r="I332" s="39">
        <v>37.209999084472656</v>
      </c>
      <c r="J332" s="39">
        <v>28.360000610351562</v>
      </c>
      <c r="K332" s="39">
        <v>13.130000114440918</v>
      </c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</row>
    <row r="333" ht="14.25" customHeight="1">
      <c r="A333" s="36">
        <v>90104.0</v>
      </c>
      <c r="B333" s="36" t="s">
        <v>346</v>
      </c>
      <c r="C333" s="39">
        <v>10.140000343322754</v>
      </c>
      <c r="D333" s="39">
        <v>8.119999885559082</v>
      </c>
      <c r="E333" s="39">
        <v>13.630000114440918</v>
      </c>
      <c r="F333" s="39">
        <v>2.0299999713897705</v>
      </c>
      <c r="G333" s="39">
        <v>7.230000019073486</v>
      </c>
      <c r="H333" s="39">
        <v>11.930000305175781</v>
      </c>
      <c r="I333" s="39">
        <v>31.950000762939453</v>
      </c>
      <c r="J333" s="39">
        <v>21.950000762939453</v>
      </c>
      <c r="K333" s="39">
        <v>11.140000343322754</v>
      </c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</row>
    <row r="334" ht="14.25" customHeight="1">
      <c r="A334" s="36">
        <v>90201.0</v>
      </c>
      <c r="B334" s="36" t="s">
        <v>347</v>
      </c>
      <c r="C334" s="39">
        <v>7.389999866485596</v>
      </c>
      <c r="D334" s="39">
        <v>1.2200000286102295</v>
      </c>
      <c r="E334" s="39">
        <v>12.0</v>
      </c>
      <c r="F334" s="39">
        <v>3.240000009536743</v>
      </c>
      <c r="G334" s="39">
        <v>12.350000381469727</v>
      </c>
      <c r="H334" s="39">
        <v>12.84000015258789</v>
      </c>
      <c r="I334" s="39">
        <v>30.790000915527344</v>
      </c>
      <c r="J334" s="39">
        <v>15.6899995803833</v>
      </c>
      <c r="K334" s="39">
        <v>44.720001220703125</v>
      </c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</row>
    <row r="335" ht="14.25" customHeight="1">
      <c r="A335" s="36">
        <v>90202.0</v>
      </c>
      <c r="B335" s="36" t="s">
        <v>238</v>
      </c>
      <c r="C335" s="39">
        <v>8.050000190734863</v>
      </c>
      <c r="D335" s="39">
        <v>2.2699999809265137</v>
      </c>
      <c r="E335" s="39">
        <v>36.150001525878906</v>
      </c>
      <c r="F335" s="39">
        <v>11.460000038146973</v>
      </c>
      <c r="G335" s="39">
        <v>11.859999656677246</v>
      </c>
      <c r="H335" s="39">
        <v>23.799999237060547</v>
      </c>
      <c r="I335" s="39">
        <v>78.4800033569336</v>
      </c>
      <c r="J335" s="39">
        <v>61.81999969482422</v>
      </c>
      <c r="K335" s="39">
        <v>5.699999809265137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</row>
    <row r="336" ht="14.25" customHeight="1">
      <c r="A336" s="36">
        <v>90203.0</v>
      </c>
      <c r="B336" s="36" t="s">
        <v>348</v>
      </c>
      <c r="C336" s="39">
        <v>6.389999866485596</v>
      </c>
      <c r="D336" s="39">
        <v>4.059999942779541</v>
      </c>
      <c r="E336" s="39">
        <v>11.710000038146973</v>
      </c>
      <c r="F336" s="39">
        <v>2.809999942779541</v>
      </c>
      <c r="G336" s="39">
        <v>10.0600004196167</v>
      </c>
      <c r="H336" s="39">
        <v>11.25</v>
      </c>
      <c r="I336" s="39">
        <v>42.060001373291016</v>
      </c>
      <c r="J336" s="39">
        <v>20.059999465942383</v>
      </c>
      <c r="K336" s="39">
        <v>8.670000076293945</v>
      </c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</row>
    <row r="337" ht="14.25" customHeight="1">
      <c r="A337" s="36">
        <v>90301.0</v>
      </c>
      <c r="B337" s="36" t="s">
        <v>349</v>
      </c>
      <c r="C337" s="39">
        <v>9.550000190734863</v>
      </c>
      <c r="D337" s="39">
        <v>0.5</v>
      </c>
      <c r="E337" s="39">
        <v>24.59000015258789</v>
      </c>
      <c r="F337" s="39">
        <v>5.440000057220459</v>
      </c>
      <c r="G337" s="39">
        <v>6.309999942779541</v>
      </c>
      <c r="H337" s="39">
        <v>13.15999984741211</v>
      </c>
      <c r="I337" s="39">
        <v>58.84000015258789</v>
      </c>
      <c r="J337" s="39">
        <v>17.989999771118164</v>
      </c>
      <c r="K337" s="39">
        <v>29.420000076293945</v>
      </c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</row>
    <row r="338" ht="14.25" customHeight="1">
      <c r="A338" s="36">
        <v>90302.0</v>
      </c>
      <c r="B338" s="36" t="s">
        <v>271</v>
      </c>
      <c r="C338" s="39">
        <v>6.909999847412109</v>
      </c>
      <c r="D338" s="39">
        <v>0.4099999964237213</v>
      </c>
      <c r="E338" s="39">
        <v>16.290000915527344</v>
      </c>
      <c r="F338" s="39">
        <v>11.010000228881836</v>
      </c>
      <c r="G338" s="39">
        <v>10.800000190734863</v>
      </c>
      <c r="H338" s="39">
        <v>17.770000457763672</v>
      </c>
      <c r="I338" s="39">
        <v>62.650001525878906</v>
      </c>
      <c r="J338" s="39">
        <v>15.229999542236328</v>
      </c>
      <c r="K338" s="39">
        <v>5.25</v>
      </c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</row>
    <row r="339" ht="14.25" customHeight="1">
      <c r="A339" s="36">
        <v>90303.0</v>
      </c>
      <c r="B339" s="36" t="s">
        <v>350</v>
      </c>
      <c r="C339" s="39">
        <v>5.170000076293945</v>
      </c>
      <c r="D339" s="39">
        <v>0.8899999856948853</v>
      </c>
      <c r="E339" s="39">
        <v>17.079999923706055</v>
      </c>
      <c r="F339" s="39">
        <v>4.760000228881836</v>
      </c>
      <c r="G339" s="39">
        <v>12.4399995803833</v>
      </c>
      <c r="H339" s="39">
        <v>16.579999923706055</v>
      </c>
      <c r="I339" s="39">
        <v>66.55999755859375</v>
      </c>
      <c r="J339" s="39">
        <v>32.939998626708984</v>
      </c>
      <c r="K339" s="39">
        <v>40.650001525878906</v>
      </c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</row>
    <row r="340" ht="14.25" customHeight="1">
      <c r="A340" s="36">
        <v>90401.0</v>
      </c>
      <c r="B340" s="36" t="s">
        <v>291</v>
      </c>
      <c r="C340" s="39">
        <v>7.800000190734863</v>
      </c>
      <c r="D340" s="39">
        <v>5.539999961853027</v>
      </c>
      <c r="E340" s="39">
        <v>13.270000457763672</v>
      </c>
      <c r="F340" s="39">
        <v>1.4199999570846558</v>
      </c>
      <c r="G340" s="39">
        <v>7.829999923706055</v>
      </c>
      <c r="H340" s="39">
        <v>12.739999771118164</v>
      </c>
      <c r="I340" s="39">
        <v>45.810001373291016</v>
      </c>
      <c r="J340" s="39">
        <v>13.369999885559082</v>
      </c>
      <c r="K340" s="39">
        <v>7.460000038146973</v>
      </c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</row>
    <row r="341" ht="14.25" customHeight="1">
      <c r="A341" s="36">
        <v>90402.0</v>
      </c>
      <c r="B341" s="36" t="s">
        <v>351</v>
      </c>
      <c r="C341" s="39">
        <v>6.639999866485596</v>
      </c>
      <c r="D341" s="39">
        <v>3.0299999713897705</v>
      </c>
      <c r="E341" s="39">
        <v>16.739999771118164</v>
      </c>
      <c r="F341" s="39">
        <v>4.289999961853027</v>
      </c>
      <c r="G341" s="39">
        <v>12.899999618530273</v>
      </c>
      <c r="H341" s="39">
        <v>21.530000686645508</v>
      </c>
      <c r="I341" s="39">
        <v>73.01000213623047</v>
      </c>
      <c r="J341" s="39">
        <v>33.790000915527344</v>
      </c>
      <c r="K341" s="39">
        <v>11.470000267028809</v>
      </c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</row>
    <row r="342" ht="14.25" customHeight="1">
      <c r="A342" s="36">
        <v>90501.0</v>
      </c>
      <c r="B342" s="36" t="s">
        <v>352</v>
      </c>
      <c r="C342" s="39">
        <v>7.920000076293945</v>
      </c>
      <c r="D342" s="39">
        <v>1.149999976158142</v>
      </c>
      <c r="E342" s="39">
        <v>18.549999237060547</v>
      </c>
      <c r="F342" s="39">
        <v>3.5</v>
      </c>
      <c r="G342" s="39">
        <v>6.809999942779541</v>
      </c>
      <c r="H342" s="39">
        <v>9.15999984741211</v>
      </c>
      <c r="I342" s="39">
        <v>74.68000030517578</v>
      </c>
      <c r="J342" s="39">
        <v>28.1200008392334</v>
      </c>
      <c r="K342" s="39">
        <v>5.46999979019165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</row>
    <row r="343" ht="14.25" customHeight="1">
      <c r="A343" s="36">
        <v>90502.0</v>
      </c>
      <c r="B343" s="36" t="s">
        <v>353</v>
      </c>
      <c r="C343" s="39">
        <v>5.039999961853027</v>
      </c>
      <c r="D343" s="39">
        <v>0.8899999856948853</v>
      </c>
      <c r="E343" s="39">
        <v>21.139999389648438</v>
      </c>
      <c r="F343" s="39">
        <v>6.429999828338623</v>
      </c>
      <c r="G343" s="39">
        <v>12.640000343322754</v>
      </c>
      <c r="H343" s="39">
        <v>14.329999923706055</v>
      </c>
      <c r="I343" s="39">
        <v>63.2599983215332</v>
      </c>
      <c r="J343" s="39">
        <v>28.09000015258789</v>
      </c>
      <c r="K343" s="39">
        <v>3.259999990463257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</row>
    <row r="344" ht="14.25" customHeight="1">
      <c r="A344" s="36">
        <v>90503.0</v>
      </c>
      <c r="B344" s="36" t="s">
        <v>354</v>
      </c>
      <c r="C344" s="39">
        <v>7.400000095367432</v>
      </c>
      <c r="D344" s="39">
        <v>1.7599999904632568</v>
      </c>
      <c r="E344" s="39">
        <v>22.440000534057617</v>
      </c>
      <c r="F344" s="39">
        <v>4.349999904632568</v>
      </c>
      <c r="G344" s="39">
        <v>10.609999656677246</v>
      </c>
      <c r="H344" s="39">
        <v>15.0</v>
      </c>
      <c r="I344" s="39">
        <v>73.83999633789062</v>
      </c>
      <c r="J344" s="39">
        <v>29.969999313354492</v>
      </c>
      <c r="K344" s="39">
        <v>6.570000171661377</v>
      </c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</row>
    <row r="345" ht="14.25" customHeight="1">
      <c r="A345" s="38"/>
      <c r="B345" s="38"/>
      <c r="C345" s="37"/>
      <c r="D345" s="37"/>
      <c r="E345" s="37"/>
      <c r="F345" s="37"/>
      <c r="G345" s="37"/>
      <c r="H345" s="37"/>
      <c r="I345" s="37"/>
      <c r="J345" s="37"/>
      <c r="K345" s="37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</row>
    <row r="346" ht="14.25" customHeight="1">
      <c r="A346" s="38"/>
      <c r="B346" s="38"/>
      <c r="C346" s="37"/>
      <c r="D346" s="37"/>
      <c r="E346" s="37"/>
      <c r="F346" s="37"/>
      <c r="G346" s="37"/>
      <c r="H346" s="37"/>
      <c r="I346" s="37"/>
      <c r="J346" s="37"/>
      <c r="K346" s="37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</row>
    <row r="347" ht="14.25" customHeight="1">
      <c r="A347" s="38"/>
      <c r="B347" s="38"/>
      <c r="C347" s="37"/>
      <c r="D347" s="37"/>
      <c r="E347" s="37"/>
      <c r="F347" s="37"/>
      <c r="G347" s="37"/>
      <c r="H347" s="37"/>
      <c r="I347" s="37"/>
      <c r="J347" s="37"/>
      <c r="K347" s="37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</row>
    <row r="348" ht="14.25" customHeight="1">
      <c r="A348" s="38"/>
      <c r="B348" s="38"/>
      <c r="C348" s="37"/>
      <c r="D348" s="37"/>
      <c r="E348" s="37"/>
      <c r="F348" s="37"/>
      <c r="G348" s="37"/>
      <c r="H348" s="37"/>
      <c r="I348" s="37"/>
      <c r="J348" s="37"/>
      <c r="K348" s="37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</row>
    <row r="349" ht="14.25" customHeight="1">
      <c r="A349" s="38"/>
      <c r="B349" s="38"/>
      <c r="C349" s="37"/>
      <c r="D349" s="37"/>
      <c r="E349" s="37"/>
      <c r="F349" s="37"/>
      <c r="G349" s="37"/>
      <c r="H349" s="37"/>
      <c r="I349" s="37"/>
      <c r="J349" s="37"/>
      <c r="K349" s="37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</row>
    <row r="350" ht="14.25" customHeight="1">
      <c r="A350" s="38"/>
      <c r="B350" s="38"/>
      <c r="C350" s="37"/>
      <c r="D350" s="37"/>
      <c r="E350" s="37"/>
      <c r="F350" s="37"/>
      <c r="G350" s="37"/>
      <c r="H350" s="37"/>
      <c r="I350" s="37"/>
      <c r="J350" s="37"/>
      <c r="K350" s="37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</row>
    <row r="351" ht="14.25" customHeight="1">
      <c r="A351" s="38"/>
      <c r="B351" s="38"/>
      <c r="C351" s="37"/>
      <c r="D351" s="37"/>
      <c r="E351" s="37"/>
      <c r="F351" s="37"/>
      <c r="G351" s="37"/>
      <c r="H351" s="37"/>
      <c r="I351" s="37"/>
      <c r="J351" s="37"/>
      <c r="K351" s="37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</row>
    <row r="352" ht="14.25" customHeight="1">
      <c r="A352" s="38"/>
      <c r="B352" s="38"/>
      <c r="C352" s="37"/>
      <c r="D352" s="37"/>
      <c r="E352" s="37"/>
      <c r="F352" s="37"/>
      <c r="G352" s="37"/>
      <c r="H352" s="37"/>
      <c r="I352" s="37"/>
      <c r="J352" s="37"/>
      <c r="K352" s="37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</row>
    <row r="353" ht="14.25" customHeight="1">
      <c r="A353" s="38"/>
      <c r="B353" s="38"/>
      <c r="C353" s="37"/>
      <c r="D353" s="37"/>
      <c r="E353" s="37"/>
      <c r="F353" s="37"/>
      <c r="G353" s="37"/>
      <c r="H353" s="37"/>
      <c r="I353" s="37"/>
      <c r="J353" s="37"/>
      <c r="K353" s="37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</row>
    <row r="354" ht="14.25" customHeight="1">
      <c r="A354" s="38"/>
      <c r="B354" s="38"/>
      <c r="C354" s="37"/>
      <c r="D354" s="37"/>
      <c r="E354" s="37"/>
      <c r="F354" s="37"/>
      <c r="G354" s="37"/>
      <c r="H354" s="37"/>
      <c r="I354" s="37"/>
      <c r="J354" s="37"/>
      <c r="K354" s="37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</row>
    <row r="355" ht="14.25" customHeight="1">
      <c r="A355" s="38"/>
      <c r="B355" s="38"/>
      <c r="C355" s="37"/>
      <c r="D355" s="37"/>
      <c r="E355" s="37"/>
      <c r="F355" s="37"/>
      <c r="G355" s="37"/>
      <c r="H355" s="37"/>
      <c r="I355" s="37"/>
      <c r="J355" s="37"/>
      <c r="K355" s="37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</row>
    <row r="356" ht="14.25" customHeight="1">
      <c r="A356" s="38"/>
      <c r="B356" s="38"/>
      <c r="C356" s="37"/>
      <c r="D356" s="37"/>
      <c r="E356" s="37"/>
      <c r="F356" s="37"/>
      <c r="G356" s="37"/>
      <c r="H356" s="37"/>
      <c r="I356" s="37"/>
      <c r="J356" s="37"/>
      <c r="K356" s="37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</row>
    <row r="357" ht="14.25" customHeight="1">
      <c r="A357" s="38"/>
      <c r="B357" s="38"/>
      <c r="C357" s="37"/>
      <c r="D357" s="37"/>
      <c r="E357" s="37"/>
      <c r="F357" s="37"/>
      <c r="G357" s="37"/>
      <c r="H357" s="37"/>
      <c r="I357" s="37"/>
      <c r="J357" s="37"/>
      <c r="K357" s="37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</row>
    <row r="358" ht="14.25" customHeight="1">
      <c r="A358" s="38"/>
      <c r="B358" s="38"/>
      <c r="C358" s="37"/>
      <c r="D358" s="37"/>
      <c r="E358" s="37"/>
      <c r="F358" s="37"/>
      <c r="G358" s="37"/>
      <c r="H358" s="37"/>
      <c r="I358" s="37"/>
      <c r="J358" s="37"/>
      <c r="K358" s="37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</row>
    <row r="359" ht="14.25" customHeight="1">
      <c r="A359" s="38"/>
      <c r="B359" s="38"/>
      <c r="C359" s="37"/>
      <c r="D359" s="37"/>
      <c r="E359" s="37"/>
      <c r="F359" s="37"/>
      <c r="G359" s="37"/>
      <c r="H359" s="37"/>
      <c r="I359" s="37"/>
      <c r="J359" s="37"/>
      <c r="K359" s="37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</row>
    <row r="360" ht="14.25" customHeight="1">
      <c r="A360" s="38"/>
      <c r="B360" s="38"/>
      <c r="C360" s="37"/>
      <c r="D360" s="37"/>
      <c r="E360" s="37"/>
      <c r="F360" s="37"/>
      <c r="G360" s="37"/>
      <c r="H360" s="37"/>
      <c r="I360" s="37"/>
      <c r="J360" s="37"/>
      <c r="K360" s="37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</row>
    <row r="361" ht="14.25" customHeight="1">
      <c r="A361" s="38"/>
      <c r="B361" s="38"/>
      <c r="C361" s="37"/>
      <c r="D361" s="37"/>
      <c r="E361" s="37"/>
      <c r="F361" s="37"/>
      <c r="G361" s="37"/>
      <c r="H361" s="37"/>
      <c r="I361" s="37"/>
      <c r="J361" s="37"/>
      <c r="K361" s="37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</row>
    <row r="362" ht="14.25" customHeight="1">
      <c r="A362" s="38"/>
      <c r="B362" s="38"/>
      <c r="C362" s="37"/>
      <c r="D362" s="37"/>
      <c r="E362" s="37"/>
      <c r="F362" s="37"/>
      <c r="G362" s="37"/>
      <c r="H362" s="37"/>
      <c r="I362" s="37"/>
      <c r="J362" s="37"/>
      <c r="K362" s="37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</row>
    <row r="363" ht="14.25" customHeight="1">
      <c r="A363" s="38"/>
      <c r="B363" s="38"/>
      <c r="C363" s="37"/>
      <c r="D363" s="37"/>
      <c r="E363" s="37"/>
      <c r="F363" s="37"/>
      <c r="G363" s="37"/>
      <c r="H363" s="37"/>
      <c r="I363" s="37"/>
      <c r="J363" s="37"/>
      <c r="K363" s="37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</row>
    <row r="364" ht="14.25" customHeight="1">
      <c r="A364" s="38"/>
      <c r="B364" s="38"/>
      <c r="C364" s="37"/>
      <c r="D364" s="37"/>
      <c r="E364" s="37"/>
      <c r="F364" s="37"/>
      <c r="G364" s="37"/>
      <c r="H364" s="37"/>
      <c r="I364" s="37"/>
      <c r="J364" s="37"/>
      <c r="K364" s="37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</row>
    <row r="365" ht="14.25" customHeight="1">
      <c r="A365" s="38"/>
      <c r="B365" s="38"/>
      <c r="C365" s="37"/>
      <c r="D365" s="37"/>
      <c r="E365" s="37"/>
      <c r="F365" s="37"/>
      <c r="G365" s="37"/>
      <c r="H365" s="37"/>
      <c r="I365" s="37"/>
      <c r="J365" s="37"/>
      <c r="K365" s="37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</row>
    <row r="366" ht="14.25" customHeight="1">
      <c r="A366" s="38"/>
      <c r="B366" s="38"/>
      <c r="C366" s="37"/>
      <c r="D366" s="37"/>
      <c r="E366" s="37"/>
      <c r="F366" s="37"/>
      <c r="G366" s="37"/>
      <c r="H366" s="37"/>
      <c r="I366" s="37"/>
      <c r="J366" s="37"/>
      <c r="K366" s="37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</row>
    <row r="367" ht="14.25" customHeight="1">
      <c r="A367" s="38"/>
      <c r="B367" s="38"/>
      <c r="C367" s="37"/>
      <c r="D367" s="37"/>
      <c r="E367" s="37"/>
      <c r="F367" s="37"/>
      <c r="G367" s="37"/>
      <c r="H367" s="37"/>
      <c r="I367" s="37"/>
      <c r="J367" s="37"/>
      <c r="K367" s="37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</row>
    <row r="368" ht="14.25" customHeight="1">
      <c r="A368" s="38"/>
      <c r="B368" s="38"/>
      <c r="C368" s="37"/>
      <c r="D368" s="37"/>
      <c r="E368" s="37"/>
      <c r="F368" s="37"/>
      <c r="G368" s="37"/>
      <c r="H368" s="37"/>
      <c r="I368" s="37"/>
      <c r="J368" s="37"/>
      <c r="K368" s="37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</row>
    <row r="369" ht="14.25" customHeight="1">
      <c r="A369" s="38"/>
      <c r="B369" s="38"/>
      <c r="C369" s="37"/>
      <c r="D369" s="37"/>
      <c r="E369" s="37"/>
      <c r="F369" s="37"/>
      <c r="G369" s="37"/>
      <c r="H369" s="37"/>
      <c r="I369" s="37"/>
      <c r="J369" s="37"/>
      <c r="K369" s="37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</row>
    <row r="370" ht="14.25" customHeight="1">
      <c r="A370" s="38"/>
      <c r="B370" s="38"/>
      <c r="C370" s="37"/>
      <c r="D370" s="37"/>
      <c r="E370" s="37"/>
      <c r="F370" s="37"/>
      <c r="G370" s="37"/>
      <c r="H370" s="37"/>
      <c r="I370" s="37"/>
      <c r="J370" s="37"/>
      <c r="K370" s="37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</row>
    <row r="371" ht="14.25" customHeight="1">
      <c r="A371" s="38"/>
      <c r="B371" s="38"/>
      <c r="C371" s="37"/>
      <c r="D371" s="37"/>
      <c r="E371" s="37"/>
      <c r="F371" s="37"/>
      <c r="G371" s="37"/>
      <c r="H371" s="37"/>
      <c r="I371" s="37"/>
      <c r="J371" s="37"/>
      <c r="K371" s="37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</row>
    <row r="372" ht="14.25" customHeight="1">
      <c r="A372" s="38"/>
      <c r="B372" s="38"/>
      <c r="C372" s="37"/>
      <c r="D372" s="37"/>
      <c r="E372" s="37"/>
      <c r="F372" s="37"/>
      <c r="G372" s="37"/>
      <c r="H372" s="37"/>
      <c r="I372" s="37"/>
      <c r="J372" s="37"/>
      <c r="K372" s="37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</row>
    <row r="373" ht="14.25" customHeight="1">
      <c r="A373" s="38"/>
      <c r="B373" s="38"/>
      <c r="C373" s="37"/>
      <c r="D373" s="37"/>
      <c r="E373" s="37"/>
      <c r="F373" s="37"/>
      <c r="G373" s="37"/>
      <c r="H373" s="37"/>
      <c r="I373" s="37"/>
      <c r="J373" s="37"/>
      <c r="K373" s="37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</row>
    <row r="374" ht="14.25" customHeight="1">
      <c r="A374" s="38"/>
      <c r="B374" s="38"/>
      <c r="C374" s="37"/>
      <c r="D374" s="37"/>
      <c r="E374" s="37"/>
      <c r="F374" s="37"/>
      <c r="G374" s="37"/>
      <c r="H374" s="37"/>
      <c r="I374" s="37"/>
      <c r="J374" s="37"/>
      <c r="K374" s="37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</row>
    <row r="375" ht="14.25" customHeight="1">
      <c r="A375" s="38"/>
      <c r="B375" s="38"/>
      <c r="C375" s="37"/>
      <c r="D375" s="37"/>
      <c r="E375" s="37"/>
      <c r="F375" s="37"/>
      <c r="G375" s="37"/>
      <c r="H375" s="37"/>
      <c r="I375" s="37"/>
      <c r="J375" s="37"/>
      <c r="K375" s="37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</row>
    <row r="376" ht="14.25" customHeight="1">
      <c r="A376" s="38"/>
      <c r="B376" s="38"/>
      <c r="C376" s="37"/>
      <c r="D376" s="37"/>
      <c r="E376" s="37"/>
      <c r="F376" s="37"/>
      <c r="G376" s="37"/>
      <c r="H376" s="37"/>
      <c r="I376" s="37"/>
      <c r="J376" s="37"/>
      <c r="K376" s="37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</row>
    <row r="377" ht="14.25" customHeight="1">
      <c r="A377" s="38"/>
      <c r="B377" s="38"/>
      <c r="C377" s="37"/>
      <c r="D377" s="37"/>
      <c r="E377" s="37"/>
      <c r="F377" s="37"/>
      <c r="G377" s="37"/>
      <c r="H377" s="37"/>
      <c r="I377" s="37"/>
      <c r="J377" s="37"/>
      <c r="K377" s="37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</row>
    <row r="378" ht="14.25" customHeight="1">
      <c r="A378" s="38"/>
      <c r="B378" s="38"/>
      <c r="C378" s="37"/>
      <c r="D378" s="37"/>
      <c r="E378" s="37"/>
      <c r="F378" s="37"/>
      <c r="G378" s="37"/>
      <c r="H378" s="37"/>
      <c r="I378" s="37"/>
      <c r="J378" s="37"/>
      <c r="K378" s="37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</row>
    <row r="379" ht="14.25" customHeight="1">
      <c r="A379" s="38"/>
      <c r="B379" s="38"/>
      <c r="C379" s="37"/>
      <c r="D379" s="37"/>
      <c r="E379" s="37"/>
      <c r="F379" s="37"/>
      <c r="G379" s="37"/>
      <c r="H379" s="37"/>
      <c r="I379" s="37"/>
      <c r="J379" s="37"/>
      <c r="K379" s="37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</row>
    <row r="380" ht="14.25" customHeight="1">
      <c r="A380" s="38"/>
      <c r="B380" s="38"/>
      <c r="C380" s="37"/>
      <c r="D380" s="37"/>
      <c r="E380" s="37"/>
      <c r="F380" s="37"/>
      <c r="G380" s="37"/>
      <c r="H380" s="37"/>
      <c r="I380" s="37"/>
      <c r="J380" s="37"/>
      <c r="K380" s="37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</row>
    <row r="381" ht="14.25" customHeight="1">
      <c r="A381" s="38"/>
      <c r="B381" s="38"/>
      <c r="C381" s="37"/>
      <c r="D381" s="37"/>
      <c r="E381" s="37"/>
      <c r="F381" s="37"/>
      <c r="G381" s="37"/>
      <c r="H381" s="37"/>
      <c r="I381" s="37"/>
      <c r="J381" s="37"/>
      <c r="K381" s="37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</row>
    <row r="382" ht="14.25" customHeight="1">
      <c r="A382" s="38"/>
      <c r="B382" s="38"/>
      <c r="C382" s="37"/>
      <c r="D382" s="37"/>
      <c r="E382" s="37"/>
      <c r="F382" s="37"/>
      <c r="G382" s="37"/>
      <c r="H382" s="37"/>
      <c r="I382" s="37"/>
      <c r="J382" s="37"/>
      <c r="K382" s="37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</row>
    <row r="383" ht="14.25" customHeight="1">
      <c r="A383" s="38"/>
      <c r="B383" s="38"/>
      <c r="C383" s="37"/>
      <c r="D383" s="37"/>
      <c r="E383" s="37"/>
      <c r="F383" s="37"/>
      <c r="G383" s="37"/>
      <c r="H383" s="37"/>
      <c r="I383" s="37"/>
      <c r="J383" s="37"/>
      <c r="K383" s="37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</row>
    <row r="384" ht="14.25" customHeight="1">
      <c r="A384" s="38"/>
      <c r="B384" s="38"/>
      <c r="C384" s="37"/>
      <c r="D384" s="37"/>
      <c r="E384" s="37"/>
      <c r="F384" s="37"/>
      <c r="G384" s="37"/>
      <c r="H384" s="37"/>
      <c r="I384" s="37"/>
      <c r="J384" s="37"/>
      <c r="K384" s="37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</row>
    <row r="385" ht="14.25" customHeight="1">
      <c r="A385" s="38"/>
      <c r="B385" s="38"/>
      <c r="C385" s="37"/>
      <c r="D385" s="37"/>
      <c r="E385" s="37"/>
      <c r="F385" s="37"/>
      <c r="G385" s="37"/>
      <c r="H385" s="37"/>
      <c r="I385" s="37"/>
      <c r="J385" s="37"/>
      <c r="K385" s="37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</row>
    <row r="386" ht="14.25" customHeight="1">
      <c r="A386" s="38"/>
      <c r="B386" s="38"/>
      <c r="C386" s="37"/>
      <c r="D386" s="37"/>
      <c r="E386" s="37"/>
      <c r="F386" s="37"/>
      <c r="G386" s="37"/>
      <c r="H386" s="37"/>
      <c r="I386" s="37"/>
      <c r="J386" s="37"/>
      <c r="K386" s="37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</row>
    <row r="387" ht="14.25" customHeight="1">
      <c r="A387" s="38"/>
      <c r="B387" s="38"/>
      <c r="C387" s="37"/>
      <c r="D387" s="37"/>
      <c r="E387" s="37"/>
      <c r="F387" s="37"/>
      <c r="G387" s="37"/>
      <c r="H387" s="37"/>
      <c r="I387" s="37"/>
      <c r="J387" s="37"/>
      <c r="K387" s="37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</row>
    <row r="388" ht="14.25" customHeight="1">
      <c r="A388" s="38"/>
      <c r="B388" s="38"/>
      <c r="C388" s="37"/>
      <c r="D388" s="37"/>
      <c r="E388" s="37"/>
      <c r="F388" s="37"/>
      <c r="G388" s="37"/>
      <c r="H388" s="37"/>
      <c r="I388" s="37"/>
      <c r="J388" s="37"/>
      <c r="K388" s="37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</row>
    <row r="389" ht="14.25" customHeight="1">
      <c r="A389" s="38"/>
      <c r="B389" s="38"/>
      <c r="C389" s="37"/>
      <c r="D389" s="37"/>
      <c r="E389" s="37"/>
      <c r="F389" s="37"/>
      <c r="G389" s="37"/>
      <c r="H389" s="37"/>
      <c r="I389" s="37"/>
      <c r="J389" s="37"/>
      <c r="K389" s="37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</row>
    <row r="390" ht="14.25" customHeight="1">
      <c r="A390" s="38"/>
      <c r="B390" s="38"/>
      <c r="C390" s="37"/>
      <c r="D390" s="37"/>
      <c r="E390" s="37"/>
      <c r="F390" s="37"/>
      <c r="G390" s="37"/>
      <c r="H390" s="37"/>
      <c r="I390" s="37"/>
      <c r="J390" s="37"/>
      <c r="K390" s="37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</row>
    <row r="391" ht="14.25" customHeight="1">
      <c r="A391" s="38"/>
      <c r="B391" s="38"/>
      <c r="C391" s="37"/>
      <c r="D391" s="37"/>
      <c r="E391" s="37"/>
      <c r="F391" s="37"/>
      <c r="G391" s="37"/>
      <c r="H391" s="37"/>
      <c r="I391" s="37"/>
      <c r="J391" s="37"/>
      <c r="K391" s="37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</row>
    <row r="392" ht="14.25" customHeight="1">
      <c r="A392" s="38"/>
      <c r="B392" s="38"/>
      <c r="C392" s="37"/>
      <c r="D392" s="37"/>
      <c r="E392" s="37"/>
      <c r="F392" s="37"/>
      <c r="G392" s="37"/>
      <c r="H392" s="37"/>
      <c r="I392" s="37"/>
      <c r="J392" s="37"/>
      <c r="K392" s="37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</row>
    <row r="393" ht="14.25" customHeight="1">
      <c r="A393" s="38"/>
      <c r="B393" s="38"/>
      <c r="C393" s="37"/>
      <c r="D393" s="37"/>
      <c r="E393" s="37"/>
      <c r="F393" s="37"/>
      <c r="G393" s="37"/>
      <c r="H393" s="37"/>
      <c r="I393" s="37"/>
      <c r="J393" s="37"/>
      <c r="K393" s="37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</row>
    <row r="394" ht="14.25" customHeight="1">
      <c r="A394" s="38"/>
      <c r="B394" s="38"/>
      <c r="C394" s="37"/>
      <c r="D394" s="37"/>
      <c r="E394" s="37"/>
      <c r="F394" s="37"/>
      <c r="G394" s="37"/>
      <c r="H394" s="37"/>
      <c r="I394" s="37"/>
      <c r="J394" s="37"/>
      <c r="K394" s="37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</row>
    <row r="395" ht="14.25" customHeight="1">
      <c r="A395" s="38"/>
      <c r="B395" s="38"/>
      <c r="C395" s="37"/>
      <c r="D395" s="37"/>
      <c r="E395" s="37"/>
      <c r="F395" s="37"/>
      <c r="G395" s="37"/>
      <c r="H395" s="37"/>
      <c r="I395" s="37"/>
      <c r="J395" s="37"/>
      <c r="K395" s="37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</row>
    <row r="396" ht="14.25" customHeight="1">
      <c r="A396" s="38"/>
      <c r="B396" s="38"/>
      <c r="C396" s="37"/>
      <c r="D396" s="37"/>
      <c r="E396" s="37"/>
      <c r="F396" s="37"/>
      <c r="G396" s="37"/>
      <c r="H396" s="37"/>
      <c r="I396" s="37"/>
      <c r="J396" s="37"/>
      <c r="K396" s="37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</row>
    <row r="397" ht="14.25" customHeight="1">
      <c r="A397" s="38"/>
      <c r="B397" s="38"/>
      <c r="C397" s="37"/>
      <c r="D397" s="37"/>
      <c r="E397" s="37"/>
      <c r="F397" s="37"/>
      <c r="G397" s="37"/>
      <c r="H397" s="37"/>
      <c r="I397" s="37"/>
      <c r="J397" s="37"/>
      <c r="K397" s="37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</row>
    <row r="398" ht="14.25" customHeight="1">
      <c r="A398" s="38"/>
      <c r="B398" s="38"/>
      <c r="C398" s="37"/>
      <c r="D398" s="37"/>
      <c r="E398" s="37"/>
      <c r="F398" s="37"/>
      <c r="G398" s="37"/>
      <c r="H398" s="37"/>
      <c r="I398" s="37"/>
      <c r="J398" s="37"/>
      <c r="K398" s="37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</row>
    <row r="399" ht="14.25" customHeight="1">
      <c r="A399" s="38"/>
      <c r="B399" s="38"/>
      <c r="C399" s="37"/>
      <c r="D399" s="37"/>
      <c r="E399" s="37"/>
      <c r="F399" s="37"/>
      <c r="G399" s="37"/>
      <c r="H399" s="37"/>
      <c r="I399" s="37"/>
      <c r="J399" s="37"/>
      <c r="K399" s="37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</row>
    <row r="400" ht="14.25" customHeight="1">
      <c r="A400" s="38"/>
      <c r="B400" s="38"/>
      <c r="C400" s="37"/>
      <c r="D400" s="37"/>
      <c r="E400" s="37"/>
      <c r="F400" s="37"/>
      <c r="G400" s="37"/>
      <c r="H400" s="37"/>
      <c r="I400" s="37"/>
      <c r="J400" s="37"/>
      <c r="K400" s="37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</row>
    <row r="401" ht="14.25" customHeight="1">
      <c r="A401" s="38"/>
      <c r="B401" s="38"/>
      <c r="C401" s="37"/>
      <c r="D401" s="37"/>
      <c r="E401" s="37"/>
      <c r="F401" s="37"/>
      <c r="G401" s="37"/>
      <c r="H401" s="37"/>
      <c r="I401" s="37"/>
      <c r="J401" s="37"/>
      <c r="K401" s="37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</row>
    <row r="402" ht="14.25" customHeight="1">
      <c r="A402" s="38"/>
      <c r="B402" s="38"/>
      <c r="C402" s="37"/>
      <c r="D402" s="37"/>
      <c r="E402" s="37"/>
      <c r="F402" s="37"/>
      <c r="G402" s="37"/>
      <c r="H402" s="37"/>
      <c r="I402" s="37"/>
      <c r="J402" s="37"/>
      <c r="K402" s="37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</row>
    <row r="403" ht="14.25" customHeight="1">
      <c r="A403" s="38"/>
      <c r="B403" s="38"/>
      <c r="C403" s="37"/>
      <c r="D403" s="37"/>
      <c r="E403" s="37"/>
      <c r="F403" s="37"/>
      <c r="G403" s="37"/>
      <c r="H403" s="37"/>
      <c r="I403" s="37"/>
      <c r="J403" s="37"/>
      <c r="K403" s="37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</row>
    <row r="404" ht="14.25" customHeight="1">
      <c r="A404" s="38"/>
      <c r="B404" s="38"/>
      <c r="C404" s="37"/>
      <c r="D404" s="37"/>
      <c r="E404" s="37"/>
      <c r="F404" s="37"/>
      <c r="G404" s="37"/>
      <c r="H404" s="37"/>
      <c r="I404" s="37"/>
      <c r="J404" s="37"/>
      <c r="K404" s="37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</row>
    <row r="405" ht="14.25" customHeight="1">
      <c r="A405" s="38"/>
      <c r="B405" s="38"/>
      <c r="C405" s="37"/>
      <c r="D405" s="37"/>
      <c r="E405" s="37"/>
      <c r="F405" s="37"/>
      <c r="G405" s="37"/>
      <c r="H405" s="37"/>
      <c r="I405" s="37"/>
      <c r="J405" s="37"/>
      <c r="K405" s="37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</row>
    <row r="406" ht="14.25" customHeight="1">
      <c r="A406" s="38"/>
      <c r="B406" s="38"/>
      <c r="C406" s="37"/>
      <c r="D406" s="37"/>
      <c r="E406" s="37"/>
      <c r="F406" s="37"/>
      <c r="G406" s="37"/>
      <c r="H406" s="37"/>
      <c r="I406" s="37"/>
      <c r="J406" s="37"/>
      <c r="K406" s="37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</row>
    <row r="407" ht="14.25" customHeight="1">
      <c r="A407" s="38"/>
      <c r="B407" s="38"/>
      <c r="C407" s="37"/>
      <c r="D407" s="37"/>
      <c r="E407" s="37"/>
      <c r="F407" s="37"/>
      <c r="G407" s="37"/>
      <c r="H407" s="37"/>
      <c r="I407" s="37"/>
      <c r="J407" s="37"/>
      <c r="K407" s="37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</row>
    <row r="408" ht="14.25" customHeight="1">
      <c r="A408" s="38"/>
      <c r="B408" s="38"/>
      <c r="C408" s="37"/>
      <c r="D408" s="37"/>
      <c r="E408" s="37"/>
      <c r="F408" s="37"/>
      <c r="G408" s="37"/>
      <c r="H408" s="37"/>
      <c r="I408" s="37"/>
      <c r="J408" s="37"/>
      <c r="K408" s="37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</row>
    <row r="409" ht="14.25" customHeight="1">
      <c r="A409" s="38"/>
      <c r="B409" s="38"/>
      <c r="C409" s="37"/>
      <c r="D409" s="37"/>
      <c r="E409" s="37"/>
      <c r="F409" s="37"/>
      <c r="G409" s="37"/>
      <c r="H409" s="37"/>
      <c r="I409" s="37"/>
      <c r="J409" s="37"/>
      <c r="K409" s="37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</row>
    <row r="410" ht="14.25" customHeight="1">
      <c r="A410" s="38"/>
      <c r="B410" s="38"/>
      <c r="C410" s="37"/>
      <c r="D410" s="37"/>
      <c r="E410" s="37"/>
      <c r="F410" s="37"/>
      <c r="G410" s="37"/>
      <c r="H410" s="37"/>
      <c r="I410" s="37"/>
      <c r="J410" s="37"/>
      <c r="K410" s="37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</row>
    <row r="411" ht="14.25" customHeight="1">
      <c r="A411" s="38"/>
      <c r="B411" s="38"/>
      <c r="C411" s="37"/>
      <c r="D411" s="37"/>
      <c r="E411" s="37"/>
      <c r="F411" s="37"/>
      <c r="G411" s="37"/>
      <c r="H411" s="37"/>
      <c r="I411" s="37"/>
      <c r="J411" s="37"/>
      <c r="K411" s="37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</row>
    <row r="412" ht="14.25" customHeight="1">
      <c r="A412" s="38"/>
      <c r="B412" s="38"/>
      <c r="C412" s="37"/>
      <c r="D412" s="37"/>
      <c r="E412" s="37"/>
      <c r="F412" s="37"/>
      <c r="G412" s="37"/>
      <c r="H412" s="37"/>
      <c r="I412" s="37"/>
      <c r="J412" s="37"/>
      <c r="K412" s="37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</row>
    <row r="413" ht="14.25" customHeight="1">
      <c r="A413" s="38"/>
      <c r="B413" s="38"/>
      <c r="C413" s="37"/>
      <c r="D413" s="37"/>
      <c r="E413" s="37"/>
      <c r="F413" s="37"/>
      <c r="G413" s="37"/>
      <c r="H413" s="37"/>
      <c r="I413" s="37"/>
      <c r="J413" s="37"/>
      <c r="K413" s="37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</row>
    <row r="414" ht="14.25" customHeight="1">
      <c r="A414" s="38"/>
      <c r="B414" s="38"/>
      <c r="C414" s="37"/>
      <c r="D414" s="37"/>
      <c r="E414" s="37"/>
      <c r="F414" s="37"/>
      <c r="G414" s="37"/>
      <c r="H414" s="37"/>
      <c r="I414" s="37"/>
      <c r="J414" s="37"/>
      <c r="K414" s="37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</row>
    <row r="415" ht="14.25" customHeight="1">
      <c r="A415" s="38"/>
      <c r="B415" s="38"/>
      <c r="C415" s="37"/>
      <c r="D415" s="37"/>
      <c r="E415" s="37"/>
      <c r="F415" s="37"/>
      <c r="G415" s="37"/>
      <c r="H415" s="37"/>
      <c r="I415" s="37"/>
      <c r="J415" s="37"/>
      <c r="K415" s="37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</row>
    <row r="416" ht="14.25" customHeight="1">
      <c r="A416" s="38"/>
      <c r="B416" s="38"/>
      <c r="C416" s="37"/>
      <c r="D416" s="37"/>
      <c r="E416" s="37"/>
      <c r="F416" s="37"/>
      <c r="G416" s="37"/>
      <c r="H416" s="37"/>
      <c r="I416" s="37"/>
      <c r="J416" s="37"/>
      <c r="K416" s="37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</row>
    <row r="417" ht="14.25" customHeight="1">
      <c r="A417" s="38"/>
      <c r="B417" s="38"/>
      <c r="C417" s="37"/>
      <c r="D417" s="37"/>
      <c r="E417" s="37"/>
      <c r="F417" s="37"/>
      <c r="G417" s="37"/>
      <c r="H417" s="37"/>
      <c r="I417" s="37"/>
      <c r="J417" s="37"/>
      <c r="K417" s="37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</row>
    <row r="418" ht="14.25" customHeight="1">
      <c r="A418" s="38"/>
      <c r="B418" s="38"/>
      <c r="C418" s="37"/>
      <c r="D418" s="37"/>
      <c r="E418" s="37"/>
      <c r="F418" s="37"/>
      <c r="G418" s="37"/>
      <c r="H418" s="37"/>
      <c r="I418" s="37"/>
      <c r="J418" s="37"/>
      <c r="K418" s="37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</row>
    <row r="419" ht="14.25" customHeight="1">
      <c r="A419" s="38"/>
      <c r="B419" s="38"/>
      <c r="C419" s="37"/>
      <c r="D419" s="37"/>
      <c r="E419" s="37"/>
      <c r="F419" s="37"/>
      <c r="G419" s="37"/>
      <c r="H419" s="37"/>
      <c r="I419" s="37"/>
      <c r="J419" s="37"/>
      <c r="K419" s="37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</row>
    <row r="420" ht="14.25" customHeight="1">
      <c r="A420" s="38"/>
      <c r="B420" s="38"/>
      <c r="C420" s="37"/>
      <c r="D420" s="37"/>
      <c r="E420" s="37"/>
      <c r="F420" s="37"/>
      <c r="G420" s="37"/>
      <c r="H420" s="37"/>
      <c r="I420" s="37"/>
      <c r="J420" s="37"/>
      <c r="K420" s="37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</row>
    <row r="421" ht="14.25" customHeight="1">
      <c r="A421" s="38"/>
      <c r="B421" s="38"/>
      <c r="C421" s="37"/>
      <c r="D421" s="37"/>
      <c r="E421" s="37"/>
      <c r="F421" s="37"/>
      <c r="G421" s="37"/>
      <c r="H421" s="37"/>
      <c r="I421" s="37"/>
      <c r="J421" s="37"/>
      <c r="K421" s="37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</row>
    <row r="422" ht="14.25" customHeight="1">
      <c r="A422" s="38"/>
      <c r="B422" s="38"/>
      <c r="C422" s="37"/>
      <c r="D422" s="37"/>
      <c r="E422" s="37"/>
      <c r="F422" s="37"/>
      <c r="G422" s="37"/>
      <c r="H422" s="37"/>
      <c r="I422" s="37"/>
      <c r="J422" s="37"/>
      <c r="K422" s="37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</row>
    <row r="423" ht="14.25" customHeight="1">
      <c r="A423" s="38"/>
      <c r="B423" s="38"/>
      <c r="C423" s="37"/>
      <c r="D423" s="37"/>
      <c r="E423" s="37"/>
      <c r="F423" s="37"/>
      <c r="G423" s="37"/>
      <c r="H423" s="37"/>
      <c r="I423" s="37"/>
      <c r="J423" s="37"/>
      <c r="K423" s="37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</row>
    <row r="424" ht="14.25" customHeight="1">
      <c r="A424" s="38"/>
      <c r="B424" s="38"/>
      <c r="C424" s="37"/>
      <c r="D424" s="37"/>
      <c r="E424" s="37"/>
      <c r="F424" s="37"/>
      <c r="G424" s="37"/>
      <c r="H424" s="37"/>
      <c r="I424" s="37"/>
      <c r="J424" s="37"/>
      <c r="K424" s="37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</row>
    <row r="425" ht="14.25" customHeight="1">
      <c r="A425" s="38"/>
      <c r="B425" s="38"/>
      <c r="C425" s="37"/>
      <c r="D425" s="37"/>
      <c r="E425" s="37"/>
      <c r="F425" s="37"/>
      <c r="G425" s="37"/>
      <c r="H425" s="37"/>
      <c r="I425" s="37"/>
      <c r="J425" s="37"/>
      <c r="K425" s="37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</row>
    <row r="426" ht="14.25" customHeight="1">
      <c r="A426" s="38"/>
      <c r="B426" s="38"/>
      <c r="C426" s="37"/>
      <c r="D426" s="37"/>
      <c r="E426" s="37"/>
      <c r="F426" s="37"/>
      <c r="G426" s="37"/>
      <c r="H426" s="37"/>
      <c r="I426" s="37"/>
      <c r="J426" s="37"/>
      <c r="K426" s="37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</row>
    <row r="427" ht="14.25" customHeight="1">
      <c r="A427" s="38"/>
      <c r="B427" s="38"/>
      <c r="C427" s="37"/>
      <c r="D427" s="37"/>
      <c r="E427" s="37"/>
      <c r="F427" s="37"/>
      <c r="G427" s="37"/>
      <c r="H427" s="37"/>
      <c r="I427" s="37"/>
      <c r="J427" s="37"/>
      <c r="K427" s="37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</row>
    <row r="428" ht="14.25" customHeight="1">
      <c r="A428" s="38"/>
      <c r="B428" s="38"/>
      <c r="C428" s="37"/>
      <c r="D428" s="37"/>
      <c r="E428" s="37"/>
      <c r="F428" s="37"/>
      <c r="G428" s="37"/>
      <c r="H428" s="37"/>
      <c r="I428" s="37"/>
      <c r="J428" s="37"/>
      <c r="K428" s="37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</row>
    <row r="429" ht="14.25" customHeight="1">
      <c r="A429" s="38"/>
      <c r="B429" s="38"/>
      <c r="C429" s="37"/>
      <c r="D429" s="37"/>
      <c r="E429" s="37"/>
      <c r="F429" s="37"/>
      <c r="G429" s="37"/>
      <c r="H429" s="37"/>
      <c r="I429" s="37"/>
      <c r="J429" s="37"/>
      <c r="K429" s="37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</row>
    <row r="430" ht="14.25" customHeight="1">
      <c r="A430" s="38"/>
      <c r="B430" s="38"/>
      <c r="C430" s="37"/>
      <c r="D430" s="37"/>
      <c r="E430" s="37"/>
      <c r="F430" s="37"/>
      <c r="G430" s="37"/>
      <c r="H430" s="37"/>
      <c r="I430" s="37"/>
      <c r="J430" s="37"/>
      <c r="K430" s="37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</row>
    <row r="431" ht="14.25" customHeight="1">
      <c r="A431" s="38"/>
      <c r="B431" s="38"/>
      <c r="C431" s="37"/>
      <c r="D431" s="37"/>
      <c r="E431" s="37"/>
      <c r="F431" s="37"/>
      <c r="G431" s="37"/>
      <c r="H431" s="37"/>
      <c r="I431" s="37"/>
      <c r="J431" s="37"/>
      <c r="K431" s="37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</row>
    <row r="432" ht="14.25" customHeight="1">
      <c r="A432" s="38"/>
      <c r="B432" s="38"/>
      <c r="C432" s="37"/>
      <c r="D432" s="37"/>
      <c r="E432" s="37"/>
      <c r="F432" s="37"/>
      <c r="G432" s="37"/>
      <c r="H432" s="37"/>
      <c r="I432" s="37"/>
      <c r="J432" s="37"/>
      <c r="K432" s="37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</row>
    <row r="433" ht="14.25" customHeight="1">
      <c r="A433" s="38"/>
      <c r="B433" s="38"/>
      <c r="C433" s="37"/>
      <c r="D433" s="37"/>
      <c r="E433" s="37"/>
      <c r="F433" s="37"/>
      <c r="G433" s="37"/>
      <c r="H433" s="37"/>
      <c r="I433" s="37"/>
      <c r="J433" s="37"/>
      <c r="K433" s="37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</row>
    <row r="434" ht="14.25" customHeight="1">
      <c r="A434" s="38"/>
      <c r="B434" s="38"/>
      <c r="C434" s="37"/>
      <c r="D434" s="37"/>
      <c r="E434" s="37"/>
      <c r="F434" s="37"/>
      <c r="G434" s="37"/>
      <c r="H434" s="37"/>
      <c r="I434" s="37"/>
      <c r="J434" s="37"/>
      <c r="K434" s="37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</row>
    <row r="435" ht="14.25" customHeight="1">
      <c r="A435" s="38"/>
      <c r="B435" s="38"/>
      <c r="C435" s="37"/>
      <c r="D435" s="37"/>
      <c r="E435" s="37"/>
      <c r="F435" s="37"/>
      <c r="G435" s="37"/>
      <c r="H435" s="37"/>
      <c r="I435" s="37"/>
      <c r="J435" s="37"/>
      <c r="K435" s="37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</row>
    <row r="436" ht="14.25" customHeight="1">
      <c r="A436" s="38"/>
      <c r="B436" s="38"/>
      <c r="C436" s="37"/>
      <c r="D436" s="37"/>
      <c r="E436" s="37"/>
      <c r="F436" s="37"/>
      <c r="G436" s="37"/>
      <c r="H436" s="37"/>
      <c r="I436" s="37"/>
      <c r="J436" s="37"/>
      <c r="K436" s="37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</row>
    <row r="437" ht="14.25" customHeight="1">
      <c r="A437" s="38"/>
      <c r="B437" s="38"/>
      <c r="C437" s="37"/>
      <c r="D437" s="37"/>
      <c r="E437" s="37"/>
      <c r="F437" s="37"/>
      <c r="G437" s="37"/>
      <c r="H437" s="37"/>
      <c r="I437" s="37"/>
      <c r="J437" s="37"/>
      <c r="K437" s="37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</row>
    <row r="438" ht="14.25" customHeight="1">
      <c r="A438" s="38"/>
      <c r="B438" s="38"/>
      <c r="C438" s="37"/>
      <c r="D438" s="37"/>
      <c r="E438" s="37"/>
      <c r="F438" s="37"/>
      <c r="G438" s="37"/>
      <c r="H438" s="37"/>
      <c r="I438" s="37"/>
      <c r="J438" s="37"/>
      <c r="K438" s="37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</row>
    <row r="439" ht="14.25" customHeight="1">
      <c r="A439" s="38"/>
      <c r="B439" s="38"/>
      <c r="C439" s="37"/>
      <c r="D439" s="37"/>
      <c r="E439" s="37"/>
      <c r="F439" s="37"/>
      <c r="G439" s="37"/>
      <c r="H439" s="37"/>
      <c r="I439" s="37"/>
      <c r="J439" s="37"/>
      <c r="K439" s="37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</row>
    <row r="440" ht="14.25" customHeight="1">
      <c r="A440" s="38"/>
      <c r="B440" s="38"/>
      <c r="C440" s="37"/>
      <c r="D440" s="37"/>
      <c r="E440" s="37"/>
      <c r="F440" s="37"/>
      <c r="G440" s="37"/>
      <c r="H440" s="37"/>
      <c r="I440" s="37"/>
      <c r="J440" s="37"/>
      <c r="K440" s="37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</row>
    <row r="441" ht="14.25" customHeight="1">
      <c r="A441" s="38"/>
      <c r="B441" s="38"/>
      <c r="C441" s="37"/>
      <c r="D441" s="37"/>
      <c r="E441" s="37"/>
      <c r="F441" s="37"/>
      <c r="G441" s="37"/>
      <c r="H441" s="37"/>
      <c r="I441" s="37"/>
      <c r="J441" s="37"/>
      <c r="K441" s="37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</row>
    <row r="442" ht="14.25" customHeight="1">
      <c r="A442" s="38"/>
      <c r="B442" s="38"/>
      <c r="C442" s="37"/>
      <c r="D442" s="37"/>
      <c r="E442" s="37"/>
      <c r="F442" s="37"/>
      <c r="G442" s="37"/>
      <c r="H442" s="37"/>
      <c r="I442" s="37"/>
      <c r="J442" s="37"/>
      <c r="K442" s="37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</row>
    <row r="443" ht="14.25" customHeight="1">
      <c r="A443" s="38"/>
      <c r="B443" s="38"/>
      <c r="C443" s="37"/>
      <c r="D443" s="37"/>
      <c r="E443" s="37"/>
      <c r="F443" s="37"/>
      <c r="G443" s="37"/>
      <c r="H443" s="37"/>
      <c r="I443" s="37"/>
      <c r="J443" s="37"/>
      <c r="K443" s="37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</row>
    <row r="444" ht="14.25" customHeight="1">
      <c r="A444" s="38"/>
      <c r="B444" s="38"/>
      <c r="C444" s="37"/>
      <c r="D444" s="37"/>
      <c r="E444" s="37"/>
      <c r="F444" s="37"/>
      <c r="G444" s="37"/>
      <c r="H444" s="37"/>
      <c r="I444" s="37"/>
      <c r="J444" s="37"/>
      <c r="K444" s="37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</row>
    <row r="445" ht="14.25" customHeight="1">
      <c r="A445" s="38"/>
      <c r="B445" s="38"/>
      <c r="C445" s="37"/>
      <c r="D445" s="37"/>
      <c r="E445" s="37"/>
      <c r="F445" s="37"/>
      <c r="G445" s="37"/>
      <c r="H445" s="37"/>
      <c r="I445" s="37"/>
      <c r="J445" s="37"/>
      <c r="K445" s="37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</row>
    <row r="446" ht="14.25" customHeight="1">
      <c r="A446" s="38"/>
      <c r="B446" s="38"/>
      <c r="C446" s="37"/>
      <c r="D446" s="37"/>
      <c r="E446" s="37"/>
      <c r="F446" s="37"/>
      <c r="G446" s="37"/>
      <c r="H446" s="37"/>
      <c r="I446" s="37"/>
      <c r="J446" s="37"/>
      <c r="K446" s="37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</row>
    <row r="447" ht="14.25" customHeight="1">
      <c r="A447" s="38"/>
      <c r="B447" s="38"/>
      <c r="C447" s="37"/>
      <c r="D447" s="37"/>
      <c r="E447" s="37"/>
      <c r="F447" s="37"/>
      <c r="G447" s="37"/>
      <c r="H447" s="37"/>
      <c r="I447" s="37"/>
      <c r="J447" s="37"/>
      <c r="K447" s="37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</row>
    <row r="448" ht="14.25" customHeight="1">
      <c r="A448" s="38"/>
      <c r="B448" s="38"/>
      <c r="C448" s="37"/>
      <c r="D448" s="37"/>
      <c r="E448" s="37"/>
      <c r="F448" s="37"/>
      <c r="G448" s="37"/>
      <c r="H448" s="37"/>
      <c r="I448" s="37"/>
      <c r="J448" s="37"/>
      <c r="K448" s="37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</row>
    <row r="449" ht="14.25" customHeight="1">
      <c r="A449" s="38"/>
      <c r="B449" s="38"/>
      <c r="C449" s="37"/>
      <c r="D449" s="37"/>
      <c r="E449" s="37"/>
      <c r="F449" s="37"/>
      <c r="G449" s="37"/>
      <c r="H449" s="37"/>
      <c r="I449" s="37"/>
      <c r="J449" s="37"/>
      <c r="K449" s="37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</row>
    <row r="450" ht="14.25" customHeight="1">
      <c r="A450" s="38"/>
      <c r="B450" s="38"/>
      <c r="C450" s="37"/>
      <c r="D450" s="37"/>
      <c r="E450" s="37"/>
      <c r="F450" s="37"/>
      <c r="G450" s="37"/>
      <c r="H450" s="37"/>
      <c r="I450" s="37"/>
      <c r="J450" s="37"/>
      <c r="K450" s="37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</row>
    <row r="451" ht="14.25" customHeight="1">
      <c r="A451" s="38"/>
      <c r="B451" s="38"/>
      <c r="C451" s="37"/>
      <c r="D451" s="37"/>
      <c r="E451" s="37"/>
      <c r="F451" s="37"/>
      <c r="G451" s="37"/>
      <c r="H451" s="37"/>
      <c r="I451" s="37"/>
      <c r="J451" s="37"/>
      <c r="K451" s="37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</row>
    <row r="452" ht="14.25" customHeight="1">
      <c r="A452" s="38"/>
      <c r="B452" s="38"/>
      <c r="C452" s="37"/>
      <c r="D452" s="37"/>
      <c r="E452" s="37"/>
      <c r="F452" s="37"/>
      <c r="G452" s="37"/>
      <c r="H452" s="37"/>
      <c r="I452" s="37"/>
      <c r="J452" s="37"/>
      <c r="K452" s="37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</row>
    <row r="453" ht="14.25" customHeight="1">
      <c r="A453" s="38"/>
      <c r="B453" s="38"/>
      <c r="C453" s="37"/>
      <c r="D453" s="37"/>
      <c r="E453" s="37"/>
      <c r="F453" s="37"/>
      <c r="G453" s="37"/>
      <c r="H453" s="37"/>
      <c r="I453" s="37"/>
      <c r="J453" s="37"/>
      <c r="K453" s="37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</row>
    <row r="454" ht="14.25" customHeight="1">
      <c r="A454" s="38"/>
      <c r="B454" s="38"/>
      <c r="C454" s="37"/>
      <c r="D454" s="37"/>
      <c r="E454" s="37"/>
      <c r="F454" s="37"/>
      <c r="G454" s="37"/>
      <c r="H454" s="37"/>
      <c r="I454" s="37"/>
      <c r="J454" s="37"/>
      <c r="K454" s="37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</row>
    <row r="455" ht="14.25" customHeight="1">
      <c r="A455" s="38"/>
      <c r="B455" s="38"/>
      <c r="C455" s="37"/>
      <c r="D455" s="37"/>
      <c r="E455" s="37"/>
      <c r="F455" s="37"/>
      <c r="G455" s="37"/>
      <c r="H455" s="37"/>
      <c r="I455" s="37"/>
      <c r="J455" s="37"/>
      <c r="K455" s="37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</row>
    <row r="456" ht="14.25" customHeight="1">
      <c r="A456" s="38"/>
      <c r="B456" s="38"/>
      <c r="C456" s="37"/>
      <c r="D456" s="37"/>
      <c r="E456" s="37"/>
      <c r="F456" s="37"/>
      <c r="G456" s="37"/>
      <c r="H456" s="37"/>
      <c r="I456" s="37"/>
      <c r="J456" s="37"/>
      <c r="K456" s="37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</row>
    <row r="457" ht="14.25" customHeight="1">
      <c r="A457" s="38"/>
      <c r="B457" s="38"/>
      <c r="C457" s="37"/>
      <c r="D457" s="37"/>
      <c r="E457" s="37"/>
      <c r="F457" s="37"/>
      <c r="G457" s="37"/>
      <c r="H457" s="37"/>
      <c r="I457" s="37"/>
      <c r="J457" s="37"/>
      <c r="K457" s="37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</row>
    <row r="458" ht="14.25" customHeight="1">
      <c r="A458" s="38"/>
      <c r="B458" s="38"/>
      <c r="C458" s="37"/>
      <c r="D458" s="37"/>
      <c r="E458" s="37"/>
      <c r="F458" s="37"/>
      <c r="G458" s="37"/>
      <c r="H458" s="37"/>
      <c r="I458" s="37"/>
      <c r="J458" s="37"/>
      <c r="K458" s="37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</row>
    <row r="459" ht="14.25" customHeight="1">
      <c r="A459" s="38"/>
      <c r="B459" s="38"/>
      <c r="C459" s="37"/>
      <c r="D459" s="37"/>
      <c r="E459" s="37"/>
      <c r="F459" s="37"/>
      <c r="G459" s="37"/>
      <c r="H459" s="37"/>
      <c r="I459" s="37"/>
      <c r="J459" s="37"/>
      <c r="K459" s="37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</row>
    <row r="460" ht="14.25" customHeight="1">
      <c r="A460" s="38"/>
      <c r="B460" s="38"/>
      <c r="C460" s="37"/>
      <c r="D460" s="37"/>
      <c r="E460" s="37"/>
      <c r="F460" s="37"/>
      <c r="G460" s="37"/>
      <c r="H460" s="37"/>
      <c r="I460" s="37"/>
      <c r="J460" s="37"/>
      <c r="K460" s="37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</row>
    <row r="461" ht="14.25" customHeight="1">
      <c r="A461" s="38"/>
      <c r="B461" s="38"/>
      <c r="C461" s="37"/>
      <c r="D461" s="37"/>
      <c r="E461" s="37"/>
      <c r="F461" s="37"/>
      <c r="G461" s="37"/>
      <c r="H461" s="37"/>
      <c r="I461" s="37"/>
      <c r="J461" s="37"/>
      <c r="K461" s="37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</row>
    <row r="462" ht="14.25" customHeight="1">
      <c r="A462" s="38"/>
      <c r="B462" s="38"/>
      <c r="C462" s="37"/>
      <c r="D462" s="37"/>
      <c r="E462" s="37"/>
      <c r="F462" s="37"/>
      <c r="G462" s="37"/>
      <c r="H462" s="37"/>
      <c r="I462" s="37"/>
      <c r="J462" s="37"/>
      <c r="K462" s="37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</row>
    <row r="463" ht="14.25" customHeight="1">
      <c r="A463" s="38"/>
      <c r="B463" s="38"/>
      <c r="C463" s="37"/>
      <c r="D463" s="37"/>
      <c r="E463" s="37"/>
      <c r="F463" s="37"/>
      <c r="G463" s="37"/>
      <c r="H463" s="37"/>
      <c r="I463" s="37"/>
      <c r="J463" s="37"/>
      <c r="K463" s="37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</row>
    <row r="464" ht="14.25" customHeight="1">
      <c r="A464" s="38"/>
      <c r="B464" s="38"/>
      <c r="C464" s="37"/>
      <c r="D464" s="37"/>
      <c r="E464" s="37"/>
      <c r="F464" s="37"/>
      <c r="G464" s="37"/>
      <c r="H464" s="37"/>
      <c r="I464" s="37"/>
      <c r="J464" s="37"/>
      <c r="K464" s="37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</row>
    <row r="465" ht="14.25" customHeight="1">
      <c r="A465" s="38"/>
      <c r="B465" s="38"/>
      <c r="C465" s="37"/>
      <c r="D465" s="37"/>
      <c r="E465" s="37"/>
      <c r="F465" s="37"/>
      <c r="G465" s="37"/>
      <c r="H465" s="37"/>
      <c r="I465" s="37"/>
      <c r="J465" s="37"/>
      <c r="K465" s="37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</row>
    <row r="466" ht="14.25" customHeight="1">
      <c r="A466" s="38"/>
      <c r="B466" s="38"/>
      <c r="C466" s="37"/>
      <c r="D466" s="37"/>
      <c r="E466" s="37"/>
      <c r="F466" s="37"/>
      <c r="G466" s="37"/>
      <c r="H466" s="37"/>
      <c r="I466" s="37"/>
      <c r="J466" s="37"/>
      <c r="K466" s="37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</row>
    <row r="467" ht="14.25" customHeight="1">
      <c r="A467" s="38"/>
      <c r="B467" s="38"/>
      <c r="C467" s="37"/>
      <c r="D467" s="37"/>
      <c r="E467" s="37"/>
      <c r="F467" s="37"/>
      <c r="G467" s="37"/>
      <c r="H467" s="37"/>
      <c r="I467" s="37"/>
      <c r="J467" s="37"/>
      <c r="K467" s="37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</row>
    <row r="468" ht="14.25" customHeight="1">
      <c r="A468" s="38"/>
      <c r="B468" s="38"/>
      <c r="C468" s="37"/>
      <c r="D468" s="37"/>
      <c r="E468" s="37"/>
      <c r="F468" s="37"/>
      <c r="G468" s="37"/>
      <c r="H468" s="37"/>
      <c r="I468" s="37"/>
      <c r="J468" s="37"/>
      <c r="K468" s="37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</row>
    <row r="469" ht="14.25" customHeight="1">
      <c r="A469" s="38"/>
      <c r="B469" s="38"/>
      <c r="C469" s="37"/>
      <c r="D469" s="37"/>
      <c r="E469" s="37"/>
      <c r="F469" s="37"/>
      <c r="G469" s="37"/>
      <c r="H469" s="37"/>
      <c r="I469" s="37"/>
      <c r="J469" s="37"/>
      <c r="K469" s="37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</row>
    <row r="470" ht="14.25" customHeight="1">
      <c r="A470" s="38"/>
      <c r="B470" s="38"/>
      <c r="C470" s="37"/>
      <c r="D470" s="37"/>
      <c r="E470" s="37"/>
      <c r="F470" s="37"/>
      <c r="G470" s="37"/>
      <c r="H470" s="37"/>
      <c r="I470" s="37"/>
      <c r="J470" s="37"/>
      <c r="K470" s="37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</row>
    <row r="471" ht="14.25" customHeight="1">
      <c r="A471" s="38"/>
      <c r="B471" s="38"/>
      <c r="C471" s="37"/>
      <c r="D471" s="37"/>
      <c r="E471" s="37"/>
      <c r="F471" s="37"/>
      <c r="G471" s="37"/>
      <c r="H471" s="37"/>
      <c r="I471" s="37"/>
      <c r="J471" s="37"/>
      <c r="K471" s="37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</row>
    <row r="472" ht="14.25" customHeight="1">
      <c r="A472" s="38"/>
      <c r="B472" s="38"/>
      <c r="C472" s="37"/>
      <c r="D472" s="37"/>
      <c r="E472" s="37"/>
      <c r="F472" s="37"/>
      <c r="G472" s="37"/>
      <c r="H472" s="37"/>
      <c r="I472" s="37"/>
      <c r="J472" s="37"/>
      <c r="K472" s="37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</row>
    <row r="473" ht="14.25" customHeight="1">
      <c r="A473" s="38"/>
      <c r="B473" s="38"/>
      <c r="C473" s="37"/>
      <c r="D473" s="37"/>
      <c r="E473" s="37"/>
      <c r="F473" s="37"/>
      <c r="G473" s="37"/>
      <c r="H473" s="37"/>
      <c r="I473" s="37"/>
      <c r="J473" s="37"/>
      <c r="K473" s="37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</row>
    <row r="474" ht="14.25" customHeight="1">
      <c r="A474" s="38"/>
      <c r="B474" s="38"/>
      <c r="C474" s="37"/>
      <c r="D474" s="37"/>
      <c r="E474" s="37"/>
      <c r="F474" s="37"/>
      <c r="G474" s="37"/>
      <c r="H474" s="37"/>
      <c r="I474" s="37"/>
      <c r="J474" s="37"/>
      <c r="K474" s="37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</row>
    <row r="475" ht="14.25" customHeight="1">
      <c r="A475" s="38"/>
      <c r="B475" s="38"/>
      <c r="C475" s="37"/>
      <c r="D475" s="37"/>
      <c r="E475" s="37"/>
      <c r="F475" s="37"/>
      <c r="G475" s="37"/>
      <c r="H475" s="37"/>
      <c r="I475" s="37"/>
      <c r="J475" s="37"/>
      <c r="K475" s="37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</row>
    <row r="476" ht="14.25" customHeight="1">
      <c r="A476" s="38"/>
      <c r="B476" s="38"/>
      <c r="C476" s="37"/>
      <c r="D476" s="37"/>
      <c r="E476" s="37"/>
      <c r="F476" s="37"/>
      <c r="G476" s="37"/>
      <c r="H476" s="37"/>
      <c r="I476" s="37"/>
      <c r="J476" s="37"/>
      <c r="K476" s="37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</row>
    <row r="477" ht="14.25" customHeight="1">
      <c r="A477" s="38"/>
      <c r="B477" s="38"/>
      <c r="C477" s="37"/>
      <c r="D477" s="37"/>
      <c r="E477" s="37"/>
      <c r="F477" s="37"/>
      <c r="G477" s="37"/>
      <c r="H477" s="37"/>
      <c r="I477" s="37"/>
      <c r="J477" s="37"/>
      <c r="K477" s="37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</row>
    <row r="478" ht="14.25" customHeight="1">
      <c r="A478" s="38"/>
      <c r="B478" s="38"/>
      <c r="C478" s="37"/>
      <c r="D478" s="37"/>
      <c r="E478" s="37"/>
      <c r="F478" s="37"/>
      <c r="G478" s="37"/>
      <c r="H478" s="37"/>
      <c r="I478" s="37"/>
      <c r="J478" s="37"/>
      <c r="K478" s="37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</row>
    <row r="479" ht="14.25" customHeight="1">
      <c r="A479" s="38"/>
      <c r="B479" s="38"/>
      <c r="C479" s="37"/>
      <c r="D479" s="37"/>
      <c r="E479" s="37"/>
      <c r="F479" s="37"/>
      <c r="G479" s="37"/>
      <c r="H479" s="37"/>
      <c r="I479" s="37"/>
      <c r="J479" s="37"/>
      <c r="K479" s="37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</row>
    <row r="480" ht="14.25" customHeight="1">
      <c r="A480" s="38"/>
      <c r="B480" s="38"/>
      <c r="C480" s="37"/>
      <c r="D480" s="37"/>
      <c r="E480" s="37"/>
      <c r="F480" s="37"/>
      <c r="G480" s="37"/>
      <c r="H480" s="37"/>
      <c r="I480" s="37"/>
      <c r="J480" s="37"/>
      <c r="K480" s="37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</row>
    <row r="481" ht="14.25" customHeight="1">
      <c r="A481" s="38"/>
      <c r="B481" s="38"/>
      <c r="C481" s="37"/>
      <c r="D481" s="37"/>
      <c r="E481" s="37"/>
      <c r="F481" s="37"/>
      <c r="G481" s="37"/>
      <c r="H481" s="37"/>
      <c r="I481" s="37"/>
      <c r="J481" s="37"/>
      <c r="K481" s="37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</row>
    <row r="482" ht="14.25" customHeight="1">
      <c r="A482" s="38"/>
      <c r="B482" s="38"/>
      <c r="C482" s="37"/>
      <c r="D482" s="37"/>
      <c r="E482" s="37"/>
      <c r="F482" s="37"/>
      <c r="G482" s="37"/>
      <c r="H482" s="37"/>
      <c r="I482" s="37"/>
      <c r="J482" s="37"/>
      <c r="K482" s="37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</row>
    <row r="483" ht="14.25" customHeight="1">
      <c r="A483" s="38"/>
      <c r="B483" s="38"/>
      <c r="C483" s="37"/>
      <c r="D483" s="37"/>
      <c r="E483" s="37"/>
      <c r="F483" s="37"/>
      <c r="G483" s="37"/>
      <c r="H483" s="37"/>
      <c r="I483" s="37"/>
      <c r="J483" s="37"/>
      <c r="K483" s="37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</row>
    <row r="484" ht="14.25" customHeight="1">
      <c r="A484" s="38"/>
      <c r="B484" s="38"/>
      <c r="C484" s="37"/>
      <c r="D484" s="37"/>
      <c r="E484" s="37"/>
      <c r="F484" s="37"/>
      <c r="G484" s="37"/>
      <c r="H484" s="37"/>
      <c r="I484" s="37"/>
      <c r="J484" s="37"/>
      <c r="K484" s="37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</row>
    <row r="485" ht="14.25" customHeight="1">
      <c r="A485" s="38"/>
      <c r="B485" s="38"/>
      <c r="C485" s="37"/>
      <c r="D485" s="37"/>
      <c r="E485" s="37"/>
      <c r="F485" s="37"/>
      <c r="G485" s="37"/>
      <c r="H485" s="37"/>
      <c r="I485" s="37"/>
      <c r="J485" s="37"/>
      <c r="K485" s="37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</row>
    <row r="486" ht="14.25" customHeight="1">
      <c r="A486" s="38"/>
      <c r="B486" s="38"/>
      <c r="C486" s="37"/>
      <c r="D486" s="37"/>
      <c r="E486" s="37"/>
      <c r="F486" s="37"/>
      <c r="G486" s="37"/>
      <c r="H486" s="37"/>
      <c r="I486" s="37"/>
      <c r="J486" s="37"/>
      <c r="K486" s="37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</row>
    <row r="487" ht="14.25" customHeight="1">
      <c r="A487" s="38"/>
      <c r="B487" s="38"/>
      <c r="C487" s="37"/>
      <c r="D487" s="37"/>
      <c r="E487" s="37"/>
      <c r="F487" s="37"/>
      <c r="G487" s="37"/>
      <c r="H487" s="37"/>
      <c r="I487" s="37"/>
      <c r="J487" s="37"/>
      <c r="K487" s="37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</row>
    <row r="488" ht="14.25" customHeight="1">
      <c r="A488" s="38"/>
      <c r="B488" s="38"/>
      <c r="C488" s="37"/>
      <c r="D488" s="37"/>
      <c r="E488" s="37"/>
      <c r="F488" s="37"/>
      <c r="G488" s="37"/>
      <c r="H488" s="37"/>
      <c r="I488" s="37"/>
      <c r="J488" s="37"/>
      <c r="K488" s="37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</row>
    <row r="489" ht="14.25" customHeight="1">
      <c r="A489" s="38"/>
      <c r="B489" s="38"/>
      <c r="C489" s="37"/>
      <c r="D489" s="37"/>
      <c r="E489" s="37"/>
      <c r="F489" s="37"/>
      <c r="G489" s="37"/>
      <c r="H489" s="37"/>
      <c r="I489" s="37"/>
      <c r="J489" s="37"/>
      <c r="K489" s="37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</row>
    <row r="490" ht="14.25" customHeight="1">
      <c r="A490" s="38"/>
      <c r="B490" s="38"/>
      <c r="C490" s="37"/>
      <c r="D490" s="37"/>
      <c r="E490" s="37"/>
      <c r="F490" s="37"/>
      <c r="G490" s="37"/>
      <c r="H490" s="37"/>
      <c r="I490" s="37"/>
      <c r="J490" s="37"/>
      <c r="K490" s="37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</row>
    <row r="491" ht="14.25" customHeight="1">
      <c r="A491" s="38"/>
      <c r="B491" s="38"/>
      <c r="C491" s="37"/>
      <c r="D491" s="37"/>
      <c r="E491" s="37"/>
      <c r="F491" s="37"/>
      <c r="G491" s="37"/>
      <c r="H491" s="37"/>
      <c r="I491" s="37"/>
      <c r="J491" s="37"/>
      <c r="K491" s="37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</row>
    <row r="492" ht="14.25" customHeight="1">
      <c r="A492" s="38"/>
      <c r="B492" s="38"/>
      <c r="C492" s="37"/>
      <c r="D492" s="37"/>
      <c r="E492" s="37"/>
      <c r="F492" s="37"/>
      <c r="G492" s="37"/>
      <c r="H492" s="37"/>
      <c r="I492" s="37"/>
      <c r="J492" s="37"/>
      <c r="K492" s="37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</row>
    <row r="493" ht="14.25" customHeight="1">
      <c r="A493" s="38"/>
      <c r="B493" s="38"/>
      <c r="C493" s="37"/>
      <c r="D493" s="37"/>
      <c r="E493" s="37"/>
      <c r="F493" s="37"/>
      <c r="G493" s="37"/>
      <c r="H493" s="37"/>
      <c r="I493" s="37"/>
      <c r="J493" s="37"/>
      <c r="K493" s="37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</row>
    <row r="494" ht="14.25" customHeight="1">
      <c r="A494" s="38"/>
      <c r="B494" s="38"/>
      <c r="C494" s="37"/>
      <c r="D494" s="37"/>
      <c r="E494" s="37"/>
      <c r="F494" s="37"/>
      <c r="G494" s="37"/>
      <c r="H494" s="37"/>
      <c r="I494" s="37"/>
      <c r="J494" s="37"/>
      <c r="K494" s="37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</row>
    <row r="495" ht="14.25" customHeight="1">
      <c r="A495" s="38"/>
      <c r="B495" s="38"/>
      <c r="C495" s="37"/>
      <c r="D495" s="37"/>
      <c r="E495" s="37"/>
      <c r="F495" s="37"/>
      <c r="G495" s="37"/>
      <c r="H495" s="37"/>
      <c r="I495" s="37"/>
      <c r="J495" s="37"/>
      <c r="K495" s="37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</row>
    <row r="496" ht="14.25" customHeight="1">
      <c r="A496" s="38"/>
      <c r="B496" s="38"/>
      <c r="C496" s="37"/>
      <c r="D496" s="37"/>
      <c r="E496" s="37"/>
      <c r="F496" s="37"/>
      <c r="G496" s="37"/>
      <c r="H496" s="37"/>
      <c r="I496" s="37"/>
      <c r="J496" s="37"/>
      <c r="K496" s="37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</row>
    <row r="497" ht="14.25" customHeight="1">
      <c r="A497" s="38"/>
      <c r="B497" s="38"/>
      <c r="C497" s="37"/>
      <c r="D497" s="37"/>
      <c r="E497" s="37"/>
      <c r="F497" s="37"/>
      <c r="G497" s="37"/>
      <c r="H497" s="37"/>
      <c r="I497" s="37"/>
      <c r="J497" s="37"/>
      <c r="K497" s="37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</row>
    <row r="498" ht="14.25" customHeight="1">
      <c r="A498" s="38"/>
      <c r="B498" s="38"/>
      <c r="C498" s="37"/>
      <c r="D498" s="37"/>
      <c r="E498" s="37"/>
      <c r="F498" s="37"/>
      <c r="G498" s="37"/>
      <c r="H498" s="37"/>
      <c r="I498" s="37"/>
      <c r="J498" s="37"/>
      <c r="K498" s="37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</row>
    <row r="499" ht="14.25" customHeight="1">
      <c r="A499" s="38"/>
      <c r="B499" s="38"/>
      <c r="C499" s="37"/>
      <c r="D499" s="37"/>
      <c r="E499" s="37"/>
      <c r="F499" s="37"/>
      <c r="G499" s="37"/>
      <c r="H499" s="37"/>
      <c r="I499" s="37"/>
      <c r="J499" s="37"/>
      <c r="K499" s="37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</row>
    <row r="500" ht="14.25" customHeight="1">
      <c r="A500" s="38"/>
      <c r="B500" s="38"/>
      <c r="C500" s="37"/>
      <c r="D500" s="37"/>
      <c r="E500" s="37"/>
      <c r="F500" s="37"/>
      <c r="G500" s="37"/>
      <c r="H500" s="37"/>
      <c r="I500" s="37"/>
      <c r="J500" s="37"/>
      <c r="K500" s="37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</row>
    <row r="501" ht="14.25" customHeight="1">
      <c r="A501" s="38"/>
      <c r="B501" s="38"/>
      <c r="C501" s="37"/>
      <c r="D501" s="37"/>
      <c r="E501" s="37"/>
      <c r="F501" s="37"/>
      <c r="G501" s="37"/>
      <c r="H501" s="37"/>
      <c r="I501" s="37"/>
      <c r="J501" s="37"/>
      <c r="K501" s="37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</row>
    <row r="502" ht="14.25" customHeight="1">
      <c r="A502" s="38"/>
      <c r="B502" s="38"/>
      <c r="C502" s="37"/>
      <c r="D502" s="37"/>
      <c r="E502" s="37"/>
      <c r="F502" s="37"/>
      <c r="G502" s="37"/>
      <c r="H502" s="37"/>
      <c r="I502" s="37"/>
      <c r="J502" s="37"/>
      <c r="K502" s="37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</row>
    <row r="503" ht="14.25" customHeight="1">
      <c r="A503" s="38"/>
      <c r="B503" s="38"/>
      <c r="C503" s="37"/>
      <c r="D503" s="37"/>
      <c r="E503" s="37"/>
      <c r="F503" s="37"/>
      <c r="G503" s="37"/>
      <c r="H503" s="37"/>
      <c r="I503" s="37"/>
      <c r="J503" s="37"/>
      <c r="K503" s="37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</row>
    <row r="504" ht="14.25" customHeight="1">
      <c r="A504" s="38"/>
      <c r="B504" s="38"/>
      <c r="C504" s="37"/>
      <c r="D504" s="37"/>
      <c r="E504" s="37"/>
      <c r="F504" s="37"/>
      <c r="G504" s="37"/>
      <c r="H504" s="37"/>
      <c r="I504" s="37"/>
      <c r="J504" s="37"/>
      <c r="K504" s="37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</row>
    <row r="505" ht="14.25" customHeight="1">
      <c r="A505" s="38"/>
      <c r="B505" s="38"/>
      <c r="C505" s="37"/>
      <c r="D505" s="37"/>
      <c r="E505" s="37"/>
      <c r="F505" s="37"/>
      <c r="G505" s="37"/>
      <c r="H505" s="37"/>
      <c r="I505" s="37"/>
      <c r="J505" s="37"/>
      <c r="K505" s="37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</row>
    <row r="506" ht="14.25" customHeight="1">
      <c r="A506" s="38"/>
      <c r="B506" s="38"/>
      <c r="C506" s="37"/>
      <c r="D506" s="37"/>
      <c r="E506" s="37"/>
      <c r="F506" s="37"/>
      <c r="G506" s="37"/>
      <c r="H506" s="37"/>
      <c r="I506" s="37"/>
      <c r="J506" s="37"/>
      <c r="K506" s="37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</row>
    <row r="507" ht="14.25" customHeight="1">
      <c r="A507" s="38"/>
      <c r="B507" s="38"/>
      <c r="C507" s="37"/>
      <c r="D507" s="37"/>
      <c r="E507" s="37"/>
      <c r="F507" s="37"/>
      <c r="G507" s="37"/>
      <c r="H507" s="37"/>
      <c r="I507" s="37"/>
      <c r="J507" s="37"/>
      <c r="K507" s="37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</row>
    <row r="508" ht="14.25" customHeight="1">
      <c r="A508" s="38"/>
      <c r="B508" s="38"/>
      <c r="C508" s="37"/>
      <c r="D508" s="37"/>
      <c r="E508" s="37"/>
      <c r="F508" s="37"/>
      <c r="G508" s="37"/>
      <c r="H508" s="37"/>
      <c r="I508" s="37"/>
      <c r="J508" s="37"/>
      <c r="K508" s="37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</row>
    <row r="509" ht="14.25" customHeight="1">
      <c r="A509" s="38"/>
      <c r="B509" s="38"/>
      <c r="C509" s="37"/>
      <c r="D509" s="37"/>
      <c r="E509" s="37"/>
      <c r="F509" s="37"/>
      <c r="G509" s="37"/>
      <c r="H509" s="37"/>
      <c r="I509" s="37"/>
      <c r="J509" s="37"/>
      <c r="K509" s="37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</row>
    <row r="510" ht="14.25" customHeight="1">
      <c r="A510" s="38"/>
      <c r="B510" s="38"/>
      <c r="C510" s="37"/>
      <c r="D510" s="37"/>
      <c r="E510" s="37"/>
      <c r="F510" s="37"/>
      <c r="G510" s="37"/>
      <c r="H510" s="37"/>
      <c r="I510" s="37"/>
      <c r="J510" s="37"/>
      <c r="K510" s="37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</row>
    <row r="511" ht="14.25" customHeight="1">
      <c r="A511" s="38"/>
      <c r="B511" s="38"/>
      <c r="C511" s="37"/>
      <c r="D511" s="37"/>
      <c r="E511" s="37"/>
      <c r="F511" s="37"/>
      <c r="G511" s="37"/>
      <c r="H511" s="37"/>
      <c r="I511" s="37"/>
      <c r="J511" s="37"/>
      <c r="K511" s="37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</row>
    <row r="512" ht="14.25" customHeight="1">
      <c r="A512" s="38"/>
      <c r="B512" s="38"/>
      <c r="C512" s="37"/>
      <c r="D512" s="37"/>
      <c r="E512" s="37"/>
      <c r="F512" s="37"/>
      <c r="G512" s="37"/>
      <c r="H512" s="37"/>
      <c r="I512" s="37"/>
      <c r="J512" s="37"/>
      <c r="K512" s="37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</row>
    <row r="513" ht="14.25" customHeight="1">
      <c r="A513" s="38"/>
      <c r="B513" s="38"/>
      <c r="C513" s="37"/>
      <c r="D513" s="37"/>
      <c r="E513" s="37"/>
      <c r="F513" s="37"/>
      <c r="G513" s="37"/>
      <c r="H513" s="37"/>
      <c r="I513" s="37"/>
      <c r="J513" s="37"/>
      <c r="K513" s="37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</row>
    <row r="514" ht="14.25" customHeight="1">
      <c r="A514" s="38"/>
      <c r="B514" s="38"/>
      <c r="C514" s="37"/>
      <c r="D514" s="37"/>
      <c r="E514" s="37"/>
      <c r="F514" s="37"/>
      <c r="G514" s="37"/>
      <c r="H514" s="37"/>
      <c r="I514" s="37"/>
      <c r="J514" s="37"/>
      <c r="K514" s="37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</row>
    <row r="515" ht="14.25" customHeight="1">
      <c r="A515" s="38"/>
      <c r="B515" s="38"/>
      <c r="C515" s="37"/>
      <c r="D515" s="37"/>
      <c r="E515" s="37"/>
      <c r="F515" s="37"/>
      <c r="G515" s="37"/>
      <c r="H515" s="37"/>
      <c r="I515" s="37"/>
      <c r="J515" s="37"/>
      <c r="K515" s="37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</row>
    <row r="516" ht="14.25" customHeight="1">
      <c r="A516" s="38"/>
      <c r="B516" s="38"/>
      <c r="C516" s="37"/>
      <c r="D516" s="37"/>
      <c r="E516" s="37"/>
      <c r="F516" s="37"/>
      <c r="G516" s="37"/>
      <c r="H516" s="37"/>
      <c r="I516" s="37"/>
      <c r="J516" s="37"/>
      <c r="K516" s="37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</row>
    <row r="517" ht="14.25" customHeight="1">
      <c r="A517" s="38"/>
      <c r="B517" s="38"/>
      <c r="C517" s="37"/>
      <c r="D517" s="37"/>
      <c r="E517" s="37"/>
      <c r="F517" s="37"/>
      <c r="G517" s="37"/>
      <c r="H517" s="37"/>
      <c r="I517" s="37"/>
      <c r="J517" s="37"/>
      <c r="K517" s="37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</row>
    <row r="518" ht="14.25" customHeight="1">
      <c r="A518" s="38"/>
      <c r="B518" s="38"/>
      <c r="C518" s="37"/>
      <c r="D518" s="37"/>
      <c r="E518" s="37"/>
      <c r="F518" s="37"/>
      <c r="G518" s="37"/>
      <c r="H518" s="37"/>
      <c r="I518" s="37"/>
      <c r="J518" s="37"/>
      <c r="K518" s="37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</row>
    <row r="519" ht="14.25" customHeight="1">
      <c r="A519" s="38"/>
      <c r="B519" s="38"/>
      <c r="C519" s="37"/>
      <c r="D519" s="37"/>
      <c r="E519" s="37"/>
      <c r="F519" s="37"/>
      <c r="G519" s="37"/>
      <c r="H519" s="37"/>
      <c r="I519" s="37"/>
      <c r="J519" s="37"/>
      <c r="K519" s="37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</row>
    <row r="520" ht="14.25" customHeight="1">
      <c r="A520" s="38"/>
      <c r="B520" s="38"/>
      <c r="C520" s="37"/>
      <c r="D520" s="37"/>
      <c r="E520" s="37"/>
      <c r="F520" s="37"/>
      <c r="G520" s="37"/>
      <c r="H520" s="37"/>
      <c r="I520" s="37"/>
      <c r="J520" s="37"/>
      <c r="K520" s="37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</row>
    <row r="521" ht="14.25" customHeight="1">
      <c r="A521" s="38"/>
      <c r="B521" s="38"/>
      <c r="C521" s="37"/>
      <c r="D521" s="37"/>
      <c r="E521" s="37"/>
      <c r="F521" s="37"/>
      <c r="G521" s="37"/>
      <c r="H521" s="37"/>
      <c r="I521" s="37"/>
      <c r="J521" s="37"/>
      <c r="K521" s="37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</row>
    <row r="522" ht="14.25" customHeight="1">
      <c r="A522" s="38"/>
      <c r="B522" s="38"/>
      <c r="C522" s="37"/>
      <c r="D522" s="37"/>
      <c r="E522" s="37"/>
      <c r="F522" s="37"/>
      <c r="G522" s="37"/>
      <c r="H522" s="37"/>
      <c r="I522" s="37"/>
      <c r="J522" s="37"/>
      <c r="K522" s="37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</row>
    <row r="523" ht="14.25" customHeight="1">
      <c r="A523" s="38"/>
      <c r="B523" s="38"/>
      <c r="C523" s="37"/>
      <c r="D523" s="37"/>
      <c r="E523" s="37"/>
      <c r="F523" s="37"/>
      <c r="G523" s="37"/>
      <c r="H523" s="37"/>
      <c r="I523" s="37"/>
      <c r="J523" s="37"/>
      <c r="K523" s="37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</row>
    <row r="524" ht="14.25" customHeight="1">
      <c r="A524" s="38"/>
      <c r="B524" s="38"/>
      <c r="C524" s="37"/>
      <c r="D524" s="37"/>
      <c r="E524" s="37"/>
      <c r="F524" s="37"/>
      <c r="G524" s="37"/>
      <c r="H524" s="37"/>
      <c r="I524" s="37"/>
      <c r="J524" s="37"/>
      <c r="K524" s="37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</row>
    <row r="525" ht="14.25" customHeight="1">
      <c r="A525" s="38"/>
      <c r="B525" s="38"/>
      <c r="C525" s="37"/>
      <c r="D525" s="37"/>
      <c r="E525" s="37"/>
      <c r="F525" s="37"/>
      <c r="G525" s="37"/>
      <c r="H525" s="37"/>
      <c r="I525" s="37"/>
      <c r="J525" s="37"/>
      <c r="K525" s="37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</row>
    <row r="526" ht="14.25" customHeight="1">
      <c r="A526" s="38"/>
      <c r="B526" s="38"/>
      <c r="C526" s="37"/>
      <c r="D526" s="37"/>
      <c r="E526" s="37"/>
      <c r="F526" s="37"/>
      <c r="G526" s="37"/>
      <c r="H526" s="37"/>
      <c r="I526" s="37"/>
      <c r="J526" s="37"/>
      <c r="K526" s="37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</row>
    <row r="527" ht="14.25" customHeight="1">
      <c r="A527" s="38"/>
      <c r="B527" s="38"/>
      <c r="C527" s="37"/>
      <c r="D527" s="37"/>
      <c r="E527" s="37"/>
      <c r="F527" s="37"/>
      <c r="G527" s="37"/>
      <c r="H527" s="37"/>
      <c r="I527" s="37"/>
      <c r="J527" s="37"/>
      <c r="K527" s="37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</row>
    <row r="528" ht="14.25" customHeight="1">
      <c r="A528" s="38"/>
      <c r="B528" s="38"/>
      <c r="C528" s="37"/>
      <c r="D528" s="37"/>
      <c r="E528" s="37"/>
      <c r="F528" s="37"/>
      <c r="G528" s="37"/>
      <c r="H528" s="37"/>
      <c r="I528" s="37"/>
      <c r="J528" s="37"/>
      <c r="K528" s="37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</row>
    <row r="529" ht="14.25" customHeight="1">
      <c r="A529" s="38"/>
      <c r="B529" s="38"/>
      <c r="C529" s="37"/>
      <c r="D529" s="37"/>
      <c r="E529" s="37"/>
      <c r="F529" s="37"/>
      <c r="G529" s="37"/>
      <c r="H529" s="37"/>
      <c r="I529" s="37"/>
      <c r="J529" s="37"/>
      <c r="K529" s="37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</row>
    <row r="530" ht="14.25" customHeight="1">
      <c r="A530" s="38"/>
      <c r="B530" s="38"/>
      <c r="C530" s="37"/>
      <c r="D530" s="37"/>
      <c r="E530" s="37"/>
      <c r="F530" s="37"/>
      <c r="G530" s="37"/>
      <c r="H530" s="37"/>
      <c r="I530" s="37"/>
      <c r="J530" s="37"/>
      <c r="K530" s="37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</row>
    <row r="531" ht="14.25" customHeight="1">
      <c r="A531" s="38"/>
      <c r="B531" s="38"/>
      <c r="C531" s="37"/>
      <c r="D531" s="37"/>
      <c r="E531" s="37"/>
      <c r="F531" s="37"/>
      <c r="G531" s="37"/>
      <c r="H531" s="37"/>
      <c r="I531" s="37"/>
      <c r="J531" s="37"/>
      <c r="K531" s="37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</row>
    <row r="532" ht="14.25" customHeight="1">
      <c r="A532" s="38"/>
      <c r="B532" s="38"/>
      <c r="C532" s="37"/>
      <c r="D532" s="37"/>
      <c r="E532" s="37"/>
      <c r="F532" s="37"/>
      <c r="G532" s="37"/>
      <c r="H532" s="37"/>
      <c r="I532" s="37"/>
      <c r="J532" s="37"/>
      <c r="K532" s="37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</row>
    <row r="533" ht="14.25" customHeight="1">
      <c r="A533" s="38"/>
      <c r="B533" s="38"/>
      <c r="C533" s="37"/>
      <c r="D533" s="37"/>
      <c r="E533" s="37"/>
      <c r="F533" s="37"/>
      <c r="G533" s="37"/>
      <c r="H533" s="37"/>
      <c r="I533" s="37"/>
      <c r="J533" s="37"/>
      <c r="K533" s="37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</row>
    <row r="534" ht="14.25" customHeight="1">
      <c r="A534" s="38"/>
      <c r="B534" s="38"/>
      <c r="C534" s="37"/>
      <c r="D534" s="37"/>
      <c r="E534" s="37"/>
      <c r="F534" s="37"/>
      <c r="G534" s="37"/>
      <c r="H534" s="37"/>
      <c r="I534" s="37"/>
      <c r="J534" s="37"/>
      <c r="K534" s="37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</row>
    <row r="535" ht="14.25" customHeight="1">
      <c r="A535" s="38"/>
      <c r="B535" s="38"/>
      <c r="C535" s="37"/>
      <c r="D535" s="37"/>
      <c r="E535" s="37"/>
      <c r="F535" s="37"/>
      <c r="G535" s="37"/>
      <c r="H535" s="37"/>
      <c r="I535" s="37"/>
      <c r="J535" s="37"/>
      <c r="K535" s="37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</row>
    <row r="536" ht="14.25" customHeight="1">
      <c r="A536" s="38"/>
      <c r="B536" s="38"/>
      <c r="C536" s="37"/>
      <c r="D536" s="37"/>
      <c r="E536" s="37"/>
      <c r="F536" s="37"/>
      <c r="G536" s="37"/>
      <c r="H536" s="37"/>
      <c r="I536" s="37"/>
      <c r="J536" s="37"/>
      <c r="K536" s="37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</row>
    <row r="537" ht="14.25" customHeight="1">
      <c r="A537" s="38"/>
      <c r="B537" s="38"/>
      <c r="C537" s="37"/>
      <c r="D537" s="37"/>
      <c r="E537" s="37"/>
      <c r="F537" s="37"/>
      <c r="G537" s="37"/>
      <c r="H537" s="37"/>
      <c r="I537" s="37"/>
      <c r="J537" s="37"/>
      <c r="K537" s="37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</row>
    <row r="538" ht="14.25" customHeight="1">
      <c r="A538" s="38"/>
      <c r="B538" s="38"/>
      <c r="C538" s="37"/>
      <c r="D538" s="37"/>
      <c r="E538" s="37"/>
      <c r="F538" s="37"/>
      <c r="G538" s="37"/>
      <c r="H538" s="37"/>
      <c r="I538" s="37"/>
      <c r="J538" s="37"/>
      <c r="K538" s="37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</row>
    <row r="539" ht="14.25" customHeight="1">
      <c r="A539" s="38"/>
      <c r="B539" s="38"/>
      <c r="C539" s="37"/>
      <c r="D539" s="37"/>
      <c r="E539" s="37"/>
      <c r="F539" s="37"/>
      <c r="G539" s="37"/>
      <c r="H539" s="37"/>
      <c r="I539" s="37"/>
      <c r="J539" s="37"/>
      <c r="K539" s="37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</row>
    <row r="540" ht="14.25" customHeight="1">
      <c r="A540" s="38"/>
      <c r="B540" s="38"/>
      <c r="C540" s="37"/>
      <c r="D540" s="37"/>
      <c r="E540" s="37"/>
      <c r="F540" s="37"/>
      <c r="G540" s="37"/>
      <c r="H540" s="37"/>
      <c r="I540" s="37"/>
      <c r="J540" s="37"/>
      <c r="K540" s="37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</row>
    <row r="541" ht="14.25" customHeight="1">
      <c r="A541" s="38"/>
      <c r="B541" s="38"/>
      <c r="C541" s="37"/>
      <c r="D541" s="37"/>
      <c r="E541" s="37"/>
      <c r="F541" s="37"/>
      <c r="G541" s="37"/>
      <c r="H541" s="37"/>
      <c r="I541" s="37"/>
      <c r="J541" s="37"/>
      <c r="K541" s="37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</row>
    <row r="542" ht="14.25" customHeight="1">
      <c r="A542" s="38"/>
      <c r="B542" s="38"/>
      <c r="C542" s="37"/>
      <c r="D542" s="37"/>
      <c r="E542" s="37"/>
      <c r="F542" s="37"/>
      <c r="G542" s="37"/>
      <c r="H542" s="37"/>
      <c r="I542" s="37"/>
      <c r="J542" s="37"/>
      <c r="K542" s="37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</row>
    <row r="543" ht="14.25" customHeight="1">
      <c r="A543" s="38"/>
      <c r="B543" s="38"/>
      <c r="C543" s="37"/>
      <c r="D543" s="37"/>
      <c r="E543" s="37"/>
      <c r="F543" s="37"/>
      <c r="G543" s="37"/>
      <c r="H543" s="37"/>
      <c r="I543" s="37"/>
      <c r="J543" s="37"/>
      <c r="K543" s="37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</row>
    <row r="544" ht="14.25" customHeight="1">
      <c r="A544" s="38"/>
      <c r="B544" s="38"/>
      <c r="C544" s="37"/>
      <c r="D544" s="37"/>
      <c r="E544" s="37"/>
      <c r="F544" s="37"/>
      <c r="G544" s="37"/>
      <c r="H544" s="37"/>
      <c r="I544" s="37"/>
      <c r="J544" s="37"/>
      <c r="K544" s="37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</row>
    <row r="545" ht="14.25" customHeight="1">
      <c r="A545" s="38"/>
      <c r="B545" s="38"/>
      <c r="C545" s="37"/>
      <c r="D545" s="37"/>
      <c r="E545" s="37"/>
      <c r="F545" s="37"/>
      <c r="G545" s="37"/>
      <c r="H545" s="37"/>
      <c r="I545" s="37"/>
      <c r="J545" s="37"/>
      <c r="K545" s="37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</row>
    <row r="546" ht="14.25" customHeight="1">
      <c r="A546" s="38"/>
      <c r="B546" s="38"/>
      <c r="C546" s="37"/>
      <c r="D546" s="37"/>
      <c r="E546" s="37"/>
      <c r="F546" s="37"/>
      <c r="G546" s="37"/>
      <c r="H546" s="37"/>
      <c r="I546" s="37"/>
      <c r="J546" s="37"/>
      <c r="K546" s="37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</row>
    <row r="547" ht="14.25" customHeight="1">
      <c r="A547" s="38"/>
      <c r="B547" s="38"/>
      <c r="C547" s="37"/>
      <c r="D547" s="37"/>
      <c r="E547" s="37"/>
      <c r="F547" s="37"/>
      <c r="G547" s="37"/>
      <c r="H547" s="37"/>
      <c r="I547" s="37"/>
      <c r="J547" s="37"/>
      <c r="K547" s="37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</row>
    <row r="548" ht="14.25" customHeight="1">
      <c r="A548" s="38"/>
      <c r="B548" s="38"/>
      <c r="C548" s="37"/>
      <c r="D548" s="37"/>
      <c r="E548" s="37"/>
      <c r="F548" s="37"/>
      <c r="G548" s="37"/>
      <c r="H548" s="37"/>
      <c r="I548" s="37"/>
      <c r="J548" s="37"/>
      <c r="K548" s="37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</row>
    <row r="549" ht="14.25" customHeight="1">
      <c r="A549" s="38"/>
      <c r="B549" s="38"/>
      <c r="C549" s="37"/>
      <c r="D549" s="37"/>
      <c r="E549" s="37"/>
      <c r="F549" s="37"/>
      <c r="G549" s="37"/>
      <c r="H549" s="37"/>
      <c r="I549" s="37"/>
      <c r="J549" s="37"/>
      <c r="K549" s="37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</row>
    <row r="550" ht="14.25" customHeight="1">
      <c r="A550" s="38"/>
      <c r="B550" s="38"/>
      <c r="C550" s="37"/>
      <c r="D550" s="37"/>
      <c r="E550" s="37"/>
      <c r="F550" s="37"/>
      <c r="G550" s="37"/>
      <c r="H550" s="37"/>
      <c r="I550" s="37"/>
      <c r="J550" s="37"/>
      <c r="K550" s="37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</row>
    <row r="551" ht="14.25" customHeight="1">
      <c r="A551" s="38"/>
      <c r="B551" s="38"/>
      <c r="C551" s="37"/>
      <c r="D551" s="37"/>
      <c r="E551" s="37"/>
      <c r="F551" s="37"/>
      <c r="G551" s="37"/>
      <c r="H551" s="37"/>
      <c r="I551" s="37"/>
      <c r="J551" s="37"/>
      <c r="K551" s="37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</row>
    <row r="552" ht="14.25" customHeight="1">
      <c r="A552" s="38"/>
      <c r="B552" s="38"/>
      <c r="C552" s="37"/>
      <c r="D552" s="37"/>
      <c r="E552" s="37"/>
      <c r="F552" s="37"/>
      <c r="G552" s="37"/>
      <c r="H552" s="37"/>
      <c r="I552" s="37"/>
      <c r="J552" s="37"/>
      <c r="K552" s="37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</row>
    <row r="553" ht="14.25" customHeight="1">
      <c r="A553" s="38"/>
      <c r="B553" s="38"/>
      <c r="C553" s="37"/>
      <c r="D553" s="37"/>
      <c r="E553" s="37"/>
      <c r="F553" s="37"/>
      <c r="G553" s="37"/>
      <c r="H553" s="37"/>
      <c r="I553" s="37"/>
      <c r="J553" s="37"/>
      <c r="K553" s="37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</row>
    <row r="554" ht="14.25" customHeight="1">
      <c r="A554" s="38"/>
      <c r="B554" s="38"/>
      <c r="C554" s="37"/>
      <c r="D554" s="37"/>
      <c r="E554" s="37"/>
      <c r="F554" s="37"/>
      <c r="G554" s="37"/>
      <c r="H554" s="37"/>
      <c r="I554" s="37"/>
      <c r="J554" s="37"/>
      <c r="K554" s="37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</row>
    <row r="555" ht="14.25" customHeight="1">
      <c r="A555" s="38"/>
      <c r="B555" s="38"/>
      <c r="C555" s="37"/>
      <c r="D555" s="37"/>
      <c r="E555" s="37"/>
      <c r="F555" s="37"/>
      <c r="G555" s="37"/>
      <c r="H555" s="37"/>
      <c r="I555" s="37"/>
      <c r="J555" s="37"/>
      <c r="K555" s="37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</row>
    <row r="556" ht="14.25" customHeight="1">
      <c r="A556" s="38"/>
      <c r="B556" s="38"/>
      <c r="C556" s="37"/>
      <c r="D556" s="37"/>
      <c r="E556" s="37"/>
      <c r="F556" s="37"/>
      <c r="G556" s="37"/>
      <c r="H556" s="37"/>
      <c r="I556" s="37"/>
      <c r="J556" s="37"/>
      <c r="K556" s="37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</row>
    <row r="557" ht="14.25" customHeight="1">
      <c r="A557" s="38"/>
      <c r="B557" s="38"/>
      <c r="C557" s="37"/>
      <c r="D557" s="37"/>
      <c r="E557" s="37"/>
      <c r="F557" s="37"/>
      <c r="G557" s="37"/>
      <c r="H557" s="37"/>
      <c r="I557" s="37"/>
      <c r="J557" s="37"/>
      <c r="K557" s="37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</row>
    <row r="558" ht="14.25" customHeight="1">
      <c r="A558" s="38"/>
      <c r="B558" s="38"/>
      <c r="C558" s="37"/>
      <c r="D558" s="37"/>
      <c r="E558" s="37"/>
      <c r="F558" s="37"/>
      <c r="G558" s="37"/>
      <c r="H558" s="37"/>
      <c r="I558" s="37"/>
      <c r="J558" s="37"/>
      <c r="K558" s="37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</row>
    <row r="559" ht="14.25" customHeight="1">
      <c r="A559" s="38"/>
      <c r="B559" s="38"/>
      <c r="C559" s="37"/>
      <c r="D559" s="37"/>
      <c r="E559" s="37"/>
      <c r="F559" s="37"/>
      <c r="G559" s="37"/>
      <c r="H559" s="37"/>
      <c r="I559" s="37"/>
      <c r="J559" s="37"/>
      <c r="K559" s="37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</row>
    <row r="560" ht="14.25" customHeight="1">
      <c r="A560" s="38"/>
      <c r="B560" s="38"/>
      <c r="C560" s="37"/>
      <c r="D560" s="37"/>
      <c r="E560" s="37"/>
      <c r="F560" s="37"/>
      <c r="G560" s="37"/>
      <c r="H560" s="37"/>
      <c r="I560" s="37"/>
      <c r="J560" s="37"/>
      <c r="K560" s="37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</row>
    <row r="561" ht="14.25" customHeight="1">
      <c r="A561" s="38"/>
      <c r="B561" s="38"/>
      <c r="C561" s="37"/>
      <c r="D561" s="37"/>
      <c r="E561" s="37"/>
      <c r="F561" s="37"/>
      <c r="G561" s="37"/>
      <c r="H561" s="37"/>
      <c r="I561" s="37"/>
      <c r="J561" s="37"/>
      <c r="K561" s="37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</row>
    <row r="562" ht="14.25" customHeight="1">
      <c r="A562" s="38"/>
      <c r="B562" s="38"/>
      <c r="C562" s="37"/>
      <c r="D562" s="37"/>
      <c r="E562" s="37"/>
      <c r="F562" s="37"/>
      <c r="G562" s="37"/>
      <c r="H562" s="37"/>
      <c r="I562" s="37"/>
      <c r="J562" s="37"/>
      <c r="K562" s="37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</row>
    <row r="563" ht="14.25" customHeight="1">
      <c r="A563" s="38"/>
      <c r="B563" s="38"/>
      <c r="C563" s="37"/>
      <c r="D563" s="37"/>
      <c r="E563" s="37"/>
      <c r="F563" s="37"/>
      <c r="G563" s="37"/>
      <c r="H563" s="37"/>
      <c r="I563" s="37"/>
      <c r="J563" s="37"/>
      <c r="K563" s="37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</row>
    <row r="564" ht="14.25" customHeight="1">
      <c r="A564" s="38"/>
      <c r="B564" s="38"/>
      <c r="C564" s="37"/>
      <c r="D564" s="37"/>
      <c r="E564" s="37"/>
      <c r="F564" s="37"/>
      <c r="G564" s="37"/>
      <c r="H564" s="37"/>
      <c r="I564" s="37"/>
      <c r="J564" s="37"/>
      <c r="K564" s="37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</row>
    <row r="565" ht="14.25" customHeight="1">
      <c r="A565" s="38"/>
      <c r="B565" s="38"/>
      <c r="C565" s="37"/>
      <c r="D565" s="37"/>
      <c r="E565" s="37"/>
      <c r="F565" s="37"/>
      <c r="G565" s="37"/>
      <c r="H565" s="37"/>
      <c r="I565" s="37"/>
      <c r="J565" s="37"/>
      <c r="K565" s="37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</row>
    <row r="566" ht="14.25" customHeight="1">
      <c r="A566" s="38"/>
      <c r="B566" s="38"/>
      <c r="C566" s="37"/>
      <c r="D566" s="37"/>
      <c r="E566" s="37"/>
      <c r="F566" s="37"/>
      <c r="G566" s="37"/>
      <c r="H566" s="37"/>
      <c r="I566" s="37"/>
      <c r="J566" s="37"/>
      <c r="K566" s="37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</row>
    <row r="567" ht="14.25" customHeight="1">
      <c r="A567" s="38"/>
      <c r="B567" s="38"/>
      <c r="C567" s="37"/>
      <c r="D567" s="37"/>
      <c r="E567" s="37"/>
      <c r="F567" s="37"/>
      <c r="G567" s="37"/>
      <c r="H567" s="37"/>
      <c r="I567" s="37"/>
      <c r="J567" s="37"/>
      <c r="K567" s="37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</row>
    <row r="568" ht="14.25" customHeight="1">
      <c r="A568" s="38"/>
      <c r="B568" s="38"/>
      <c r="C568" s="37"/>
      <c r="D568" s="37"/>
      <c r="E568" s="37"/>
      <c r="F568" s="37"/>
      <c r="G568" s="37"/>
      <c r="H568" s="37"/>
      <c r="I568" s="37"/>
      <c r="J568" s="37"/>
      <c r="K568" s="37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</row>
    <row r="569" ht="14.25" customHeight="1">
      <c r="A569" s="38"/>
      <c r="B569" s="38"/>
      <c r="C569" s="37"/>
      <c r="D569" s="37"/>
      <c r="E569" s="37"/>
      <c r="F569" s="37"/>
      <c r="G569" s="37"/>
      <c r="H569" s="37"/>
      <c r="I569" s="37"/>
      <c r="J569" s="37"/>
      <c r="K569" s="37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</row>
    <row r="570" ht="14.25" customHeight="1">
      <c r="A570" s="38"/>
      <c r="B570" s="38"/>
      <c r="C570" s="37"/>
      <c r="D570" s="37"/>
      <c r="E570" s="37"/>
      <c r="F570" s="37"/>
      <c r="G570" s="37"/>
      <c r="H570" s="37"/>
      <c r="I570" s="37"/>
      <c r="J570" s="37"/>
      <c r="K570" s="37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</row>
    <row r="571" ht="14.25" customHeight="1">
      <c r="A571" s="38"/>
      <c r="B571" s="38"/>
      <c r="C571" s="37"/>
      <c r="D571" s="37"/>
      <c r="E571" s="37"/>
      <c r="F571" s="37"/>
      <c r="G571" s="37"/>
      <c r="H571" s="37"/>
      <c r="I571" s="37"/>
      <c r="J571" s="37"/>
      <c r="K571" s="37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</row>
    <row r="572" ht="14.25" customHeight="1">
      <c r="A572" s="38"/>
      <c r="B572" s="38"/>
      <c r="C572" s="37"/>
      <c r="D572" s="37"/>
      <c r="E572" s="37"/>
      <c r="F572" s="37"/>
      <c r="G572" s="37"/>
      <c r="H572" s="37"/>
      <c r="I572" s="37"/>
      <c r="J572" s="37"/>
      <c r="K572" s="37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</row>
    <row r="573" ht="14.25" customHeight="1">
      <c r="A573" s="38"/>
      <c r="B573" s="38"/>
      <c r="C573" s="37"/>
      <c r="D573" s="37"/>
      <c r="E573" s="37"/>
      <c r="F573" s="37"/>
      <c r="G573" s="37"/>
      <c r="H573" s="37"/>
      <c r="I573" s="37"/>
      <c r="J573" s="37"/>
      <c r="K573" s="37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</row>
    <row r="574" ht="14.25" customHeight="1">
      <c r="A574" s="38"/>
      <c r="B574" s="38"/>
      <c r="C574" s="37"/>
      <c r="D574" s="37"/>
      <c r="E574" s="37"/>
      <c r="F574" s="37"/>
      <c r="G574" s="37"/>
      <c r="H574" s="37"/>
      <c r="I574" s="37"/>
      <c r="J574" s="37"/>
      <c r="K574" s="37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</row>
    <row r="575" ht="14.25" customHeight="1">
      <c r="A575" s="38"/>
      <c r="B575" s="38"/>
      <c r="C575" s="37"/>
      <c r="D575" s="37"/>
      <c r="E575" s="37"/>
      <c r="F575" s="37"/>
      <c r="G575" s="37"/>
      <c r="H575" s="37"/>
      <c r="I575" s="37"/>
      <c r="J575" s="37"/>
      <c r="K575" s="37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</row>
    <row r="576" ht="14.25" customHeight="1">
      <c r="A576" s="38"/>
      <c r="B576" s="38"/>
      <c r="C576" s="37"/>
      <c r="D576" s="37"/>
      <c r="E576" s="37"/>
      <c r="F576" s="37"/>
      <c r="G576" s="37"/>
      <c r="H576" s="37"/>
      <c r="I576" s="37"/>
      <c r="J576" s="37"/>
      <c r="K576" s="37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</row>
    <row r="577" ht="14.25" customHeight="1">
      <c r="A577" s="38"/>
      <c r="B577" s="38"/>
      <c r="C577" s="37"/>
      <c r="D577" s="37"/>
      <c r="E577" s="37"/>
      <c r="F577" s="37"/>
      <c r="G577" s="37"/>
      <c r="H577" s="37"/>
      <c r="I577" s="37"/>
      <c r="J577" s="37"/>
      <c r="K577" s="37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</row>
    <row r="578" ht="14.25" customHeight="1">
      <c r="A578" s="38"/>
      <c r="B578" s="38"/>
      <c r="C578" s="37"/>
      <c r="D578" s="37"/>
      <c r="E578" s="37"/>
      <c r="F578" s="37"/>
      <c r="G578" s="37"/>
      <c r="H578" s="37"/>
      <c r="I578" s="37"/>
      <c r="J578" s="37"/>
      <c r="K578" s="37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</row>
    <row r="579" ht="14.25" customHeight="1">
      <c r="A579" s="38"/>
      <c r="B579" s="38"/>
      <c r="C579" s="37"/>
      <c r="D579" s="37"/>
      <c r="E579" s="37"/>
      <c r="F579" s="37"/>
      <c r="G579" s="37"/>
      <c r="H579" s="37"/>
      <c r="I579" s="37"/>
      <c r="J579" s="37"/>
      <c r="K579" s="37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</row>
    <row r="580" ht="14.25" customHeight="1">
      <c r="A580" s="38"/>
      <c r="B580" s="38"/>
      <c r="C580" s="37"/>
      <c r="D580" s="37"/>
      <c r="E580" s="37"/>
      <c r="F580" s="37"/>
      <c r="G580" s="37"/>
      <c r="H580" s="37"/>
      <c r="I580" s="37"/>
      <c r="J580" s="37"/>
      <c r="K580" s="37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</row>
    <row r="581" ht="14.25" customHeight="1">
      <c r="A581" s="38"/>
      <c r="B581" s="38"/>
      <c r="C581" s="37"/>
      <c r="D581" s="37"/>
      <c r="E581" s="37"/>
      <c r="F581" s="37"/>
      <c r="G581" s="37"/>
      <c r="H581" s="37"/>
      <c r="I581" s="37"/>
      <c r="J581" s="37"/>
      <c r="K581" s="37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</row>
    <row r="582" ht="14.25" customHeight="1">
      <c r="A582" s="38"/>
      <c r="B582" s="38"/>
      <c r="C582" s="37"/>
      <c r="D582" s="37"/>
      <c r="E582" s="37"/>
      <c r="F582" s="37"/>
      <c r="G582" s="37"/>
      <c r="H582" s="37"/>
      <c r="I582" s="37"/>
      <c r="J582" s="37"/>
      <c r="K582" s="37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</row>
    <row r="583" ht="14.25" customHeight="1">
      <c r="A583" s="38"/>
      <c r="B583" s="38"/>
      <c r="C583" s="37"/>
      <c r="D583" s="37"/>
      <c r="E583" s="37"/>
      <c r="F583" s="37"/>
      <c r="G583" s="37"/>
      <c r="H583" s="37"/>
      <c r="I583" s="37"/>
      <c r="J583" s="37"/>
      <c r="K583" s="37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</row>
    <row r="584" ht="14.25" customHeight="1">
      <c r="A584" s="38"/>
      <c r="B584" s="38"/>
      <c r="C584" s="37"/>
      <c r="D584" s="37"/>
      <c r="E584" s="37"/>
      <c r="F584" s="37"/>
      <c r="G584" s="37"/>
      <c r="H584" s="37"/>
      <c r="I584" s="37"/>
      <c r="J584" s="37"/>
      <c r="K584" s="37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</row>
    <row r="585" ht="14.25" customHeight="1">
      <c r="A585" s="38"/>
      <c r="B585" s="38"/>
      <c r="C585" s="37"/>
      <c r="D585" s="37"/>
      <c r="E585" s="37"/>
      <c r="F585" s="37"/>
      <c r="G585" s="37"/>
      <c r="H585" s="37"/>
      <c r="I585" s="37"/>
      <c r="J585" s="37"/>
      <c r="K585" s="37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</row>
    <row r="586" ht="14.25" customHeight="1">
      <c r="A586" s="38"/>
      <c r="B586" s="38"/>
      <c r="C586" s="37"/>
      <c r="D586" s="37"/>
      <c r="E586" s="37"/>
      <c r="F586" s="37"/>
      <c r="G586" s="37"/>
      <c r="H586" s="37"/>
      <c r="I586" s="37"/>
      <c r="J586" s="37"/>
      <c r="K586" s="37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</row>
    <row r="587" ht="14.25" customHeight="1">
      <c r="A587" s="38"/>
      <c r="B587" s="38"/>
      <c r="C587" s="37"/>
      <c r="D587" s="37"/>
      <c r="E587" s="37"/>
      <c r="F587" s="37"/>
      <c r="G587" s="37"/>
      <c r="H587" s="37"/>
      <c r="I587" s="37"/>
      <c r="J587" s="37"/>
      <c r="K587" s="37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</row>
    <row r="588" ht="14.25" customHeight="1">
      <c r="A588" s="38"/>
      <c r="B588" s="38"/>
      <c r="C588" s="37"/>
      <c r="D588" s="37"/>
      <c r="E588" s="37"/>
      <c r="F588" s="37"/>
      <c r="G588" s="37"/>
      <c r="H588" s="37"/>
      <c r="I588" s="37"/>
      <c r="J588" s="37"/>
      <c r="K588" s="37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</row>
    <row r="589" ht="14.25" customHeight="1">
      <c r="A589" s="38"/>
      <c r="B589" s="38"/>
      <c r="C589" s="37"/>
      <c r="D589" s="37"/>
      <c r="E589" s="37"/>
      <c r="F589" s="37"/>
      <c r="G589" s="37"/>
      <c r="H589" s="37"/>
      <c r="I589" s="37"/>
      <c r="J589" s="37"/>
      <c r="K589" s="37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</row>
    <row r="590" ht="14.25" customHeight="1">
      <c r="A590" s="38"/>
      <c r="B590" s="38"/>
      <c r="C590" s="37"/>
      <c r="D590" s="37"/>
      <c r="E590" s="37"/>
      <c r="F590" s="37"/>
      <c r="G590" s="37"/>
      <c r="H590" s="37"/>
      <c r="I590" s="37"/>
      <c r="J590" s="37"/>
      <c r="K590" s="37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</row>
    <row r="591" ht="14.25" customHeight="1">
      <c r="A591" s="38"/>
      <c r="B591" s="38"/>
      <c r="C591" s="37"/>
      <c r="D591" s="37"/>
      <c r="E591" s="37"/>
      <c r="F591" s="37"/>
      <c r="G591" s="37"/>
      <c r="H591" s="37"/>
      <c r="I591" s="37"/>
      <c r="J591" s="37"/>
      <c r="K591" s="37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</row>
    <row r="592" ht="14.25" customHeight="1">
      <c r="A592" s="38"/>
      <c r="B592" s="38"/>
      <c r="C592" s="37"/>
      <c r="D592" s="37"/>
      <c r="E592" s="37"/>
      <c r="F592" s="37"/>
      <c r="G592" s="37"/>
      <c r="H592" s="37"/>
      <c r="I592" s="37"/>
      <c r="J592" s="37"/>
      <c r="K592" s="37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</row>
    <row r="593" ht="14.25" customHeight="1">
      <c r="A593" s="38"/>
      <c r="B593" s="38"/>
      <c r="C593" s="37"/>
      <c r="D593" s="37"/>
      <c r="E593" s="37"/>
      <c r="F593" s="37"/>
      <c r="G593" s="37"/>
      <c r="H593" s="37"/>
      <c r="I593" s="37"/>
      <c r="J593" s="37"/>
      <c r="K593" s="37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</row>
    <row r="594" ht="14.25" customHeight="1">
      <c r="A594" s="38"/>
      <c r="B594" s="38"/>
      <c r="C594" s="37"/>
      <c r="D594" s="37"/>
      <c r="E594" s="37"/>
      <c r="F594" s="37"/>
      <c r="G594" s="37"/>
      <c r="H594" s="37"/>
      <c r="I594" s="37"/>
      <c r="J594" s="37"/>
      <c r="K594" s="37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</row>
    <row r="595" ht="14.25" customHeight="1">
      <c r="A595" s="38"/>
      <c r="B595" s="38"/>
      <c r="C595" s="37"/>
      <c r="D595" s="37"/>
      <c r="E595" s="37"/>
      <c r="F595" s="37"/>
      <c r="G595" s="37"/>
      <c r="H595" s="37"/>
      <c r="I595" s="37"/>
      <c r="J595" s="37"/>
      <c r="K595" s="37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</row>
    <row r="596" ht="14.25" customHeight="1">
      <c r="A596" s="38"/>
      <c r="B596" s="38"/>
      <c r="C596" s="37"/>
      <c r="D596" s="37"/>
      <c r="E596" s="37"/>
      <c r="F596" s="37"/>
      <c r="G596" s="37"/>
      <c r="H596" s="37"/>
      <c r="I596" s="37"/>
      <c r="J596" s="37"/>
      <c r="K596" s="37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</row>
    <row r="597" ht="14.25" customHeight="1">
      <c r="A597" s="38"/>
      <c r="B597" s="38"/>
      <c r="C597" s="37"/>
      <c r="D597" s="37"/>
      <c r="E597" s="37"/>
      <c r="F597" s="37"/>
      <c r="G597" s="37"/>
      <c r="H597" s="37"/>
      <c r="I597" s="37"/>
      <c r="J597" s="37"/>
      <c r="K597" s="37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</row>
    <row r="598" ht="14.25" customHeight="1">
      <c r="A598" s="38"/>
      <c r="B598" s="38"/>
      <c r="C598" s="37"/>
      <c r="D598" s="37"/>
      <c r="E598" s="37"/>
      <c r="F598" s="37"/>
      <c r="G598" s="37"/>
      <c r="H598" s="37"/>
      <c r="I598" s="37"/>
      <c r="J598" s="37"/>
      <c r="K598" s="37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</row>
    <row r="599" ht="14.25" customHeight="1">
      <c r="A599" s="38"/>
      <c r="B599" s="38"/>
      <c r="C599" s="37"/>
      <c r="D599" s="37"/>
      <c r="E599" s="37"/>
      <c r="F599" s="37"/>
      <c r="G599" s="37"/>
      <c r="H599" s="37"/>
      <c r="I599" s="37"/>
      <c r="J599" s="37"/>
      <c r="K599" s="37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</row>
    <row r="600" ht="14.25" customHeight="1">
      <c r="A600" s="38"/>
      <c r="B600" s="38"/>
      <c r="C600" s="37"/>
      <c r="D600" s="37"/>
      <c r="E600" s="37"/>
      <c r="F600" s="37"/>
      <c r="G600" s="37"/>
      <c r="H600" s="37"/>
      <c r="I600" s="37"/>
      <c r="J600" s="37"/>
      <c r="K600" s="37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</row>
    <row r="601" ht="14.25" customHeight="1">
      <c r="A601" s="38"/>
      <c r="B601" s="38"/>
      <c r="C601" s="37"/>
      <c r="D601" s="37"/>
      <c r="E601" s="37"/>
      <c r="F601" s="37"/>
      <c r="G601" s="37"/>
      <c r="H601" s="37"/>
      <c r="I601" s="37"/>
      <c r="J601" s="37"/>
      <c r="K601" s="37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</row>
    <row r="602" ht="14.25" customHeight="1">
      <c r="A602" s="38"/>
      <c r="B602" s="38"/>
      <c r="C602" s="37"/>
      <c r="D602" s="37"/>
      <c r="E602" s="37"/>
      <c r="F602" s="37"/>
      <c r="G602" s="37"/>
      <c r="H602" s="37"/>
      <c r="I602" s="37"/>
      <c r="J602" s="37"/>
      <c r="K602" s="37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</row>
    <row r="603" ht="14.25" customHeight="1">
      <c r="A603" s="38"/>
      <c r="B603" s="38"/>
      <c r="C603" s="37"/>
      <c r="D603" s="37"/>
      <c r="E603" s="37"/>
      <c r="F603" s="37"/>
      <c r="G603" s="37"/>
      <c r="H603" s="37"/>
      <c r="I603" s="37"/>
      <c r="J603" s="37"/>
      <c r="K603" s="37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</row>
    <row r="604" ht="14.25" customHeight="1">
      <c r="A604" s="38"/>
      <c r="B604" s="38"/>
      <c r="C604" s="37"/>
      <c r="D604" s="37"/>
      <c r="E604" s="37"/>
      <c r="F604" s="37"/>
      <c r="G604" s="37"/>
      <c r="H604" s="37"/>
      <c r="I604" s="37"/>
      <c r="J604" s="37"/>
      <c r="K604" s="37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</row>
    <row r="605" ht="14.25" customHeight="1">
      <c r="A605" s="38"/>
      <c r="B605" s="38"/>
      <c r="C605" s="37"/>
      <c r="D605" s="37"/>
      <c r="E605" s="37"/>
      <c r="F605" s="37"/>
      <c r="G605" s="37"/>
      <c r="H605" s="37"/>
      <c r="I605" s="37"/>
      <c r="J605" s="37"/>
      <c r="K605" s="37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</row>
    <row r="606" ht="14.25" customHeight="1">
      <c r="A606" s="38"/>
      <c r="B606" s="38"/>
      <c r="C606" s="37"/>
      <c r="D606" s="37"/>
      <c r="E606" s="37"/>
      <c r="F606" s="37"/>
      <c r="G606" s="37"/>
      <c r="H606" s="37"/>
      <c r="I606" s="37"/>
      <c r="J606" s="37"/>
      <c r="K606" s="37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</row>
    <row r="607" ht="14.25" customHeight="1">
      <c r="A607" s="38"/>
      <c r="B607" s="38"/>
      <c r="C607" s="37"/>
      <c r="D607" s="37"/>
      <c r="E607" s="37"/>
      <c r="F607" s="37"/>
      <c r="G607" s="37"/>
      <c r="H607" s="37"/>
      <c r="I607" s="37"/>
      <c r="J607" s="37"/>
      <c r="K607" s="37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</row>
    <row r="608" ht="14.25" customHeight="1">
      <c r="A608" s="38"/>
      <c r="B608" s="38"/>
      <c r="C608" s="37"/>
      <c r="D608" s="37"/>
      <c r="E608" s="37"/>
      <c r="F608" s="37"/>
      <c r="G608" s="37"/>
      <c r="H608" s="37"/>
      <c r="I608" s="37"/>
      <c r="J608" s="37"/>
      <c r="K608" s="37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</row>
    <row r="609" ht="14.25" customHeight="1">
      <c r="A609" s="38"/>
      <c r="B609" s="38"/>
      <c r="C609" s="37"/>
      <c r="D609" s="37"/>
      <c r="E609" s="37"/>
      <c r="F609" s="37"/>
      <c r="G609" s="37"/>
      <c r="H609" s="37"/>
      <c r="I609" s="37"/>
      <c r="J609" s="37"/>
      <c r="K609" s="37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</row>
    <row r="610" ht="14.25" customHeight="1">
      <c r="A610" s="38"/>
      <c r="B610" s="38"/>
      <c r="C610" s="37"/>
      <c r="D610" s="37"/>
      <c r="E610" s="37"/>
      <c r="F610" s="37"/>
      <c r="G610" s="37"/>
      <c r="H610" s="37"/>
      <c r="I610" s="37"/>
      <c r="J610" s="37"/>
      <c r="K610" s="37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</row>
    <row r="611" ht="14.25" customHeight="1">
      <c r="A611" s="38"/>
      <c r="B611" s="38"/>
      <c r="C611" s="37"/>
      <c r="D611" s="37"/>
      <c r="E611" s="37"/>
      <c r="F611" s="37"/>
      <c r="G611" s="37"/>
      <c r="H611" s="37"/>
      <c r="I611" s="37"/>
      <c r="J611" s="37"/>
      <c r="K611" s="37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</row>
    <row r="612" ht="14.25" customHeight="1">
      <c r="A612" s="38"/>
      <c r="B612" s="38"/>
      <c r="C612" s="37"/>
      <c r="D612" s="37"/>
      <c r="E612" s="37"/>
      <c r="F612" s="37"/>
      <c r="G612" s="37"/>
      <c r="H612" s="37"/>
      <c r="I612" s="37"/>
      <c r="J612" s="37"/>
      <c r="K612" s="37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</row>
    <row r="613" ht="14.25" customHeight="1">
      <c r="A613" s="38"/>
      <c r="B613" s="38"/>
      <c r="C613" s="37"/>
      <c r="D613" s="37"/>
      <c r="E613" s="37"/>
      <c r="F613" s="37"/>
      <c r="G613" s="37"/>
      <c r="H613" s="37"/>
      <c r="I613" s="37"/>
      <c r="J613" s="37"/>
      <c r="K613" s="37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</row>
    <row r="614" ht="14.25" customHeight="1">
      <c r="A614" s="38"/>
      <c r="B614" s="38"/>
      <c r="C614" s="37"/>
      <c r="D614" s="37"/>
      <c r="E614" s="37"/>
      <c r="F614" s="37"/>
      <c r="G614" s="37"/>
      <c r="H614" s="37"/>
      <c r="I614" s="37"/>
      <c r="J614" s="37"/>
      <c r="K614" s="37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</row>
    <row r="615" ht="14.25" customHeight="1">
      <c r="A615" s="38"/>
      <c r="B615" s="38"/>
      <c r="C615" s="37"/>
      <c r="D615" s="37"/>
      <c r="E615" s="37"/>
      <c r="F615" s="37"/>
      <c r="G615" s="37"/>
      <c r="H615" s="37"/>
      <c r="I615" s="37"/>
      <c r="J615" s="37"/>
      <c r="K615" s="37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</row>
    <row r="616" ht="14.25" customHeight="1">
      <c r="A616" s="38"/>
      <c r="B616" s="38"/>
      <c r="C616" s="37"/>
      <c r="D616" s="37"/>
      <c r="E616" s="37"/>
      <c r="F616" s="37"/>
      <c r="G616" s="37"/>
      <c r="H616" s="37"/>
      <c r="I616" s="37"/>
      <c r="J616" s="37"/>
      <c r="K616" s="37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</row>
    <row r="617" ht="14.25" customHeight="1">
      <c r="A617" s="38"/>
      <c r="B617" s="38"/>
      <c r="C617" s="37"/>
      <c r="D617" s="37"/>
      <c r="E617" s="37"/>
      <c r="F617" s="37"/>
      <c r="G617" s="37"/>
      <c r="H617" s="37"/>
      <c r="I617" s="37"/>
      <c r="J617" s="37"/>
      <c r="K617" s="37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</row>
    <row r="618" ht="14.25" customHeight="1">
      <c r="A618" s="38"/>
      <c r="B618" s="38"/>
      <c r="C618" s="37"/>
      <c r="D618" s="37"/>
      <c r="E618" s="37"/>
      <c r="F618" s="37"/>
      <c r="G618" s="37"/>
      <c r="H618" s="37"/>
      <c r="I618" s="37"/>
      <c r="J618" s="37"/>
      <c r="K618" s="37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</row>
    <row r="619" ht="14.25" customHeight="1">
      <c r="A619" s="38"/>
      <c r="B619" s="38"/>
      <c r="C619" s="37"/>
      <c r="D619" s="37"/>
      <c r="E619" s="37"/>
      <c r="F619" s="37"/>
      <c r="G619" s="37"/>
      <c r="H619" s="37"/>
      <c r="I619" s="37"/>
      <c r="J619" s="37"/>
      <c r="K619" s="37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</row>
    <row r="620" ht="14.25" customHeight="1">
      <c r="A620" s="38"/>
      <c r="B620" s="38"/>
      <c r="C620" s="37"/>
      <c r="D620" s="37"/>
      <c r="E620" s="37"/>
      <c r="F620" s="37"/>
      <c r="G620" s="37"/>
      <c r="H620" s="37"/>
      <c r="I620" s="37"/>
      <c r="J620" s="37"/>
      <c r="K620" s="37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</row>
    <row r="621" ht="14.25" customHeight="1">
      <c r="A621" s="38"/>
      <c r="B621" s="38"/>
      <c r="C621" s="37"/>
      <c r="D621" s="37"/>
      <c r="E621" s="37"/>
      <c r="F621" s="37"/>
      <c r="G621" s="37"/>
      <c r="H621" s="37"/>
      <c r="I621" s="37"/>
      <c r="J621" s="37"/>
      <c r="K621" s="37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</row>
    <row r="622" ht="14.25" customHeight="1">
      <c r="A622" s="38"/>
      <c r="B622" s="38"/>
      <c r="C622" s="37"/>
      <c r="D622" s="37"/>
      <c r="E622" s="37"/>
      <c r="F622" s="37"/>
      <c r="G622" s="37"/>
      <c r="H622" s="37"/>
      <c r="I622" s="37"/>
      <c r="J622" s="37"/>
      <c r="K622" s="37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</row>
    <row r="623" ht="14.25" customHeight="1">
      <c r="A623" s="38"/>
      <c r="B623" s="38"/>
      <c r="C623" s="37"/>
      <c r="D623" s="37"/>
      <c r="E623" s="37"/>
      <c r="F623" s="37"/>
      <c r="G623" s="37"/>
      <c r="H623" s="37"/>
      <c r="I623" s="37"/>
      <c r="J623" s="37"/>
      <c r="K623" s="37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</row>
    <row r="624" ht="14.25" customHeight="1">
      <c r="A624" s="38"/>
      <c r="B624" s="38"/>
      <c r="C624" s="37"/>
      <c r="D624" s="37"/>
      <c r="E624" s="37"/>
      <c r="F624" s="37"/>
      <c r="G624" s="37"/>
      <c r="H624" s="37"/>
      <c r="I624" s="37"/>
      <c r="J624" s="37"/>
      <c r="K624" s="37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</row>
    <row r="625" ht="14.25" customHeight="1">
      <c r="A625" s="38"/>
      <c r="B625" s="38"/>
      <c r="C625" s="37"/>
      <c r="D625" s="37"/>
      <c r="E625" s="37"/>
      <c r="F625" s="37"/>
      <c r="G625" s="37"/>
      <c r="H625" s="37"/>
      <c r="I625" s="37"/>
      <c r="J625" s="37"/>
      <c r="K625" s="37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</row>
    <row r="626" ht="14.25" customHeight="1">
      <c r="A626" s="38"/>
      <c r="B626" s="38"/>
      <c r="C626" s="37"/>
      <c r="D626" s="37"/>
      <c r="E626" s="37"/>
      <c r="F626" s="37"/>
      <c r="G626" s="37"/>
      <c r="H626" s="37"/>
      <c r="I626" s="37"/>
      <c r="J626" s="37"/>
      <c r="K626" s="37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</row>
    <row r="627" ht="14.25" customHeight="1">
      <c r="A627" s="38"/>
      <c r="B627" s="38"/>
      <c r="C627" s="37"/>
      <c r="D627" s="37"/>
      <c r="E627" s="37"/>
      <c r="F627" s="37"/>
      <c r="G627" s="37"/>
      <c r="H627" s="37"/>
      <c r="I627" s="37"/>
      <c r="J627" s="37"/>
      <c r="K627" s="37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</row>
    <row r="628" ht="14.25" customHeight="1">
      <c r="A628" s="38"/>
      <c r="B628" s="38"/>
      <c r="C628" s="37"/>
      <c r="D628" s="37"/>
      <c r="E628" s="37"/>
      <c r="F628" s="37"/>
      <c r="G628" s="37"/>
      <c r="H628" s="37"/>
      <c r="I628" s="37"/>
      <c r="J628" s="37"/>
      <c r="K628" s="37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</row>
    <row r="629" ht="14.25" customHeight="1">
      <c r="A629" s="38"/>
      <c r="B629" s="38"/>
      <c r="C629" s="37"/>
      <c r="D629" s="37"/>
      <c r="E629" s="37"/>
      <c r="F629" s="37"/>
      <c r="G629" s="37"/>
      <c r="H629" s="37"/>
      <c r="I629" s="37"/>
      <c r="J629" s="37"/>
      <c r="K629" s="37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</row>
    <row r="630" ht="14.25" customHeight="1">
      <c r="A630" s="38"/>
      <c r="B630" s="38"/>
      <c r="C630" s="37"/>
      <c r="D630" s="37"/>
      <c r="E630" s="37"/>
      <c r="F630" s="37"/>
      <c r="G630" s="37"/>
      <c r="H630" s="37"/>
      <c r="I630" s="37"/>
      <c r="J630" s="37"/>
      <c r="K630" s="37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</row>
    <row r="631" ht="14.25" customHeight="1">
      <c r="A631" s="38"/>
      <c r="B631" s="38"/>
      <c r="C631" s="37"/>
      <c r="D631" s="37"/>
      <c r="E631" s="37"/>
      <c r="F631" s="37"/>
      <c r="G631" s="37"/>
      <c r="H631" s="37"/>
      <c r="I631" s="37"/>
      <c r="J631" s="37"/>
      <c r="K631" s="37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</row>
    <row r="632" ht="14.25" customHeight="1">
      <c r="A632" s="38"/>
      <c r="B632" s="38"/>
      <c r="C632" s="37"/>
      <c r="D632" s="37"/>
      <c r="E632" s="37"/>
      <c r="F632" s="37"/>
      <c r="G632" s="37"/>
      <c r="H632" s="37"/>
      <c r="I632" s="37"/>
      <c r="J632" s="37"/>
      <c r="K632" s="37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</row>
    <row r="633" ht="14.25" customHeight="1">
      <c r="A633" s="38"/>
      <c r="B633" s="38"/>
      <c r="C633" s="37"/>
      <c r="D633" s="37"/>
      <c r="E633" s="37"/>
      <c r="F633" s="37"/>
      <c r="G633" s="37"/>
      <c r="H633" s="37"/>
      <c r="I633" s="37"/>
      <c r="J633" s="37"/>
      <c r="K633" s="37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</row>
    <row r="634" ht="14.25" customHeight="1">
      <c r="A634" s="38"/>
      <c r="B634" s="38"/>
      <c r="C634" s="37"/>
      <c r="D634" s="37"/>
      <c r="E634" s="37"/>
      <c r="F634" s="37"/>
      <c r="G634" s="37"/>
      <c r="H634" s="37"/>
      <c r="I634" s="37"/>
      <c r="J634" s="37"/>
      <c r="K634" s="37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</row>
    <row r="635" ht="14.25" customHeight="1">
      <c r="A635" s="38"/>
      <c r="B635" s="38"/>
      <c r="C635" s="37"/>
      <c r="D635" s="37"/>
      <c r="E635" s="37"/>
      <c r="F635" s="37"/>
      <c r="G635" s="37"/>
      <c r="H635" s="37"/>
      <c r="I635" s="37"/>
      <c r="J635" s="37"/>
      <c r="K635" s="37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</row>
    <row r="636" ht="14.25" customHeight="1">
      <c r="A636" s="38"/>
      <c r="B636" s="38"/>
      <c r="C636" s="37"/>
      <c r="D636" s="37"/>
      <c r="E636" s="37"/>
      <c r="F636" s="37"/>
      <c r="G636" s="37"/>
      <c r="H636" s="37"/>
      <c r="I636" s="37"/>
      <c r="J636" s="37"/>
      <c r="K636" s="37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</row>
    <row r="637" ht="14.25" customHeight="1">
      <c r="A637" s="38"/>
      <c r="B637" s="38"/>
      <c r="C637" s="37"/>
      <c r="D637" s="37"/>
      <c r="E637" s="37"/>
      <c r="F637" s="37"/>
      <c r="G637" s="37"/>
      <c r="H637" s="37"/>
      <c r="I637" s="37"/>
      <c r="J637" s="37"/>
      <c r="K637" s="37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</row>
    <row r="638" ht="14.25" customHeight="1">
      <c r="A638" s="38"/>
      <c r="B638" s="38"/>
      <c r="C638" s="37"/>
      <c r="D638" s="37"/>
      <c r="E638" s="37"/>
      <c r="F638" s="37"/>
      <c r="G638" s="37"/>
      <c r="H638" s="37"/>
      <c r="I638" s="37"/>
      <c r="J638" s="37"/>
      <c r="K638" s="37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</row>
    <row r="639" ht="14.25" customHeight="1">
      <c r="A639" s="38"/>
      <c r="B639" s="38"/>
      <c r="C639" s="37"/>
      <c r="D639" s="37"/>
      <c r="E639" s="37"/>
      <c r="F639" s="37"/>
      <c r="G639" s="37"/>
      <c r="H639" s="37"/>
      <c r="I639" s="37"/>
      <c r="J639" s="37"/>
      <c r="K639" s="37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</row>
    <row r="640" ht="14.25" customHeight="1">
      <c r="A640" s="38"/>
      <c r="B640" s="38"/>
      <c r="C640" s="37"/>
      <c r="D640" s="37"/>
      <c r="E640" s="37"/>
      <c r="F640" s="37"/>
      <c r="G640" s="37"/>
      <c r="H640" s="37"/>
      <c r="I640" s="37"/>
      <c r="J640" s="37"/>
      <c r="K640" s="37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</row>
    <row r="641" ht="14.25" customHeight="1">
      <c r="A641" s="38"/>
      <c r="B641" s="38"/>
      <c r="C641" s="37"/>
      <c r="D641" s="37"/>
      <c r="E641" s="37"/>
      <c r="F641" s="37"/>
      <c r="G641" s="37"/>
      <c r="H641" s="37"/>
      <c r="I641" s="37"/>
      <c r="J641" s="37"/>
      <c r="K641" s="37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</row>
    <row r="642" ht="14.25" customHeight="1">
      <c r="A642" s="38"/>
      <c r="B642" s="38"/>
      <c r="C642" s="37"/>
      <c r="D642" s="37"/>
      <c r="E642" s="37"/>
      <c r="F642" s="37"/>
      <c r="G642" s="37"/>
      <c r="H642" s="37"/>
      <c r="I642" s="37"/>
      <c r="J642" s="37"/>
      <c r="K642" s="37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</row>
    <row r="643" ht="14.25" customHeight="1">
      <c r="A643" s="38"/>
      <c r="B643" s="38"/>
      <c r="C643" s="37"/>
      <c r="D643" s="37"/>
      <c r="E643" s="37"/>
      <c r="F643" s="37"/>
      <c r="G643" s="37"/>
      <c r="H643" s="37"/>
      <c r="I643" s="37"/>
      <c r="J643" s="37"/>
      <c r="K643" s="37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</row>
    <row r="644" ht="14.25" customHeight="1">
      <c r="A644" s="38"/>
      <c r="B644" s="38"/>
      <c r="C644" s="37"/>
      <c r="D644" s="37"/>
      <c r="E644" s="37"/>
      <c r="F644" s="37"/>
      <c r="G644" s="37"/>
      <c r="H644" s="37"/>
      <c r="I644" s="37"/>
      <c r="J644" s="37"/>
      <c r="K644" s="37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</row>
    <row r="645" ht="14.25" customHeight="1">
      <c r="A645" s="38"/>
      <c r="B645" s="38"/>
      <c r="C645" s="37"/>
      <c r="D645" s="37"/>
      <c r="E645" s="37"/>
      <c r="F645" s="37"/>
      <c r="G645" s="37"/>
      <c r="H645" s="37"/>
      <c r="I645" s="37"/>
      <c r="J645" s="37"/>
      <c r="K645" s="37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</row>
    <row r="646" ht="14.25" customHeight="1">
      <c r="A646" s="38"/>
      <c r="B646" s="38"/>
      <c r="C646" s="37"/>
      <c r="D646" s="37"/>
      <c r="E646" s="37"/>
      <c r="F646" s="37"/>
      <c r="G646" s="37"/>
      <c r="H646" s="37"/>
      <c r="I646" s="37"/>
      <c r="J646" s="37"/>
      <c r="K646" s="37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</row>
    <row r="647" ht="14.25" customHeight="1">
      <c r="A647" s="38"/>
      <c r="B647" s="38"/>
      <c r="C647" s="37"/>
      <c r="D647" s="37"/>
      <c r="E647" s="37"/>
      <c r="F647" s="37"/>
      <c r="G647" s="37"/>
      <c r="H647" s="37"/>
      <c r="I647" s="37"/>
      <c r="J647" s="37"/>
      <c r="K647" s="37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</row>
    <row r="648" ht="14.25" customHeight="1">
      <c r="A648" s="38"/>
      <c r="B648" s="38"/>
      <c r="C648" s="37"/>
      <c r="D648" s="37"/>
      <c r="E648" s="37"/>
      <c r="F648" s="37"/>
      <c r="G648" s="37"/>
      <c r="H648" s="37"/>
      <c r="I648" s="37"/>
      <c r="J648" s="37"/>
      <c r="K648" s="37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</row>
    <row r="649" ht="14.25" customHeight="1">
      <c r="A649" s="38"/>
      <c r="B649" s="38"/>
      <c r="C649" s="37"/>
      <c r="D649" s="37"/>
      <c r="E649" s="37"/>
      <c r="F649" s="37"/>
      <c r="G649" s="37"/>
      <c r="H649" s="37"/>
      <c r="I649" s="37"/>
      <c r="J649" s="37"/>
      <c r="K649" s="37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</row>
    <row r="650" ht="14.25" customHeight="1">
      <c r="A650" s="38"/>
      <c r="B650" s="38"/>
      <c r="C650" s="37"/>
      <c r="D650" s="37"/>
      <c r="E650" s="37"/>
      <c r="F650" s="37"/>
      <c r="G650" s="37"/>
      <c r="H650" s="37"/>
      <c r="I650" s="37"/>
      <c r="J650" s="37"/>
      <c r="K650" s="37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</row>
    <row r="651" ht="14.25" customHeight="1">
      <c r="A651" s="38"/>
      <c r="B651" s="38"/>
      <c r="C651" s="37"/>
      <c r="D651" s="37"/>
      <c r="E651" s="37"/>
      <c r="F651" s="37"/>
      <c r="G651" s="37"/>
      <c r="H651" s="37"/>
      <c r="I651" s="37"/>
      <c r="J651" s="37"/>
      <c r="K651" s="37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</row>
    <row r="652" ht="14.25" customHeight="1">
      <c r="A652" s="38"/>
      <c r="B652" s="38"/>
      <c r="C652" s="37"/>
      <c r="D652" s="37"/>
      <c r="E652" s="37"/>
      <c r="F652" s="37"/>
      <c r="G652" s="37"/>
      <c r="H652" s="37"/>
      <c r="I652" s="37"/>
      <c r="J652" s="37"/>
      <c r="K652" s="37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</row>
    <row r="653" ht="14.25" customHeight="1">
      <c r="A653" s="38"/>
      <c r="B653" s="38"/>
      <c r="C653" s="37"/>
      <c r="D653" s="37"/>
      <c r="E653" s="37"/>
      <c r="F653" s="37"/>
      <c r="G653" s="37"/>
      <c r="H653" s="37"/>
      <c r="I653" s="37"/>
      <c r="J653" s="37"/>
      <c r="K653" s="37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</row>
    <row r="654" ht="14.25" customHeight="1">
      <c r="A654" s="38"/>
      <c r="B654" s="38"/>
      <c r="C654" s="37"/>
      <c r="D654" s="37"/>
      <c r="E654" s="37"/>
      <c r="F654" s="37"/>
      <c r="G654" s="37"/>
      <c r="H654" s="37"/>
      <c r="I654" s="37"/>
      <c r="J654" s="37"/>
      <c r="K654" s="37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</row>
    <row r="655" ht="14.25" customHeight="1">
      <c r="A655" s="38"/>
      <c r="B655" s="38"/>
      <c r="C655" s="37"/>
      <c r="D655" s="37"/>
      <c r="E655" s="37"/>
      <c r="F655" s="37"/>
      <c r="G655" s="37"/>
      <c r="H655" s="37"/>
      <c r="I655" s="37"/>
      <c r="J655" s="37"/>
      <c r="K655" s="37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</row>
    <row r="656" ht="14.25" customHeight="1">
      <c r="A656" s="38"/>
      <c r="B656" s="38"/>
      <c r="C656" s="37"/>
      <c r="D656" s="37"/>
      <c r="E656" s="37"/>
      <c r="F656" s="37"/>
      <c r="G656" s="37"/>
      <c r="H656" s="37"/>
      <c r="I656" s="37"/>
      <c r="J656" s="37"/>
      <c r="K656" s="37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</row>
    <row r="657" ht="14.25" customHeight="1">
      <c r="A657" s="38"/>
      <c r="B657" s="38"/>
      <c r="C657" s="37"/>
      <c r="D657" s="37"/>
      <c r="E657" s="37"/>
      <c r="F657" s="37"/>
      <c r="G657" s="37"/>
      <c r="H657" s="37"/>
      <c r="I657" s="37"/>
      <c r="J657" s="37"/>
      <c r="K657" s="37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</row>
    <row r="658" ht="14.25" customHeight="1">
      <c r="A658" s="38"/>
      <c r="B658" s="38"/>
      <c r="C658" s="37"/>
      <c r="D658" s="37"/>
      <c r="E658" s="37"/>
      <c r="F658" s="37"/>
      <c r="G658" s="37"/>
      <c r="H658" s="37"/>
      <c r="I658" s="37"/>
      <c r="J658" s="37"/>
      <c r="K658" s="37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</row>
    <row r="659" ht="14.25" customHeight="1">
      <c r="A659" s="38"/>
      <c r="B659" s="38"/>
      <c r="C659" s="37"/>
      <c r="D659" s="37"/>
      <c r="E659" s="37"/>
      <c r="F659" s="37"/>
      <c r="G659" s="37"/>
      <c r="H659" s="37"/>
      <c r="I659" s="37"/>
      <c r="J659" s="37"/>
      <c r="K659" s="37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</row>
    <row r="660" ht="14.25" customHeight="1">
      <c r="A660" s="38"/>
      <c r="B660" s="38"/>
      <c r="C660" s="37"/>
      <c r="D660" s="37"/>
      <c r="E660" s="37"/>
      <c r="F660" s="37"/>
      <c r="G660" s="37"/>
      <c r="H660" s="37"/>
      <c r="I660" s="37"/>
      <c r="J660" s="37"/>
      <c r="K660" s="37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</row>
    <row r="661" ht="14.25" customHeight="1">
      <c r="A661" s="38"/>
      <c r="B661" s="38"/>
      <c r="C661" s="37"/>
      <c r="D661" s="37"/>
      <c r="E661" s="37"/>
      <c r="F661" s="37"/>
      <c r="G661" s="37"/>
      <c r="H661" s="37"/>
      <c r="I661" s="37"/>
      <c r="J661" s="37"/>
      <c r="K661" s="37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</row>
    <row r="662" ht="14.25" customHeight="1">
      <c r="A662" s="38"/>
      <c r="B662" s="38"/>
      <c r="C662" s="37"/>
      <c r="D662" s="37"/>
      <c r="E662" s="37"/>
      <c r="F662" s="37"/>
      <c r="G662" s="37"/>
      <c r="H662" s="37"/>
      <c r="I662" s="37"/>
      <c r="J662" s="37"/>
      <c r="K662" s="37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</row>
    <row r="663" ht="14.25" customHeight="1">
      <c r="A663" s="38"/>
      <c r="B663" s="38"/>
      <c r="C663" s="37"/>
      <c r="D663" s="37"/>
      <c r="E663" s="37"/>
      <c r="F663" s="37"/>
      <c r="G663" s="37"/>
      <c r="H663" s="37"/>
      <c r="I663" s="37"/>
      <c r="J663" s="37"/>
      <c r="K663" s="37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</row>
    <row r="664" ht="14.25" customHeight="1">
      <c r="A664" s="38"/>
      <c r="B664" s="38"/>
      <c r="C664" s="37"/>
      <c r="D664" s="37"/>
      <c r="E664" s="37"/>
      <c r="F664" s="37"/>
      <c r="G664" s="37"/>
      <c r="H664" s="37"/>
      <c r="I664" s="37"/>
      <c r="J664" s="37"/>
      <c r="K664" s="37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</row>
    <row r="665" ht="14.25" customHeight="1">
      <c r="A665" s="38"/>
      <c r="B665" s="38"/>
      <c r="C665" s="37"/>
      <c r="D665" s="37"/>
      <c r="E665" s="37"/>
      <c r="F665" s="37"/>
      <c r="G665" s="37"/>
      <c r="H665" s="37"/>
      <c r="I665" s="37"/>
      <c r="J665" s="37"/>
      <c r="K665" s="37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</row>
    <row r="666" ht="14.25" customHeight="1">
      <c r="A666" s="38"/>
      <c r="B666" s="38"/>
      <c r="C666" s="37"/>
      <c r="D666" s="37"/>
      <c r="E666" s="37"/>
      <c r="F666" s="37"/>
      <c r="G666" s="37"/>
      <c r="H666" s="37"/>
      <c r="I666" s="37"/>
      <c r="J666" s="37"/>
      <c r="K666" s="37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</row>
    <row r="667" ht="14.25" customHeight="1">
      <c r="A667" s="38"/>
      <c r="B667" s="38"/>
      <c r="C667" s="37"/>
      <c r="D667" s="37"/>
      <c r="E667" s="37"/>
      <c r="F667" s="37"/>
      <c r="G667" s="37"/>
      <c r="H667" s="37"/>
      <c r="I667" s="37"/>
      <c r="J667" s="37"/>
      <c r="K667" s="37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</row>
    <row r="668" ht="14.25" customHeight="1">
      <c r="A668" s="38"/>
      <c r="B668" s="38"/>
      <c r="C668" s="37"/>
      <c r="D668" s="37"/>
      <c r="E668" s="37"/>
      <c r="F668" s="37"/>
      <c r="G668" s="37"/>
      <c r="H668" s="37"/>
      <c r="I668" s="37"/>
      <c r="J668" s="37"/>
      <c r="K668" s="37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</row>
    <row r="669" ht="14.25" customHeight="1">
      <c r="A669" s="38"/>
      <c r="B669" s="38"/>
      <c r="C669" s="37"/>
      <c r="D669" s="37"/>
      <c r="E669" s="37"/>
      <c r="F669" s="37"/>
      <c r="G669" s="37"/>
      <c r="H669" s="37"/>
      <c r="I669" s="37"/>
      <c r="J669" s="37"/>
      <c r="K669" s="37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</row>
    <row r="670" ht="14.25" customHeight="1">
      <c r="A670" s="38"/>
      <c r="B670" s="38"/>
      <c r="C670" s="37"/>
      <c r="D670" s="37"/>
      <c r="E670" s="37"/>
      <c r="F670" s="37"/>
      <c r="G670" s="37"/>
      <c r="H670" s="37"/>
      <c r="I670" s="37"/>
      <c r="J670" s="37"/>
      <c r="K670" s="37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</row>
    <row r="671" ht="14.25" customHeight="1">
      <c r="A671" s="38"/>
      <c r="B671" s="38"/>
      <c r="C671" s="37"/>
      <c r="D671" s="37"/>
      <c r="E671" s="37"/>
      <c r="F671" s="37"/>
      <c r="G671" s="37"/>
      <c r="H671" s="37"/>
      <c r="I671" s="37"/>
      <c r="J671" s="37"/>
      <c r="K671" s="37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</row>
    <row r="672" ht="14.25" customHeight="1">
      <c r="A672" s="38"/>
      <c r="B672" s="38"/>
      <c r="C672" s="37"/>
      <c r="D672" s="37"/>
      <c r="E672" s="37"/>
      <c r="F672" s="37"/>
      <c r="G672" s="37"/>
      <c r="H672" s="37"/>
      <c r="I672" s="37"/>
      <c r="J672" s="37"/>
      <c r="K672" s="37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</row>
    <row r="673" ht="14.25" customHeight="1">
      <c r="A673" s="38"/>
      <c r="B673" s="38"/>
      <c r="C673" s="37"/>
      <c r="D673" s="37"/>
      <c r="E673" s="37"/>
      <c r="F673" s="37"/>
      <c r="G673" s="37"/>
      <c r="H673" s="37"/>
      <c r="I673" s="37"/>
      <c r="J673" s="37"/>
      <c r="K673" s="37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</row>
    <row r="674" ht="14.25" customHeight="1">
      <c r="A674" s="38"/>
      <c r="B674" s="38"/>
      <c r="C674" s="37"/>
      <c r="D674" s="37"/>
      <c r="E674" s="37"/>
      <c r="F674" s="37"/>
      <c r="G674" s="37"/>
      <c r="H674" s="37"/>
      <c r="I674" s="37"/>
      <c r="J674" s="37"/>
      <c r="K674" s="37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</row>
    <row r="675" ht="14.25" customHeight="1">
      <c r="A675" s="38"/>
      <c r="B675" s="38"/>
      <c r="C675" s="37"/>
      <c r="D675" s="37"/>
      <c r="E675" s="37"/>
      <c r="F675" s="37"/>
      <c r="G675" s="37"/>
      <c r="H675" s="37"/>
      <c r="I675" s="37"/>
      <c r="J675" s="37"/>
      <c r="K675" s="37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</row>
    <row r="676" ht="14.25" customHeight="1">
      <c r="A676" s="38"/>
      <c r="B676" s="38"/>
      <c r="C676" s="37"/>
      <c r="D676" s="37"/>
      <c r="E676" s="37"/>
      <c r="F676" s="37"/>
      <c r="G676" s="37"/>
      <c r="H676" s="37"/>
      <c r="I676" s="37"/>
      <c r="J676" s="37"/>
      <c r="K676" s="37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</row>
    <row r="677" ht="14.25" customHeight="1">
      <c r="A677" s="38"/>
      <c r="B677" s="38"/>
      <c r="C677" s="37"/>
      <c r="D677" s="37"/>
      <c r="E677" s="37"/>
      <c r="F677" s="37"/>
      <c r="G677" s="37"/>
      <c r="H677" s="37"/>
      <c r="I677" s="37"/>
      <c r="J677" s="37"/>
      <c r="K677" s="37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</row>
    <row r="678" ht="14.25" customHeight="1">
      <c r="A678" s="38"/>
      <c r="B678" s="38"/>
      <c r="C678" s="37"/>
      <c r="D678" s="37"/>
      <c r="E678" s="37"/>
      <c r="F678" s="37"/>
      <c r="G678" s="37"/>
      <c r="H678" s="37"/>
      <c r="I678" s="37"/>
      <c r="J678" s="37"/>
      <c r="K678" s="37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</row>
    <row r="679" ht="14.25" customHeight="1">
      <c r="A679" s="38"/>
      <c r="B679" s="38"/>
      <c r="C679" s="37"/>
      <c r="D679" s="37"/>
      <c r="E679" s="37"/>
      <c r="F679" s="37"/>
      <c r="G679" s="37"/>
      <c r="H679" s="37"/>
      <c r="I679" s="37"/>
      <c r="J679" s="37"/>
      <c r="K679" s="37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</row>
    <row r="680" ht="14.25" customHeight="1">
      <c r="A680" s="38"/>
      <c r="B680" s="38"/>
      <c r="C680" s="37"/>
      <c r="D680" s="37"/>
      <c r="E680" s="37"/>
      <c r="F680" s="37"/>
      <c r="G680" s="37"/>
      <c r="H680" s="37"/>
      <c r="I680" s="37"/>
      <c r="J680" s="37"/>
      <c r="K680" s="37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</row>
    <row r="681" ht="14.25" customHeight="1">
      <c r="A681" s="38"/>
      <c r="B681" s="38"/>
      <c r="C681" s="37"/>
      <c r="D681" s="37"/>
      <c r="E681" s="37"/>
      <c r="F681" s="37"/>
      <c r="G681" s="37"/>
      <c r="H681" s="37"/>
      <c r="I681" s="37"/>
      <c r="J681" s="37"/>
      <c r="K681" s="37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</row>
    <row r="682" ht="14.25" customHeight="1">
      <c r="A682" s="38"/>
      <c r="B682" s="38"/>
      <c r="C682" s="37"/>
      <c r="D682" s="37"/>
      <c r="E682" s="37"/>
      <c r="F682" s="37"/>
      <c r="G682" s="37"/>
      <c r="H682" s="37"/>
      <c r="I682" s="37"/>
      <c r="J682" s="37"/>
      <c r="K682" s="37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</row>
    <row r="683" ht="14.25" customHeight="1">
      <c r="A683" s="38"/>
      <c r="B683" s="38"/>
      <c r="C683" s="37"/>
      <c r="D683" s="37"/>
      <c r="E683" s="37"/>
      <c r="F683" s="37"/>
      <c r="G683" s="37"/>
      <c r="H683" s="37"/>
      <c r="I683" s="37"/>
      <c r="J683" s="37"/>
      <c r="K683" s="37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</row>
    <row r="684" ht="14.25" customHeight="1">
      <c r="A684" s="38"/>
      <c r="B684" s="38"/>
      <c r="C684" s="37"/>
      <c r="D684" s="37"/>
      <c r="E684" s="37"/>
      <c r="F684" s="37"/>
      <c r="G684" s="37"/>
      <c r="H684" s="37"/>
      <c r="I684" s="37"/>
      <c r="J684" s="37"/>
      <c r="K684" s="37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</row>
    <row r="685" ht="14.25" customHeight="1">
      <c r="A685" s="38"/>
      <c r="B685" s="38"/>
      <c r="C685" s="37"/>
      <c r="D685" s="37"/>
      <c r="E685" s="37"/>
      <c r="F685" s="37"/>
      <c r="G685" s="37"/>
      <c r="H685" s="37"/>
      <c r="I685" s="37"/>
      <c r="J685" s="37"/>
      <c r="K685" s="37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</row>
    <row r="686" ht="14.25" customHeight="1">
      <c r="A686" s="38"/>
      <c r="B686" s="38"/>
      <c r="C686" s="37"/>
      <c r="D686" s="37"/>
      <c r="E686" s="37"/>
      <c r="F686" s="37"/>
      <c r="G686" s="37"/>
      <c r="H686" s="37"/>
      <c r="I686" s="37"/>
      <c r="J686" s="37"/>
      <c r="K686" s="37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</row>
    <row r="687" ht="14.25" customHeight="1">
      <c r="A687" s="38"/>
      <c r="B687" s="38"/>
      <c r="C687" s="37"/>
      <c r="D687" s="37"/>
      <c r="E687" s="37"/>
      <c r="F687" s="37"/>
      <c r="G687" s="37"/>
      <c r="H687" s="37"/>
      <c r="I687" s="37"/>
      <c r="J687" s="37"/>
      <c r="K687" s="37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</row>
    <row r="688" ht="14.25" customHeight="1">
      <c r="A688" s="38"/>
      <c r="B688" s="38"/>
      <c r="C688" s="37"/>
      <c r="D688" s="37"/>
      <c r="E688" s="37"/>
      <c r="F688" s="37"/>
      <c r="G688" s="37"/>
      <c r="H688" s="37"/>
      <c r="I688" s="37"/>
      <c r="J688" s="37"/>
      <c r="K688" s="37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</row>
    <row r="689" ht="14.25" customHeight="1">
      <c r="A689" s="38"/>
      <c r="B689" s="38"/>
      <c r="C689" s="37"/>
      <c r="D689" s="37"/>
      <c r="E689" s="37"/>
      <c r="F689" s="37"/>
      <c r="G689" s="37"/>
      <c r="H689" s="37"/>
      <c r="I689" s="37"/>
      <c r="J689" s="37"/>
      <c r="K689" s="37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</row>
    <row r="690" ht="14.25" customHeight="1">
      <c r="A690" s="38"/>
      <c r="B690" s="38"/>
      <c r="C690" s="37"/>
      <c r="D690" s="37"/>
      <c r="E690" s="37"/>
      <c r="F690" s="37"/>
      <c r="G690" s="37"/>
      <c r="H690" s="37"/>
      <c r="I690" s="37"/>
      <c r="J690" s="37"/>
      <c r="K690" s="37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</row>
    <row r="691" ht="14.25" customHeight="1">
      <c r="A691" s="38"/>
      <c r="B691" s="38"/>
      <c r="C691" s="37"/>
      <c r="D691" s="37"/>
      <c r="E691" s="37"/>
      <c r="F691" s="37"/>
      <c r="G691" s="37"/>
      <c r="H691" s="37"/>
      <c r="I691" s="37"/>
      <c r="J691" s="37"/>
      <c r="K691" s="37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</row>
    <row r="692" ht="14.25" customHeight="1">
      <c r="A692" s="38"/>
      <c r="B692" s="38"/>
      <c r="C692" s="37"/>
      <c r="D692" s="37"/>
      <c r="E692" s="37"/>
      <c r="F692" s="37"/>
      <c r="G692" s="37"/>
      <c r="H692" s="37"/>
      <c r="I692" s="37"/>
      <c r="J692" s="37"/>
      <c r="K692" s="37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</row>
    <row r="693" ht="14.25" customHeight="1">
      <c r="A693" s="38"/>
      <c r="B693" s="38"/>
      <c r="C693" s="37"/>
      <c r="D693" s="37"/>
      <c r="E693" s="37"/>
      <c r="F693" s="37"/>
      <c r="G693" s="37"/>
      <c r="H693" s="37"/>
      <c r="I693" s="37"/>
      <c r="J693" s="37"/>
      <c r="K693" s="37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</row>
    <row r="694" ht="14.25" customHeight="1">
      <c r="A694" s="38"/>
      <c r="B694" s="38"/>
      <c r="C694" s="37"/>
      <c r="D694" s="37"/>
      <c r="E694" s="37"/>
      <c r="F694" s="37"/>
      <c r="G694" s="37"/>
      <c r="H694" s="37"/>
      <c r="I694" s="37"/>
      <c r="J694" s="37"/>
      <c r="K694" s="37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</row>
    <row r="695" ht="14.25" customHeight="1">
      <c r="A695" s="38"/>
      <c r="B695" s="38"/>
      <c r="C695" s="37"/>
      <c r="D695" s="37"/>
      <c r="E695" s="37"/>
      <c r="F695" s="37"/>
      <c r="G695" s="37"/>
      <c r="H695" s="37"/>
      <c r="I695" s="37"/>
      <c r="J695" s="37"/>
      <c r="K695" s="37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</row>
    <row r="696" ht="14.25" customHeight="1">
      <c r="A696" s="38"/>
      <c r="B696" s="38"/>
      <c r="C696" s="37"/>
      <c r="D696" s="37"/>
      <c r="E696" s="37"/>
      <c r="F696" s="37"/>
      <c r="G696" s="37"/>
      <c r="H696" s="37"/>
      <c r="I696" s="37"/>
      <c r="J696" s="37"/>
      <c r="K696" s="37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</row>
    <row r="697" ht="14.25" customHeight="1">
      <c r="A697" s="38"/>
      <c r="B697" s="38"/>
      <c r="C697" s="37"/>
      <c r="D697" s="37"/>
      <c r="E697" s="37"/>
      <c r="F697" s="37"/>
      <c r="G697" s="37"/>
      <c r="H697" s="37"/>
      <c r="I697" s="37"/>
      <c r="J697" s="37"/>
      <c r="K697" s="37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</row>
    <row r="698" ht="14.25" customHeight="1">
      <c r="A698" s="38"/>
      <c r="B698" s="38"/>
      <c r="C698" s="37"/>
      <c r="D698" s="37"/>
      <c r="E698" s="37"/>
      <c r="F698" s="37"/>
      <c r="G698" s="37"/>
      <c r="H698" s="37"/>
      <c r="I698" s="37"/>
      <c r="J698" s="37"/>
      <c r="K698" s="37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</row>
    <row r="699" ht="14.25" customHeight="1">
      <c r="A699" s="38"/>
      <c r="B699" s="38"/>
      <c r="C699" s="37"/>
      <c r="D699" s="37"/>
      <c r="E699" s="37"/>
      <c r="F699" s="37"/>
      <c r="G699" s="37"/>
      <c r="H699" s="37"/>
      <c r="I699" s="37"/>
      <c r="J699" s="37"/>
      <c r="K699" s="37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</row>
    <row r="700" ht="14.25" customHeight="1">
      <c r="A700" s="38"/>
      <c r="B700" s="38"/>
      <c r="C700" s="37"/>
      <c r="D700" s="37"/>
      <c r="E700" s="37"/>
      <c r="F700" s="37"/>
      <c r="G700" s="37"/>
      <c r="H700" s="37"/>
      <c r="I700" s="37"/>
      <c r="J700" s="37"/>
      <c r="K700" s="37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</row>
    <row r="701" ht="14.25" customHeight="1">
      <c r="A701" s="38"/>
      <c r="B701" s="38"/>
      <c r="C701" s="37"/>
      <c r="D701" s="37"/>
      <c r="E701" s="37"/>
      <c r="F701" s="37"/>
      <c r="G701" s="37"/>
      <c r="H701" s="37"/>
      <c r="I701" s="37"/>
      <c r="J701" s="37"/>
      <c r="K701" s="37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</row>
    <row r="702" ht="14.25" customHeight="1">
      <c r="A702" s="38"/>
      <c r="B702" s="38"/>
      <c r="C702" s="37"/>
      <c r="D702" s="37"/>
      <c r="E702" s="37"/>
      <c r="F702" s="37"/>
      <c r="G702" s="37"/>
      <c r="H702" s="37"/>
      <c r="I702" s="37"/>
      <c r="J702" s="37"/>
      <c r="K702" s="37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</row>
    <row r="703" ht="14.25" customHeight="1">
      <c r="A703" s="38"/>
      <c r="B703" s="38"/>
      <c r="C703" s="37"/>
      <c r="D703" s="37"/>
      <c r="E703" s="37"/>
      <c r="F703" s="37"/>
      <c r="G703" s="37"/>
      <c r="H703" s="37"/>
      <c r="I703" s="37"/>
      <c r="J703" s="37"/>
      <c r="K703" s="37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</row>
    <row r="704" ht="14.25" customHeight="1">
      <c r="A704" s="38"/>
      <c r="B704" s="38"/>
      <c r="C704" s="37"/>
      <c r="D704" s="37"/>
      <c r="E704" s="37"/>
      <c r="F704" s="37"/>
      <c r="G704" s="37"/>
      <c r="H704" s="37"/>
      <c r="I704" s="37"/>
      <c r="J704" s="37"/>
      <c r="K704" s="37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</row>
    <row r="705" ht="14.25" customHeight="1">
      <c r="A705" s="38"/>
      <c r="B705" s="38"/>
      <c r="C705" s="37"/>
      <c r="D705" s="37"/>
      <c r="E705" s="37"/>
      <c r="F705" s="37"/>
      <c r="G705" s="37"/>
      <c r="H705" s="37"/>
      <c r="I705" s="37"/>
      <c r="J705" s="37"/>
      <c r="K705" s="37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</row>
    <row r="706" ht="14.25" customHeight="1">
      <c r="A706" s="38"/>
      <c r="B706" s="38"/>
      <c r="C706" s="37"/>
      <c r="D706" s="37"/>
      <c r="E706" s="37"/>
      <c r="F706" s="37"/>
      <c r="G706" s="37"/>
      <c r="H706" s="37"/>
      <c r="I706" s="37"/>
      <c r="J706" s="37"/>
      <c r="K706" s="37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</row>
    <row r="707" ht="14.25" customHeight="1">
      <c r="A707" s="38"/>
      <c r="B707" s="38"/>
      <c r="C707" s="37"/>
      <c r="D707" s="37"/>
      <c r="E707" s="37"/>
      <c r="F707" s="37"/>
      <c r="G707" s="37"/>
      <c r="H707" s="37"/>
      <c r="I707" s="37"/>
      <c r="J707" s="37"/>
      <c r="K707" s="37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</row>
    <row r="708" ht="14.25" customHeight="1">
      <c r="A708" s="38"/>
      <c r="B708" s="38"/>
      <c r="C708" s="37"/>
      <c r="D708" s="37"/>
      <c r="E708" s="37"/>
      <c r="F708" s="37"/>
      <c r="G708" s="37"/>
      <c r="H708" s="37"/>
      <c r="I708" s="37"/>
      <c r="J708" s="37"/>
      <c r="K708" s="37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</row>
    <row r="709" ht="14.25" customHeight="1">
      <c r="A709" s="38"/>
      <c r="B709" s="38"/>
      <c r="C709" s="37"/>
      <c r="D709" s="37"/>
      <c r="E709" s="37"/>
      <c r="F709" s="37"/>
      <c r="G709" s="37"/>
      <c r="H709" s="37"/>
      <c r="I709" s="37"/>
      <c r="J709" s="37"/>
      <c r="K709" s="37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</row>
    <row r="710" ht="14.25" customHeight="1">
      <c r="A710" s="38"/>
      <c r="B710" s="38"/>
      <c r="C710" s="37"/>
      <c r="D710" s="37"/>
      <c r="E710" s="37"/>
      <c r="F710" s="37"/>
      <c r="G710" s="37"/>
      <c r="H710" s="37"/>
      <c r="I710" s="37"/>
      <c r="J710" s="37"/>
      <c r="K710" s="37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</row>
    <row r="711" ht="14.25" customHeight="1">
      <c r="A711" s="38"/>
      <c r="B711" s="38"/>
      <c r="C711" s="37"/>
      <c r="D711" s="37"/>
      <c r="E711" s="37"/>
      <c r="F711" s="37"/>
      <c r="G711" s="37"/>
      <c r="H711" s="37"/>
      <c r="I711" s="37"/>
      <c r="J711" s="37"/>
      <c r="K711" s="37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</row>
    <row r="712" ht="14.25" customHeight="1">
      <c r="A712" s="38"/>
      <c r="B712" s="38"/>
      <c r="C712" s="37"/>
      <c r="D712" s="37"/>
      <c r="E712" s="37"/>
      <c r="F712" s="37"/>
      <c r="G712" s="37"/>
      <c r="H712" s="37"/>
      <c r="I712" s="37"/>
      <c r="J712" s="37"/>
      <c r="K712" s="37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</row>
    <row r="713" ht="14.25" customHeight="1">
      <c r="A713" s="38"/>
      <c r="B713" s="38"/>
      <c r="C713" s="37"/>
      <c r="D713" s="37"/>
      <c r="E713" s="37"/>
      <c r="F713" s="37"/>
      <c r="G713" s="37"/>
      <c r="H713" s="37"/>
      <c r="I713" s="37"/>
      <c r="J713" s="37"/>
      <c r="K713" s="37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</row>
    <row r="714" ht="14.25" customHeight="1">
      <c r="A714" s="38"/>
      <c r="B714" s="38"/>
      <c r="C714" s="37"/>
      <c r="D714" s="37"/>
      <c r="E714" s="37"/>
      <c r="F714" s="37"/>
      <c r="G714" s="37"/>
      <c r="H714" s="37"/>
      <c r="I714" s="37"/>
      <c r="J714" s="37"/>
      <c r="K714" s="37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</row>
    <row r="715" ht="14.25" customHeight="1">
      <c r="A715" s="38"/>
      <c r="B715" s="38"/>
      <c r="C715" s="37"/>
      <c r="D715" s="37"/>
      <c r="E715" s="37"/>
      <c r="F715" s="37"/>
      <c r="G715" s="37"/>
      <c r="H715" s="37"/>
      <c r="I715" s="37"/>
      <c r="J715" s="37"/>
      <c r="K715" s="37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</row>
    <row r="716" ht="14.25" customHeight="1">
      <c r="A716" s="38"/>
      <c r="B716" s="38"/>
      <c r="C716" s="37"/>
      <c r="D716" s="37"/>
      <c r="E716" s="37"/>
      <c r="F716" s="37"/>
      <c r="G716" s="37"/>
      <c r="H716" s="37"/>
      <c r="I716" s="37"/>
      <c r="J716" s="37"/>
      <c r="K716" s="37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</row>
    <row r="717" ht="14.25" customHeight="1">
      <c r="A717" s="38"/>
      <c r="B717" s="38"/>
      <c r="C717" s="37"/>
      <c r="D717" s="37"/>
      <c r="E717" s="37"/>
      <c r="F717" s="37"/>
      <c r="G717" s="37"/>
      <c r="H717" s="37"/>
      <c r="I717" s="37"/>
      <c r="J717" s="37"/>
      <c r="K717" s="37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</row>
    <row r="718" ht="14.25" customHeight="1">
      <c r="A718" s="38"/>
      <c r="B718" s="38"/>
      <c r="C718" s="37"/>
      <c r="D718" s="37"/>
      <c r="E718" s="37"/>
      <c r="F718" s="37"/>
      <c r="G718" s="37"/>
      <c r="H718" s="37"/>
      <c r="I718" s="37"/>
      <c r="J718" s="37"/>
      <c r="K718" s="37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</row>
    <row r="719" ht="14.25" customHeight="1">
      <c r="A719" s="38"/>
      <c r="B719" s="38"/>
      <c r="C719" s="37"/>
      <c r="D719" s="37"/>
      <c r="E719" s="37"/>
      <c r="F719" s="37"/>
      <c r="G719" s="37"/>
      <c r="H719" s="37"/>
      <c r="I719" s="37"/>
      <c r="J719" s="37"/>
      <c r="K719" s="37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</row>
    <row r="720" ht="14.25" customHeight="1">
      <c r="A720" s="38"/>
      <c r="B720" s="38"/>
      <c r="C720" s="37"/>
      <c r="D720" s="37"/>
      <c r="E720" s="37"/>
      <c r="F720" s="37"/>
      <c r="G720" s="37"/>
      <c r="H720" s="37"/>
      <c r="I720" s="37"/>
      <c r="J720" s="37"/>
      <c r="K720" s="37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</row>
    <row r="721" ht="14.25" customHeight="1">
      <c r="A721" s="38"/>
      <c r="B721" s="38"/>
      <c r="C721" s="37"/>
      <c r="D721" s="37"/>
      <c r="E721" s="37"/>
      <c r="F721" s="37"/>
      <c r="G721" s="37"/>
      <c r="H721" s="37"/>
      <c r="I721" s="37"/>
      <c r="J721" s="37"/>
      <c r="K721" s="37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</row>
    <row r="722" ht="14.25" customHeight="1">
      <c r="A722" s="38"/>
      <c r="B722" s="38"/>
      <c r="C722" s="37"/>
      <c r="D722" s="37"/>
      <c r="E722" s="37"/>
      <c r="F722" s="37"/>
      <c r="G722" s="37"/>
      <c r="H722" s="37"/>
      <c r="I722" s="37"/>
      <c r="J722" s="37"/>
      <c r="K722" s="37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</row>
    <row r="723" ht="14.25" customHeight="1">
      <c r="A723" s="38"/>
      <c r="B723" s="38"/>
      <c r="C723" s="37"/>
      <c r="D723" s="37"/>
      <c r="E723" s="37"/>
      <c r="F723" s="37"/>
      <c r="G723" s="37"/>
      <c r="H723" s="37"/>
      <c r="I723" s="37"/>
      <c r="J723" s="37"/>
      <c r="K723" s="37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</row>
    <row r="724" ht="14.25" customHeight="1">
      <c r="A724" s="38"/>
      <c r="B724" s="38"/>
      <c r="C724" s="37"/>
      <c r="D724" s="37"/>
      <c r="E724" s="37"/>
      <c r="F724" s="37"/>
      <c r="G724" s="37"/>
      <c r="H724" s="37"/>
      <c r="I724" s="37"/>
      <c r="J724" s="37"/>
      <c r="K724" s="37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</row>
    <row r="725" ht="14.25" customHeight="1">
      <c r="A725" s="38"/>
      <c r="B725" s="38"/>
      <c r="C725" s="37"/>
      <c r="D725" s="37"/>
      <c r="E725" s="37"/>
      <c r="F725" s="37"/>
      <c r="G725" s="37"/>
      <c r="H725" s="37"/>
      <c r="I725" s="37"/>
      <c r="J725" s="37"/>
      <c r="K725" s="37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</row>
    <row r="726" ht="14.25" customHeight="1">
      <c r="A726" s="38"/>
      <c r="B726" s="38"/>
      <c r="C726" s="37"/>
      <c r="D726" s="37"/>
      <c r="E726" s="37"/>
      <c r="F726" s="37"/>
      <c r="G726" s="37"/>
      <c r="H726" s="37"/>
      <c r="I726" s="37"/>
      <c r="J726" s="37"/>
      <c r="K726" s="37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</row>
    <row r="727" ht="14.25" customHeight="1">
      <c r="A727" s="38"/>
      <c r="B727" s="38"/>
      <c r="C727" s="37"/>
      <c r="D727" s="37"/>
      <c r="E727" s="37"/>
      <c r="F727" s="37"/>
      <c r="G727" s="37"/>
      <c r="H727" s="37"/>
      <c r="I727" s="37"/>
      <c r="J727" s="37"/>
      <c r="K727" s="37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</row>
    <row r="728" ht="14.25" customHeight="1">
      <c r="A728" s="38"/>
      <c r="B728" s="38"/>
      <c r="C728" s="37"/>
      <c r="D728" s="37"/>
      <c r="E728" s="37"/>
      <c r="F728" s="37"/>
      <c r="G728" s="37"/>
      <c r="H728" s="37"/>
      <c r="I728" s="37"/>
      <c r="J728" s="37"/>
      <c r="K728" s="37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</row>
    <row r="729" ht="14.25" customHeight="1">
      <c r="A729" s="38"/>
      <c r="B729" s="38"/>
      <c r="C729" s="37"/>
      <c r="D729" s="37"/>
      <c r="E729" s="37"/>
      <c r="F729" s="37"/>
      <c r="G729" s="37"/>
      <c r="H729" s="37"/>
      <c r="I729" s="37"/>
      <c r="J729" s="37"/>
      <c r="K729" s="37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</row>
    <row r="730" ht="14.25" customHeight="1">
      <c r="A730" s="38"/>
      <c r="B730" s="38"/>
      <c r="C730" s="37"/>
      <c r="D730" s="37"/>
      <c r="E730" s="37"/>
      <c r="F730" s="37"/>
      <c r="G730" s="37"/>
      <c r="H730" s="37"/>
      <c r="I730" s="37"/>
      <c r="J730" s="37"/>
      <c r="K730" s="37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</row>
    <row r="731" ht="14.25" customHeight="1">
      <c r="A731" s="38"/>
      <c r="B731" s="38"/>
      <c r="C731" s="37"/>
      <c r="D731" s="37"/>
      <c r="E731" s="37"/>
      <c r="F731" s="37"/>
      <c r="G731" s="37"/>
      <c r="H731" s="37"/>
      <c r="I731" s="37"/>
      <c r="J731" s="37"/>
      <c r="K731" s="37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</row>
    <row r="732" ht="14.25" customHeight="1">
      <c r="A732" s="38"/>
      <c r="B732" s="38"/>
      <c r="C732" s="37"/>
      <c r="D732" s="37"/>
      <c r="E732" s="37"/>
      <c r="F732" s="37"/>
      <c r="G732" s="37"/>
      <c r="H732" s="37"/>
      <c r="I732" s="37"/>
      <c r="J732" s="37"/>
      <c r="K732" s="37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</row>
    <row r="733" ht="14.25" customHeight="1">
      <c r="A733" s="38"/>
      <c r="B733" s="38"/>
      <c r="C733" s="37"/>
      <c r="D733" s="37"/>
      <c r="E733" s="37"/>
      <c r="F733" s="37"/>
      <c r="G733" s="37"/>
      <c r="H733" s="37"/>
      <c r="I733" s="37"/>
      <c r="J733" s="37"/>
      <c r="K733" s="37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</row>
    <row r="734" ht="14.25" customHeight="1">
      <c r="A734" s="38"/>
      <c r="B734" s="38"/>
      <c r="C734" s="37"/>
      <c r="D734" s="37"/>
      <c r="E734" s="37"/>
      <c r="F734" s="37"/>
      <c r="G734" s="37"/>
      <c r="H734" s="37"/>
      <c r="I734" s="37"/>
      <c r="J734" s="37"/>
      <c r="K734" s="37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</row>
    <row r="735" ht="14.25" customHeight="1">
      <c r="A735" s="38"/>
      <c r="B735" s="38"/>
      <c r="C735" s="37"/>
      <c r="D735" s="37"/>
      <c r="E735" s="37"/>
      <c r="F735" s="37"/>
      <c r="G735" s="37"/>
      <c r="H735" s="37"/>
      <c r="I735" s="37"/>
      <c r="J735" s="37"/>
      <c r="K735" s="37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</row>
    <row r="736" ht="14.25" customHeight="1">
      <c r="A736" s="38"/>
      <c r="B736" s="38"/>
      <c r="C736" s="37"/>
      <c r="D736" s="37"/>
      <c r="E736" s="37"/>
      <c r="F736" s="37"/>
      <c r="G736" s="37"/>
      <c r="H736" s="37"/>
      <c r="I736" s="37"/>
      <c r="J736" s="37"/>
      <c r="K736" s="37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</row>
    <row r="737" ht="14.25" customHeight="1">
      <c r="A737" s="38"/>
      <c r="B737" s="38"/>
      <c r="C737" s="37"/>
      <c r="D737" s="37"/>
      <c r="E737" s="37"/>
      <c r="F737" s="37"/>
      <c r="G737" s="37"/>
      <c r="H737" s="37"/>
      <c r="I737" s="37"/>
      <c r="J737" s="37"/>
      <c r="K737" s="37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</row>
    <row r="738" ht="14.25" customHeight="1">
      <c r="A738" s="38"/>
      <c r="B738" s="38"/>
      <c r="C738" s="37"/>
      <c r="D738" s="37"/>
      <c r="E738" s="37"/>
      <c r="F738" s="37"/>
      <c r="G738" s="37"/>
      <c r="H738" s="37"/>
      <c r="I738" s="37"/>
      <c r="J738" s="37"/>
      <c r="K738" s="37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</row>
    <row r="739" ht="14.25" customHeight="1">
      <c r="A739" s="38"/>
      <c r="B739" s="38"/>
      <c r="C739" s="37"/>
      <c r="D739" s="37"/>
      <c r="E739" s="37"/>
      <c r="F739" s="37"/>
      <c r="G739" s="37"/>
      <c r="H739" s="37"/>
      <c r="I739" s="37"/>
      <c r="J739" s="37"/>
      <c r="K739" s="37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</row>
    <row r="740" ht="14.25" customHeight="1">
      <c r="A740" s="38"/>
      <c r="B740" s="38"/>
      <c r="C740" s="37"/>
      <c r="D740" s="37"/>
      <c r="E740" s="37"/>
      <c r="F740" s="37"/>
      <c r="G740" s="37"/>
      <c r="H740" s="37"/>
      <c r="I740" s="37"/>
      <c r="J740" s="37"/>
      <c r="K740" s="37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</row>
    <row r="741" ht="14.25" customHeight="1">
      <c r="A741" s="38"/>
      <c r="B741" s="38"/>
      <c r="C741" s="37"/>
      <c r="D741" s="37"/>
      <c r="E741" s="37"/>
      <c r="F741" s="37"/>
      <c r="G741" s="37"/>
      <c r="H741" s="37"/>
      <c r="I741" s="37"/>
      <c r="J741" s="37"/>
      <c r="K741" s="37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</row>
    <row r="742" ht="14.25" customHeight="1">
      <c r="A742" s="38"/>
      <c r="B742" s="38"/>
      <c r="C742" s="37"/>
      <c r="D742" s="37"/>
      <c r="E742" s="37"/>
      <c r="F742" s="37"/>
      <c r="G742" s="37"/>
      <c r="H742" s="37"/>
      <c r="I742" s="37"/>
      <c r="J742" s="37"/>
      <c r="K742" s="37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</row>
    <row r="743" ht="14.25" customHeight="1">
      <c r="A743" s="38"/>
      <c r="B743" s="38"/>
      <c r="C743" s="37"/>
      <c r="D743" s="37"/>
      <c r="E743" s="37"/>
      <c r="F743" s="37"/>
      <c r="G743" s="37"/>
      <c r="H743" s="37"/>
      <c r="I743" s="37"/>
      <c r="J743" s="37"/>
      <c r="K743" s="37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</row>
    <row r="744" ht="14.25" customHeight="1">
      <c r="A744" s="38"/>
      <c r="B744" s="38"/>
      <c r="C744" s="37"/>
      <c r="D744" s="37"/>
      <c r="E744" s="37"/>
      <c r="F744" s="37"/>
      <c r="G744" s="37"/>
      <c r="H744" s="37"/>
      <c r="I744" s="37"/>
      <c r="J744" s="37"/>
      <c r="K744" s="37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</row>
    <row r="745" ht="14.25" customHeight="1">
      <c r="A745" s="38"/>
      <c r="B745" s="38"/>
      <c r="C745" s="37"/>
      <c r="D745" s="37"/>
      <c r="E745" s="37"/>
      <c r="F745" s="37"/>
      <c r="G745" s="37"/>
      <c r="H745" s="37"/>
      <c r="I745" s="37"/>
      <c r="J745" s="37"/>
      <c r="K745" s="37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</row>
    <row r="746" ht="14.25" customHeight="1">
      <c r="A746" s="38"/>
      <c r="B746" s="38"/>
      <c r="C746" s="37"/>
      <c r="D746" s="37"/>
      <c r="E746" s="37"/>
      <c r="F746" s="37"/>
      <c r="G746" s="37"/>
      <c r="H746" s="37"/>
      <c r="I746" s="37"/>
      <c r="J746" s="37"/>
      <c r="K746" s="37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</row>
    <row r="747" ht="14.25" customHeight="1">
      <c r="A747" s="38"/>
      <c r="B747" s="38"/>
      <c r="C747" s="37"/>
      <c r="D747" s="37"/>
      <c r="E747" s="37"/>
      <c r="F747" s="37"/>
      <c r="G747" s="37"/>
      <c r="H747" s="37"/>
      <c r="I747" s="37"/>
      <c r="J747" s="37"/>
      <c r="K747" s="37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</row>
    <row r="748" ht="14.25" customHeight="1">
      <c r="A748" s="38"/>
      <c r="B748" s="38"/>
      <c r="C748" s="37"/>
      <c r="D748" s="37"/>
      <c r="E748" s="37"/>
      <c r="F748" s="37"/>
      <c r="G748" s="37"/>
      <c r="H748" s="37"/>
      <c r="I748" s="37"/>
      <c r="J748" s="37"/>
      <c r="K748" s="37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</row>
    <row r="749" ht="14.25" customHeight="1">
      <c r="A749" s="38"/>
      <c r="B749" s="38"/>
      <c r="C749" s="37"/>
      <c r="D749" s="37"/>
      <c r="E749" s="37"/>
      <c r="F749" s="37"/>
      <c r="G749" s="37"/>
      <c r="H749" s="37"/>
      <c r="I749" s="37"/>
      <c r="J749" s="37"/>
      <c r="K749" s="37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</row>
    <row r="750" ht="14.25" customHeight="1">
      <c r="A750" s="38"/>
      <c r="B750" s="38"/>
      <c r="C750" s="37"/>
      <c r="D750" s="37"/>
      <c r="E750" s="37"/>
      <c r="F750" s="37"/>
      <c r="G750" s="37"/>
      <c r="H750" s="37"/>
      <c r="I750" s="37"/>
      <c r="J750" s="37"/>
      <c r="K750" s="37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</row>
    <row r="751" ht="14.25" customHeight="1">
      <c r="A751" s="38"/>
      <c r="B751" s="38"/>
      <c r="C751" s="37"/>
      <c r="D751" s="37"/>
      <c r="E751" s="37"/>
      <c r="F751" s="37"/>
      <c r="G751" s="37"/>
      <c r="H751" s="37"/>
      <c r="I751" s="37"/>
      <c r="J751" s="37"/>
      <c r="K751" s="37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</row>
    <row r="752" ht="14.25" customHeight="1">
      <c r="A752" s="38"/>
      <c r="B752" s="38"/>
      <c r="C752" s="37"/>
      <c r="D752" s="37"/>
      <c r="E752" s="37"/>
      <c r="F752" s="37"/>
      <c r="G752" s="37"/>
      <c r="H752" s="37"/>
      <c r="I752" s="37"/>
      <c r="J752" s="37"/>
      <c r="K752" s="37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</row>
    <row r="753" ht="14.25" customHeight="1">
      <c r="A753" s="38"/>
      <c r="B753" s="38"/>
      <c r="C753" s="37"/>
      <c r="D753" s="37"/>
      <c r="E753" s="37"/>
      <c r="F753" s="37"/>
      <c r="G753" s="37"/>
      <c r="H753" s="37"/>
      <c r="I753" s="37"/>
      <c r="J753" s="37"/>
      <c r="K753" s="37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</row>
    <row r="754" ht="14.25" customHeight="1">
      <c r="A754" s="38"/>
      <c r="B754" s="38"/>
      <c r="C754" s="37"/>
      <c r="D754" s="37"/>
      <c r="E754" s="37"/>
      <c r="F754" s="37"/>
      <c r="G754" s="37"/>
      <c r="H754" s="37"/>
      <c r="I754" s="37"/>
      <c r="J754" s="37"/>
      <c r="K754" s="37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</row>
    <row r="755" ht="14.25" customHeight="1">
      <c r="A755" s="38"/>
      <c r="B755" s="38"/>
      <c r="C755" s="37"/>
      <c r="D755" s="37"/>
      <c r="E755" s="37"/>
      <c r="F755" s="37"/>
      <c r="G755" s="37"/>
      <c r="H755" s="37"/>
      <c r="I755" s="37"/>
      <c r="J755" s="37"/>
      <c r="K755" s="37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</row>
    <row r="756" ht="14.25" customHeight="1">
      <c r="A756" s="38"/>
      <c r="B756" s="38"/>
      <c r="C756" s="37"/>
      <c r="D756" s="37"/>
      <c r="E756" s="37"/>
      <c r="F756" s="37"/>
      <c r="G756" s="37"/>
      <c r="H756" s="37"/>
      <c r="I756" s="37"/>
      <c r="J756" s="37"/>
      <c r="K756" s="37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</row>
    <row r="757" ht="14.25" customHeight="1">
      <c r="A757" s="38"/>
      <c r="B757" s="38"/>
      <c r="C757" s="37"/>
      <c r="D757" s="37"/>
      <c r="E757" s="37"/>
      <c r="F757" s="37"/>
      <c r="G757" s="37"/>
      <c r="H757" s="37"/>
      <c r="I757" s="37"/>
      <c r="J757" s="37"/>
      <c r="K757" s="37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</row>
    <row r="758" ht="14.25" customHeight="1">
      <c r="A758" s="38"/>
      <c r="B758" s="38"/>
      <c r="C758" s="37"/>
      <c r="D758" s="37"/>
      <c r="E758" s="37"/>
      <c r="F758" s="37"/>
      <c r="G758" s="37"/>
      <c r="H758" s="37"/>
      <c r="I758" s="37"/>
      <c r="J758" s="37"/>
      <c r="K758" s="37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</row>
    <row r="759" ht="14.25" customHeight="1">
      <c r="A759" s="38"/>
      <c r="B759" s="38"/>
      <c r="C759" s="37"/>
      <c r="D759" s="37"/>
      <c r="E759" s="37"/>
      <c r="F759" s="37"/>
      <c r="G759" s="37"/>
      <c r="H759" s="37"/>
      <c r="I759" s="37"/>
      <c r="J759" s="37"/>
      <c r="K759" s="37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</row>
    <row r="760" ht="14.25" customHeight="1">
      <c r="A760" s="38"/>
      <c r="B760" s="38"/>
      <c r="C760" s="37"/>
      <c r="D760" s="37"/>
      <c r="E760" s="37"/>
      <c r="F760" s="37"/>
      <c r="G760" s="37"/>
      <c r="H760" s="37"/>
      <c r="I760" s="37"/>
      <c r="J760" s="37"/>
      <c r="K760" s="37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</row>
    <row r="761" ht="14.25" customHeight="1">
      <c r="A761" s="38"/>
      <c r="B761" s="38"/>
      <c r="C761" s="37"/>
      <c r="D761" s="37"/>
      <c r="E761" s="37"/>
      <c r="F761" s="37"/>
      <c r="G761" s="37"/>
      <c r="H761" s="37"/>
      <c r="I761" s="37"/>
      <c r="J761" s="37"/>
      <c r="K761" s="37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</row>
    <row r="762" ht="14.25" customHeight="1">
      <c r="A762" s="38"/>
      <c r="B762" s="38"/>
      <c r="C762" s="37"/>
      <c r="D762" s="37"/>
      <c r="E762" s="37"/>
      <c r="F762" s="37"/>
      <c r="G762" s="37"/>
      <c r="H762" s="37"/>
      <c r="I762" s="37"/>
      <c r="J762" s="37"/>
      <c r="K762" s="37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</row>
    <row r="763" ht="14.25" customHeight="1">
      <c r="A763" s="38"/>
      <c r="B763" s="38"/>
      <c r="C763" s="37"/>
      <c r="D763" s="37"/>
      <c r="E763" s="37"/>
      <c r="F763" s="37"/>
      <c r="G763" s="37"/>
      <c r="H763" s="37"/>
      <c r="I763" s="37"/>
      <c r="J763" s="37"/>
      <c r="K763" s="37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</row>
    <row r="764" ht="14.25" customHeight="1">
      <c r="A764" s="38"/>
      <c r="B764" s="38"/>
      <c r="C764" s="37"/>
      <c r="D764" s="37"/>
      <c r="E764" s="37"/>
      <c r="F764" s="37"/>
      <c r="G764" s="37"/>
      <c r="H764" s="37"/>
      <c r="I764" s="37"/>
      <c r="J764" s="37"/>
      <c r="K764" s="37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</row>
    <row r="765" ht="14.25" customHeight="1">
      <c r="A765" s="38"/>
      <c r="B765" s="38"/>
      <c r="C765" s="37"/>
      <c r="D765" s="37"/>
      <c r="E765" s="37"/>
      <c r="F765" s="37"/>
      <c r="G765" s="37"/>
      <c r="H765" s="37"/>
      <c r="I765" s="37"/>
      <c r="J765" s="37"/>
      <c r="K765" s="37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</row>
    <row r="766" ht="14.25" customHeight="1">
      <c r="A766" s="38"/>
      <c r="B766" s="38"/>
      <c r="C766" s="37"/>
      <c r="D766" s="37"/>
      <c r="E766" s="37"/>
      <c r="F766" s="37"/>
      <c r="G766" s="37"/>
      <c r="H766" s="37"/>
      <c r="I766" s="37"/>
      <c r="J766" s="37"/>
      <c r="K766" s="37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</row>
    <row r="767" ht="14.25" customHeight="1">
      <c r="A767" s="38"/>
      <c r="B767" s="38"/>
      <c r="C767" s="37"/>
      <c r="D767" s="37"/>
      <c r="E767" s="37"/>
      <c r="F767" s="37"/>
      <c r="G767" s="37"/>
      <c r="H767" s="37"/>
      <c r="I767" s="37"/>
      <c r="J767" s="37"/>
      <c r="K767" s="37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</row>
    <row r="768" ht="14.25" customHeight="1">
      <c r="A768" s="38"/>
      <c r="B768" s="38"/>
      <c r="C768" s="37"/>
      <c r="D768" s="37"/>
      <c r="E768" s="37"/>
      <c r="F768" s="37"/>
      <c r="G768" s="37"/>
      <c r="H768" s="37"/>
      <c r="I768" s="37"/>
      <c r="J768" s="37"/>
      <c r="K768" s="37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</row>
    <row r="769" ht="14.25" customHeight="1">
      <c r="A769" s="38"/>
      <c r="B769" s="38"/>
      <c r="C769" s="37"/>
      <c r="D769" s="37"/>
      <c r="E769" s="37"/>
      <c r="F769" s="37"/>
      <c r="G769" s="37"/>
      <c r="H769" s="37"/>
      <c r="I769" s="37"/>
      <c r="J769" s="37"/>
      <c r="K769" s="37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</row>
    <row r="770" ht="14.25" customHeight="1">
      <c r="A770" s="38"/>
      <c r="B770" s="38"/>
      <c r="C770" s="37"/>
      <c r="D770" s="37"/>
      <c r="E770" s="37"/>
      <c r="F770" s="37"/>
      <c r="G770" s="37"/>
      <c r="H770" s="37"/>
      <c r="I770" s="37"/>
      <c r="J770" s="37"/>
      <c r="K770" s="37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</row>
    <row r="771" ht="14.25" customHeight="1">
      <c r="A771" s="38"/>
      <c r="B771" s="38"/>
      <c r="C771" s="37"/>
      <c r="D771" s="37"/>
      <c r="E771" s="37"/>
      <c r="F771" s="37"/>
      <c r="G771" s="37"/>
      <c r="H771" s="37"/>
      <c r="I771" s="37"/>
      <c r="J771" s="37"/>
      <c r="K771" s="37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</row>
    <row r="772" ht="14.25" customHeight="1">
      <c r="A772" s="38"/>
      <c r="B772" s="38"/>
      <c r="C772" s="37"/>
      <c r="D772" s="37"/>
      <c r="E772" s="37"/>
      <c r="F772" s="37"/>
      <c r="G772" s="37"/>
      <c r="H772" s="37"/>
      <c r="I772" s="37"/>
      <c r="J772" s="37"/>
      <c r="K772" s="37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</row>
    <row r="773" ht="14.25" customHeight="1">
      <c r="A773" s="38"/>
      <c r="B773" s="38"/>
      <c r="C773" s="37"/>
      <c r="D773" s="37"/>
      <c r="E773" s="37"/>
      <c r="F773" s="37"/>
      <c r="G773" s="37"/>
      <c r="H773" s="37"/>
      <c r="I773" s="37"/>
      <c r="J773" s="37"/>
      <c r="K773" s="37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</row>
    <row r="774" ht="14.25" customHeight="1">
      <c r="A774" s="38"/>
      <c r="B774" s="38"/>
      <c r="C774" s="37"/>
      <c r="D774" s="37"/>
      <c r="E774" s="37"/>
      <c r="F774" s="37"/>
      <c r="G774" s="37"/>
      <c r="H774" s="37"/>
      <c r="I774" s="37"/>
      <c r="J774" s="37"/>
      <c r="K774" s="37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</row>
    <row r="775" ht="14.25" customHeight="1">
      <c r="A775" s="38"/>
      <c r="B775" s="38"/>
      <c r="C775" s="37"/>
      <c r="D775" s="37"/>
      <c r="E775" s="37"/>
      <c r="F775" s="37"/>
      <c r="G775" s="37"/>
      <c r="H775" s="37"/>
      <c r="I775" s="37"/>
      <c r="J775" s="37"/>
      <c r="K775" s="37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</row>
    <row r="776" ht="14.25" customHeight="1">
      <c r="A776" s="38"/>
      <c r="B776" s="38"/>
      <c r="C776" s="37"/>
      <c r="D776" s="37"/>
      <c r="E776" s="37"/>
      <c r="F776" s="37"/>
      <c r="G776" s="37"/>
      <c r="H776" s="37"/>
      <c r="I776" s="37"/>
      <c r="J776" s="37"/>
      <c r="K776" s="37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</row>
    <row r="777" ht="14.25" customHeight="1">
      <c r="A777" s="38"/>
      <c r="B777" s="38"/>
      <c r="C777" s="37"/>
      <c r="D777" s="37"/>
      <c r="E777" s="37"/>
      <c r="F777" s="37"/>
      <c r="G777" s="37"/>
      <c r="H777" s="37"/>
      <c r="I777" s="37"/>
      <c r="J777" s="37"/>
      <c r="K777" s="37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</row>
    <row r="778" ht="14.25" customHeight="1">
      <c r="A778" s="38"/>
      <c r="B778" s="38"/>
      <c r="C778" s="37"/>
      <c r="D778" s="37"/>
      <c r="E778" s="37"/>
      <c r="F778" s="37"/>
      <c r="G778" s="37"/>
      <c r="H778" s="37"/>
      <c r="I778" s="37"/>
      <c r="J778" s="37"/>
      <c r="K778" s="37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</row>
    <row r="779" ht="14.25" customHeight="1">
      <c r="A779" s="38"/>
      <c r="B779" s="38"/>
      <c r="C779" s="37"/>
      <c r="D779" s="37"/>
      <c r="E779" s="37"/>
      <c r="F779" s="37"/>
      <c r="G779" s="37"/>
      <c r="H779" s="37"/>
      <c r="I779" s="37"/>
      <c r="J779" s="37"/>
      <c r="K779" s="37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</row>
    <row r="780" ht="14.25" customHeight="1">
      <c r="A780" s="38"/>
      <c r="B780" s="38"/>
      <c r="C780" s="37"/>
      <c r="D780" s="37"/>
      <c r="E780" s="37"/>
      <c r="F780" s="37"/>
      <c r="G780" s="37"/>
      <c r="H780" s="37"/>
      <c r="I780" s="37"/>
      <c r="J780" s="37"/>
      <c r="K780" s="37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</row>
    <row r="781" ht="14.25" customHeight="1">
      <c r="A781" s="38"/>
      <c r="B781" s="38"/>
      <c r="C781" s="37"/>
      <c r="D781" s="37"/>
      <c r="E781" s="37"/>
      <c r="F781" s="37"/>
      <c r="G781" s="37"/>
      <c r="H781" s="37"/>
      <c r="I781" s="37"/>
      <c r="J781" s="37"/>
      <c r="K781" s="37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</row>
    <row r="782" ht="14.25" customHeight="1">
      <c r="A782" s="38"/>
      <c r="B782" s="38"/>
      <c r="C782" s="37"/>
      <c r="D782" s="37"/>
      <c r="E782" s="37"/>
      <c r="F782" s="37"/>
      <c r="G782" s="37"/>
      <c r="H782" s="37"/>
      <c r="I782" s="37"/>
      <c r="J782" s="37"/>
      <c r="K782" s="37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</row>
    <row r="783" ht="14.25" customHeight="1">
      <c r="A783" s="38"/>
      <c r="B783" s="38"/>
      <c r="C783" s="37"/>
      <c r="D783" s="37"/>
      <c r="E783" s="37"/>
      <c r="F783" s="37"/>
      <c r="G783" s="37"/>
      <c r="H783" s="37"/>
      <c r="I783" s="37"/>
      <c r="J783" s="37"/>
      <c r="K783" s="37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</row>
    <row r="784" ht="14.25" customHeight="1">
      <c r="A784" s="38"/>
      <c r="B784" s="38"/>
      <c r="C784" s="37"/>
      <c r="D784" s="37"/>
      <c r="E784" s="37"/>
      <c r="F784" s="37"/>
      <c r="G784" s="37"/>
      <c r="H784" s="37"/>
      <c r="I784" s="37"/>
      <c r="J784" s="37"/>
      <c r="K784" s="37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</row>
    <row r="785" ht="14.25" customHeight="1">
      <c r="A785" s="38"/>
      <c r="B785" s="38"/>
      <c r="C785" s="37"/>
      <c r="D785" s="37"/>
      <c r="E785" s="37"/>
      <c r="F785" s="37"/>
      <c r="G785" s="37"/>
      <c r="H785" s="37"/>
      <c r="I785" s="37"/>
      <c r="J785" s="37"/>
      <c r="K785" s="37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</row>
    <row r="786" ht="14.25" customHeight="1">
      <c r="A786" s="38"/>
      <c r="B786" s="38"/>
      <c r="C786" s="37"/>
      <c r="D786" s="37"/>
      <c r="E786" s="37"/>
      <c r="F786" s="37"/>
      <c r="G786" s="37"/>
      <c r="H786" s="37"/>
      <c r="I786" s="37"/>
      <c r="J786" s="37"/>
      <c r="K786" s="37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</row>
    <row r="787" ht="14.25" customHeight="1">
      <c r="A787" s="38"/>
      <c r="B787" s="38"/>
      <c r="C787" s="37"/>
      <c r="D787" s="37"/>
      <c r="E787" s="37"/>
      <c r="F787" s="37"/>
      <c r="G787" s="37"/>
      <c r="H787" s="37"/>
      <c r="I787" s="37"/>
      <c r="J787" s="37"/>
      <c r="K787" s="37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</row>
    <row r="788" ht="14.25" customHeight="1">
      <c r="A788" s="38"/>
      <c r="B788" s="38"/>
      <c r="C788" s="37"/>
      <c r="D788" s="37"/>
      <c r="E788" s="37"/>
      <c r="F788" s="37"/>
      <c r="G788" s="37"/>
      <c r="H788" s="37"/>
      <c r="I788" s="37"/>
      <c r="J788" s="37"/>
      <c r="K788" s="37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</row>
    <row r="789" ht="14.25" customHeight="1">
      <c r="A789" s="38"/>
      <c r="B789" s="38"/>
      <c r="C789" s="37"/>
      <c r="D789" s="37"/>
      <c r="E789" s="37"/>
      <c r="F789" s="37"/>
      <c r="G789" s="37"/>
      <c r="H789" s="37"/>
      <c r="I789" s="37"/>
      <c r="J789" s="37"/>
      <c r="K789" s="37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</row>
    <row r="790" ht="14.25" customHeight="1">
      <c r="A790" s="38"/>
      <c r="B790" s="38"/>
      <c r="C790" s="37"/>
      <c r="D790" s="37"/>
      <c r="E790" s="37"/>
      <c r="F790" s="37"/>
      <c r="G790" s="37"/>
      <c r="H790" s="37"/>
      <c r="I790" s="37"/>
      <c r="J790" s="37"/>
      <c r="K790" s="37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</row>
    <row r="791" ht="14.25" customHeight="1">
      <c r="A791" s="38"/>
      <c r="B791" s="38"/>
      <c r="C791" s="37"/>
      <c r="D791" s="37"/>
      <c r="E791" s="37"/>
      <c r="F791" s="37"/>
      <c r="G791" s="37"/>
      <c r="H791" s="37"/>
      <c r="I791" s="37"/>
      <c r="J791" s="37"/>
      <c r="K791" s="37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</row>
    <row r="792" ht="14.25" customHeight="1">
      <c r="A792" s="38"/>
      <c r="B792" s="38"/>
      <c r="C792" s="37"/>
      <c r="D792" s="37"/>
      <c r="E792" s="37"/>
      <c r="F792" s="37"/>
      <c r="G792" s="37"/>
      <c r="H792" s="37"/>
      <c r="I792" s="37"/>
      <c r="J792" s="37"/>
      <c r="K792" s="37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</row>
    <row r="793" ht="14.25" customHeight="1">
      <c r="A793" s="38"/>
      <c r="B793" s="38"/>
      <c r="C793" s="37"/>
      <c r="D793" s="37"/>
      <c r="E793" s="37"/>
      <c r="F793" s="37"/>
      <c r="G793" s="37"/>
      <c r="H793" s="37"/>
      <c r="I793" s="37"/>
      <c r="J793" s="37"/>
      <c r="K793" s="37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</row>
    <row r="794" ht="14.25" customHeight="1">
      <c r="A794" s="38"/>
      <c r="B794" s="38"/>
      <c r="C794" s="37"/>
      <c r="D794" s="37"/>
      <c r="E794" s="37"/>
      <c r="F794" s="37"/>
      <c r="G794" s="37"/>
      <c r="H794" s="37"/>
      <c r="I794" s="37"/>
      <c r="J794" s="37"/>
      <c r="K794" s="37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</row>
    <row r="795" ht="14.25" customHeight="1">
      <c r="A795" s="38"/>
      <c r="B795" s="38"/>
      <c r="C795" s="37"/>
      <c r="D795" s="37"/>
      <c r="E795" s="37"/>
      <c r="F795" s="37"/>
      <c r="G795" s="37"/>
      <c r="H795" s="37"/>
      <c r="I795" s="37"/>
      <c r="J795" s="37"/>
      <c r="K795" s="37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</row>
    <row r="796" ht="14.25" customHeight="1">
      <c r="A796" s="38"/>
      <c r="B796" s="38"/>
      <c r="C796" s="37"/>
      <c r="D796" s="37"/>
      <c r="E796" s="37"/>
      <c r="F796" s="37"/>
      <c r="G796" s="37"/>
      <c r="H796" s="37"/>
      <c r="I796" s="37"/>
      <c r="J796" s="37"/>
      <c r="K796" s="37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</row>
    <row r="797" ht="14.25" customHeight="1">
      <c r="A797" s="38"/>
      <c r="B797" s="38"/>
      <c r="C797" s="37"/>
      <c r="D797" s="37"/>
      <c r="E797" s="37"/>
      <c r="F797" s="37"/>
      <c r="G797" s="37"/>
      <c r="H797" s="37"/>
      <c r="I797" s="37"/>
      <c r="J797" s="37"/>
      <c r="K797" s="37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</row>
    <row r="798" ht="14.25" customHeight="1">
      <c r="A798" s="38"/>
      <c r="B798" s="38"/>
      <c r="C798" s="37"/>
      <c r="D798" s="37"/>
      <c r="E798" s="37"/>
      <c r="F798" s="37"/>
      <c r="G798" s="37"/>
      <c r="H798" s="37"/>
      <c r="I798" s="37"/>
      <c r="J798" s="37"/>
      <c r="K798" s="37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</row>
    <row r="799" ht="14.25" customHeight="1">
      <c r="A799" s="38"/>
      <c r="B799" s="38"/>
      <c r="C799" s="37"/>
      <c r="D799" s="37"/>
      <c r="E799" s="37"/>
      <c r="F799" s="37"/>
      <c r="G799" s="37"/>
      <c r="H799" s="37"/>
      <c r="I799" s="37"/>
      <c r="J799" s="37"/>
      <c r="K799" s="37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</row>
    <row r="800" ht="14.25" customHeight="1">
      <c r="A800" s="38"/>
      <c r="B800" s="38"/>
      <c r="C800" s="37"/>
      <c r="D800" s="37"/>
      <c r="E800" s="37"/>
      <c r="F800" s="37"/>
      <c r="G800" s="37"/>
      <c r="H800" s="37"/>
      <c r="I800" s="37"/>
      <c r="J800" s="37"/>
      <c r="K800" s="37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</row>
    <row r="801" ht="14.25" customHeight="1">
      <c r="A801" s="38"/>
      <c r="B801" s="38"/>
      <c r="C801" s="37"/>
      <c r="D801" s="37"/>
      <c r="E801" s="37"/>
      <c r="F801" s="37"/>
      <c r="G801" s="37"/>
      <c r="H801" s="37"/>
      <c r="I801" s="37"/>
      <c r="J801" s="37"/>
      <c r="K801" s="37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</row>
    <row r="802" ht="14.25" customHeight="1">
      <c r="A802" s="38"/>
      <c r="B802" s="38"/>
      <c r="C802" s="37"/>
      <c r="D802" s="37"/>
      <c r="E802" s="37"/>
      <c r="F802" s="37"/>
      <c r="G802" s="37"/>
      <c r="H802" s="37"/>
      <c r="I802" s="37"/>
      <c r="J802" s="37"/>
      <c r="K802" s="37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</row>
    <row r="803" ht="14.25" customHeight="1">
      <c r="A803" s="38"/>
      <c r="B803" s="38"/>
      <c r="C803" s="37"/>
      <c r="D803" s="37"/>
      <c r="E803" s="37"/>
      <c r="F803" s="37"/>
      <c r="G803" s="37"/>
      <c r="H803" s="37"/>
      <c r="I803" s="37"/>
      <c r="J803" s="37"/>
      <c r="K803" s="37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</row>
    <row r="804" ht="14.25" customHeight="1">
      <c r="A804" s="38"/>
      <c r="B804" s="38"/>
      <c r="C804" s="37"/>
      <c r="D804" s="37"/>
      <c r="E804" s="37"/>
      <c r="F804" s="37"/>
      <c r="G804" s="37"/>
      <c r="H804" s="37"/>
      <c r="I804" s="37"/>
      <c r="J804" s="37"/>
      <c r="K804" s="37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</row>
    <row r="805" ht="14.25" customHeight="1">
      <c r="A805" s="38"/>
      <c r="B805" s="38"/>
      <c r="C805" s="37"/>
      <c r="D805" s="37"/>
      <c r="E805" s="37"/>
      <c r="F805" s="37"/>
      <c r="G805" s="37"/>
      <c r="H805" s="37"/>
      <c r="I805" s="37"/>
      <c r="J805" s="37"/>
      <c r="K805" s="37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</row>
    <row r="806" ht="14.25" customHeight="1">
      <c r="A806" s="38"/>
      <c r="B806" s="38"/>
      <c r="C806" s="37"/>
      <c r="D806" s="37"/>
      <c r="E806" s="37"/>
      <c r="F806" s="37"/>
      <c r="G806" s="37"/>
      <c r="H806" s="37"/>
      <c r="I806" s="37"/>
      <c r="J806" s="37"/>
      <c r="K806" s="37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</row>
    <row r="807" ht="14.25" customHeight="1">
      <c r="A807" s="38"/>
      <c r="B807" s="38"/>
      <c r="C807" s="37"/>
      <c r="D807" s="37"/>
      <c r="E807" s="37"/>
      <c r="F807" s="37"/>
      <c r="G807" s="37"/>
      <c r="H807" s="37"/>
      <c r="I807" s="37"/>
      <c r="J807" s="37"/>
      <c r="K807" s="37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</row>
    <row r="808" ht="14.25" customHeight="1">
      <c r="A808" s="38"/>
      <c r="B808" s="38"/>
      <c r="C808" s="37"/>
      <c r="D808" s="37"/>
      <c r="E808" s="37"/>
      <c r="F808" s="37"/>
      <c r="G808" s="37"/>
      <c r="H808" s="37"/>
      <c r="I808" s="37"/>
      <c r="J808" s="37"/>
      <c r="K808" s="37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</row>
    <row r="809" ht="14.25" customHeight="1">
      <c r="A809" s="38"/>
      <c r="B809" s="38"/>
      <c r="C809" s="37"/>
      <c r="D809" s="37"/>
      <c r="E809" s="37"/>
      <c r="F809" s="37"/>
      <c r="G809" s="37"/>
      <c r="H809" s="37"/>
      <c r="I809" s="37"/>
      <c r="J809" s="37"/>
      <c r="K809" s="37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</row>
    <row r="810" ht="14.25" customHeight="1">
      <c r="A810" s="38"/>
      <c r="B810" s="38"/>
      <c r="C810" s="37"/>
      <c r="D810" s="37"/>
      <c r="E810" s="37"/>
      <c r="F810" s="37"/>
      <c r="G810" s="37"/>
      <c r="H810" s="37"/>
      <c r="I810" s="37"/>
      <c r="J810" s="37"/>
      <c r="K810" s="37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</row>
    <row r="811" ht="14.25" customHeight="1">
      <c r="A811" s="38"/>
      <c r="B811" s="38"/>
      <c r="C811" s="37"/>
      <c r="D811" s="37"/>
      <c r="E811" s="37"/>
      <c r="F811" s="37"/>
      <c r="G811" s="37"/>
      <c r="H811" s="37"/>
      <c r="I811" s="37"/>
      <c r="J811" s="37"/>
      <c r="K811" s="37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</row>
    <row r="812" ht="14.25" customHeight="1">
      <c r="A812" s="38"/>
      <c r="B812" s="38"/>
      <c r="C812" s="37"/>
      <c r="D812" s="37"/>
      <c r="E812" s="37"/>
      <c r="F812" s="37"/>
      <c r="G812" s="37"/>
      <c r="H812" s="37"/>
      <c r="I812" s="37"/>
      <c r="J812" s="37"/>
      <c r="K812" s="37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</row>
    <row r="813" ht="14.25" customHeight="1">
      <c r="A813" s="38"/>
      <c r="B813" s="38"/>
      <c r="C813" s="37"/>
      <c r="D813" s="37"/>
      <c r="E813" s="37"/>
      <c r="F813" s="37"/>
      <c r="G813" s="37"/>
      <c r="H813" s="37"/>
      <c r="I813" s="37"/>
      <c r="J813" s="37"/>
      <c r="K813" s="37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</row>
    <row r="814" ht="14.25" customHeight="1">
      <c r="A814" s="38"/>
      <c r="B814" s="38"/>
      <c r="C814" s="37"/>
      <c r="D814" s="37"/>
      <c r="E814" s="37"/>
      <c r="F814" s="37"/>
      <c r="G814" s="37"/>
      <c r="H814" s="37"/>
      <c r="I814" s="37"/>
      <c r="J814" s="37"/>
      <c r="K814" s="37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</row>
    <row r="815" ht="14.25" customHeight="1">
      <c r="A815" s="38"/>
      <c r="B815" s="38"/>
      <c r="C815" s="37"/>
      <c r="D815" s="37"/>
      <c r="E815" s="37"/>
      <c r="F815" s="37"/>
      <c r="G815" s="37"/>
      <c r="H815" s="37"/>
      <c r="I815" s="37"/>
      <c r="J815" s="37"/>
      <c r="K815" s="37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</row>
    <row r="816" ht="14.25" customHeight="1">
      <c r="A816" s="38"/>
      <c r="B816" s="38"/>
      <c r="C816" s="37"/>
      <c r="D816" s="37"/>
      <c r="E816" s="37"/>
      <c r="F816" s="37"/>
      <c r="G816" s="37"/>
      <c r="H816" s="37"/>
      <c r="I816" s="37"/>
      <c r="J816" s="37"/>
      <c r="K816" s="37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</row>
    <row r="817" ht="14.25" customHeight="1">
      <c r="A817" s="38"/>
      <c r="B817" s="38"/>
      <c r="C817" s="37"/>
      <c r="D817" s="37"/>
      <c r="E817" s="37"/>
      <c r="F817" s="37"/>
      <c r="G817" s="37"/>
      <c r="H817" s="37"/>
      <c r="I817" s="37"/>
      <c r="J817" s="37"/>
      <c r="K817" s="37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</row>
    <row r="818" ht="14.25" customHeight="1">
      <c r="A818" s="38"/>
      <c r="B818" s="38"/>
      <c r="C818" s="37"/>
      <c r="D818" s="37"/>
      <c r="E818" s="37"/>
      <c r="F818" s="37"/>
      <c r="G818" s="37"/>
      <c r="H818" s="37"/>
      <c r="I818" s="37"/>
      <c r="J818" s="37"/>
      <c r="K818" s="37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</row>
    <row r="819" ht="14.25" customHeight="1">
      <c r="A819" s="38"/>
      <c r="B819" s="38"/>
      <c r="C819" s="37"/>
      <c r="D819" s="37"/>
      <c r="E819" s="37"/>
      <c r="F819" s="37"/>
      <c r="G819" s="37"/>
      <c r="H819" s="37"/>
      <c r="I819" s="37"/>
      <c r="J819" s="37"/>
      <c r="K819" s="37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</row>
    <row r="820" ht="14.25" customHeight="1">
      <c r="A820" s="38"/>
      <c r="B820" s="38"/>
      <c r="C820" s="37"/>
      <c r="D820" s="37"/>
      <c r="E820" s="37"/>
      <c r="F820" s="37"/>
      <c r="G820" s="37"/>
      <c r="H820" s="37"/>
      <c r="I820" s="37"/>
      <c r="J820" s="37"/>
      <c r="K820" s="37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</row>
    <row r="821" ht="14.25" customHeight="1">
      <c r="A821" s="38"/>
      <c r="B821" s="38"/>
      <c r="C821" s="37"/>
      <c r="D821" s="37"/>
      <c r="E821" s="37"/>
      <c r="F821" s="37"/>
      <c r="G821" s="37"/>
      <c r="H821" s="37"/>
      <c r="I821" s="37"/>
      <c r="J821" s="37"/>
      <c r="K821" s="37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</row>
    <row r="822" ht="14.25" customHeight="1">
      <c r="A822" s="38"/>
      <c r="B822" s="38"/>
      <c r="C822" s="37"/>
      <c r="D822" s="37"/>
      <c r="E822" s="37"/>
      <c r="F822" s="37"/>
      <c r="G822" s="37"/>
      <c r="H822" s="37"/>
      <c r="I822" s="37"/>
      <c r="J822" s="37"/>
      <c r="K822" s="37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</row>
    <row r="823" ht="14.25" customHeight="1">
      <c r="A823" s="38"/>
      <c r="B823" s="38"/>
      <c r="C823" s="37"/>
      <c r="D823" s="37"/>
      <c r="E823" s="37"/>
      <c r="F823" s="37"/>
      <c r="G823" s="37"/>
      <c r="H823" s="37"/>
      <c r="I823" s="37"/>
      <c r="J823" s="37"/>
      <c r="K823" s="37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</row>
    <row r="824" ht="14.25" customHeight="1">
      <c r="A824" s="38"/>
      <c r="B824" s="38"/>
      <c r="C824" s="37"/>
      <c r="D824" s="37"/>
      <c r="E824" s="37"/>
      <c r="F824" s="37"/>
      <c r="G824" s="37"/>
      <c r="H824" s="37"/>
      <c r="I824" s="37"/>
      <c r="J824" s="37"/>
      <c r="K824" s="37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</row>
    <row r="825" ht="14.25" customHeight="1">
      <c r="A825" s="38"/>
      <c r="B825" s="38"/>
      <c r="C825" s="37"/>
      <c r="D825" s="37"/>
      <c r="E825" s="37"/>
      <c r="F825" s="37"/>
      <c r="G825" s="37"/>
      <c r="H825" s="37"/>
      <c r="I825" s="37"/>
      <c r="J825" s="37"/>
      <c r="K825" s="37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</row>
    <row r="826" ht="14.25" customHeight="1">
      <c r="A826" s="38"/>
      <c r="B826" s="38"/>
      <c r="C826" s="37"/>
      <c r="D826" s="37"/>
      <c r="E826" s="37"/>
      <c r="F826" s="37"/>
      <c r="G826" s="37"/>
      <c r="H826" s="37"/>
      <c r="I826" s="37"/>
      <c r="J826" s="37"/>
      <c r="K826" s="37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</row>
    <row r="827" ht="14.25" customHeight="1">
      <c r="A827" s="38"/>
      <c r="B827" s="38"/>
      <c r="C827" s="37"/>
      <c r="D827" s="37"/>
      <c r="E827" s="37"/>
      <c r="F827" s="37"/>
      <c r="G827" s="37"/>
      <c r="H827" s="37"/>
      <c r="I827" s="37"/>
      <c r="J827" s="37"/>
      <c r="K827" s="37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</row>
    <row r="828" ht="14.25" customHeight="1">
      <c r="A828" s="38"/>
      <c r="B828" s="38"/>
      <c r="C828" s="37"/>
      <c r="D828" s="37"/>
      <c r="E828" s="37"/>
      <c r="F828" s="37"/>
      <c r="G828" s="37"/>
      <c r="H828" s="37"/>
      <c r="I828" s="37"/>
      <c r="J828" s="37"/>
      <c r="K828" s="37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</row>
    <row r="829" ht="14.25" customHeight="1">
      <c r="A829" s="38"/>
      <c r="B829" s="38"/>
      <c r="C829" s="37"/>
      <c r="D829" s="37"/>
      <c r="E829" s="37"/>
      <c r="F829" s="37"/>
      <c r="G829" s="37"/>
      <c r="H829" s="37"/>
      <c r="I829" s="37"/>
      <c r="J829" s="37"/>
      <c r="K829" s="37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</row>
    <row r="830" ht="14.25" customHeight="1">
      <c r="A830" s="38"/>
      <c r="B830" s="38"/>
      <c r="C830" s="37"/>
      <c r="D830" s="37"/>
      <c r="E830" s="37"/>
      <c r="F830" s="37"/>
      <c r="G830" s="37"/>
      <c r="H830" s="37"/>
      <c r="I830" s="37"/>
      <c r="J830" s="37"/>
      <c r="K830" s="37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</row>
    <row r="831" ht="14.25" customHeight="1">
      <c r="A831" s="38"/>
      <c r="B831" s="38"/>
      <c r="C831" s="37"/>
      <c r="D831" s="37"/>
      <c r="E831" s="37"/>
      <c r="F831" s="37"/>
      <c r="G831" s="37"/>
      <c r="H831" s="37"/>
      <c r="I831" s="37"/>
      <c r="J831" s="37"/>
      <c r="K831" s="37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</row>
    <row r="832" ht="14.25" customHeight="1">
      <c r="A832" s="38"/>
      <c r="B832" s="38"/>
      <c r="C832" s="37"/>
      <c r="D832" s="37"/>
      <c r="E832" s="37"/>
      <c r="F832" s="37"/>
      <c r="G832" s="37"/>
      <c r="H832" s="37"/>
      <c r="I832" s="37"/>
      <c r="J832" s="37"/>
      <c r="K832" s="37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</row>
    <row r="833" ht="14.25" customHeight="1">
      <c r="A833" s="38"/>
      <c r="B833" s="38"/>
      <c r="C833" s="37"/>
      <c r="D833" s="37"/>
      <c r="E833" s="37"/>
      <c r="F833" s="37"/>
      <c r="G833" s="37"/>
      <c r="H833" s="37"/>
      <c r="I833" s="37"/>
      <c r="J833" s="37"/>
      <c r="K833" s="37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</row>
    <row r="834" ht="14.25" customHeight="1">
      <c r="A834" s="38"/>
      <c r="B834" s="38"/>
      <c r="C834" s="37"/>
      <c r="D834" s="37"/>
      <c r="E834" s="37"/>
      <c r="F834" s="37"/>
      <c r="G834" s="37"/>
      <c r="H834" s="37"/>
      <c r="I834" s="37"/>
      <c r="J834" s="37"/>
      <c r="K834" s="37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</row>
    <row r="835" ht="14.25" customHeight="1">
      <c r="A835" s="38"/>
      <c r="B835" s="38"/>
      <c r="C835" s="37"/>
      <c r="D835" s="37"/>
      <c r="E835" s="37"/>
      <c r="F835" s="37"/>
      <c r="G835" s="37"/>
      <c r="H835" s="37"/>
      <c r="I835" s="37"/>
      <c r="J835" s="37"/>
      <c r="K835" s="37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</row>
    <row r="836" ht="14.25" customHeight="1">
      <c r="A836" s="38"/>
      <c r="B836" s="38"/>
      <c r="C836" s="37"/>
      <c r="D836" s="37"/>
      <c r="E836" s="37"/>
      <c r="F836" s="37"/>
      <c r="G836" s="37"/>
      <c r="H836" s="37"/>
      <c r="I836" s="37"/>
      <c r="J836" s="37"/>
      <c r="K836" s="37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</row>
    <row r="837" ht="14.25" customHeight="1">
      <c r="A837" s="38"/>
      <c r="B837" s="38"/>
      <c r="C837" s="37"/>
      <c r="D837" s="37"/>
      <c r="E837" s="37"/>
      <c r="F837" s="37"/>
      <c r="G837" s="37"/>
      <c r="H837" s="37"/>
      <c r="I837" s="37"/>
      <c r="J837" s="37"/>
      <c r="K837" s="37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</row>
    <row r="838" ht="14.25" customHeight="1">
      <c r="A838" s="38"/>
      <c r="B838" s="38"/>
      <c r="C838" s="37"/>
      <c r="D838" s="37"/>
      <c r="E838" s="37"/>
      <c r="F838" s="37"/>
      <c r="G838" s="37"/>
      <c r="H838" s="37"/>
      <c r="I838" s="37"/>
      <c r="J838" s="37"/>
      <c r="K838" s="37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</row>
    <row r="839" ht="14.25" customHeight="1">
      <c r="A839" s="38"/>
      <c r="B839" s="38"/>
      <c r="C839" s="37"/>
      <c r="D839" s="37"/>
      <c r="E839" s="37"/>
      <c r="F839" s="37"/>
      <c r="G839" s="37"/>
      <c r="H839" s="37"/>
      <c r="I839" s="37"/>
      <c r="J839" s="37"/>
      <c r="K839" s="37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</row>
    <row r="840" ht="14.25" customHeight="1">
      <c r="A840" s="38"/>
      <c r="B840" s="38"/>
      <c r="C840" s="37"/>
      <c r="D840" s="37"/>
      <c r="E840" s="37"/>
      <c r="F840" s="37"/>
      <c r="G840" s="37"/>
      <c r="H840" s="37"/>
      <c r="I840" s="37"/>
      <c r="J840" s="37"/>
      <c r="K840" s="37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</row>
    <row r="841" ht="14.25" customHeight="1">
      <c r="A841" s="38"/>
      <c r="B841" s="38"/>
      <c r="C841" s="37"/>
      <c r="D841" s="37"/>
      <c r="E841" s="37"/>
      <c r="F841" s="37"/>
      <c r="G841" s="37"/>
      <c r="H841" s="37"/>
      <c r="I841" s="37"/>
      <c r="J841" s="37"/>
      <c r="K841" s="37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</row>
    <row r="842" ht="14.25" customHeight="1">
      <c r="A842" s="38"/>
      <c r="B842" s="38"/>
      <c r="C842" s="37"/>
      <c r="D842" s="37"/>
      <c r="E842" s="37"/>
      <c r="F842" s="37"/>
      <c r="G842" s="37"/>
      <c r="H842" s="37"/>
      <c r="I842" s="37"/>
      <c r="J842" s="37"/>
      <c r="K842" s="37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</row>
    <row r="843" ht="14.25" customHeight="1">
      <c r="A843" s="38"/>
      <c r="B843" s="38"/>
      <c r="C843" s="37"/>
      <c r="D843" s="37"/>
      <c r="E843" s="37"/>
      <c r="F843" s="37"/>
      <c r="G843" s="37"/>
      <c r="H843" s="37"/>
      <c r="I843" s="37"/>
      <c r="J843" s="37"/>
      <c r="K843" s="37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</row>
    <row r="844" ht="14.25" customHeight="1">
      <c r="A844" s="38"/>
      <c r="B844" s="38"/>
      <c r="C844" s="37"/>
      <c r="D844" s="37"/>
      <c r="E844" s="37"/>
      <c r="F844" s="37"/>
      <c r="G844" s="37"/>
      <c r="H844" s="37"/>
      <c r="I844" s="37"/>
      <c r="J844" s="37"/>
      <c r="K844" s="37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</row>
    <row r="845" ht="14.25" customHeight="1">
      <c r="A845" s="38"/>
      <c r="B845" s="38"/>
      <c r="C845" s="37"/>
      <c r="D845" s="37"/>
      <c r="E845" s="37"/>
      <c r="F845" s="37"/>
      <c r="G845" s="37"/>
      <c r="H845" s="37"/>
      <c r="I845" s="37"/>
      <c r="J845" s="37"/>
      <c r="K845" s="37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</row>
    <row r="846" ht="14.25" customHeight="1">
      <c r="A846" s="38"/>
      <c r="B846" s="38"/>
      <c r="C846" s="37"/>
      <c r="D846" s="37"/>
      <c r="E846" s="37"/>
      <c r="F846" s="37"/>
      <c r="G846" s="37"/>
      <c r="H846" s="37"/>
      <c r="I846" s="37"/>
      <c r="J846" s="37"/>
      <c r="K846" s="37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</row>
    <row r="847" ht="14.25" customHeight="1">
      <c r="A847" s="38"/>
      <c r="B847" s="38"/>
      <c r="C847" s="37"/>
      <c r="D847" s="37"/>
      <c r="E847" s="37"/>
      <c r="F847" s="37"/>
      <c r="G847" s="37"/>
      <c r="H847" s="37"/>
      <c r="I847" s="37"/>
      <c r="J847" s="37"/>
      <c r="K847" s="37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</row>
    <row r="848" ht="14.25" customHeight="1">
      <c r="A848" s="38"/>
      <c r="B848" s="38"/>
      <c r="C848" s="37"/>
      <c r="D848" s="37"/>
      <c r="E848" s="37"/>
      <c r="F848" s="37"/>
      <c r="G848" s="37"/>
      <c r="H848" s="37"/>
      <c r="I848" s="37"/>
      <c r="J848" s="37"/>
      <c r="K848" s="37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</row>
    <row r="849" ht="14.25" customHeight="1">
      <c r="A849" s="38"/>
      <c r="B849" s="38"/>
      <c r="C849" s="37"/>
      <c r="D849" s="37"/>
      <c r="E849" s="37"/>
      <c r="F849" s="37"/>
      <c r="G849" s="37"/>
      <c r="H849" s="37"/>
      <c r="I849" s="37"/>
      <c r="J849" s="37"/>
      <c r="K849" s="37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</row>
    <row r="850" ht="14.25" customHeight="1">
      <c r="A850" s="38"/>
      <c r="B850" s="38"/>
      <c r="C850" s="37"/>
      <c r="D850" s="37"/>
      <c r="E850" s="37"/>
      <c r="F850" s="37"/>
      <c r="G850" s="37"/>
      <c r="H850" s="37"/>
      <c r="I850" s="37"/>
      <c r="J850" s="37"/>
      <c r="K850" s="37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</row>
    <row r="851" ht="14.25" customHeight="1">
      <c r="A851" s="38"/>
      <c r="B851" s="38"/>
      <c r="C851" s="37"/>
      <c r="D851" s="37"/>
      <c r="E851" s="37"/>
      <c r="F851" s="37"/>
      <c r="G851" s="37"/>
      <c r="H851" s="37"/>
      <c r="I851" s="37"/>
      <c r="J851" s="37"/>
      <c r="K851" s="37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</row>
    <row r="852" ht="14.25" customHeight="1">
      <c r="A852" s="38"/>
      <c r="B852" s="38"/>
      <c r="C852" s="37"/>
      <c r="D852" s="37"/>
      <c r="E852" s="37"/>
      <c r="F852" s="37"/>
      <c r="G852" s="37"/>
      <c r="H852" s="37"/>
      <c r="I852" s="37"/>
      <c r="J852" s="37"/>
      <c r="K852" s="37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</row>
    <row r="853" ht="14.25" customHeight="1">
      <c r="A853" s="38"/>
      <c r="B853" s="38"/>
      <c r="C853" s="37"/>
      <c r="D853" s="37"/>
      <c r="E853" s="37"/>
      <c r="F853" s="37"/>
      <c r="G853" s="37"/>
      <c r="H853" s="37"/>
      <c r="I853" s="37"/>
      <c r="J853" s="37"/>
      <c r="K853" s="37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</row>
    <row r="854" ht="14.25" customHeight="1">
      <c r="A854" s="38"/>
      <c r="B854" s="38"/>
      <c r="C854" s="37"/>
      <c r="D854" s="37"/>
      <c r="E854" s="37"/>
      <c r="F854" s="37"/>
      <c r="G854" s="37"/>
      <c r="H854" s="37"/>
      <c r="I854" s="37"/>
      <c r="J854" s="37"/>
      <c r="K854" s="37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</row>
    <row r="855" ht="14.25" customHeight="1">
      <c r="A855" s="38"/>
      <c r="B855" s="38"/>
      <c r="C855" s="37"/>
      <c r="D855" s="37"/>
      <c r="E855" s="37"/>
      <c r="F855" s="37"/>
      <c r="G855" s="37"/>
      <c r="H855" s="37"/>
      <c r="I855" s="37"/>
      <c r="J855" s="37"/>
      <c r="K855" s="37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</row>
    <row r="856" ht="14.25" customHeight="1">
      <c r="A856" s="38"/>
      <c r="B856" s="38"/>
      <c r="C856" s="37"/>
      <c r="D856" s="37"/>
      <c r="E856" s="37"/>
      <c r="F856" s="37"/>
      <c r="G856" s="37"/>
      <c r="H856" s="37"/>
      <c r="I856" s="37"/>
      <c r="J856" s="37"/>
      <c r="K856" s="37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</row>
    <row r="857" ht="14.25" customHeight="1">
      <c r="A857" s="38"/>
      <c r="B857" s="38"/>
      <c r="C857" s="37"/>
      <c r="D857" s="37"/>
      <c r="E857" s="37"/>
      <c r="F857" s="37"/>
      <c r="G857" s="37"/>
      <c r="H857" s="37"/>
      <c r="I857" s="37"/>
      <c r="J857" s="37"/>
      <c r="K857" s="37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</row>
    <row r="858" ht="14.25" customHeight="1">
      <c r="A858" s="38"/>
      <c r="B858" s="38"/>
      <c r="C858" s="37"/>
      <c r="D858" s="37"/>
      <c r="E858" s="37"/>
      <c r="F858" s="37"/>
      <c r="G858" s="37"/>
      <c r="H858" s="37"/>
      <c r="I858" s="37"/>
      <c r="J858" s="37"/>
      <c r="K858" s="37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</row>
    <row r="859" ht="14.25" customHeight="1">
      <c r="A859" s="38"/>
      <c r="B859" s="38"/>
      <c r="C859" s="37"/>
      <c r="D859" s="37"/>
      <c r="E859" s="37"/>
      <c r="F859" s="37"/>
      <c r="G859" s="37"/>
      <c r="H859" s="37"/>
      <c r="I859" s="37"/>
      <c r="J859" s="37"/>
      <c r="K859" s="37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</row>
    <row r="860" ht="14.25" customHeight="1">
      <c r="A860" s="38"/>
      <c r="B860" s="38"/>
      <c r="C860" s="37"/>
      <c r="D860" s="37"/>
      <c r="E860" s="37"/>
      <c r="F860" s="37"/>
      <c r="G860" s="37"/>
      <c r="H860" s="37"/>
      <c r="I860" s="37"/>
      <c r="J860" s="37"/>
      <c r="K860" s="37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</row>
    <row r="861" ht="14.25" customHeight="1">
      <c r="A861" s="38"/>
      <c r="B861" s="38"/>
      <c r="C861" s="37"/>
      <c r="D861" s="37"/>
      <c r="E861" s="37"/>
      <c r="F861" s="37"/>
      <c r="G861" s="37"/>
      <c r="H861" s="37"/>
      <c r="I861" s="37"/>
      <c r="J861" s="37"/>
      <c r="K861" s="37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</row>
    <row r="862" ht="14.25" customHeight="1">
      <c r="A862" s="38"/>
      <c r="B862" s="38"/>
      <c r="C862" s="37"/>
      <c r="D862" s="37"/>
      <c r="E862" s="37"/>
      <c r="F862" s="37"/>
      <c r="G862" s="37"/>
      <c r="H862" s="37"/>
      <c r="I862" s="37"/>
      <c r="J862" s="37"/>
      <c r="K862" s="37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</row>
    <row r="863" ht="14.25" customHeight="1">
      <c r="A863" s="38"/>
      <c r="B863" s="38"/>
      <c r="C863" s="37"/>
      <c r="D863" s="37"/>
      <c r="E863" s="37"/>
      <c r="F863" s="37"/>
      <c r="G863" s="37"/>
      <c r="H863" s="37"/>
      <c r="I863" s="37"/>
      <c r="J863" s="37"/>
      <c r="K863" s="37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</row>
    <row r="864" ht="14.25" customHeight="1">
      <c r="A864" s="38"/>
      <c r="B864" s="38"/>
      <c r="C864" s="37"/>
      <c r="D864" s="37"/>
      <c r="E864" s="37"/>
      <c r="F864" s="37"/>
      <c r="G864" s="37"/>
      <c r="H864" s="37"/>
      <c r="I864" s="37"/>
      <c r="J864" s="37"/>
      <c r="K864" s="37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</row>
    <row r="865" ht="14.25" customHeight="1">
      <c r="A865" s="38"/>
      <c r="B865" s="38"/>
      <c r="C865" s="37"/>
      <c r="D865" s="37"/>
      <c r="E865" s="37"/>
      <c r="F865" s="37"/>
      <c r="G865" s="37"/>
      <c r="H865" s="37"/>
      <c r="I865" s="37"/>
      <c r="J865" s="37"/>
      <c r="K865" s="37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</row>
    <row r="866" ht="14.25" customHeight="1">
      <c r="A866" s="38"/>
      <c r="B866" s="38"/>
      <c r="C866" s="37"/>
      <c r="D866" s="37"/>
      <c r="E866" s="37"/>
      <c r="F866" s="37"/>
      <c r="G866" s="37"/>
      <c r="H866" s="37"/>
      <c r="I866" s="37"/>
      <c r="J866" s="37"/>
      <c r="K866" s="37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</row>
    <row r="867" ht="14.25" customHeight="1">
      <c r="A867" s="38"/>
      <c r="B867" s="38"/>
      <c r="C867" s="37"/>
      <c r="D867" s="37"/>
      <c r="E867" s="37"/>
      <c r="F867" s="37"/>
      <c r="G867" s="37"/>
      <c r="H867" s="37"/>
      <c r="I867" s="37"/>
      <c r="J867" s="37"/>
      <c r="K867" s="37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</row>
    <row r="868" ht="14.25" customHeight="1">
      <c r="A868" s="38"/>
      <c r="B868" s="38"/>
      <c r="C868" s="37"/>
      <c r="D868" s="37"/>
      <c r="E868" s="37"/>
      <c r="F868" s="37"/>
      <c r="G868" s="37"/>
      <c r="H868" s="37"/>
      <c r="I868" s="37"/>
      <c r="J868" s="37"/>
      <c r="K868" s="37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</row>
    <row r="869" ht="14.25" customHeight="1">
      <c r="A869" s="38"/>
      <c r="B869" s="38"/>
      <c r="C869" s="37"/>
      <c r="D869" s="37"/>
      <c r="E869" s="37"/>
      <c r="F869" s="37"/>
      <c r="G869" s="37"/>
      <c r="H869" s="37"/>
      <c r="I869" s="37"/>
      <c r="J869" s="37"/>
      <c r="K869" s="37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</row>
    <row r="870" ht="14.25" customHeight="1">
      <c r="A870" s="38"/>
      <c r="B870" s="38"/>
      <c r="C870" s="37"/>
      <c r="D870" s="37"/>
      <c r="E870" s="37"/>
      <c r="F870" s="37"/>
      <c r="G870" s="37"/>
      <c r="H870" s="37"/>
      <c r="I870" s="37"/>
      <c r="J870" s="37"/>
      <c r="K870" s="37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</row>
    <row r="871" ht="14.25" customHeight="1">
      <c r="A871" s="38"/>
      <c r="B871" s="38"/>
      <c r="C871" s="37"/>
      <c r="D871" s="37"/>
      <c r="E871" s="37"/>
      <c r="F871" s="37"/>
      <c r="G871" s="37"/>
      <c r="H871" s="37"/>
      <c r="I871" s="37"/>
      <c r="J871" s="37"/>
      <c r="K871" s="37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</row>
    <row r="872" ht="14.25" customHeight="1">
      <c r="A872" s="38"/>
      <c r="B872" s="38"/>
      <c r="C872" s="37"/>
      <c r="D872" s="37"/>
      <c r="E872" s="37"/>
      <c r="F872" s="37"/>
      <c r="G872" s="37"/>
      <c r="H872" s="37"/>
      <c r="I872" s="37"/>
      <c r="J872" s="37"/>
      <c r="K872" s="37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</row>
    <row r="873" ht="14.25" customHeight="1">
      <c r="A873" s="38"/>
      <c r="B873" s="38"/>
      <c r="C873" s="37"/>
      <c r="D873" s="37"/>
      <c r="E873" s="37"/>
      <c r="F873" s="37"/>
      <c r="G873" s="37"/>
      <c r="H873" s="37"/>
      <c r="I873" s="37"/>
      <c r="J873" s="37"/>
      <c r="K873" s="37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</row>
    <row r="874" ht="14.25" customHeight="1">
      <c r="A874" s="38"/>
      <c r="B874" s="38"/>
      <c r="C874" s="37"/>
      <c r="D874" s="37"/>
      <c r="E874" s="37"/>
      <c r="F874" s="37"/>
      <c r="G874" s="37"/>
      <c r="H874" s="37"/>
      <c r="I874" s="37"/>
      <c r="J874" s="37"/>
      <c r="K874" s="37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</row>
    <row r="875" ht="14.25" customHeight="1">
      <c r="A875" s="38"/>
      <c r="B875" s="38"/>
      <c r="C875" s="37"/>
      <c r="D875" s="37"/>
      <c r="E875" s="37"/>
      <c r="F875" s="37"/>
      <c r="G875" s="37"/>
      <c r="H875" s="37"/>
      <c r="I875" s="37"/>
      <c r="J875" s="37"/>
      <c r="K875" s="37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</row>
    <row r="876" ht="14.25" customHeight="1">
      <c r="A876" s="38"/>
      <c r="B876" s="38"/>
      <c r="C876" s="37"/>
      <c r="D876" s="37"/>
      <c r="E876" s="37"/>
      <c r="F876" s="37"/>
      <c r="G876" s="37"/>
      <c r="H876" s="37"/>
      <c r="I876" s="37"/>
      <c r="J876" s="37"/>
      <c r="K876" s="37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</row>
    <row r="877" ht="14.25" customHeight="1">
      <c r="A877" s="38"/>
      <c r="B877" s="38"/>
      <c r="C877" s="37"/>
      <c r="D877" s="37"/>
      <c r="E877" s="37"/>
      <c r="F877" s="37"/>
      <c r="G877" s="37"/>
      <c r="H877" s="37"/>
      <c r="I877" s="37"/>
      <c r="J877" s="37"/>
      <c r="K877" s="37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</row>
    <row r="878" ht="14.25" customHeight="1">
      <c r="A878" s="38"/>
      <c r="B878" s="38"/>
      <c r="C878" s="37"/>
      <c r="D878" s="37"/>
      <c r="E878" s="37"/>
      <c r="F878" s="37"/>
      <c r="G878" s="37"/>
      <c r="H878" s="37"/>
      <c r="I878" s="37"/>
      <c r="J878" s="37"/>
      <c r="K878" s="37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</row>
    <row r="879" ht="14.25" customHeight="1">
      <c r="A879" s="38"/>
      <c r="B879" s="38"/>
      <c r="C879" s="37"/>
      <c r="D879" s="37"/>
      <c r="E879" s="37"/>
      <c r="F879" s="37"/>
      <c r="G879" s="37"/>
      <c r="H879" s="37"/>
      <c r="I879" s="37"/>
      <c r="J879" s="37"/>
      <c r="K879" s="37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</row>
    <row r="880" ht="14.25" customHeight="1">
      <c r="A880" s="38"/>
      <c r="B880" s="38"/>
      <c r="C880" s="37"/>
      <c r="D880" s="37"/>
      <c r="E880" s="37"/>
      <c r="F880" s="37"/>
      <c r="G880" s="37"/>
      <c r="H880" s="37"/>
      <c r="I880" s="37"/>
      <c r="J880" s="37"/>
      <c r="K880" s="37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</row>
    <row r="881" ht="14.25" customHeight="1">
      <c r="A881" s="38"/>
      <c r="B881" s="38"/>
      <c r="C881" s="37"/>
      <c r="D881" s="37"/>
      <c r="E881" s="37"/>
      <c r="F881" s="37"/>
      <c r="G881" s="37"/>
      <c r="H881" s="37"/>
      <c r="I881" s="37"/>
      <c r="J881" s="37"/>
      <c r="K881" s="37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</row>
    <row r="882" ht="14.25" customHeight="1">
      <c r="A882" s="38"/>
      <c r="B882" s="38"/>
      <c r="C882" s="37"/>
      <c r="D882" s="37"/>
      <c r="E882" s="37"/>
      <c r="F882" s="37"/>
      <c r="G882" s="37"/>
      <c r="H882" s="37"/>
      <c r="I882" s="37"/>
      <c r="J882" s="37"/>
      <c r="K882" s="37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</row>
    <row r="883" ht="14.25" customHeight="1">
      <c r="A883" s="38"/>
      <c r="B883" s="38"/>
      <c r="C883" s="37"/>
      <c r="D883" s="37"/>
      <c r="E883" s="37"/>
      <c r="F883" s="37"/>
      <c r="G883" s="37"/>
      <c r="H883" s="37"/>
      <c r="I883" s="37"/>
      <c r="J883" s="37"/>
      <c r="K883" s="37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</row>
    <row r="884" ht="14.25" customHeight="1">
      <c r="A884" s="38"/>
      <c r="B884" s="38"/>
      <c r="C884" s="37"/>
      <c r="D884" s="37"/>
      <c r="E884" s="37"/>
      <c r="F884" s="37"/>
      <c r="G884" s="37"/>
      <c r="H884" s="37"/>
      <c r="I884" s="37"/>
      <c r="J884" s="37"/>
      <c r="K884" s="37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</row>
    <row r="885" ht="14.25" customHeight="1">
      <c r="A885" s="38"/>
      <c r="B885" s="38"/>
      <c r="C885" s="37"/>
      <c r="D885" s="37"/>
      <c r="E885" s="37"/>
      <c r="F885" s="37"/>
      <c r="G885" s="37"/>
      <c r="H885" s="37"/>
      <c r="I885" s="37"/>
      <c r="J885" s="37"/>
      <c r="K885" s="37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</row>
    <row r="886" ht="14.25" customHeight="1">
      <c r="A886" s="38"/>
      <c r="B886" s="38"/>
      <c r="C886" s="37"/>
      <c r="D886" s="37"/>
      <c r="E886" s="37"/>
      <c r="F886" s="37"/>
      <c r="G886" s="37"/>
      <c r="H886" s="37"/>
      <c r="I886" s="37"/>
      <c r="J886" s="37"/>
      <c r="K886" s="37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</row>
    <row r="887" ht="14.25" customHeight="1">
      <c r="A887" s="38"/>
      <c r="B887" s="38"/>
      <c r="C887" s="37"/>
      <c r="D887" s="37"/>
      <c r="E887" s="37"/>
      <c r="F887" s="37"/>
      <c r="G887" s="37"/>
      <c r="H887" s="37"/>
      <c r="I887" s="37"/>
      <c r="J887" s="37"/>
      <c r="K887" s="37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</row>
    <row r="888" ht="14.25" customHeight="1">
      <c r="A888" s="38"/>
      <c r="B888" s="38"/>
      <c r="C888" s="37"/>
      <c r="D888" s="37"/>
      <c r="E888" s="37"/>
      <c r="F888" s="37"/>
      <c r="G888" s="37"/>
      <c r="H888" s="37"/>
      <c r="I888" s="37"/>
      <c r="J888" s="37"/>
      <c r="K888" s="37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</row>
    <row r="889" ht="14.25" customHeight="1">
      <c r="A889" s="38"/>
      <c r="B889" s="38"/>
      <c r="C889" s="37"/>
      <c r="D889" s="37"/>
      <c r="E889" s="37"/>
      <c r="F889" s="37"/>
      <c r="G889" s="37"/>
      <c r="H889" s="37"/>
      <c r="I889" s="37"/>
      <c r="J889" s="37"/>
      <c r="K889" s="37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</row>
    <row r="890" ht="14.25" customHeight="1">
      <c r="A890" s="38"/>
      <c r="B890" s="38"/>
      <c r="C890" s="37"/>
      <c r="D890" s="37"/>
      <c r="E890" s="37"/>
      <c r="F890" s="37"/>
      <c r="G890" s="37"/>
      <c r="H890" s="37"/>
      <c r="I890" s="37"/>
      <c r="J890" s="37"/>
      <c r="K890" s="37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</row>
    <row r="891" ht="14.25" customHeight="1">
      <c r="A891" s="38"/>
      <c r="B891" s="38"/>
      <c r="C891" s="37"/>
      <c r="D891" s="37"/>
      <c r="E891" s="37"/>
      <c r="F891" s="37"/>
      <c r="G891" s="37"/>
      <c r="H891" s="37"/>
      <c r="I891" s="37"/>
      <c r="J891" s="37"/>
      <c r="K891" s="37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</row>
    <row r="892" ht="14.25" customHeight="1">
      <c r="A892" s="38"/>
      <c r="B892" s="38"/>
      <c r="C892" s="37"/>
      <c r="D892" s="37"/>
      <c r="E892" s="37"/>
      <c r="F892" s="37"/>
      <c r="G892" s="37"/>
      <c r="H892" s="37"/>
      <c r="I892" s="37"/>
      <c r="J892" s="37"/>
      <c r="K892" s="37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</row>
    <row r="893" ht="14.25" customHeight="1">
      <c r="A893" s="38"/>
      <c r="B893" s="38"/>
      <c r="C893" s="37"/>
      <c r="D893" s="37"/>
      <c r="E893" s="37"/>
      <c r="F893" s="37"/>
      <c r="G893" s="37"/>
      <c r="H893" s="37"/>
      <c r="I893" s="37"/>
      <c r="J893" s="37"/>
      <c r="K893" s="37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</row>
    <row r="894" ht="14.25" customHeight="1">
      <c r="A894" s="38"/>
      <c r="B894" s="38"/>
      <c r="C894" s="37"/>
      <c r="D894" s="37"/>
      <c r="E894" s="37"/>
      <c r="F894" s="37"/>
      <c r="G894" s="37"/>
      <c r="H894" s="37"/>
      <c r="I894" s="37"/>
      <c r="J894" s="37"/>
      <c r="K894" s="37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</row>
    <row r="895" ht="14.25" customHeight="1">
      <c r="A895" s="38"/>
      <c r="B895" s="38"/>
      <c r="C895" s="37"/>
      <c r="D895" s="37"/>
      <c r="E895" s="37"/>
      <c r="F895" s="37"/>
      <c r="G895" s="37"/>
      <c r="H895" s="37"/>
      <c r="I895" s="37"/>
      <c r="J895" s="37"/>
      <c r="K895" s="37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</row>
    <row r="896" ht="14.25" customHeight="1">
      <c r="A896" s="38"/>
      <c r="B896" s="38"/>
      <c r="C896" s="37"/>
      <c r="D896" s="37"/>
      <c r="E896" s="37"/>
      <c r="F896" s="37"/>
      <c r="G896" s="37"/>
      <c r="H896" s="37"/>
      <c r="I896" s="37"/>
      <c r="J896" s="37"/>
      <c r="K896" s="37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</row>
    <row r="897" ht="14.25" customHeight="1">
      <c r="A897" s="38"/>
      <c r="B897" s="38"/>
      <c r="C897" s="37"/>
      <c r="D897" s="37"/>
      <c r="E897" s="37"/>
      <c r="F897" s="37"/>
      <c r="G897" s="37"/>
      <c r="H897" s="37"/>
      <c r="I897" s="37"/>
      <c r="J897" s="37"/>
      <c r="K897" s="37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</row>
    <row r="898" ht="14.25" customHeight="1">
      <c r="A898" s="38"/>
      <c r="B898" s="38"/>
      <c r="C898" s="37"/>
      <c r="D898" s="37"/>
      <c r="E898" s="37"/>
      <c r="F898" s="37"/>
      <c r="G898" s="37"/>
      <c r="H898" s="37"/>
      <c r="I898" s="37"/>
      <c r="J898" s="37"/>
      <c r="K898" s="37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</row>
    <row r="899" ht="14.25" customHeight="1">
      <c r="A899" s="38"/>
      <c r="B899" s="38"/>
      <c r="C899" s="37"/>
      <c r="D899" s="37"/>
      <c r="E899" s="37"/>
      <c r="F899" s="37"/>
      <c r="G899" s="37"/>
      <c r="H899" s="37"/>
      <c r="I899" s="37"/>
      <c r="J899" s="37"/>
      <c r="K899" s="37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</row>
    <row r="900" ht="14.25" customHeight="1">
      <c r="A900" s="38"/>
      <c r="B900" s="38"/>
      <c r="C900" s="37"/>
      <c r="D900" s="37"/>
      <c r="E900" s="37"/>
      <c r="F900" s="37"/>
      <c r="G900" s="37"/>
      <c r="H900" s="37"/>
      <c r="I900" s="37"/>
      <c r="J900" s="37"/>
      <c r="K900" s="37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</row>
    <row r="901" ht="14.25" customHeight="1">
      <c r="A901" s="38"/>
      <c r="B901" s="38"/>
      <c r="C901" s="37"/>
      <c r="D901" s="37"/>
      <c r="E901" s="37"/>
      <c r="F901" s="37"/>
      <c r="G901" s="37"/>
      <c r="H901" s="37"/>
      <c r="I901" s="37"/>
      <c r="J901" s="37"/>
      <c r="K901" s="37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</row>
    <row r="902" ht="14.25" customHeight="1">
      <c r="A902" s="38"/>
      <c r="B902" s="38"/>
      <c r="C902" s="37"/>
      <c r="D902" s="37"/>
      <c r="E902" s="37"/>
      <c r="F902" s="37"/>
      <c r="G902" s="37"/>
      <c r="H902" s="37"/>
      <c r="I902" s="37"/>
      <c r="J902" s="37"/>
      <c r="K902" s="37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</row>
    <row r="903" ht="14.25" customHeight="1">
      <c r="A903" s="38"/>
      <c r="B903" s="38"/>
      <c r="C903" s="37"/>
      <c r="D903" s="37"/>
      <c r="E903" s="37"/>
      <c r="F903" s="37"/>
      <c r="G903" s="37"/>
      <c r="H903" s="37"/>
      <c r="I903" s="37"/>
      <c r="J903" s="37"/>
      <c r="K903" s="37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</row>
    <row r="904" ht="14.25" customHeight="1">
      <c r="A904" s="38"/>
      <c r="B904" s="38"/>
      <c r="C904" s="37"/>
      <c r="D904" s="37"/>
      <c r="E904" s="37"/>
      <c r="F904" s="37"/>
      <c r="G904" s="37"/>
      <c r="H904" s="37"/>
      <c r="I904" s="37"/>
      <c r="J904" s="37"/>
      <c r="K904" s="37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</row>
    <row r="905" ht="14.25" customHeight="1">
      <c r="A905" s="38"/>
      <c r="B905" s="38"/>
      <c r="C905" s="37"/>
      <c r="D905" s="37"/>
      <c r="E905" s="37"/>
      <c r="F905" s="37"/>
      <c r="G905" s="37"/>
      <c r="H905" s="37"/>
      <c r="I905" s="37"/>
      <c r="J905" s="37"/>
      <c r="K905" s="37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</row>
    <row r="906" ht="14.25" customHeight="1">
      <c r="A906" s="38"/>
      <c r="B906" s="38"/>
      <c r="C906" s="37"/>
      <c r="D906" s="37"/>
      <c r="E906" s="37"/>
      <c r="F906" s="37"/>
      <c r="G906" s="37"/>
      <c r="H906" s="37"/>
      <c r="I906" s="37"/>
      <c r="J906" s="37"/>
      <c r="K906" s="37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</row>
    <row r="907" ht="14.25" customHeight="1">
      <c r="A907" s="38"/>
      <c r="B907" s="38"/>
      <c r="C907" s="37"/>
      <c r="D907" s="37"/>
      <c r="E907" s="37"/>
      <c r="F907" s="37"/>
      <c r="G907" s="37"/>
      <c r="H907" s="37"/>
      <c r="I907" s="37"/>
      <c r="J907" s="37"/>
      <c r="K907" s="37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</row>
    <row r="908" ht="14.25" customHeight="1">
      <c r="A908" s="38"/>
      <c r="B908" s="38"/>
      <c r="C908" s="37"/>
      <c r="D908" s="37"/>
      <c r="E908" s="37"/>
      <c r="F908" s="37"/>
      <c r="G908" s="37"/>
      <c r="H908" s="37"/>
      <c r="I908" s="37"/>
      <c r="J908" s="37"/>
      <c r="K908" s="37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</row>
    <row r="909" ht="14.25" customHeight="1">
      <c r="A909" s="38"/>
      <c r="B909" s="38"/>
      <c r="C909" s="37"/>
      <c r="D909" s="37"/>
      <c r="E909" s="37"/>
      <c r="F909" s="37"/>
      <c r="G909" s="37"/>
      <c r="H909" s="37"/>
      <c r="I909" s="37"/>
      <c r="J909" s="37"/>
      <c r="K909" s="37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</row>
    <row r="910" ht="14.25" customHeight="1">
      <c r="A910" s="38"/>
      <c r="B910" s="38"/>
      <c r="C910" s="37"/>
      <c r="D910" s="37"/>
      <c r="E910" s="37"/>
      <c r="F910" s="37"/>
      <c r="G910" s="37"/>
      <c r="H910" s="37"/>
      <c r="I910" s="37"/>
      <c r="J910" s="37"/>
      <c r="K910" s="37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</row>
    <row r="911" ht="14.25" customHeight="1">
      <c r="A911" s="38"/>
      <c r="B911" s="38"/>
      <c r="C911" s="37"/>
      <c r="D911" s="37"/>
      <c r="E911" s="37"/>
      <c r="F911" s="37"/>
      <c r="G911" s="37"/>
      <c r="H911" s="37"/>
      <c r="I911" s="37"/>
      <c r="J911" s="37"/>
      <c r="K911" s="37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</row>
    <row r="912" ht="14.25" customHeight="1">
      <c r="A912" s="38"/>
      <c r="B912" s="38"/>
      <c r="C912" s="37"/>
      <c r="D912" s="37"/>
      <c r="E912" s="37"/>
      <c r="F912" s="37"/>
      <c r="G912" s="37"/>
      <c r="H912" s="37"/>
      <c r="I912" s="37"/>
      <c r="J912" s="37"/>
      <c r="K912" s="37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</row>
    <row r="913" ht="14.25" customHeight="1">
      <c r="A913" s="38"/>
      <c r="B913" s="38"/>
      <c r="C913" s="37"/>
      <c r="D913" s="37"/>
      <c r="E913" s="37"/>
      <c r="F913" s="37"/>
      <c r="G913" s="37"/>
      <c r="H913" s="37"/>
      <c r="I913" s="37"/>
      <c r="J913" s="37"/>
      <c r="K913" s="37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</row>
    <row r="914" ht="14.25" customHeight="1">
      <c r="A914" s="38"/>
      <c r="B914" s="38"/>
      <c r="C914" s="37"/>
      <c r="D914" s="37"/>
      <c r="E914" s="37"/>
      <c r="F914" s="37"/>
      <c r="G914" s="37"/>
      <c r="H914" s="37"/>
      <c r="I914" s="37"/>
      <c r="J914" s="37"/>
      <c r="K914" s="37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</row>
    <row r="915" ht="14.25" customHeight="1">
      <c r="A915" s="38"/>
      <c r="B915" s="38"/>
      <c r="C915" s="37"/>
      <c r="D915" s="37"/>
      <c r="E915" s="37"/>
      <c r="F915" s="37"/>
      <c r="G915" s="37"/>
      <c r="H915" s="37"/>
      <c r="I915" s="37"/>
      <c r="J915" s="37"/>
      <c r="K915" s="37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</row>
    <row r="916" ht="14.25" customHeight="1">
      <c r="A916" s="38"/>
      <c r="B916" s="38"/>
      <c r="C916" s="37"/>
      <c r="D916" s="37"/>
      <c r="E916" s="37"/>
      <c r="F916" s="37"/>
      <c r="G916" s="37"/>
      <c r="H916" s="37"/>
      <c r="I916" s="37"/>
      <c r="J916" s="37"/>
      <c r="K916" s="37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</row>
    <row r="917" ht="14.25" customHeight="1">
      <c r="A917" s="38"/>
      <c r="B917" s="38"/>
      <c r="C917" s="37"/>
      <c r="D917" s="37"/>
      <c r="E917" s="37"/>
      <c r="F917" s="37"/>
      <c r="G917" s="37"/>
      <c r="H917" s="37"/>
      <c r="I917" s="37"/>
      <c r="J917" s="37"/>
      <c r="K917" s="37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</row>
    <row r="918" ht="14.25" customHeight="1">
      <c r="A918" s="38"/>
      <c r="B918" s="38"/>
      <c r="C918" s="37"/>
      <c r="D918" s="37"/>
      <c r="E918" s="37"/>
      <c r="F918" s="37"/>
      <c r="G918" s="37"/>
      <c r="H918" s="37"/>
      <c r="I918" s="37"/>
      <c r="J918" s="37"/>
      <c r="K918" s="37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</row>
    <row r="919" ht="14.25" customHeight="1">
      <c r="A919" s="38"/>
      <c r="B919" s="38"/>
      <c r="C919" s="37"/>
      <c r="D919" s="37"/>
      <c r="E919" s="37"/>
      <c r="F919" s="37"/>
      <c r="G919" s="37"/>
      <c r="H919" s="37"/>
      <c r="I919" s="37"/>
      <c r="J919" s="37"/>
      <c r="K919" s="37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</row>
    <row r="920" ht="14.25" customHeight="1">
      <c r="A920" s="38"/>
      <c r="B920" s="38"/>
      <c r="C920" s="37"/>
      <c r="D920" s="37"/>
      <c r="E920" s="37"/>
      <c r="F920" s="37"/>
      <c r="G920" s="37"/>
      <c r="H920" s="37"/>
      <c r="I920" s="37"/>
      <c r="J920" s="37"/>
      <c r="K920" s="37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</row>
    <row r="921" ht="14.25" customHeight="1">
      <c r="A921" s="38"/>
      <c r="B921" s="38"/>
      <c r="C921" s="37"/>
      <c r="D921" s="37"/>
      <c r="E921" s="37"/>
      <c r="F921" s="37"/>
      <c r="G921" s="37"/>
      <c r="H921" s="37"/>
      <c r="I921" s="37"/>
      <c r="J921" s="37"/>
      <c r="K921" s="37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</row>
    <row r="922" ht="14.25" customHeight="1">
      <c r="A922" s="38"/>
      <c r="B922" s="38"/>
      <c r="C922" s="37"/>
      <c r="D922" s="37"/>
      <c r="E922" s="37"/>
      <c r="F922" s="37"/>
      <c r="G922" s="37"/>
      <c r="H922" s="37"/>
      <c r="I922" s="37"/>
      <c r="J922" s="37"/>
      <c r="K922" s="37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</row>
    <row r="923" ht="14.25" customHeight="1">
      <c r="A923" s="38"/>
      <c r="B923" s="38"/>
      <c r="C923" s="37"/>
      <c r="D923" s="37"/>
      <c r="E923" s="37"/>
      <c r="F923" s="37"/>
      <c r="G923" s="37"/>
      <c r="H923" s="37"/>
      <c r="I923" s="37"/>
      <c r="J923" s="37"/>
      <c r="K923" s="37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</row>
    <row r="924" ht="14.25" customHeight="1">
      <c r="A924" s="38"/>
      <c r="B924" s="38"/>
      <c r="C924" s="37"/>
      <c r="D924" s="37"/>
      <c r="E924" s="37"/>
      <c r="F924" s="37"/>
      <c r="G924" s="37"/>
      <c r="H924" s="37"/>
      <c r="I924" s="37"/>
      <c r="J924" s="37"/>
      <c r="K924" s="37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</row>
    <row r="925" ht="14.25" customHeight="1">
      <c r="A925" s="38"/>
      <c r="B925" s="38"/>
      <c r="C925" s="37"/>
      <c r="D925" s="37"/>
      <c r="E925" s="37"/>
      <c r="F925" s="37"/>
      <c r="G925" s="37"/>
      <c r="H925" s="37"/>
      <c r="I925" s="37"/>
      <c r="J925" s="37"/>
      <c r="K925" s="37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</row>
    <row r="926" ht="14.25" customHeight="1">
      <c r="A926" s="38"/>
      <c r="B926" s="38"/>
      <c r="C926" s="37"/>
      <c r="D926" s="37"/>
      <c r="E926" s="37"/>
      <c r="F926" s="37"/>
      <c r="G926" s="37"/>
      <c r="H926" s="37"/>
      <c r="I926" s="37"/>
      <c r="J926" s="37"/>
      <c r="K926" s="37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</row>
    <row r="927" ht="14.25" customHeight="1">
      <c r="A927" s="38"/>
      <c r="B927" s="38"/>
      <c r="C927" s="37"/>
      <c r="D927" s="37"/>
      <c r="E927" s="37"/>
      <c r="F927" s="37"/>
      <c r="G927" s="37"/>
      <c r="H927" s="37"/>
      <c r="I927" s="37"/>
      <c r="J927" s="37"/>
      <c r="K927" s="37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</row>
    <row r="928" ht="14.25" customHeight="1">
      <c r="A928" s="38"/>
      <c r="B928" s="38"/>
      <c r="C928" s="37"/>
      <c r="D928" s="37"/>
      <c r="E928" s="37"/>
      <c r="F928" s="37"/>
      <c r="G928" s="37"/>
      <c r="H928" s="37"/>
      <c r="I928" s="37"/>
      <c r="J928" s="37"/>
      <c r="K928" s="37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</row>
    <row r="929" ht="14.25" customHeight="1">
      <c r="A929" s="38"/>
      <c r="B929" s="38"/>
      <c r="C929" s="37"/>
      <c r="D929" s="37"/>
      <c r="E929" s="37"/>
      <c r="F929" s="37"/>
      <c r="G929" s="37"/>
      <c r="H929" s="37"/>
      <c r="I929" s="37"/>
      <c r="J929" s="37"/>
      <c r="K929" s="37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</row>
    <row r="930" ht="14.25" customHeight="1">
      <c r="A930" s="38"/>
      <c r="B930" s="38"/>
      <c r="C930" s="37"/>
      <c r="D930" s="37"/>
      <c r="E930" s="37"/>
      <c r="F930" s="37"/>
      <c r="G930" s="37"/>
      <c r="H930" s="37"/>
      <c r="I930" s="37"/>
      <c r="J930" s="37"/>
      <c r="K930" s="37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</row>
    <row r="931" ht="14.25" customHeight="1">
      <c r="A931" s="38"/>
      <c r="B931" s="38"/>
      <c r="C931" s="37"/>
      <c r="D931" s="37"/>
      <c r="E931" s="37"/>
      <c r="F931" s="37"/>
      <c r="G931" s="37"/>
      <c r="H931" s="37"/>
      <c r="I931" s="37"/>
      <c r="J931" s="37"/>
      <c r="K931" s="37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</row>
    <row r="932" ht="14.25" customHeight="1">
      <c r="A932" s="38"/>
      <c r="B932" s="38"/>
      <c r="C932" s="37"/>
      <c r="D932" s="37"/>
      <c r="E932" s="37"/>
      <c r="F932" s="37"/>
      <c r="G932" s="37"/>
      <c r="H932" s="37"/>
      <c r="I932" s="37"/>
      <c r="J932" s="37"/>
      <c r="K932" s="37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</row>
    <row r="933" ht="14.25" customHeight="1">
      <c r="A933" s="38"/>
      <c r="B933" s="38"/>
      <c r="C933" s="37"/>
      <c r="D933" s="37"/>
      <c r="E933" s="37"/>
      <c r="F933" s="37"/>
      <c r="G933" s="37"/>
      <c r="H933" s="37"/>
      <c r="I933" s="37"/>
      <c r="J933" s="37"/>
      <c r="K933" s="37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</row>
    <row r="934" ht="14.25" customHeight="1">
      <c r="A934" s="38"/>
      <c r="B934" s="38"/>
      <c r="C934" s="37"/>
      <c r="D934" s="37"/>
      <c r="E934" s="37"/>
      <c r="F934" s="37"/>
      <c r="G934" s="37"/>
      <c r="H934" s="37"/>
      <c r="I934" s="37"/>
      <c r="J934" s="37"/>
      <c r="K934" s="37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</row>
    <row r="935" ht="14.25" customHeight="1">
      <c r="A935" s="38"/>
      <c r="B935" s="38"/>
      <c r="C935" s="37"/>
      <c r="D935" s="37"/>
      <c r="E935" s="37"/>
      <c r="F935" s="37"/>
      <c r="G935" s="37"/>
      <c r="H935" s="37"/>
      <c r="I935" s="37"/>
      <c r="J935" s="37"/>
      <c r="K935" s="37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</row>
    <row r="936" ht="14.25" customHeight="1">
      <c r="A936" s="38"/>
      <c r="B936" s="38"/>
      <c r="C936" s="37"/>
      <c r="D936" s="37"/>
      <c r="E936" s="37"/>
      <c r="F936" s="37"/>
      <c r="G936" s="37"/>
      <c r="H936" s="37"/>
      <c r="I936" s="37"/>
      <c r="J936" s="37"/>
      <c r="K936" s="37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</row>
    <row r="937" ht="14.25" customHeight="1">
      <c r="A937" s="38"/>
      <c r="B937" s="38"/>
      <c r="C937" s="37"/>
      <c r="D937" s="37"/>
      <c r="E937" s="37"/>
      <c r="F937" s="37"/>
      <c r="G937" s="37"/>
      <c r="H937" s="37"/>
      <c r="I937" s="37"/>
      <c r="J937" s="37"/>
      <c r="K937" s="37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</row>
    <row r="938" ht="14.25" customHeight="1">
      <c r="A938" s="38"/>
      <c r="B938" s="38"/>
      <c r="C938" s="37"/>
      <c r="D938" s="37"/>
      <c r="E938" s="37"/>
      <c r="F938" s="37"/>
      <c r="G938" s="37"/>
      <c r="H938" s="37"/>
      <c r="I938" s="37"/>
      <c r="J938" s="37"/>
      <c r="K938" s="37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</row>
    <row r="939" ht="14.25" customHeight="1">
      <c r="A939" s="38"/>
      <c r="B939" s="38"/>
      <c r="C939" s="37"/>
      <c r="D939" s="37"/>
      <c r="E939" s="37"/>
      <c r="F939" s="37"/>
      <c r="G939" s="37"/>
      <c r="H939" s="37"/>
      <c r="I939" s="37"/>
      <c r="J939" s="37"/>
      <c r="K939" s="37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</row>
    <row r="940" ht="14.25" customHeight="1">
      <c r="A940" s="38"/>
      <c r="B940" s="38"/>
      <c r="C940" s="37"/>
      <c r="D940" s="37"/>
      <c r="E940" s="37"/>
      <c r="F940" s="37"/>
      <c r="G940" s="37"/>
      <c r="H940" s="37"/>
      <c r="I940" s="37"/>
      <c r="J940" s="37"/>
      <c r="K940" s="37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</row>
    <row r="941" ht="14.25" customHeight="1">
      <c r="A941" s="38"/>
      <c r="B941" s="38"/>
      <c r="C941" s="37"/>
      <c r="D941" s="37"/>
      <c r="E941" s="37"/>
      <c r="F941" s="37"/>
      <c r="G941" s="37"/>
      <c r="H941" s="37"/>
      <c r="I941" s="37"/>
      <c r="J941" s="37"/>
      <c r="K941" s="37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</row>
    <row r="942" ht="14.25" customHeight="1">
      <c r="A942" s="38"/>
      <c r="B942" s="38"/>
      <c r="C942" s="37"/>
      <c r="D942" s="37"/>
      <c r="E942" s="37"/>
      <c r="F942" s="37"/>
      <c r="G942" s="37"/>
      <c r="H942" s="37"/>
      <c r="I942" s="37"/>
      <c r="J942" s="37"/>
      <c r="K942" s="37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</row>
    <row r="943" ht="14.25" customHeight="1">
      <c r="A943" s="38"/>
      <c r="B943" s="38"/>
      <c r="C943" s="37"/>
      <c r="D943" s="37"/>
      <c r="E943" s="37"/>
      <c r="F943" s="37"/>
      <c r="G943" s="37"/>
      <c r="H943" s="37"/>
      <c r="I943" s="37"/>
      <c r="J943" s="37"/>
      <c r="K943" s="37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</row>
    <row r="944" ht="14.25" customHeight="1">
      <c r="A944" s="38"/>
      <c r="B944" s="38"/>
      <c r="C944" s="37"/>
      <c r="D944" s="37"/>
      <c r="E944" s="37"/>
      <c r="F944" s="37"/>
      <c r="G944" s="37"/>
      <c r="H944" s="37"/>
      <c r="I944" s="37"/>
      <c r="J944" s="37"/>
      <c r="K944" s="37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</row>
    <row r="945" ht="14.25" customHeight="1">
      <c r="A945" s="38"/>
      <c r="B945" s="38"/>
      <c r="C945" s="37"/>
      <c r="D945" s="37"/>
      <c r="E945" s="37"/>
      <c r="F945" s="37"/>
      <c r="G945" s="37"/>
      <c r="H945" s="37"/>
      <c r="I945" s="37"/>
      <c r="J945" s="37"/>
      <c r="K945" s="37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</row>
    <row r="946" ht="14.25" customHeight="1">
      <c r="A946" s="38"/>
      <c r="B946" s="38"/>
      <c r="C946" s="37"/>
      <c r="D946" s="37"/>
      <c r="E946" s="37"/>
      <c r="F946" s="37"/>
      <c r="G946" s="37"/>
      <c r="H946" s="37"/>
      <c r="I946" s="37"/>
      <c r="J946" s="37"/>
      <c r="K946" s="37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</row>
    <row r="947" ht="14.25" customHeight="1">
      <c r="A947" s="38"/>
      <c r="B947" s="38"/>
      <c r="C947" s="37"/>
      <c r="D947" s="37"/>
      <c r="E947" s="37"/>
      <c r="F947" s="37"/>
      <c r="G947" s="37"/>
      <c r="H947" s="37"/>
      <c r="I947" s="37"/>
      <c r="J947" s="37"/>
      <c r="K947" s="37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</row>
    <row r="948" ht="14.25" customHeight="1">
      <c r="A948" s="38"/>
      <c r="B948" s="38"/>
      <c r="C948" s="37"/>
      <c r="D948" s="37"/>
      <c r="E948" s="37"/>
      <c r="F948" s="37"/>
      <c r="G948" s="37"/>
      <c r="H948" s="37"/>
      <c r="I948" s="37"/>
      <c r="J948" s="37"/>
      <c r="K948" s="37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</row>
    <row r="949" ht="14.25" customHeight="1">
      <c r="A949" s="38"/>
      <c r="B949" s="38"/>
      <c r="C949" s="37"/>
      <c r="D949" s="37"/>
      <c r="E949" s="37"/>
      <c r="F949" s="37"/>
      <c r="G949" s="37"/>
      <c r="H949" s="37"/>
      <c r="I949" s="37"/>
      <c r="J949" s="37"/>
      <c r="K949" s="37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</row>
    <row r="950" ht="14.25" customHeight="1">
      <c r="A950" s="38"/>
      <c r="B950" s="38"/>
      <c r="C950" s="37"/>
      <c r="D950" s="37"/>
      <c r="E950" s="37"/>
      <c r="F950" s="37"/>
      <c r="G950" s="37"/>
      <c r="H950" s="37"/>
      <c r="I950" s="37"/>
      <c r="J950" s="37"/>
      <c r="K950" s="37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</row>
    <row r="951" ht="14.25" customHeight="1">
      <c r="A951" s="38"/>
      <c r="B951" s="38"/>
      <c r="C951" s="37"/>
      <c r="D951" s="37"/>
      <c r="E951" s="37"/>
      <c r="F951" s="37"/>
      <c r="G951" s="37"/>
      <c r="H951" s="37"/>
      <c r="I951" s="37"/>
      <c r="J951" s="37"/>
      <c r="K951" s="37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</row>
    <row r="952" ht="14.25" customHeight="1">
      <c r="A952" s="38"/>
      <c r="B952" s="38"/>
      <c r="C952" s="37"/>
      <c r="D952" s="37"/>
      <c r="E952" s="37"/>
      <c r="F952" s="37"/>
      <c r="G952" s="37"/>
      <c r="H952" s="37"/>
      <c r="I952" s="37"/>
      <c r="J952" s="37"/>
      <c r="K952" s="37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</row>
    <row r="953" ht="14.25" customHeight="1">
      <c r="A953" s="38"/>
      <c r="B953" s="38"/>
      <c r="C953" s="37"/>
      <c r="D953" s="37"/>
      <c r="E953" s="37"/>
      <c r="F953" s="37"/>
      <c r="G953" s="37"/>
      <c r="H953" s="37"/>
      <c r="I953" s="37"/>
      <c r="J953" s="37"/>
      <c r="K953" s="37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</row>
    <row r="954" ht="14.25" customHeight="1">
      <c r="A954" s="38"/>
      <c r="B954" s="38"/>
      <c r="C954" s="37"/>
      <c r="D954" s="37"/>
      <c r="E954" s="37"/>
      <c r="F954" s="37"/>
      <c r="G954" s="37"/>
      <c r="H954" s="37"/>
      <c r="I954" s="37"/>
      <c r="J954" s="37"/>
      <c r="K954" s="37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</row>
    <row r="955" ht="14.25" customHeight="1">
      <c r="A955" s="38"/>
      <c r="B955" s="38"/>
      <c r="C955" s="37"/>
      <c r="D955" s="37"/>
      <c r="E955" s="37"/>
      <c r="F955" s="37"/>
      <c r="G955" s="37"/>
      <c r="H955" s="37"/>
      <c r="I955" s="37"/>
      <c r="J955" s="37"/>
      <c r="K955" s="37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</row>
    <row r="956" ht="14.25" customHeight="1">
      <c r="A956" s="38"/>
      <c r="B956" s="38"/>
      <c r="C956" s="37"/>
      <c r="D956" s="37"/>
      <c r="E956" s="37"/>
      <c r="F956" s="37"/>
      <c r="G956" s="37"/>
      <c r="H956" s="37"/>
      <c r="I956" s="37"/>
      <c r="J956" s="37"/>
      <c r="K956" s="37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</row>
    <row r="957" ht="14.25" customHeight="1">
      <c r="A957" s="38"/>
      <c r="B957" s="38"/>
      <c r="C957" s="37"/>
      <c r="D957" s="37"/>
      <c r="E957" s="37"/>
      <c r="F957" s="37"/>
      <c r="G957" s="37"/>
      <c r="H957" s="37"/>
      <c r="I957" s="37"/>
      <c r="J957" s="37"/>
      <c r="K957" s="37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</row>
    <row r="958" ht="14.25" customHeight="1">
      <c r="A958" s="38"/>
      <c r="B958" s="38"/>
      <c r="C958" s="37"/>
      <c r="D958" s="37"/>
      <c r="E958" s="37"/>
      <c r="F958" s="37"/>
      <c r="G958" s="37"/>
      <c r="H958" s="37"/>
      <c r="I958" s="37"/>
      <c r="J958" s="37"/>
      <c r="K958" s="37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</row>
    <row r="959" ht="14.25" customHeight="1">
      <c r="A959" s="38"/>
      <c r="B959" s="38"/>
      <c r="C959" s="37"/>
      <c r="D959" s="37"/>
      <c r="E959" s="37"/>
      <c r="F959" s="37"/>
      <c r="G959" s="37"/>
      <c r="H959" s="37"/>
      <c r="I959" s="37"/>
      <c r="J959" s="37"/>
      <c r="K959" s="37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</row>
    <row r="960" ht="14.25" customHeight="1">
      <c r="A960" s="38"/>
      <c r="B960" s="38"/>
      <c r="C960" s="37"/>
      <c r="D960" s="37"/>
      <c r="E960" s="37"/>
      <c r="F960" s="37"/>
      <c r="G960" s="37"/>
      <c r="H960" s="37"/>
      <c r="I960" s="37"/>
      <c r="J960" s="37"/>
      <c r="K960" s="37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</row>
    <row r="961" ht="14.25" customHeight="1">
      <c r="A961" s="38"/>
      <c r="B961" s="38"/>
      <c r="C961" s="37"/>
      <c r="D961" s="37"/>
      <c r="E961" s="37"/>
      <c r="F961" s="37"/>
      <c r="G961" s="37"/>
      <c r="H961" s="37"/>
      <c r="I961" s="37"/>
      <c r="J961" s="37"/>
      <c r="K961" s="37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</row>
    <row r="962" ht="14.25" customHeight="1">
      <c r="A962" s="38"/>
      <c r="B962" s="38"/>
      <c r="C962" s="37"/>
      <c r="D962" s="37"/>
      <c r="E962" s="37"/>
      <c r="F962" s="37"/>
      <c r="G962" s="37"/>
      <c r="H962" s="37"/>
      <c r="I962" s="37"/>
      <c r="J962" s="37"/>
      <c r="K962" s="37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</row>
    <row r="963" ht="14.25" customHeight="1">
      <c r="A963" s="38"/>
      <c r="B963" s="38"/>
      <c r="C963" s="37"/>
      <c r="D963" s="37"/>
      <c r="E963" s="37"/>
      <c r="F963" s="37"/>
      <c r="G963" s="37"/>
      <c r="H963" s="37"/>
      <c r="I963" s="37"/>
      <c r="J963" s="37"/>
      <c r="K963" s="37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</row>
    <row r="964" ht="14.25" customHeight="1">
      <c r="A964" s="38"/>
      <c r="B964" s="38"/>
      <c r="C964" s="37"/>
      <c r="D964" s="37"/>
      <c r="E964" s="37"/>
      <c r="F964" s="37"/>
      <c r="G964" s="37"/>
      <c r="H964" s="37"/>
      <c r="I964" s="37"/>
      <c r="J964" s="37"/>
      <c r="K964" s="37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</row>
    <row r="965" ht="14.25" customHeight="1">
      <c r="A965" s="38"/>
      <c r="B965" s="38"/>
      <c r="C965" s="37"/>
      <c r="D965" s="37"/>
      <c r="E965" s="37"/>
      <c r="F965" s="37"/>
      <c r="G965" s="37"/>
      <c r="H965" s="37"/>
      <c r="I965" s="37"/>
      <c r="J965" s="37"/>
      <c r="K965" s="37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</row>
    <row r="966" ht="14.25" customHeight="1">
      <c r="A966" s="38"/>
      <c r="B966" s="38"/>
      <c r="C966" s="37"/>
      <c r="D966" s="37"/>
      <c r="E966" s="37"/>
      <c r="F966" s="37"/>
      <c r="G966" s="37"/>
      <c r="H966" s="37"/>
      <c r="I966" s="37"/>
      <c r="J966" s="37"/>
      <c r="K966" s="37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</row>
    <row r="967" ht="14.25" customHeight="1">
      <c r="A967" s="38"/>
      <c r="B967" s="38"/>
      <c r="C967" s="37"/>
      <c r="D967" s="37"/>
      <c r="E967" s="37"/>
      <c r="F967" s="37"/>
      <c r="G967" s="37"/>
      <c r="H967" s="37"/>
      <c r="I967" s="37"/>
      <c r="J967" s="37"/>
      <c r="K967" s="37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</row>
    <row r="968" ht="14.25" customHeight="1">
      <c r="A968" s="38"/>
      <c r="B968" s="38"/>
      <c r="C968" s="37"/>
      <c r="D968" s="37"/>
      <c r="E968" s="37"/>
      <c r="F968" s="37"/>
      <c r="G968" s="37"/>
      <c r="H968" s="37"/>
      <c r="I968" s="37"/>
      <c r="J968" s="37"/>
      <c r="K968" s="37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</row>
    <row r="969" ht="14.25" customHeight="1">
      <c r="A969" s="38"/>
      <c r="B969" s="38"/>
      <c r="C969" s="37"/>
      <c r="D969" s="37"/>
      <c r="E969" s="37"/>
      <c r="F969" s="37"/>
      <c r="G969" s="37"/>
      <c r="H969" s="37"/>
      <c r="I969" s="37"/>
      <c r="J969" s="37"/>
      <c r="K969" s="37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</row>
    <row r="970" ht="14.25" customHeight="1">
      <c r="A970" s="38"/>
      <c r="B970" s="38"/>
      <c r="C970" s="37"/>
      <c r="D970" s="37"/>
      <c r="E970" s="37"/>
      <c r="F970" s="37"/>
      <c r="G970" s="37"/>
      <c r="H970" s="37"/>
      <c r="I970" s="37"/>
      <c r="J970" s="37"/>
      <c r="K970" s="37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</row>
    <row r="971" ht="14.25" customHeight="1">
      <c r="A971" s="38"/>
      <c r="B971" s="38"/>
      <c r="C971" s="37"/>
      <c r="D971" s="37"/>
      <c r="E971" s="37"/>
      <c r="F971" s="37"/>
      <c r="G971" s="37"/>
      <c r="H971" s="37"/>
      <c r="I971" s="37"/>
      <c r="J971" s="37"/>
      <c r="K971" s="37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</row>
    <row r="972" ht="14.25" customHeight="1">
      <c r="A972" s="38"/>
      <c r="B972" s="38"/>
      <c r="C972" s="37"/>
      <c r="D972" s="37"/>
      <c r="E972" s="37"/>
      <c r="F972" s="37"/>
      <c r="G972" s="37"/>
      <c r="H972" s="37"/>
      <c r="I972" s="37"/>
      <c r="J972" s="37"/>
      <c r="K972" s="37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</row>
    <row r="973" ht="14.25" customHeight="1">
      <c r="A973" s="38"/>
      <c r="B973" s="38"/>
      <c r="C973" s="37"/>
      <c r="D973" s="37"/>
      <c r="E973" s="37"/>
      <c r="F973" s="37"/>
      <c r="G973" s="37"/>
      <c r="H973" s="37"/>
      <c r="I973" s="37"/>
      <c r="J973" s="37"/>
      <c r="K973" s="37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</row>
    <row r="974" ht="14.25" customHeight="1">
      <c r="A974" s="38"/>
      <c r="B974" s="38"/>
      <c r="C974" s="37"/>
      <c r="D974" s="37"/>
      <c r="E974" s="37"/>
      <c r="F974" s="37"/>
      <c r="G974" s="37"/>
      <c r="H974" s="37"/>
      <c r="I974" s="37"/>
      <c r="J974" s="37"/>
      <c r="K974" s="37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</row>
    <row r="975" ht="14.25" customHeight="1">
      <c r="A975" s="38"/>
      <c r="B975" s="38"/>
      <c r="C975" s="37"/>
      <c r="D975" s="37"/>
      <c r="E975" s="37"/>
      <c r="F975" s="37"/>
      <c r="G975" s="37"/>
      <c r="H975" s="37"/>
      <c r="I975" s="37"/>
      <c r="J975" s="37"/>
      <c r="K975" s="37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</row>
    <row r="976" ht="14.25" customHeight="1">
      <c r="A976" s="38"/>
      <c r="B976" s="38"/>
      <c r="C976" s="37"/>
      <c r="D976" s="37"/>
      <c r="E976" s="37"/>
      <c r="F976" s="37"/>
      <c r="G976" s="37"/>
      <c r="H976" s="37"/>
      <c r="I976" s="37"/>
      <c r="J976" s="37"/>
      <c r="K976" s="37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</row>
    <row r="977" ht="14.25" customHeight="1">
      <c r="A977" s="38"/>
      <c r="B977" s="38"/>
      <c r="C977" s="37"/>
      <c r="D977" s="37"/>
      <c r="E977" s="37"/>
      <c r="F977" s="37"/>
      <c r="G977" s="37"/>
      <c r="H977" s="37"/>
      <c r="I977" s="37"/>
      <c r="J977" s="37"/>
      <c r="K977" s="37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</row>
    <row r="978" ht="14.25" customHeight="1">
      <c r="A978" s="38"/>
      <c r="B978" s="38"/>
      <c r="C978" s="37"/>
      <c r="D978" s="37"/>
      <c r="E978" s="37"/>
      <c r="F978" s="37"/>
      <c r="G978" s="37"/>
      <c r="H978" s="37"/>
      <c r="I978" s="37"/>
      <c r="J978" s="37"/>
      <c r="K978" s="37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</row>
    <row r="979" ht="14.25" customHeight="1">
      <c r="A979" s="38"/>
      <c r="B979" s="38"/>
      <c r="C979" s="37"/>
      <c r="D979" s="37"/>
      <c r="E979" s="37"/>
      <c r="F979" s="37"/>
      <c r="G979" s="37"/>
      <c r="H979" s="37"/>
      <c r="I979" s="37"/>
      <c r="J979" s="37"/>
      <c r="K979" s="37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</row>
    <row r="980" ht="14.25" customHeight="1">
      <c r="A980" s="38"/>
      <c r="B980" s="38"/>
      <c r="C980" s="37"/>
      <c r="D980" s="37"/>
      <c r="E980" s="37"/>
      <c r="F980" s="37"/>
      <c r="G980" s="37"/>
      <c r="H980" s="37"/>
      <c r="I980" s="37"/>
      <c r="J980" s="37"/>
      <c r="K980" s="37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</row>
    <row r="981" ht="14.25" customHeight="1">
      <c r="A981" s="38"/>
      <c r="B981" s="38"/>
      <c r="C981" s="37"/>
      <c r="D981" s="37"/>
      <c r="E981" s="37"/>
      <c r="F981" s="37"/>
      <c r="G981" s="37"/>
      <c r="H981" s="37"/>
      <c r="I981" s="37"/>
      <c r="J981" s="37"/>
      <c r="K981" s="37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</row>
    <row r="982" ht="14.25" customHeight="1">
      <c r="A982" s="38"/>
      <c r="B982" s="38"/>
      <c r="C982" s="37"/>
      <c r="D982" s="37"/>
      <c r="E982" s="37"/>
      <c r="F982" s="37"/>
      <c r="G982" s="37"/>
      <c r="H982" s="37"/>
      <c r="I982" s="37"/>
      <c r="J982" s="37"/>
      <c r="K982" s="37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</row>
    <row r="983" ht="14.25" customHeight="1">
      <c r="A983" s="38"/>
      <c r="B983" s="38"/>
      <c r="C983" s="37"/>
      <c r="D983" s="37"/>
      <c r="E983" s="37"/>
      <c r="F983" s="37"/>
      <c r="G983" s="37"/>
      <c r="H983" s="37"/>
      <c r="I983" s="37"/>
      <c r="J983" s="37"/>
      <c r="K983" s="37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</row>
    <row r="984" ht="14.25" customHeight="1">
      <c r="A984" s="38"/>
      <c r="B984" s="38"/>
      <c r="C984" s="37"/>
      <c r="D984" s="37"/>
      <c r="E984" s="37"/>
      <c r="F984" s="37"/>
      <c r="G984" s="37"/>
      <c r="H984" s="37"/>
      <c r="I984" s="37"/>
      <c r="J984" s="37"/>
      <c r="K984" s="37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</row>
    <row r="985" ht="14.25" customHeight="1">
      <c r="A985" s="38"/>
      <c r="B985" s="38"/>
      <c r="C985" s="37"/>
      <c r="D985" s="37"/>
      <c r="E985" s="37"/>
      <c r="F985" s="37"/>
      <c r="G985" s="37"/>
      <c r="H985" s="37"/>
      <c r="I985" s="37"/>
      <c r="J985" s="37"/>
      <c r="K985" s="37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</row>
    <row r="986" ht="14.25" customHeight="1">
      <c r="A986" s="38"/>
      <c r="B986" s="38"/>
      <c r="C986" s="37"/>
      <c r="D986" s="37"/>
      <c r="E986" s="37"/>
      <c r="F986" s="37"/>
      <c r="G986" s="37"/>
      <c r="H986" s="37"/>
      <c r="I986" s="37"/>
      <c r="J986" s="37"/>
      <c r="K986" s="37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</row>
    <row r="987" ht="14.25" customHeight="1">
      <c r="A987" s="38"/>
      <c r="B987" s="38"/>
      <c r="C987" s="37"/>
      <c r="D987" s="37"/>
      <c r="E987" s="37"/>
      <c r="F987" s="37"/>
      <c r="G987" s="37"/>
      <c r="H987" s="37"/>
      <c r="I987" s="37"/>
      <c r="J987" s="37"/>
      <c r="K987" s="37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</row>
    <row r="988" ht="14.25" customHeight="1">
      <c r="A988" s="38"/>
      <c r="B988" s="38"/>
      <c r="C988" s="37"/>
      <c r="D988" s="37"/>
      <c r="E988" s="37"/>
      <c r="F988" s="37"/>
      <c r="G988" s="37"/>
      <c r="H988" s="37"/>
      <c r="I988" s="37"/>
      <c r="J988" s="37"/>
      <c r="K988" s="37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</row>
    <row r="989" ht="14.25" customHeight="1">
      <c r="A989" s="38"/>
      <c r="B989" s="38"/>
      <c r="C989" s="37"/>
      <c r="D989" s="37"/>
      <c r="E989" s="37"/>
      <c r="F989" s="37"/>
      <c r="G989" s="37"/>
      <c r="H989" s="37"/>
      <c r="I989" s="37"/>
      <c r="J989" s="37"/>
      <c r="K989" s="37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</row>
    <row r="990" ht="14.25" customHeight="1">
      <c r="A990" s="38"/>
      <c r="B990" s="38"/>
      <c r="C990" s="37"/>
      <c r="D990" s="37"/>
      <c r="E990" s="37"/>
      <c r="F990" s="37"/>
      <c r="G990" s="37"/>
      <c r="H990" s="37"/>
      <c r="I990" s="37"/>
      <c r="J990" s="37"/>
      <c r="K990" s="37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</row>
    <row r="991" ht="14.25" customHeight="1">
      <c r="A991" s="38"/>
      <c r="B991" s="38"/>
      <c r="C991" s="37"/>
      <c r="D991" s="37"/>
      <c r="E991" s="37"/>
      <c r="F991" s="37"/>
      <c r="G991" s="37"/>
      <c r="H991" s="37"/>
      <c r="I991" s="37"/>
      <c r="J991" s="37"/>
      <c r="K991" s="37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</row>
    <row r="992" ht="14.25" customHeight="1">
      <c r="A992" s="38"/>
      <c r="B992" s="38"/>
      <c r="C992" s="37"/>
      <c r="D992" s="37"/>
      <c r="E992" s="37"/>
      <c r="F992" s="37"/>
      <c r="G992" s="37"/>
      <c r="H992" s="37"/>
      <c r="I992" s="37"/>
      <c r="J992" s="37"/>
      <c r="K992" s="37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</row>
    <row r="993" ht="14.25" customHeight="1">
      <c r="A993" s="38"/>
      <c r="B993" s="38"/>
      <c r="C993" s="37"/>
      <c r="D993" s="37"/>
      <c r="E993" s="37"/>
      <c r="F993" s="37"/>
      <c r="G993" s="37"/>
      <c r="H993" s="37"/>
      <c r="I993" s="37"/>
      <c r="J993" s="37"/>
      <c r="K993" s="37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</row>
    <row r="994" ht="14.25" customHeight="1">
      <c r="A994" s="38"/>
      <c r="B994" s="38"/>
      <c r="C994" s="37"/>
      <c r="D994" s="37"/>
      <c r="E994" s="37"/>
      <c r="F994" s="37"/>
      <c r="G994" s="37"/>
      <c r="H994" s="37"/>
      <c r="I994" s="37"/>
      <c r="J994" s="37"/>
      <c r="K994" s="37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</row>
    <row r="995" ht="14.25" customHeight="1">
      <c r="A995" s="38"/>
      <c r="B995" s="38"/>
      <c r="C995" s="37"/>
      <c r="D995" s="37"/>
      <c r="E995" s="37"/>
      <c r="F995" s="37"/>
      <c r="G995" s="37"/>
      <c r="H995" s="37"/>
      <c r="I995" s="37"/>
      <c r="J995" s="37"/>
      <c r="K995" s="37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</row>
    <row r="996" ht="14.25" customHeight="1">
      <c r="A996" s="38"/>
      <c r="B996" s="38"/>
      <c r="C996" s="37"/>
      <c r="D996" s="37"/>
      <c r="E996" s="37"/>
      <c r="F996" s="37"/>
      <c r="G996" s="37"/>
      <c r="H996" s="37"/>
      <c r="I996" s="37"/>
      <c r="J996" s="37"/>
      <c r="K996" s="37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</row>
    <row r="997" ht="14.25" customHeight="1">
      <c r="A997" s="38"/>
      <c r="B997" s="38"/>
      <c r="C997" s="37"/>
      <c r="D997" s="37"/>
      <c r="E997" s="37"/>
      <c r="F997" s="37"/>
      <c r="G997" s="37"/>
      <c r="H997" s="37"/>
      <c r="I997" s="37"/>
      <c r="J997" s="37"/>
      <c r="K997" s="37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</row>
    <row r="998" ht="14.25" customHeight="1">
      <c r="A998" s="38"/>
      <c r="B998" s="38"/>
      <c r="C998" s="37"/>
      <c r="D998" s="37"/>
      <c r="E998" s="37"/>
      <c r="F998" s="37"/>
      <c r="G998" s="37"/>
      <c r="H998" s="37"/>
      <c r="I998" s="37"/>
      <c r="J998" s="37"/>
      <c r="K998" s="37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</row>
    <row r="999" ht="14.25" customHeight="1">
      <c r="A999" s="38"/>
      <c r="B999" s="38"/>
      <c r="C999" s="37"/>
      <c r="D999" s="37"/>
      <c r="E999" s="37"/>
      <c r="F999" s="37"/>
      <c r="G999" s="37"/>
      <c r="H999" s="37"/>
      <c r="I999" s="37"/>
      <c r="J999" s="37"/>
      <c r="K999" s="37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</row>
    <row r="1000" ht="14.25" customHeight="1">
      <c r="A1000" s="38"/>
      <c r="B1000" s="38"/>
      <c r="C1000" s="37"/>
      <c r="D1000" s="37"/>
      <c r="E1000" s="37"/>
      <c r="F1000" s="37"/>
      <c r="G1000" s="37"/>
      <c r="H1000" s="37"/>
      <c r="I1000" s="37"/>
      <c r="J1000" s="37"/>
      <c r="K1000" s="37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</row>
    <row r="1001" ht="14.25" customHeight="1">
      <c r="A1001" s="38"/>
      <c r="B1001" s="38"/>
      <c r="C1001" s="37"/>
      <c r="D1001" s="37"/>
      <c r="E1001" s="37"/>
      <c r="F1001" s="37"/>
      <c r="G1001" s="37"/>
      <c r="H1001" s="37"/>
      <c r="I1001" s="37"/>
      <c r="J1001" s="37"/>
      <c r="K1001" s="37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</row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1.29"/>
    <col customWidth="1" min="3" max="3" width="8.86"/>
    <col customWidth="1" min="4" max="4" width="11.29"/>
    <col customWidth="1" min="5" max="17" width="8.86"/>
  </cols>
  <sheetData>
    <row r="1" ht="14.25" customHeight="1">
      <c r="A1" s="43" t="s">
        <v>0</v>
      </c>
      <c r="B1" s="44" t="s">
        <v>1</v>
      </c>
      <c r="C1" s="45" t="s">
        <v>369</v>
      </c>
      <c r="D1" s="45" t="s">
        <v>370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ht="14.25" customHeight="1">
      <c r="A2" s="46">
        <v>31304.0</v>
      </c>
      <c r="B2" s="47" t="s">
        <v>181</v>
      </c>
      <c r="C2" s="48">
        <v>0.5631518293914419</v>
      </c>
      <c r="D2" s="49">
        <v>0.29592275170486665</v>
      </c>
    </row>
    <row r="3" ht="14.25" customHeight="1">
      <c r="A3" s="46">
        <v>10103.0</v>
      </c>
      <c r="B3" s="47" t="s">
        <v>15</v>
      </c>
      <c r="C3" s="48">
        <v>0.54060000827661</v>
      </c>
      <c r="D3" s="49">
        <v>0.2229081492906911</v>
      </c>
    </row>
    <row r="4" ht="14.25" customHeight="1">
      <c r="A4" s="46">
        <v>50501.0</v>
      </c>
      <c r="B4" s="47" t="s">
        <v>238</v>
      </c>
      <c r="C4" s="48">
        <v>0.4958500718792933</v>
      </c>
      <c r="D4" s="49">
        <v>0.21274444637599016</v>
      </c>
    </row>
    <row r="5" ht="14.25" customHeight="1">
      <c r="A5" s="46">
        <v>40103.0</v>
      </c>
      <c r="B5" s="47" t="s">
        <v>191</v>
      </c>
      <c r="C5" s="48">
        <v>0.44321826024978567</v>
      </c>
      <c r="D5" s="49">
        <v>0.20299017149151363</v>
      </c>
    </row>
    <row r="6" ht="14.25" customHeight="1">
      <c r="A6" s="46">
        <v>31302.0</v>
      </c>
      <c r="B6" s="47" t="s">
        <v>179</v>
      </c>
      <c r="C6" s="48">
        <v>0.46087724884402453</v>
      </c>
      <c r="D6" s="49">
        <v>0.1996930802815161</v>
      </c>
    </row>
    <row r="7" ht="14.25" customHeight="1">
      <c r="A7" s="46">
        <v>10703.0</v>
      </c>
      <c r="B7" s="47" t="s">
        <v>47</v>
      </c>
      <c r="C7" s="48">
        <v>0.4622412491823068</v>
      </c>
      <c r="D7" s="49">
        <v>0.190984092391252</v>
      </c>
    </row>
    <row r="8" ht="14.25" customHeight="1">
      <c r="A8" s="46">
        <v>10201.0</v>
      </c>
      <c r="B8" s="47" t="s">
        <v>17</v>
      </c>
      <c r="C8" s="48">
        <v>0.5117712122073732</v>
      </c>
      <c r="D8" s="49">
        <v>0.1870703507114512</v>
      </c>
    </row>
    <row r="9" ht="14.25" customHeight="1">
      <c r="A9" s="46">
        <v>51103.0</v>
      </c>
      <c r="B9" s="47" t="s">
        <v>253</v>
      </c>
      <c r="C9" s="48">
        <v>0.47520158845138344</v>
      </c>
      <c r="D9" s="49">
        <v>0.18248317185118357</v>
      </c>
    </row>
    <row r="10" ht="14.25" customHeight="1">
      <c r="A10" s="46">
        <v>90202.0</v>
      </c>
      <c r="B10" s="47" t="s">
        <v>238</v>
      </c>
      <c r="C10" s="48">
        <v>0.4723059316422974</v>
      </c>
      <c r="D10" s="49">
        <v>0.17686097856078828</v>
      </c>
    </row>
    <row r="11" ht="14.25" customHeight="1">
      <c r="A11" s="46">
        <v>50303.0</v>
      </c>
      <c r="B11" s="47" t="s">
        <v>232</v>
      </c>
      <c r="C11" s="48">
        <v>0.48259941477355617</v>
      </c>
      <c r="D11" s="49">
        <v>0.17124941258771198</v>
      </c>
    </row>
    <row r="12" ht="14.25" customHeight="1">
      <c r="A12" s="46">
        <v>80901.0</v>
      </c>
      <c r="B12" s="47" t="s">
        <v>342</v>
      </c>
      <c r="C12" s="48">
        <v>0.46048365508768757</v>
      </c>
      <c r="D12" s="49">
        <v>0.16800518957092592</v>
      </c>
    </row>
    <row r="13" ht="14.25" customHeight="1">
      <c r="A13" s="46">
        <v>50502.0</v>
      </c>
      <c r="B13" s="47" t="s">
        <v>239</v>
      </c>
      <c r="C13" s="48">
        <v>0.4025587702688468</v>
      </c>
      <c r="D13" s="49">
        <v>0.1676866626399417</v>
      </c>
    </row>
    <row r="14" ht="14.25" customHeight="1">
      <c r="A14" s="46">
        <v>80302.0</v>
      </c>
      <c r="B14" s="47" t="s">
        <v>331</v>
      </c>
      <c r="C14" s="48">
        <v>0.32705815713177144</v>
      </c>
      <c r="D14" s="49">
        <v>0.16146836140368687</v>
      </c>
    </row>
    <row r="15" ht="14.25" customHeight="1">
      <c r="A15" s="46">
        <v>30601.0</v>
      </c>
      <c r="B15" s="47" t="s">
        <v>155</v>
      </c>
      <c r="C15" s="48">
        <v>0.4144891714710965</v>
      </c>
      <c r="D15" s="49">
        <v>0.15544857060133901</v>
      </c>
    </row>
    <row r="16" ht="14.25" customHeight="1">
      <c r="A16" s="46">
        <v>31303.0</v>
      </c>
      <c r="B16" s="47" t="s">
        <v>180</v>
      </c>
      <c r="C16" s="48">
        <v>0.4785774783250391</v>
      </c>
      <c r="D16" s="49">
        <v>0.1519814002404519</v>
      </c>
    </row>
    <row r="17" ht="14.25" customHeight="1">
      <c r="A17" s="46">
        <v>50404.0</v>
      </c>
      <c r="B17" s="47" t="s">
        <v>236</v>
      </c>
      <c r="C17" s="48">
        <v>0.45789734064948656</v>
      </c>
      <c r="D17" s="49">
        <v>0.15116797678203503</v>
      </c>
    </row>
    <row r="18" ht="14.25" customHeight="1">
      <c r="A18" s="46">
        <v>10704.0</v>
      </c>
      <c r="B18" s="47" t="s">
        <v>48</v>
      </c>
      <c r="C18" s="48">
        <v>0.4042078526262497</v>
      </c>
      <c r="D18" s="49">
        <v>0.15111142778394926</v>
      </c>
    </row>
    <row r="19" ht="14.25" customHeight="1">
      <c r="A19" s="46">
        <v>31101.0</v>
      </c>
      <c r="B19" s="47" t="s">
        <v>171</v>
      </c>
      <c r="C19" s="48">
        <v>0.4083393777835018</v>
      </c>
      <c r="D19" s="49">
        <v>0.14825206156948809</v>
      </c>
    </row>
    <row r="20" ht="14.25" customHeight="1">
      <c r="A20" s="46">
        <v>10403.0</v>
      </c>
      <c r="B20" s="47" t="s">
        <v>33</v>
      </c>
      <c r="C20" s="48">
        <v>0.37395011166232733</v>
      </c>
      <c r="D20" s="49">
        <v>0.147418252209307</v>
      </c>
    </row>
    <row r="21" ht="14.25" customHeight="1">
      <c r="A21" s="46">
        <v>50402.0</v>
      </c>
      <c r="B21" s="47" t="s">
        <v>234</v>
      </c>
      <c r="C21" s="48">
        <v>0.42903010625416804</v>
      </c>
      <c r="D21" s="49">
        <v>0.14426017658241239</v>
      </c>
    </row>
    <row r="22" ht="14.25" customHeight="1">
      <c r="A22" s="46">
        <v>21005.0</v>
      </c>
      <c r="B22" s="47" t="s">
        <v>109</v>
      </c>
      <c r="C22" s="48">
        <v>0.3346511483446015</v>
      </c>
      <c r="D22" s="49">
        <v>0.14395212441532615</v>
      </c>
    </row>
    <row r="23" ht="14.25" customHeight="1">
      <c r="A23" s="46">
        <v>40903.0</v>
      </c>
      <c r="B23" s="47" t="s">
        <v>213</v>
      </c>
      <c r="C23" s="48">
        <v>0.22845118434140177</v>
      </c>
      <c r="D23" s="49">
        <v>0.14387464734733615</v>
      </c>
    </row>
    <row r="24" ht="14.25" customHeight="1">
      <c r="A24" s="46">
        <v>30303.0</v>
      </c>
      <c r="B24" s="47" t="s">
        <v>148</v>
      </c>
      <c r="C24" s="48">
        <v>0.4235968823909868</v>
      </c>
      <c r="D24" s="49">
        <v>0.1421371229815356</v>
      </c>
    </row>
    <row r="25" ht="14.25" customHeight="1">
      <c r="A25" s="46">
        <v>51002.0</v>
      </c>
      <c r="B25" s="47" t="s">
        <v>249</v>
      </c>
      <c r="C25" s="48">
        <v>0.35380117989861504</v>
      </c>
      <c r="D25" s="49">
        <v>0.14070236404942724</v>
      </c>
    </row>
    <row r="26" ht="14.25" customHeight="1">
      <c r="A26" s="46">
        <v>50104.0</v>
      </c>
      <c r="B26" s="47" t="s">
        <v>225</v>
      </c>
      <c r="C26" s="48">
        <v>0.28213508361132145</v>
      </c>
      <c r="D26" s="49">
        <v>0.13752540166767355</v>
      </c>
    </row>
    <row r="27" ht="14.25" customHeight="1">
      <c r="A27" s="46">
        <v>41301.0</v>
      </c>
      <c r="B27" s="47" t="s">
        <v>172</v>
      </c>
      <c r="C27" s="48">
        <v>0.32627513603292735</v>
      </c>
      <c r="D27" s="49">
        <v>0.13736245648458528</v>
      </c>
    </row>
    <row r="28" ht="14.25" customHeight="1">
      <c r="A28" s="46">
        <v>50401.0</v>
      </c>
      <c r="B28" s="47" t="s">
        <v>233</v>
      </c>
      <c r="C28" s="48">
        <v>0.38595793766217223</v>
      </c>
      <c r="D28" s="49">
        <v>0.13566045281513664</v>
      </c>
    </row>
    <row r="29" ht="14.25" customHeight="1">
      <c r="A29" s="46">
        <v>50102.0</v>
      </c>
      <c r="B29" s="47" t="s">
        <v>223</v>
      </c>
      <c r="C29" s="48">
        <v>0.46244352198864974</v>
      </c>
      <c r="D29" s="49">
        <v>0.134276573235532</v>
      </c>
    </row>
    <row r="30" ht="14.25" customHeight="1">
      <c r="A30" s="46">
        <v>20308.0</v>
      </c>
      <c r="B30" s="47" t="s">
        <v>74</v>
      </c>
      <c r="C30" s="48">
        <v>0.4335972369293322</v>
      </c>
      <c r="D30" s="49">
        <v>0.13347754663821837</v>
      </c>
    </row>
    <row r="31" ht="14.25" customHeight="1">
      <c r="A31" s="46">
        <v>10202.0</v>
      </c>
      <c r="B31" s="47" t="s">
        <v>19</v>
      </c>
      <c r="C31" s="48">
        <v>0.452152952840415</v>
      </c>
      <c r="D31" s="49">
        <v>0.13267524520544244</v>
      </c>
    </row>
    <row r="32" ht="14.25" customHeight="1">
      <c r="A32" s="46">
        <v>10302.0</v>
      </c>
      <c r="B32" s="47" t="s">
        <v>23</v>
      </c>
      <c r="C32" s="48">
        <v>0.45464786758009545</v>
      </c>
      <c r="D32" s="49">
        <v>0.13132608780028146</v>
      </c>
    </row>
    <row r="33" ht="14.25" customHeight="1">
      <c r="A33" s="46">
        <v>20305.0</v>
      </c>
      <c r="B33" s="47" t="s">
        <v>71</v>
      </c>
      <c r="C33" s="48">
        <v>0.3140480739267191</v>
      </c>
      <c r="D33" s="49">
        <v>0.1269571809782555</v>
      </c>
    </row>
    <row r="34" ht="14.25" customHeight="1">
      <c r="A34" s="46">
        <v>30404.0</v>
      </c>
      <c r="B34" s="47" t="s">
        <v>152</v>
      </c>
      <c r="C34" s="48">
        <v>0.29282649119584725</v>
      </c>
      <c r="D34" s="49">
        <v>0.1268884903588767</v>
      </c>
    </row>
    <row r="35" ht="14.25" customHeight="1">
      <c r="A35" s="46">
        <v>10702.0</v>
      </c>
      <c r="B35" s="47" t="s">
        <v>45</v>
      </c>
      <c r="C35" s="48">
        <v>0.39567877393546297</v>
      </c>
      <c r="D35" s="49">
        <v>0.1258510252661512</v>
      </c>
    </row>
    <row r="36" ht="14.25" customHeight="1">
      <c r="A36" s="46">
        <v>41501.0</v>
      </c>
      <c r="B36" s="47" t="s">
        <v>219</v>
      </c>
      <c r="C36" s="48">
        <v>0.30659654513148393</v>
      </c>
      <c r="D36" s="49">
        <v>0.12558468248372612</v>
      </c>
    </row>
    <row r="37" ht="14.25" customHeight="1">
      <c r="A37" s="46">
        <v>40301.0</v>
      </c>
      <c r="B37" s="47" t="s">
        <v>195</v>
      </c>
      <c r="C37" s="48">
        <v>0.3361890012614717</v>
      </c>
      <c r="D37" s="49">
        <v>0.12516952893772082</v>
      </c>
    </row>
    <row r="38" ht="14.25" customHeight="1">
      <c r="A38" s="46">
        <v>40402.0</v>
      </c>
      <c r="B38" s="47" t="s">
        <v>198</v>
      </c>
      <c r="C38" s="48">
        <v>0.2427839457953944</v>
      </c>
      <c r="D38" s="49">
        <v>0.12308919078031463</v>
      </c>
    </row>
    <row r="39" ht="14.25" customHeight="1">
      <c r="A39" s="46">
        <v>50405.0</v>
      </c>
      <c r="B39" s="47" t="s">
        <v>237</v>
      </c>
      <c r="C39" s="48">
        <v>0.39719996381465944</v>
      </c>
      <c r="D39" s="49">
        <v>0.12305085946754071</v>
      </c>
    </row>
    <row r="40" ht="14.25" customHeight="1">
      <c r="A40" s="46">
        <v>21602.0</v>
      </c>
      <c r="B40" s="47" t="s">
        <v>132</v>
      </c>
      <c r="C40" s="48">
        <v>0.3364311093647106</v>
      </c>
      <c r="D40" s="49">
        <v>0.12260420132651675</v>
      </c>
    </row>
    <row r="41" ht="14.25" customHeight="1">
      <c r="A41" s="46">
        <v>10902.0</v>
      </c>
      <c r="B41" s="47" t="s">
        <v>51</v>
      </c>
      <c r="C41" s="48">
        <v>0.356373825064205</v>
      </c>
      <c r="D41" s="49">
        <v>0.12052616468756028</v>
      </c>
    </row>
    <row r="42" ht="14.25" customHeight="1">
      <c r="A42" s="46">
        <v>30403.0</v>
      </c>
      <c r="B42" s="47" t="s">
        <v>151</v>
      </c>
      <c r="C42" s="48">
        <v>0.17642446031531772</v>
      </c>
      <c r="D42" s="49">
        <v>0.11742273321126605</v>
      </c>
    </row>
    <row r="43" ht="14.25" customHeight="1">
      <c r="A43" s="46">
        <v>41001.0</v>
      </c>
      <c r="B43" s="47" t="s">
        <v>214</v>
      </c>
      <c r="C43" s="48">
        <v>0.34583292566994034</v>
      </c>
      <c r="D43" s="49">
        <v>0.11571708801738981</v>
      </c>
    </row>
    <row r="44" ht="14.25" customHeight="1">
      <c r="A44" s="46">
        <v>41201.0</v>
      </c>
      <c r="B44" s="47" t="s">
        <v>216</v>
      </c>
      <c r="C44" s="48">
        <v>0.3137040681756221</v>
      </c>
      <c r="D44" s="49">
        <v>0.11527535436228001</v>
      </c>
    </row>
    <row r="45" ht="14.25" customHeight="1">
      <c r="A45" s="46">
        <v>41601.0</v>
      </c>
      <c r="B45" s="47" t="s">
        <v>222</v>
      </c>
      <c r="C45" s="48">
        <v>0.34885188017968577</v>
      </c>
      <c r="D45" s="49">
        <v>0.11478881375002886</v>
      </c>
    </row>
    <row r="46" ht="14.25" customHeight="1">
      <c r="A46" s="46">
        <v>31202.0</v>
      </c>
      <c r="B46" s="47" t="s">
        <v>173</v>
      </c>
      <c r="C46" s="48">
        <v>0.36252317642696896</v>
      </c>
      <c r="D46" s="49">
        <v>0.11453652297698054</v>
      </c>
    </row>
    <row r="47" ht="14.25" customHeight="1">
      <c r="A47" s="46">
        <v>50403.0</v>
      </c>
      <c r="B47" s="47" t="s">
        <v>235</v>
      </c>
      <c r="C47" s="48">
        <v>0.3564063145231837</v>
      </c>
      <c r="D47" s="49">
        <v>0.11042157644866617</v>
      </c>
    </row>
    <row r="48" ht="14.25" customHeight="1">
      <c r="A48" s="46">
        <v>51003.0</v>
      </c>
      <c r="B48" s="47" t="s">
        <v>250</v>
      </c>
      <c r="C48" s="48">
        <v>0.24887103016699144</v>
      </c>
      <c r="D48" s="49">
        <v>0.11022269868774455</v>
      </c>
    </row>
    <row r="49" ht="14.25" customHeight="1">
      <c r="A49" s="46">
        <v>80601.0</v>
      </c>
      <c r="B49" s="47" t="s">
        <v>335</v>
      </c>
      <c r="C49" s="48">
        <v>0.32409395210348996</v>
      </c>
      <c r="D49" s="49">
        <v>0.10778380630011267</v>
      </c>
    </row>
    <row r="50" ht="14.25" customHeight="1">
      <c r="A50" s="46">
        <v>10304.0</v>
      </c>
      <c r="B50" s="47" t="s">
        <v>27</v>
      </c>
      <c r="C50" s="48">
        <v>0.3053765410453759</v>
      </c>
      <c r="D50" s="49">
        <v>0.10753159742919127</v>
      </c>
    </row>
    <row r="51" ht="14.25" customHeight="1">
      <c r="A51" s="46">
        <v>90303.0</v>
      </c>
      <c r="B51" s="47" t="s">
        <v>350</v>
      </c>
      <c r="C51" s="48">
        <v>0.5065828128789165</v>
      </c>
      <c r="D51" s="49">
        <v>0.10535333103536572</v>
      </c>
    </row>
    <row r="52" ht="14.25" customHeight="1">
      <c r="A52" s="46">
        <v>31501.0</v>
      </c>
      <c r="B52" s="47" t="s">
        <v>187</v>
      </c>
      <c r="C52" s="48">
        <v>0.34476828899714024</v>
      </c>
      <c r="D52" s="49">
        <v>0.1051464983564005</v>
      </c>
    </row>
    <row r="53" ht="14.25" customHeight="1">
      <c r="A53" s="46">
        <v>90402.0</v>
      </c>
      <c r="B53" s="47" t="s">
        <v>351</v>
      </c>
      <c r="C53" s="48">
        <v>0.3112896666833291</v>
      </c>
      <c r="D53" s="49">
        <v>0.10491159369762848</v>
      </c>
    </row>
    <row r="54" ht="14.25" customHeight="1">
      <c r="A54" s="46">
        <v>31201.0</v>
      </c>
      <c r="B54" s="47" t="s">
        <v>172</v>
      </c>
      <c r="C54" s="48">
        <v>0.3610193186047911</v>
      </c>
      <c r="D54" s="49">
        <v>0.10402967717001596</v>
      </c>
    </row>
    <row r="55" ht="14.25" customHeight="1">
      <c r="A55" s="46">
        <v>20404.0</v>
      </c>
      <c r="B55" s="47" t="s">
        <v>78</v>
      </c>
      <c r="C55" s="48">
        <v>0.30807513686670535</v>
      </c>
      <c r="D55" s="49">
        <v>0.10391474729975733</v>
      </c>
    </row>
    <row r="56" ht="14.25" customHeight="1">
      <c r="A56" s="46">
        <v>30301.0</v>
      </c>
      <c r="B56" s="47" t="s">
        <v>146</v>
      </c>
      <c r="C56" s="48">
        <v>0.34414425609370874</v>
      </c>
      <c r="D56" s="49">
        <v>0.10382186430551704</v>
      </c>
    </row>
    <row r="57" ht="14.25" customHeight="1">
      <c r="A57" s="46">
        <v>30302.0</v>
      </c>
      <c r="B57" s="47" t="s">
        <v>147</v>
      </c>
      <c r="C57" s="48">
        <v>0.3856003736139571</v>
      </c>
      <c r="D57" s="49">
        <v>0.10332341191958348</v>
      </c>
    </row>
    <row r="58" ht="14.25" customHeight="1">
      <c r="A58" s="46">
        <v>51301.0</v>
      </c>
      <c r="B58" s="47" t="s">
        <v>258</v>
      </c>
      <c r="C58" s="48">
        <v>0.37516881067687924</v>
      </c>
      <c r="D58" s="49">
        <v>0.10331543921252725</v>
      </c>
    </row>
    <row r="59" ht="14.25" customHeight="1">
      <c r="A59" s="46">
        <v>30402.0</v>
      </c>
      <c r="B59" s="47" t="s">
        <v>150</v>
      </c>
      <c r="C59" s="48">
        <v>0.34484632206502497</v>
      </c>
      <c r="D59" s="49">
        <v>0.1018746791882438</v>
      </c>
    </row>
    <row r="60" ht="14.25" customHeight="1">
      <c r="A60" s="46">
        <v>21001.0</v>
      </c>
      <c r="B60" s="47" t="s">
        <v>105</v>
      </c>
      <c r="C60" s="48">
        <v>0.379072020707237</v>
      </c>
      <c r="D60" s="49">
        <v>0.10147052058644021</v>
      </c>
    </row>
    <row r="61" ht="14.25" customHeight="1">
      <c r="A61" s="46">
        <v>80401.0</v>
      </c>
      <c r="B61" s="47" t="s">
        <v>333</v>
      </c>
      <c r="C61" s="48">
        <v>0.18517848628858277</v>
      </c>
      <c r="D61" s="49">
        <v>0.09812321362065397</v>
      </c>
    </row>
    <row r="62" ht="14.25" customHeight="1">
      <c r="A62" s="46">
        <v>50204.0</v>
      </c>
      <c r="B62" s="47" t="s">
        <v>229</v>
      </c>
      <c r="C62" s="48">
        <v>0.3475329801506165</v>
      </c>
      <c r="D62" s="49">
        <v>0.09798583428655966</v>
      </c>
    </row>
    <row r="63" ht="14.25" customHeight="1">
      <c r="A63" s="46">
        <v>20303.0</v>
      </c>
      <c r="B63" s="47" t="s">
        <v>69</v>
      </c>
      <c r="C63" s="48">
        <v>0.35865180611744163</v>
      </c>
      <c r="D63" s="49">
        <v>0.09718005756186608</v>
      </c>
    </row>
    <row r="64" ht="14.25" customHeight="1">
      <c r="A64" s="46">
        <v>40302.0</v>
      </c>
      <c r="B64" s="47" t="s">
        <v>196</v>
      </c>
      <c r="C64" s="48">
        <v>0.3264039606987266</v>
      </c>
      <c r="D64" s="49">
        <v>0.09670535129468505</v>
      </c>
    </row>
    <row r="65" ht="14.25" customHeight="1">
      <c r="A65" s="46">
        <v>50701.0</v>
      </c>
      <c r="B65" s="47" t="s">
        <v>242</v>
      </c>
      <c r="C65" s="48">
        <v>0.35671790876927506</v>
      </c>
      <c r="D65" s="49">
        <v>0.09657841180133399</v>
      </c>
    </row>
    <row r="66" ht="14.25" customHeight="1">
      <c r="A66" s="46">
        <v>51302.0</v>
      </c>
      <c r="B66" s="47" t="s">
        <v>259</v>
      </c>
      <c r="C66" s="48">
        <v>0.32672023596793326</v>
      </c>
      <c r="D66" s="49">
        <v>0.09576552369333735</v>
      </c>
    </row>
    <row r="67" ht="14.25" customHeight="1">
      <c r="A67" s="46">
        <v>21501.0</v>
      </c>
      <c r="B67" s="47" t="s">
        <v>129</v>
      </c>
      <c r="C67" s="48">
        <v>0.2807361284844107</v>
      </c>
      <c r="D67" s="49">
        <v>0.09467490665805307</v>
      </c>
    </row>
    <row r="68" ht="14.25" customHeight="1">
      <c r="A68" s="46">
        <v>80402.0</v>
      </c>
      <c r="B68" s="47" t="s">
        <v>334</v>
      </c>
      <c r="C68" s="48">
        <v>0.3498814115928283</v>
      </c>
      <c r="D68" s="49">
        <v>0.09311424335429061</v>
      </c>
    </row>
    <row r="69" ht="14.25" customHeight="1">
      <c r="A69" s="46">
        <v>20401.0</v>
      </c>
      <c r="B69" s="47" t="s">
        <v>75</v>
      </c>
      <c r="C69" s="48">
        <v>0.28598131554944817</v>
      </c>
      <c r="D69" s="49">
        <v>0.09256873076689885</v>
      </c>
    </row>
    <row r="70" ht="14.25" customHeight="1">
      <c r="A70" s="46">
        <v>20903.0</v>
      </c>
      <c r="B70" s="47" t="s">
        <v>102</v>
      </c>
      <c r="C70" s="48">
        <v>0.24971522434608664</v>
      </c>
      <c r="D70" s="49">
        <v>0.09248649762029597</v>
      </c>
    </row>
    <row r="71" ht="14.25" customHeight="1">
      <c r="A71" s="46">
        <v>80201.0</v>
      </c>
      <c r="B71" s="47" t="s">
        <v>328</v>
      </c>
      <c r="C71" s="48">
        <v>0.29362367734428063</v>
      </c>
      <c r="D71" s="49">
        <v>0.09226315848597338</v>
      </c>
    </row>
    <row r="72" ht="14.25" customHeight="1">
      <c r="A72" s="46">
        <v>21303.0</v>
      </c>
      <c r="B72" s="47" t="s">
        <v>122</v>
      </c>
      <c r="C72" s="48">
        <v>0.2719275727024039</v>
      </c>
      <c r="D72" s="49">
        <v>0.09184803248109226</v>
      </c>
    </row>
    <row r="73" ht="14.25" customHeight="1">
      <c r="A73" s="46">
        <v>10601.0</v>
      </c>
      <c r="B73" s="47" t="s">
        <v>40</v>
      </c>
      <c r="C73" s="48">
        <v>0.3494285981334719</v>
      </c>
      <c r="D73" s="49">
        <v>0.09052121318136275</v>
      </c>
    </row>
    <row r="74" ht="14.25" customHeight="1">
      <c r="A74" s="46">
        <v>21703.0</v>
      </c>
      <c r="B74" s="47" t="s">
        <v>135</v>
      </c>
      <c r="C74" s="48">
        <v>0.27307179784946584</v>
      </c>
      <c r="D74" s="49">
        <v>0.09015361980769096</v>
      </c>
    </row>
    <row r="75" ht="14.25" customHeight="1">
      <c r="A75" s="46">
        <v>20604.0</v>
      </c>
      <c r="B75" s="47" t="s">
        <v>86</v>
      </c>
      <c r="C75" s="48">
        <v>0.2473746674226188</v>
      </c>
      <c r="D75" s="49">
        <v>0.08989337638492369</v>
      </c>
    </row>
    <row r="76" ht="14.25" customHeight="1">
      <c r="A76" s="46">
        <v>10405.0</v>
      </c>
      <c r="B76" s="47" t="s">
        <v>35</v>
      </c>
      <c r="C76" s="48">
        <v>0.338878581540775</v>
      </c>
      <c r="D76" s="49">
        <v>0.08967311203342355</v>
      </c>
    </row>
    <row r="77" ht="14.25" customHeight="1">
      <c r="A77" s="46">
        <v>22002.0</v>
      </c>
      <c r="B77" s="47" t="s">
        <v>142</v>
      </c>
      <c r="C77" s="48">
        <v>0.29630651535405883</v>
      </c>
      <c r="D77" s="49">
        <v>0.08953841465423137</v>
      </c>
    </row>
    <row r="78" ht="14.25" customHeight="1">
      <c r="A78" s="46">
        <v>51204.0</v>
      </c>
      <c r="B78" s="47" t="s">
        <v>257</v>
      </c>
      <c r="C78" s="48">
        <v>0.3111111190877062</v>
      </c>
      <c r="D78" s="49">
        <v>0.08945143050882232</v>
      </c>
    </row>
    <row r="79" ht="14.25" customHeight="1">
      <c r="A79" s="46">
        <v>21803.0</v>
      </c>
      <c r="B79" s="47" t="s">
        <v>138</v>
      </c>
      <c r="C79" s="48">
        <v>0.34800000859797</v>
      </c>
      <c r="D79" s="49">
        <v>0.08913845726056024</v>
      </c>
    </row>
    <row r="80" ht="14.25" customHeight="1">
      <c r="A80" s="46">
        <v>50702.0</v>
      </c>
      <c r="B80" s="47" t="s">
        <v>243</v>
      </c>
      <c r="C80" s="48">
        <v>0.3203521707728117</v>
      </c>
      <c r="D80" s="49">
        <v>0.0890837535818319</v>
      </c>
    </row>
    <row r="81" ht="14.25" customHeight="1">
      <c r="A81" s="46">
        <v>20301.0</v>
      </c>
      <c r="B81" s="47" t="s">
        <v>67</v>
      </c>
      <c r="C81" s="48">
        <v>0.2944245894717322</v>
      </c>
      <c r="D81" s="49">
        <v>0.08898803742046942</v>
      </c>
    </row>
    <row r="82" ht="14.25" customHeight="1">
      <c r="A82" s="46">
        <v>20701.0</v>
      </c>
      <c r="B82" s="47" t="s">
        <v>91</v>
      </c>
      <c r="C82" s="48">
        <v>0.2676153663363659</v>
      </c>
      <c r="D82" s="49">
        <v>0.08580554573082366</v>
      </c>
    </row>
    <row r="83" ht="14.25" customHeight="1">
      <c r="A83" s="46">
        <v>20904.0</v>
      </c>
      <c r="B83" s="47" t="s">
        <v>103</v>
      </c>
      <c r="C83" s="48">
        <v>0.2256181529055964</v>
      </c>
      <c r="D83" s="49">
        <v>0.08461767296140596</v>
      </c>
    </row>
    <row r="84" ht="14.25" customHeight="1">
      <c r="A84" s="46">
        <v>20405.0</v>
      </c>
      <c r="B84" s="47" t="s">
        <v>79</v>
      </c>
      <c r="C84" s="48">
        <v>0.218584846411261</v>
      </c>
      <c r="D84" s="49">
        <v>0.08416553389888107</v>
      </c>
    </row>
    <row r="85" ht="14.25" customHeight="1">
      <c r="A85" s="46">
        <v>80501.0</v>
      </c>
      <c r="B85" s="47" t="s">
        <v>280</v>
      </c>
      <c r="C85" s="48">
        <v>0.3154945377499883</v>
      </c>
      <c r="D85" s="49">
        <v>0.08357061733524955</v>
      </c>
    </row>
    <row r="86" ht="14.25" customHeight="1">
      <c r="A86" s="46">
        <v>30602.0</v>
      </c>
      <c r="B86" s="47" t="s">
        <v>156</v>
      </c>
      <c r="C86" s="48">
        <v>0.3138715890380351</v>
      </c>
      <c r="D86" s="49">
        <v>0.08347618516888113</v>
      </c>
    </row>
    <row r="87" ht="14.25" customHeight="1">
      <c r="A87" s="46">
        <v>21601.0</v>
      </c>
      <c r="B87" s="47" t="s">
        <v>131</v>
      </c>
      <c r="C87" s="48">
        <v>0.3310469991025418</v>
      </c>
      <c r="D87" s="49">
        <v>0.08284519633642591</v>
      </c>
    </row>
    <row r="88" ht="14.25" customHeight="1">
      <c r="A88" s="46">
        <v>20608.0</v>
      </c>
      <c r="B88" s="47" t="s">
        <v>90</v>
      </c>
      <c r="C88" s="48">
        <v>0.26891345052758636</v>
      </c>
      <c r="D88" s="49">
        <v>0.08273903209426334</v>
      </c>
    </row>
    <row r="89" ht="14.25" customHeight="1">
      <c r="A89" s="46">
        <v>20502.0</v>
      </c>
      <c r="B89" s="47" t="s">
        <v>81</v>
      </c>
      <c r="C89" s="48">
        <v>0.3031955801086879</v>
      </c>
      <c r="D89" s="49">
        <v>0.08210630372877788</v>
      </c>
    </row>
    <row r="90" ht="14.25" customHeight="1">
      <c r="A90" s="46">
        <v>10301.0</v>
      </c>
      <c r="B90" s="47" t="s">
        <v>21</v>
      </c>
      <c r="C90" s="48">
        <v>0.3083211849453804</v>
      </c>
      <c r="D90" s="49">
        <v>0.08190584066940217</v>
      </c>
    </row>
    <row r="91" ht="14.25" customHeight="1">
      <c r="A91" s="46">
        <v>80301.0</v>
      </c>
      <c r="B91" s="47" t="s">
        <v>330</v>
      </c>
      <c r="C91" s="48">
        <v>0.28496317701158025</v>
      </c>
      <c r="D91" s="49">
        <v>0.08126551077134303</v>
      </c>
    </row>
    <row r="92" ht="14.25" customHeight="1">
      <c r="A92" s="46">
        <v>21104.0</v>
      </c>
      <c r="B92" s="47" t="s">
        <v>114</v>
      </c>
      <c r="C92" s="48">
        <v>0.2075332909198091</v>
      </c>
      <c r="D92" s="49">
        <v>0.08073064747006618</v>
      </c>
    </row>
    <row r="93" ht="14.25" customHeight="1">
      <c r="A93" s="46">
        <v>11001.0</v>
      </c>
      <c r="B93" s="47" t="s">
        <v>53</v>
      </c>
      <c r="C93" s="48">
        <v>0.26060282515930966</v>
      </c>
      <c r="D93" s="49">
        <v>0.07962928331781649</v>
      </c>
    </row>
    <row r="94" ht="14.25" customHeight="1">
      <c r="A94" s="46">
        <v>50301.0</v>
      </c>
      <c r="B94" s="47" t="s">
        <v>230</v>
      </c>
      <c r="C94" s="48">
        <v>0.28749253527820423</v>
      </c>
      <c r="D94" s="49">
        <v>0.07893273072203397</v>
      </c>
    </row>
    <row r="95" ht="14.25" customHeight="1">
      <c r="A95" s="46">
        <v>41202.0</v>
      </c>
      <c r="B95" s="47" t="s">
        <v>217</v>
      </c>
      <c r="C95" s="48">
        <v>0.25779116389982315</v>
      </c>
      <c r="D95" s="49">
        <v>0.07887067596443365</v>
      </c>
    </row>
    <row r="96" ht="14.25" customHeight="1">
      <c r="A96" s="46">
        <v>90503.0</v>
      </c>
      <c r="B96" s="47" t="s">
        <v>354</v>
      </c>
      <c r="C96" s="48">
        <v>0.3731730812815254</v>
      </c>
      <c r="D96" s="49">
        <v>0.07882948892352667</v>
      </c>
    </row>
    <row r="97" ht="14.25" customHeight="1">
      <c r="A97" s="46">
        <v>51202.0</v>
      </c>
      <c r="B97" s="47" t="s">
        <v>255</v>
      </c>
      <c r="C97" s="48">
        <v>0.30556829354625903</v>
      </c>
      <c r="D97" s="49">
        <v>0.07878632452264801</v>
      </c>
    </row>
    <row r="98" ht="14.25" customHeight="1">
      <c r="A98" s="46">
        <v>40202.0</v>
      </c>
      <c r="B98" s="47" t="s">
        <v>194</v>
      </c>
      <c r="C98" s="48">
        <v>0.21658150238678006</v>
      </c>
      <c r="D98" s="49">
        <v>0.07834619487150474</v>
      </c>
    </row>
    <row r="99" ht="14.25" customHeight="1">
      <c r="A99" s="46">
        <v>90301.0</v>
      </c>
      <c r="B99" s="47" t="s">
        <v>349</v>
      </c>
      <c r="C99" s="48">
        <v>0.33617592491960097</v>
      </c>
      <c r="D99" s="49">
        <v>0.07812736400333392</v>
      </c>
    </row>
    <row r="100" ht="14.25" customHeight="1">
      <c r="A100" s="46">
        <v>30201.0</v>
      </c>
      <c r="B100" s="47" t="s">
        <v>143</v>
      </c>
      <c r="C100" s="48">
        <v>0.24135288985553724</v>
      </c>
      <c r="D100" s="49">
        <v>0.07669878611215054</v>
      </c>
    </row>
    <row r="101" ht="14.25" customHeight="1">
      <c r="A101" s="46">
        <v>71501.0</v>
      </c>
      <c r="B101" s="47" t="s">
        <v>325</v>
      </c>
      <c r="C101" s="48">
        <v>0.2709253883178761</v>
      </c>
      <c r="D101" s="49">
        <v>0.07647004734068188</v>
      </c>
    </row>
    <row r="102" ht="14.25" customHeight="1">
      <c r="A102" s="46">
        <v>20803.0</v>
      </c>
      <c r="B102" s="47" t="s">
        <v>95</v>
      </c>
      <c r="C102" s="48">
        <v>0.2051939509507691</v>
      </c>
      <c r="D102" s="49">
        <v>0.07604271365799627</v>
      </c>
    </row>
    <row r="103" ht="14.25" customHeight="1">
      <c r="A103" s="46">
        <v>51001.0</v>
      </c>
      <c r="B103" s="47" t="s">
        <v>248</v>
      </c>
      <c r="C103" s="48">
        <v>0.2790924866127758</v>
      </c>
      <c r="D103" s="49">
        <v>0.07576456315619652</v>
      </c>
    </row>
    <row r="104" ht="14.25" customHeight="1">
      <c r="A104" s="46">
        <v>20503.0</v>
      </c>
      <c r="B104" s="47" t="s">
        <v>82</v>
      </c>
      <c r="C104" s="48">
        <v>0.2996075623576215</v>
      </c>
      <c r="D104" s="49">
        <v>0.07510160695431178</v>
      </c>
    </row>
    <row r="105" ht="14.25" customHeight="1">
      <c r="A105" s="46">
        <v>21105.0</v>
      </c>
      <c r="B105" s="47" t="s">
        <v>115</v>
      </c>
      <c r="C105" s="48">
        <v>0.37884390169242504</v>
      </c>
      <c r="D105" s="49">
        <v>0.0750371926630767</v>
      </c>
    </row>
    <row r="106" ht="14.25" customHeight="1">
      <c r="A106" s="46">
        <v>80102.0</v>
      </c>
      <c r="B106" s="47" t="s">
        <v>314</v>
      </c>
      <c r="C106" s="48">
        <v>0.24835603710074786</v>
      </c>
      <c r="D106" s="49">
        <v>0.0747620703266132</v>
      </c>
    </row>
    <row r="107" ht="14.25" customHeight="1">
      <c r="A107" s="46">
        <v>21801.0</v>
      </c>
      <c r="B107" s="47" t="s">
        <v>136</v>
      </c>
      <c r="C107" s="48">
        <v>0.3138835356459876</v>
      </c>
      <c r="D107" s="49">
        <v>0.07452883902262387</v>
      </c>
    </row>
    <row r="108" ht="14.25" customHeight="1">
      <c r="A108" s="46">
        <v>10303.0</v>
      </c>
      <c r="B108" s="47" t="s">
        <v>25</v>
      </c>
      <c r="C108" s="48">
        <v>0.34090591955091826</v>
      </c>
      <c r="D108" s="49">
        <v>0.0737989670983175</v>
      </c>
    </row>
    <row r="109" ht="14.25" customHeight="1">
      <c r="A109" s="46">
        <v>50601.0</v>
      </c>
      <c r="B109" s="47" t="s">
        <v>240</v>
      </c>
      <c r="C109" s="48">
        <v>0.25977867485753137</v>
      </c>
      <c r="D109" s="49">
        <v>0.07375222493771497</v>
      </c>
    </row>
    <row r="110" ht="14.25" customHeight="1">
      <c r="A110" s="46">
        <v>50302.0</v>
      </c>
      <c r="B110" s="47" t="s">
        <v>231</v>
      </c>
      <c r="C110" s="48">
        <v>0.2470344374811198</v>
      </c>
      <c r="D110" s="49">
        <v>0.07367123660183948</v>
      </c>
    </row>
    <row r="111" ht="14.25" customHeight="1">
      <c r="A111" s="46">
        <v>20307.0</v>
      </c>
      <c r="B111" s="47" t="s">
        <v>73</v>
      </c>
      <c r="C111" s="48">
        <v>0.261851858496666</v>
      </c>
      <c r="D111" s="49">
        <v>0.07202721936714004</v>
      </c>
    </row>
    <row r="112" ht="14.25" customHeight="1">
      <c r="A112" s="46">
        <v>20603.0</v>
      </c>
      <c r="B112" s="47" t="s">
        <v>85</v>
      </c>
      <c r="C112" s="48">
        <v>0.25396826037059744</v>
      </c>
      <c r="D112" s="49">
        <v>0.07167630239467651</v>
      </c>
    </row>
    <row r="113" ht="14.25" customHeight="1">
      <c r="A113" s="46">
        <v>40401.0</v>
      </c>
      <c r="B113" s="47" t="s">
        <v>197</v>
      </c>
      <c r="C113" s="48">
        <v>0.19799115231776263</v>
      </c>
      <c r="D113" s="49">
        <v>0.0712528156489017</v>
      </c>
    </row>
    <row r="114" ht="14.25" customHeight="1">
      <c r="A114" s="46">
        <v>40802.0</v>
      </c>
      <c r="B114" s="47" t="s">
        <v>210</v>
      </c>
      <c r="C114" s="48">
        <v>0.2581855452239595</v>
      </c>
      <c r="D114" s="49">
        <v>0.0709760530121195</v>
      </c>
    </row>
    <row r="115" ht="14.25" customHeight="1">
      <c r="A115" s="46">
        <v>41401.0</v>
      </c>
      <c r="B115" s="47" t="s">
        <v>218</v>
      </c>
      <c r="C115" s="48">
        <v>0.2456462022510101</v>
      </c>
      <c r="D115" s="49">
        <v>0.0708031081776115</v>
      </c>
    </row>
    <row r="116" ht="14.25" customHeight="1">
      <c r="A116" s="46">
        <v>20306.0</v>
      </c>
      <c r="B116" s="47" t="s">
        <v>72</v>
      </c>
      <c r="C116" s="48">
        <v>0.28956431662933846</v>
      </c>
      <c r="D116" s="49">
        <v>0.07079856718579927</v>
      </c>
    </row>
    <row r="117" ht="14.25" customHeight="1">
      <c r="A117" s="46">
        <v>10502.0</v>
      </c>
      <c r="B117" s="47" t="s">
        <v>38</v>
      </c>
      <c r="C117" s="48">
        <v>0.3460187123962251</v>
      </c>
      <c r="D117" s="49">
        <v>0.07071279292064096</v>
      </c>
    </row>
    <row r="118" ht="14.25" customHeight="1">
      <c r="A118" s="46">
        <v>10602.0</v>
      </c>
      <c r="B118" s="47" t="s">
        <v>42</v>
      </c>
      <c r="C118" s="48">
        <v>0.3178859411234751</v>
      </c>
      <c r="D118" s="49">
        <v>0.07024553801918325</v>
      </c>
    </row>
    <row r="119" ht="14.25" customHeight="1">
      <c r="A119" s="46">
        <v>41503.0</v>
      </c>
      <c r="B119" s="47" t="s">
        <v>221</v>
      </c>
      <c r="C119" s="48">
        <v>0.3558201150170394</v>
      </c>
      <c r="D119" s="49">
        <v>0.06871214538306611</v>
      </c>
    </row>
    <row r="120" ht="14.25" customHeight="1">
      <c r="A120" s="46">
        <v>31003.0</v>
      </c>
      <c r="B120" s="47" t="s">
        <v>170</v>
      </c>
      <c r="C120" s="48">
        <v>0.2661095523612881</v>
      </c>
      <c r="D120" s="49">
        <v>0.06845710151321</v>
      </c>
    </row>
    <row r="121" ht="14.25" customHeight="1">
      <c r="A121" s="46">
        <v>31301.0</v>
      </c>
      <c r="B121" s="47" t="s">
        <v>178</v>
      </c>
      <c r="C121" s="48">
        <v>0.27098027906065203</v>
      </c>
      <c r="D121" s="49">
        <v>0.06808882698601652</v>
      </c>
    </row>
    <row r="122" ht="14.25" customHeight="1">
      <c r="A122" s="46">
        <v>21301.0</v>
      </c>
      <c r="B122" s="47" t="s">
        <v>120</v>
      </c>
      <c r="C122" s="48">
        <v>0.23385075706068098</v>
      </c>
      <c r="D122" s="49">
        <v>0.0675237472688463</v>
      </c>
    </row>
    <row r="123" ht="14.25" customHeight="1">
      <c r="A123" s="46">
        <v>40502.0</v>
      </c>
      <c r="B123" s="47" t="s">
        <v>200</v>
      </c>
      <c r="C123" s="48">
        <v>0.31780054232681837</v>
      </c>
      <c r="D123" s="49">
        <v>0.06699307224505384</v>
      </c>
    </row>
    <row r="124" ht="14.25" customHeight="1">
      <c r="A124" s="46">
        <v>20402.0</v>
      </c>
      <c r="B124" s="47" t="s">
        <v>76</v>
      </c>
      <c r="C124" s="48">
        <v>0.2675116574176972</v>
      </c>
      <c r="D124" s="49">
        <v>0.06635332623579646</v>
      </c>
    </row>
    <row r="125" ht="14.25" customHeight="1">
      <c r="A125" s="46">
        <v>30502.0</v>
      </c>
      <c r="B125" s="47" t="s">
        <v>154</v>
      </c>
      <c r="C125" s="48">
        <v>0.23673016846722003</v>
      </c>
      <c r="D125" s="49">
        <v>0.06617806005799388</v>
      </c>
    </row>
    <row r="126" ht="14.25" customHeight="1">
      <c r="A126" s="46">
        <v>10401.0</v>
      </c>
      <c r="B126" s="47" t="s">
        <v>29</v>
      </c>
      <c r="C126" s="48">
        <v>0.31160401809285193</v>
      </c>
      <c r="D126" s="49">
        <v>0.06615392320544074</v>
      </c>
    </row>
    <row r="127" ht="14.25" customHeight="1">
      <c r="A127" s="46">
        <v>40201.0</v>
      </c>
      <c r="B127" s="47" t="s">
        <v>193</v>
      </c>
      <c r="C127" s="48">
        <v>0.2078645069397781</v>
      </c>
      <c r="D127" s="49">
        <v>0.0658372576473839</v>
      </c>
    </row>
    <row r="128" ht="14.25" customHeight="1">
      <c r="A128" s="46">
        <v>20403.0</v>
      </c>
      <c r="B128" s="47" t="s">
        <v>77</v>
      </c>
      <c r="C128" s="48">
        <v>0.2801767309763143</v>
      </c>
      <c r="D128" s="49">
        <v>0.06551602843558829</v>
      </c>
    </row>
    <row r="129" ht="14.25" customHeight="1">
      <c r="A129" s="46">
        <v>20605.0</v>
      </c>
      <c r="B129" s="47" t="s">
        <v>87</v>
      </c>
      <c r="C129" s="48">
        <v>0.1989671155773903</v>
      </c>
      <c r="D129" s="49">
        <v>0.0650491278839952</v>
      </c>
    </row>
    <row r="130" ht="14.25" customHeight="1">
      <c r="A130" s="46">
        <v>20202.0</v>
      </c>
      <c r="B130" s="47" t="s">
        <v>62</v>
      </c>
      <c r="C130" s="48">
        <v>0.23305902212372998</v>
      </c>
      <c r="D130" s="49">
        <v>0.06441138081866059</v>
      </c>
    </row>
    <row r="131" ht="14.25" customHeight="1">
      <c r="A131" s="46">
        <v>90501.0</v>
      </c>
      <c r="B131" s="47" t="s">
        <v>352</v>
      </c>
      <c r="C131" s="48">
        <v>0.3432126648820513</v>
      </c>
      <c r="D131" s="49">
        <v>0.06424936551704964</v>
      </c>
    </row>
    <row r="132" ht="14.25" customHeight="1">
      <c r="A132" s="46">
        <v>10402.0</v>
      </c>
      <c r="B132" s="47" t="s">
        <v>31</v>
      </c>
      <c r="C132" s="48">
        <v>0.3168922072379829</v>
      </c>
      <c r="D132" s="49">
        <v>0.06422501275981457</v>
      </c>
    </row>
    <row r="133" ht="14.25" customHeight="1">
      <c r="A133" s="46">
        <v>21902.0</v>
      </c>
      <c r="B133" s="47" t="s">
        <v>140</v>
      </c>
      <c r="C133" s="48">
        <v>0.22890443449670617</v>
      </c>
      <c r="D133" s="49">
        <v>0.06402166138884054</v>
      </c>
    </row>
    <row r="134" ht="14.25" customHeight="1">
      <c r="A134" s="46">
        <v>30401.0</v>
      </c>
      <c r="B134" s="47" t="s">
        <v>149</v>
      </c>
      <c r="C134" s="48">
        <v>0.1765517485153962</v>
      </c>
      <c r="D134" s="49">
        <v>0.0640206734579663</v>
      </c>
    </row>
    <row r="135" ht="14.25" customHeight="1">
      <c r="A135" s="46">
        <v>70303.0</v>
      </c>
      <c r="B135" s="47" t="s">
        <v>282</v>
      </c>
      <c r="C135" s="48">
        <v>0.2478054636366851</v>
      </c>
      <c r="D135" s="49">
        <v>0.06359869420859779</v>
      </c>
    </row>
    <row r="136" ht="14.25" customHeight="1">
      <c r="A136" s="46">
        <v>70804.0</v>
      </c>
      <c r="B136" s="47" t="s">
        <v>303</v>
      </c>
      <c r="C136" s="48">
        <v>0.2743191678964111</v>
      </c>
      <c r="D136" s="49">
        <v>0.06320428225203885</v>
      </c>
    </row>
    <row r="137" ht="14.25" customHeight="1">
      <c r="A137" s="46">
        <v>30803.0</v>
      </c>
      <c r="B137" s="47" t="s">
        <v>162</v>
      </c>
      <c r="C137" s="48">
        <v>0.09369720829973908</v>
      </c>
      <c r="D137" s="49">
        <v>0.06281978141618193</v>
      </c>
    </row>
    <row r="138" ht="14.25" customHeight="1">
      <c r="A138" s="46">
        <v>31405.0</v>
      </c>
      <c r="B138" s="47" t="s">
        <v>186</v>
      </c>
      <c r="C138" s="48">
        <v>0.2324550856577477</v>
      </c>
      <c r="D138" s="49">
        <v>0.06276772592344718</v>
      </c>
    </row>
    <row r="139" ht="14.25" customHeight="1">
      <c r="A139" s="46">
        <v>80802.0</v>
      </c>
      <c r="B139" s="47" t="s">
        <v>340</v>
      </c>
      <c r="C139" s="48">
        <v>0.2067065284223368</v>
      </c>
      <c r="D139" s="49">
        <v>0.06228862364959263</v>
      </c>
    </row>
    <row r="140" ht="14.25" customHeight="1">
      <c r="A140" s="46">
        <v>70501.0</v>
      </c>
      <c r="B140" s="47" t="s">
        <v>287</v>
      </c>
      <c r="C140" s="48">
        <v>0.1262141378050031</v>
      </c>
      <c r="D140" s="49">
        <v>0.06201179025932061</v>
      </c>
    </row>
    <row r="141" ht="14.25" customHeight="1">
      <c r="A141" s="46">
        <v>90302.0</v>
      </c>
      <c r="B141" s="47" t="s">
        <v>271</v>
      </c>
      <c r="C141" s="48">
        <v>0.3443374038333763</v>
      </c>
      <c r="D141" s="49">
        <v>0.06154967864350312</v>
      </c>
    </row>
    <row r="142" ht="14.25" customHeight="1">
      <c r="A142" s="46">
        <v>20905.0</v>
      </c>
      <c r="B142" s="47" t="s">
        <v>104</v>
      </c>
      <c r="C142" s="48">
        <v>0.19110597609232866</v>
      </c>
      <c r="D142" s="49">
        <v>0.06140803688134032</v>
      </c>
    </row>
    <row r="143" ht="14.25" customHeight="1">
      <c r="A143" s="46">
        <v>51402.0</v>
      </c>
      <c r="B143" s="47" t="s">
        <v>261</v>
      </c>
      <c r="C143" s="48">
        <v>0.15257841963588337</v>
      </c>
      <c r="D143" s="49">
        <v>0.06092724908024826</v>
      </c>
    </row>
    <row r="144" ht="14.25" customHeight="1">
      <c r="A144" s="46">
        <v>21004.0</v>
      </c>
      <c r="B144" s="47" t="s">
        <v>108</v>
      </c>
      <c r="C144" s="48">
        <v>0.21157854073017499</v>
      </c>
      <c r="D144" s="49">
        <v>0.060855280541709945</v>
      </c>
    </row>
    <row r="145" ht="14.25" customHeight="1">
      <c r="A145" s="46">
        <v>50201.0</v>
      </c>
      <c r="B145" s="47" t="s">
        <v>226</v>
      </c>
      <c r="C145" s="48">
        <v>0.21341542552267517</v>
      </c>
      <c r="D145" s="49">
        <v>0.06058415200180322</v>
      </c>
    </row>
    <row r="146" ht="14.25" customHeight="1">
      <c r="A146" s="46">
        <v>80801.0</v>
      </c>
      <c r="B146" s="47" t="s">
        <v>339</v>
      </c>
      <c r="C146" s="48">
        <v>0.25181700915737215</v>
      </c>
      <c r="D146" s="49">
        <v>0.060537741488162815</v>
      </c>
    </row>
    <row r="147" ht="14.25" customHeight="1">
      <c r="A147" s="46">
        <v>70302.0</v>
      </c>
      <c r="B147" s="47" t="s">
        <v>281</v>
      </c>
      <c r="C147" s="48">
        <v>0.2611091392077612</v>
      </c>
      <c r="D147" s="49">
        <v>0.06025519827740563</v>
      </c>
    </row>
    <row r="148" ht="14.25" customHeight="1">
      <c r="A148" s="46">
        <v>51102.0</v>
      </c>
      <c r="B148" s="47" t="s">
        <v>252</v>
      </c>
      <c r="C148" s="48">
        <v>0.2020348062920258</v>
      </c>
      <c r="D148" s="49">
        <v>0.059339255609009406</v>
      </c>
    </row>
    <row r="149" ht="14.25" customHeight="1">
      <c r="A149" s="46">
        <v>71101.0</v>
      </c>
      <c r="B149" s="47" t="s">
        <v>313</v>
      </c>
      <c r="C149" s="48">
        <v>0.24180138500781279</v>
      </c>
      <c r="D149" s="49">
        <v>0.05915563081137101</v>
      </c>
    </row>
    <row r="150" ht="14.25" customHeight="1">
      <c r="A150" s="46">
        <v>80304.0</v>
      </c>
      <c r="B150" s="47" t="s">
        <v>332</v>
      </c>
      <c r="C150" s="48">
        <v>0.16646334853692976</v>
      </c>
      <c r="D150" s="49">
        <v>0.058711382013002224</v>
      </c>
    </row>
    <row r="151" ht="14.25" customHeight="1">
      <c r="A151" s="46">
        <v>21901.0</v>
      </c>
      <c r="B151" s="47" t="s">
        <v>139</v>
      </c>
      <c r="C151" s="48">
        <v>0.219828539089623</v>
      </c>
      <c r="D151" s="49">
        <v>0.05854082748553448</v>
      </c>
    </row>
    <row r="152" ht="14.25" customHeight="1">
      <c r="A152" s="46">
        <v>50602.0</v>
      </c>
      <c r="B152" s="47" t="s">
        <v>241</v>
      </c>
      <c r="C152" s="48">
        <v>0.21937023488278604</v>
      </c>
      <c r="D152" s="49">
        <v>0.05816170370473543</v>
      </c>
    </row>
    <row r="153" ht="14.25" customHeight="1">
      <c r="A153" s="46">
        <v>10903.0</v>
      </c>
      <c r="B153" s="47" t="s">
        <v>52</v>
      </c>
      <c r="C153" s="48">
        <v>0.22323823023605444</v>
      </c>
      <c r="D153" s="49">
        <v>0.058088417350348046</v>
      </c>
    </row>
    <row r="154" ht="14.25" customHeight="1">
      <c r="A154" s="46">
        <v>80602.0</v>
      </c>
      <c r="B154" s="47" t="s">
        <v>336</v>
      </c>
      <c r="C154" s="48">
        <v>0.22595357122544193</v>
      </c>
      <c r="D154" s="49">
        <v>0.05778341376217512</v>
      </c>
    </row>
    <row r="155" ht="14.25" customHeight="1">
      <c r="A155" s="46">
        <v>20805.0</v>
      </c>
      <c r="B155" s="47" t="s">
        <v>97</v>
      </c>
      <c r="C155" s="48">
        <v>0.2895905351760336</v>
      </c>
      <c r="D155" s="49">
        <v>0.057150115696857635</v>
      </c>
    </row>
    <row r="156" ht="14.25" customHeight="1">
      <c r="A156" s="46">
        <v>21302.0</v>
      </c>
      <c r="B156" s="47" t="s">
        <v>121</v>
      </c>
      <c r="C156" s="48">
        <v>0.2491229450482208</v>
      </c>
      <c r="D156" s="49">
        <v>0.05692669443224641</v>
      </c>
    </row>
    <row r="157" ht="14.25" customHeight="1">
      <c r="A157" s="46">
        <v>21006.0</v>
      </c>
      <c r="B157" s="47" t="s">
        <v>110</v>
      </c>
      <c r="C157" s="48">
        <v>0.21524089212316277</v>
      </c>
      <c r="D157" s="49">
        <v>0.056924059950932616</v>
      </c>
    </row>
    <row r="158" ht="14.25" customHeight="1">
      <c r="A158" s="46">
        <v>21201.0</v>
      </c>
      <c r="B158" s="47" t="s">
        <v>116</v>
      </c>
      <c r="C158" s="48">
        <v>0.22917132256012518</v>
      </c>
      <c r="D158" s="49">
        <v>0.0567682278501066</v>
      </c>
    </row>
    <row r="159" ht="14.25" customHeight="1">
      <c r="A159" s="46">
        <v>30202.0</v>
      </c>
      <c r="B159" s="47" t="s">
        <v>144</v>
      </c>
      <c r="C159" s="48">
        <v>0.24349917233657023</v>
      </c>
      <c r="D159" s="49">
        <v>0.05671621245277756</v>
      </c>
    </row>
    <row r="160" ht="14.25" customHeight="1">
      <c r="A160" s="46">
        <v>31206.0</v>
      </c>
      <c r="B160" s="47" t="s">
        <v>177</v>
      </c>
      <c r="C160" s="48">
        <v>0.22456583680193157</v>
      </c>
      <c r="D160" s="49">
        <v>0.05653547495400861</v>
      </c>
    </row>
    <row r="161" ht="14.25" customHeight="1">
      <c r="A161" s="46">
        <v>90502.0</v>
      </c>
      <c r="B161" s="47" t="s">
        <v>353</v>
      </c>
      <c r="C161" s="48">
        <v>0.3701311742741873</v>
      </c>
      <c r="D161" s="49">
        <v>0.056293316854077805</v>
      </c>
    </row>
    <row r="162" ht="14.25" customHeight="1">
      <c r="A162" s="46">
        <v>20102.0</v>
      </c>
      <c r="B162" s="47" t="s">
        <v>57</v>
      </c>
      <c r="C162" s="48">
        <v>0.22252551542784163</v>
      </c>
      <c r="D162" s="49">
        <v>0.05578388504028541</v>
      </c>
    </row>
    <row r="163" ht="14.25" customHeight="1">
      <c r="A163" s="46">
        <v>10801.0</v>
      </c>
      <c r="B163" s="47" t="s">
        <v>49</v>
      </c>
      <c r="C163" s="48">
        <v>0.26660758854488825</v>
      </c>
      <c r="D163" s="49">
        <v>0.0555308435470184</v>
      </c>
    </row>
    <row r="164" ht="14.25" customHeight="1">
      <c r="A164" s="46">
        <v>70702.0</v>
      </c>
      <c r="B164" s="47" t="s">
        <v>294</v>
      </c>
      <c r="C164" s="48">
        <v>0.2408171513335431</v>
      </c>
      <c r="D164" s="49">
        <v>0.055473456579304914</v>
      </c>
    </row>
    <row r="165" ht="14.25" customHeight="1">
      <c r="A165" s="46">
        <v>31204.0</v>
      </c>
      <c r="B165" s="47" t="s">
        <v>175</v>
      </c>
      <c r="C165" s="48">
        <v>0.2436486136546874</v>
      </c>
      <c r="D165" s="49">
        <v>0.054996358123615745</v>
      </c>
    </row>
    <row r="166" ht="14.25" customHeight="1">
      <c r="A166" s="46">
        <v>31203.0</v>
      </c>
      <c r="B166" s="47" t="s">
        <v>174</v>
      </c>
      <c r="C166" s="48">
        <v>0.2302777308636269</v>
      </c>
      <c r="D166" s="49">
        <v>0.05498983682075353</v>
      </c>
    </row>
    <row r="167" ht="14.25" customHeight="1">
      <c r="A167" s="46">
        <v>20501.0</v>
      </c>
      <c r="B167" s="47" t="s">
        <v>80</v>
      </c>
      <c r="C167" s="48">
        <v>0.23322073331292476</v>
      </c>
      <c r="D167" s="49">
        <v>0.054784082128861274</v>
      </c>
    </row>
    <row r="168" ht="14.25" customHeight="1">
      <c r="A168" s="46">
        <v>51101.0</v>
      </c>
      <c r="B168" s="47" t="s">
        <v>251</v>
      </c>
      <c r="C168" s="48">
        <v>0.224860925462523</v>
      </c>
      <c r="D168" s="49">
        <v>0.054495727814160864</v>
      </c>
    </row>
    <row r="169" ht="14.25" customHeight="1">
      <c r="A169" s="46">
        <v>20302.0</v>
      </c>
      <c r="B169" s="47" t="s">
        <v>68</v>
      </c>
      <c r="C169" s="48">
        <v>0.31881879251436296</v>
      </c>
      <c r="D169" s="49">
        <v>0.054260052274369655</v>
      </c>
    </row>
    <row r="170" ht="14.25" customHeight="1">
      <c r="A170" s="46">
        <v>40801.0</v>
      </c>
      <c r="B170" s="47" t="s">
        <v>209</v>
      </c>
      <c r="C170" s="48">
        <v>0.23191374925670946</v>
      </c>
      <c r="D170" s="49">
        <v>0.05423455758449671</v>
      </c>
    </row>
    <row r="171" ht="14.25" customHeight="1">
      <c r="A171" s="46">
        <v>20601.0</v>
      </c>
      <c r="B171" s="47" t="s">
        <v>83</v>
      </c>
      <c r="C171" s="48">
        <v>0.23236001639836962</v>
      </c>
      <c r="D171" s="49">
        <v>0.054069775319340235</v>
      </c>
    </row>
    <row r="172" ht="14.25" customHeight="1">
      <c r="A172" s="46">
        <v>21204.0</v>
      </c>
      <c r="B172" s="47" t="s">
        <v>119</v>
      </c>
      <c r="C172" s="48">
        <v>0.17653537504588449</v>
      </c>
      <c r="D172" s="49">
        <v>0.05388626197143186</v>
      </c>
    </row>
    <row r="173" ht="14.25" customHeight="1">
      <c r="A173" s="46">
        <v>31205.0</v>
      </c>
      <c r="B173" s="47" t="s">
        <v>176</v>
      </c>
      <c r="C173" s="48">
        <v>0.2196568320537075</v>
      </c>
      <c r="D173" s="49">
        <v>0.053430778080667464</v>
      </c>
    </row>
    <row r="174" ht="14.25" customHeight="1">
      <c r="A174" s="46">
        <v>90104.0</v>
      </c>
      <c r="B174" s="47" t="s">
        <v>346</v>
      </c>
      <c r="C174" s="48">
        <v>0.28870110346397887</v>
      </c>
      <c r="D174" s="49">
        <v>0.05339569460575568</v>
      </c>
    </row>
    <row r="175" ht="14.25" customHeight="1">
      <c r="A175" s="46">
        <v>90201.0</v>
      </c>
      <c r="B175" s="47" t="s">
        <v>347</v>
      </c>
      <c r="C175" s="48">
        <v>0.21918780470934504</v>
      </c>
      <c r="D175" s="49">
        <v>0.05337215077235015</v>
      </c>
    </row>
    <row r="176" ht="14.25" customHeight="1">
      <c r="A176" s="46">
        <v>21002.0</v>
      </c>
      <c r="B176" s="47" t="s">
        <v>106</v>
      </c>
      <c r="C176" s="48">
        <v>0.18309239067109542</v>
      </c>
      <c r="D176" s="49">
        <v>0.053370232537556704</v>
      </c>
    </row>
    <row r="177" ht="14.25" customHeight="1">
      <c r="A177" s="46">
        <v>30703.0</v>
      </c>
      <c r="B177" s="47" t="s">
        <v>159</v>
      </c>
      <c r="C177" s="48">
        <v>0.27178430184421276</v>
      </c>
      <c r="D177" s="49">
        <v>0.053211321367730206</v>
      </c>
    </row>
    <row r="178" ht="14.25" customHeight="1">
      <c r="A178" s="46">
        <v>71503.0</v>
      </c>
      <c r="B178" s="47" t="s">
        <v>272</v>
      </c>
      <c r="C178" s="48">
        <v>0.2845998362181607</v>
      </c>
      <c r="D178" s="49">
        <v>0.05303958505657062</v>
      </c>
    </row>
    <row r="179" ht="14.25" customHeight="1">
      <c r="A179" s="46">
        <v>20902.0</v>
      </c>
      <c r="B179" s="47" t="s">
        <v>101</v>
      </c>
      <c r="C179" s="48">
        <v>0.2970821642428456</v>
      </c>
      <c r="D179" s="49">
        <v>0.05232170087071941</v>
      </c>
    </row>
    <row r="180" ht="14.25" customHeight="1">
      <c r="A180" s="46">
        <v>20702.0</v>
      </c>
      <c r="B180" s="47" t="s">
        <v>92</v>
      </c>
      <c r="C180" s="48">
        <v>0.3335929474531013</v>
      </c>
      <c r="D180" s="49">
        <v>0.052185182121199124</v>
      </c>
    </row>
    <row r="181" ht="14.25" customHeight="1">
      <c r="A181" s="46">
        <v>50202.0</v>
      </c>
      <c r="B181" s="47" t="s">
        <v>227</v>
      </c>
      <c r="C181" s="48">
        <v>0.24666346699599453</v>
      </c>
      <c r="D181" s="49">
        <v>0.052010515659971314</v>
      </c>
    </row>
    <row r="182" ht="14.25" customHeight="1">
      <c r="A182" s="46">
        <v>10901.0</v>
      </c>
      <c r="B182" s="47" t="s">
        <v>50</v>
      </c>
      <c r="C182" s="48">
        <v>0.29393550884359637</v>
      </c>
      <c r="D182" s="49">
        <v>0.05181967133524556</v>
      </c>
    </row>
    <row r="183" ht="14.25" customHeight="1">
      <c r="A183" s="46">
        <v>80702.0</v>
      </c>
      <c r="B183" s="47" t="s">
        <v>315</v>
      </c>
      <c r="C183" s="48">
        <v>0.19388469563848726</v>
      </c>
      <c r="D183" s="49">
        <v>0.051778526116005294</v>
      </c>
    </row>
    <row r="184" ht="14.25" customHeight="1">
      <c r="A184" s="46">
        <v>71502.0</v>
      </c>
      <c r="B184" s="47" t="s">
        <v>326</v>
      </c>
      <c r="C184" s="48">
        <v>0.24873403908662395</v>
      </c>
      <c r="D184" s="49">
        <v>0.05149348627723997</v>
      </c>
    </row>
    <row r="185" ht="14.25" customHeight="1">
      <c r="A185" s="46">
        <v>70403.0</v>
      </c>
      <c r="B185" s="47" t="s">
        <v>285</v>
      </c>
      <c r="C185" s="48">
        <v>0.21341682217871924</v>
      </c>
      <c r="D185" s="49">
        <v>0.051328674204991605</v>
      </c>
    </row>
    <row r="186" ht="14.25" customHeight="1">
      <c r="A186" s="46">
        <v>80701.0</v>
      </c>
      <c r="B186" s="47" t="s">
        <v>337</v>
      </c>
      <c r="C186" s="48">
        <v>0.2273874114804489</v>
      </c>
      <c r="D186" s="49">
        <v>0.051179304568121156</v>
      </c>
    </row>
    <row r="187" ht="14.25" customHeight="1">
      <c r="A187" s="46">
        <v>90103.0</v>
      </c>
      <c r="B187" s="47" t="s">
        <v>345</v>
      </c>
      <c r="C187" s="48">
        <v>0.3623258921564842</v>
      </c>
      <c r="D187" s="49">
        <v>0.05037544092834251</v>
      </c>
    </row>
    <row r="188" ht="14.25" customHeight="1">
      <c r="A188" s="46">
        <v>71201.0</v>
      </c>
      <c r="B188" s="47" t="s">
        <v>319</v>
      </c>
      <c r="C188" s="48">
        <v>0.23757892052262006</v>
      </c>
      <c r="D188" s="49">
        <v>0.049896221938849045</v>
      </c>
    </row>
    <row r="189" ht="14.25" customHeight="1">
      <c r="A189" s="46">
        <v>40102.0</v>
      </c>
      <c r="B189" s="47" t="s">
        <v>190</v>
      </c>
      <c r="C189" s="48">
        <v>0.22842979648603107</v>
      </c>
      <c r="D189" s="49">
        <v>0.04973867763308077</v>
      </c>
    </row>
    <row r="190" ht="14.25" customHeight="1">
      <c r="A190" s="46">
        <v>70301.0</v>
      </c>
      <c r="B190" s="47" t="s">
        <v>280</v>
      </c>
      <c r="C190" s="48">
        <v>0.19731962730525154</v>
      </c>
      <c r="D190" s="49">
        <v>0.04963003835392911</v>
      </c>
    </row>
    <row r="191" ht="14.25" customHeight="1">
      <c r="A191" s="46">
        <v>41502.0</v>
      </c>
      <c r="B191" s="47" t="s">
        <v>220</v>
      </c>
      <c r="C191" s="48">
        <v>0.3303076226303689</v>
      </c>
      <c r="D191" s="49">
        <v>0.04931393896636857</v>
      </c>
    </row>
    <row r="192" ht="14.25" customHeight="1">
      <c r="A192" s="46">
        <v>31002.0</v>
      </c>
      <c r="B192" s="47" t="s">
        <v>169</v>
      </c>
      <c r="C192" s="48">
        <v>0.18920265961996624</v>
      </c>
      <c r="D192" s="49">
        <v>0.04888578426329762</v>
      </c>
    </row>
    <row r="193" ht="14.25" customHeight="1">
      <c r="A193" s="46">
        <v>80803.0</v>
      </c>
      <c r="B193" s="47" t="s">
        <v>341</v>
      </c>
      <c r="C193" s="48">
        <v>0.22734958062774974</v>
      </c>
      <c r="D193" s="49">
        <v>0.04843118880897105</v>
      </c>
    </row>
    <row r="194" ht="14.25" customHeight="1">
      <c r="A194" s="46">
        <v>90203.0</v>
      </c>
      <c r="B194" s="47" t="s">
        <v>348</v>
      </c>
      <c r="C194" s="48">
        <v>0.296630935550253</v>
      </c>
      <c r="D194" s="49">
        <v>0.04756940223614982</v>
      </c>
    </row>
    <row r="195" ht="14.25" customHeight="1">
      <c r="A195" s="46">
        <v>21203.0</v>
      </c>
      <c r="B195" s="47" t="s">
        <v>118</v>
      </c>
      <c r="C195" s="48">
        <v>0.17246983687263692</v>
      </c>
      <c r="D195" s="49">
        <v>0.04756570838891438</v>
      </c>
    </row>
    <row r="196" ht="14.25" customHeight="1">
      <c r="A196" s="46">
        <v>21202.0</v>
      </c>
      <c r="B196" s="47" t="s">
        <v>117</v>
      </c>
      <c r="C196" s="48">
        <v>0.22224951315510655</v>
      </c>
      <c r="D196" s="49">
        <v>0.04749625134721847</v>
      </c>
    </row>
    <row r="197" ht="14.25" customHeight="1">
      <c r="A197" s="46">
        <v>21306.0</v>
      </c>
      <c r="B197" s="47" t="s">
        <v>125</v>
      </c>
      <c r="C197" s="48">
        <v>0.21897744964124516</v>
      </c>
      <c r="D197" s="49">
        <v>0.047330054963939196</v>
      </c>
    </row>
    <row r="198" ht="14.25" customHeight="1">
      <c r="A198" s="46">
        <v>40602.0</v>
      </c>
      <c r="B198" s="47" t="s">
        <v>205</v>
      </c>
      <c r="C198" s="48">
        <v>0.14663745511367793</v>
      </c>
      <c r="D198" s="49">
        <v>0.04721224333711727</v>
      </c>
    </row>
    <row r="199" ht="14.25" customHeight="1">
      <c r="A199" s="46">
        <v>30701.0</v>
      </c>
      <c r="B199" s="47" t="s">
        <v>157</v>
      </c>
      <c r="C199" s="48">
        <v>0.15589501577959736</v>
      </c>
      <c r="D199" s="49">
        <v>0.04701142984867664</v>
      </c>
    </row>
    <row r="200" ht="14.25" customHeight="1">
      <c r="A200" s="46">
        <v>21802.0</v>
      </c>
      <c r="B200" s="47" t="s">
        <v>137</v>
      </c>
      <c r="C200" s="48">
        <v>0.22228584690896686</v>
      </c>
      <c r="D200" s="49">
        <v>0.04676337348303689</v>
      </c>
    </row>
    <row r="201" ht="14.25" customHeight="1">
      <c r="A201" s="46">
        <v>20602.0</v>
      </c>
      <c r="B201" s="47" t="s">
        <v>84</v>
      </c>
      <c r="C201" s="48">
        <v>0.19857779520094568</v>
      </c>
      <c r="D201" s="49">
        <v>0.04650695811540775</v>
      </c>
    </row>
    <row r="202" ht="14.25" customHeight="1">
      <c r="A202" s="46">
        <v>31601.0</v>
      </c>
      <c r="B202" s="47" t="s">
        <v>188</v>
      </c>
      <c r="C202" s="48">
        <v>0.18684162462467205</v>
      </c>
      <c r="D202" s="49">
        <v>0.045437004369063186</v>
      </c>
    </row>
    <row r="203" ht="14.25" customHeight="1">
      <c r="A203" s="46">
        <v>20806.0</v>
      </c>
      <c r="B203" s="47" t="s">
        <v>98</v>
      </c>
      <c r="C203" s="48">
        <v>0.19409931437246147</v>
      </c>
      <c r="D203" s="49">
        <v>0.0453418360763323</v>
      </c>
    </row>
    <row r="204" ht="14.25" customHeight="1">
      <c r="A204" s="46">
        <v>10701.0</v>
      </c>
      <c r="B204" s="47" t="s">
        <v>44</v>
      </c>
      <c r="C204" s="48">
        <v>0.1978713378345938</v>
      </c>
      <c r="D204" s="49">
        <v>0.044806375997509466</v>
      </c>
    </row>
    <row r="205" ht="14.25" customHeight="1">
      <c r="A205" s="46">
        <v>60601.0</v>
      </c>
      <c r="B205" s="47" t="s">
        <v>177</v>
      </c>
      <c r="C205" s="48">
        <v>0.20054684121425645</v>
      </c>
      <c r="D205" s="49">
        <v>0.04462881731573927</v>
      </c>
    </row>
    <row r="206" ht="14.25" customHeight="1">
      <c r="A206" s="46">
        <v>22001.0</v>
      </c>
      <c r="B206" s="47" t="s">
        <v>141</v>
      </c>
      <c r="C206" s="48">
        <v>0.20623175072404368</v>
      </c>
      <c r="D206" s="49">
        <v>0.0445747474550101</v>
      </c>
    </row>
    <row r="207" ht="14.25" customHeight="1">
      <c r="A207" s="46">
        <v>40104.0</v>
      </c>
      <c r="B207" s="47" t="s">
        <v>192</v>
      </c>
      <c r="C207" s="48">
        <v>0.21899543942070754</v>
      </c>
      <c r="D207" s="49">
        <v>0.04439628109608522</v>
      </c>
    </row>
    <row r="208" ht="14.25" customHeight="1">
      <c r="A208" s="46">
        <v>21102.0</v>
      </c>
      <c r="B208" s="47" t="s">
        <v>112</v>
      </c>
      <c r="C208" s="48">
        <v>0.1793722016750786</v>
      </c>
      <c r="D208" s="49">
        <v>0.04435676998667401</v>
      </c>
    </row>
    <row r="209" ht="14.25" customHeight="1">
      <c r="A209" s="46">
        <v>21701.0</v>
      </c>
      <c r="B209" s="47" t="s">
        <v>133</v>
      </c>
      <c r="C209" s="48">
        <v>0.13156623505053333</v>
      </c>
      <c r="D209" s="49">
        <v>0.04425727030997563</v>
      </c>
    </row>
    <row r="210" ht="14.25" customHeight="1">
      <c r="A210" s="46">
        <v>21304.0</v>
      </c>
      <c r="B210" s="47" t="s">
        <v>123</v>
      </c>
      <c r="C210" s="48">
        <v>0.20934147559400895</v>
      </c>
      <c r="D210" s="49">
        <v>0.043908162704177967</v>
      </c>
    </row>
    <row r="211" ht="14.25" customHeight="1">
      <c r="A211" s="46">
        <v>41101.0</v>
      </c>
      <c r="B211" s="47" t="s">
        <v>215</v>
      </c>
      <c r="C211" s="48">
        <v>0.1686857136418186</v>
      </c>
      <c r="D211" s="49">
        <v>0.04340114876697881</v>
      </c>
    </row>
    <row r="212" ht="14.25" customHeight="1">
      <c r="A212" s="46">
        <v>10501.0</v>
      </c>
      <c r="B212" s="47" t="s">
        <v>36</v>
      </c>
      <c r="C212" s="48">
        <v>0.2119288672752989</v>
      </c>
      <c r="D212" s="49">
        <v>0.04302291476526272</v>
      </c>
    </row>
    <row r="213" ht="14.25" customHeight="1">
      <c r="A213" s="46">
        <v>20104.0</v>
      </c>
      <c r="B213" s="47" t="s">
        <v>59</v>
      </c>
      <c r="C213" s="48">
        <v>0.19516630678707056</v>
      </c>
      <c r="D213" s="49">
        <v>0.043011715984385024</v>
      </c>
    </row>
    <row r="214" ht="14.25" customHeight="1">
      <c r="A214" s="46">
        <v>60402.0</v>
      </c>
      <c r="B214" s="47" t="s">
        <v>270</v>
      </c>
      <c r="C214" s="48">
        <v>0.16359383737071279</v>
      </c>
      <c r="D214" s="49">
        <v>0.042812809530981405</v>
      </c>
    </row>
    <row r="215" ht="14.25" customHeight="1">
      <c r="A215" s="46">
        <v>70703.0</v>
      </c>
      <c r="B215" s="47" t="s">
        <v>295</v>
      </c>
      <c r="C215" s="48">
        <v>0.15913085554483733</v>
      </c>
      <c r="D215" s="49">
        <v>0.042679696294209035</v>
      </c>
    </row>
    <row r="216" ht="14.25" customHeight="1">
      <c r="A216" s="46">
        <v>40902.0</v>
      </c>
      <c r="B216" s="47" t="s">
        <v>212</v>
      </c>
      <c r="C216" s="48">
        <v>0.22756166401525932</v>
      </c>
      <c r="D216" s="49">
        <v>0.04262347989448868</v>
      </c>
    </row>
    <row r="217" ht="14.25" customHeight="1">
      <c r="A217" s="46">
        <v>80303.0</v>
      </c>
      <c r="B217" s="47" t="s">
        <v>291</v>
      </c>
      <c r="C217" s="48">
        <v>0.19870209529782748</v>
      </c>
      <c r="D217" s="49">
        <v>0.04254542242867929</v>
      </c>
    </row>
    <row r="218" ht="14.25" customHeight="1">
      <c r="A218" s="46">
        <v>20807.0</v>
      </c>
      <c r="B218" s="47" t="s">
        <v>99</v>
      </c>
      <c r="C218" s="48">
        <v>0.1690777159497784</v>
      </c>
      <c r="D218" s="49">
        <v>0.04141685410633983</v>
      </c>
    </row>
    <row r="219" ht="14.25" customHeight="1">
      <c r="A219" s="46">
        <v>70903.0</v>
      </c>
      <c r="B219" s="47" t="s">
        <v>307</v>
      </c>
      <c r="C219" s="48">
        <v>0.11065673974966683</v>
      </c>
      <c r="D219" s="49">
        <v>0.04135407720057968</v>
      </c>
    </row>
    <row r="220" ht="14.25" customHeight="1">
      <c r="A220" s="46">
        <v>90401.0</v>
      </c>
      <c r="B220" s="47" t="s">
        <v>291</v>
      </c>
      <c r="C220" s="48">
        <v>0.22257851645097895</v>
      </c>
      <c r="D220" s="49">
        <v>0.04126871939383508</v>
      </c>
    </row>
    <row r="221" ht="14.25" customHeight="1">
      <c r="A221" s="46">
        <v>20901.0</v>
      </c>
      <c r="B221" s="47" t="s">
        <v>100</v>
      </c>
      <c r="C221" s="48">
        <v>0.17638009484267342</v>
      </c>
      <c r="D221" s="49">
        <v>0.041202487788431365</v>
      </c>
    </row>
    <row r="222" ht="14.25" customHeight="1">
      <c r="A222" s="46">
        <v>40601.0</v>
      </c>
      <c r="B222" s="47" t="s">
        <v>204</v>
      </c>
      <c r="C222" s="48">
        <v>0.15158785437217634</v>
      </c>
      <c r="D222" s="49">
        <v>0.04041179442418772</v>
      </c>
    </row>
    <row r="223" ht="14.25" customHeight="1">
      <c r="A223" s="46">
        <v>21401.0</v>
      </c>
      <c r="B223" s="47" t="s">
        <v>127</v>
      </c>
      <c r="C223" s="48">
        <v>0.15305293381051818</v>
      </c>
      <c r="D223" s="49">
        <v>0.04024572668779544</v>
      </c>
    </row>
    <row r="224" ht="14.25" customHeight="1">
      <c r="A224" s="46">
        <v>71403.0</v>
      </c>
      <c r="B224" s="47" t="s">
        <v>324</v>
      </c>
      <c r="C224" s="48">
        <v>0.20351745496087104</v>
      </c>
      <c r="D224" s="49">
        <v>0.040074144766659</v>
      </c>
    </row>
    <row r="225" ht="14.25" customHeight="1">
      <c r="A225" s="46">
        <v>21307.0</v>
      </c>
      <c r="B225" s="47" t="s">
        <v>126</v>
      </c>
      <c r="C225" s="48">
        <v>0.15944746082794906</v>
      </c>
      <c r="D225" s="49">
        <v>0.039343866382815</v>
      </c>
    </row>
    <row r="226" ht="14.25" customHeight="1">
      <c r="A226" s="46">
        <v>70705.0</v>
      </c>
      <c r="B226" s="47" t="s">
        <v>297</v>
      </c>
      <c r="C226" s="48">
        <v>0.33755866790808714</v>
      </c>
      <c r="D226" s="49">
        <v>0.03927209879856646</v>
      </c>
    </row>
    <row r="227" ht="14.25" customHeight="1">
      <c r="A227" s="46">
        <v>60201.0</v>
      </c>
      <c r="B227" s="47" t="s">
        <v>264</v>
      </c>
      <c r="C227" s="48">
        <v>0.16418722095503394</v>
      </c>
      <c r="D227" s="49">
        <v>0.03923202806138486</v>
      </c>
    </row>
    <row r="228" ht="14.25" customHeight="1">
      <c r="A228" s="46">
        <v>31602.0</v>
      </c>
      <c r="B228" s="47" t="s">
        <v>189</v>
      </c>
      <c r="C228" s="48">
        <v>0.18838486297491214</v>
      </c>
      <c r="D228" s="49">
        <v>0.03909776427375358</v>
      </c>
    </row>
    <row r="229" ht="14.25" customHeight="1">
      <c r="A229" s="46">
        <v>70502.0</v>
      </c>
      <c r="B229" s="47" t="s">
        <v>288</v>
      </c>
      <c r="C229" s="48">
        <v>0.13287606157338244</v>
      </c>
      <c r="D229" s="49">
        <v>0.03898924072264594</v>
      </c>
    </row>
    <row r="230" ht="14.25" customHeight="1">
      <c r="A230" s="46">
        <v>21502.0</v>
      </c>
      <c r="B230" s="47" t="s">
        <v>130</v>
      </c>
      <c r="C230" s="48">
        <v>0.1711441214455576</v>
      </c>
      <c r="D230" s="49">
        <v>0.0389649301322354</v>
      </c>
    </row>
    <row r="231" ht="14.25" customHeight="1">
      <c r="A231" s="46">
        <v>71102.0</v>
      </c>
      <c r="B231" s="47" t="s">
        <v>314</v>
      </c>
      <c r="C231" s="48">
        <v>0.23125260697321948</v>
      </c>
      <c r="D231" s="49">
        <v>0.03892001342706653</v>
      </c>
    </row>
    <row r="232" ht="14.25" customHeight="1">
      <c r="A232" s="46">
        <v>21305.0</v>
      </c>
      <c r="B232" s="47" t="s">
        <v>124</v>
      </c>
      <c r="C232" s="48">
        <v>0.14316230095103266</v>
      </c>
      <c r="D232" s="49">
        <v>0.03835427380599372</v>
      </c>
    </row>
    <row r="233" ht="14.25" customHeight="1">
      <c r="A233" s="46">
        <v>80202.0</v>
      </c>
      <c r="B233" s="47" t="s">
        <v>329</v>
      </c>
      <c r="C233" s="48">
        <v>0.1556678153142479</v>
      </c>
      <c r="D233" s="49">
        <v>0.037818756673569515</v>
      </c>
    </row>
    <row r="234" ht="14.25" customHeight="1">
      <c r="A234" s="46">
        <v>20304.0</v>
      </c>
      <c r="B234" s="47" t="s">
        <v>70</v>
      </c>
      <c r="C234" s="48">
        <v>0.28173572076092274</v>
      </c>
      <c r="D234" s="49">
        <v>0.03768929823731025</v>
      </c>
    </row>
    <row r="235" ht="14.25" customHeight="1">
      <c r="A235" s="46">
        <v>70707.0</v>
      </c>
      <c r="B235" s="47" t="s">
        <v>299</v>
      </c>
      <c r="C235" s="48">
        <v>0.22726138366255016</v>
      </c>
      <c r="D235" s="49">
        <v>0.037669069333242836</v>
      </c>
    </row>
    <row r="236" ht="14.25" customHeight="1">
      <c r="A236" s="46">
        <v>21702.0</v>
      </c>
      <c r="B236" s="47" t="s">
        <v>134</v>
      </c>
      <c r="C236" s="48">
        <v>0.18922355429062673</v>
      </c>
      <c r="D236" s="49">
        <v>0.0376089736201699</v>
      </c>
    </row>
    <row r="237" ht="14.25" customHeight="1">
      <c r="A237" s="46">
        <v>80703.0</v>
      </c>
      <c r="B237" s="47" t="s">
        <v>338</v>
      </c>
      <c r="C237" s="48">
        <v>0.21237525515213695</v>
      </c>
      <c r="D237" s="49">
        <v>0.03758624342440233</v>
      </c>
    </row>
    <row r="238" ht="14.25" customHeight="1">
      <c r="A238" s="46">
        <v>71103.0</v>
      </c>
      <c r="B238" s="47" t="s">
        <v>315</v>
      </c>
      <c r="C238" s="48">
        <v>0.16308197750468334</v>
      </c>
      <c r="D238" s="49">
        <v>0.03678115379817433</v>
      </c>
    </row>
    <row r="239" ht="14.25" customHeight="1">
      <c r="A239" s="46">
        <v>71301.0</v>
      </c>
      <c r="B239" s="47" t="s">
        <v>320</v>
      </c>
      <c r="C239" s="48">
        <v>0.15793893109285076</v>
      </c>
      <c r="D239" s="49">
        <v>0.03666490486775031</v>
      </c>
    </row>
    <row r="240" ht="14.25" customHeight="1">
      <c r="A240" s="46">
        <v>20204.0</v>
      </c>
      <c r="B240" s="47" t="s">
        <v>64</v>
      </c>
      <c r="C240" s="48">
        <v>0.15563639580532015</v>
      </c>
      <c r="D240" s="49">
        <v>0.03648077089429276</v>
      </c>
    </row>
    <row r="241" ht="14.25" customHeight="1">
      <c r="A241" s="46">
        <v>21003.0</v>
      </c>
      <c r="B241" s="47" t="s">
        <v>107</v>
      </c>
      <c r="C241" s="48">
        <v>0.1356285897423171</v>
      </c>
      <c r="D241" s="49">
        <v>0.03615577542899308</v>
      </c>
    </row>
    <row r="242" ht="14.25" customHeight="1">
      <c r="A242" s="46">
        <v>30203.0</v>
      </c>
      <c r="B242" s="47" t="s">
        <v>145</v>
      </c>
      <c r="C242" s="48">
        <v>0.18936818142002973</v>
      </c>
      <c r="D242" s="49">
        <v>0.036138565303251824</v>
      </c>
    </row>
    <row r="243" ht="14.25" customHeight="1">
      <c r="A243" s="46">
        <v>20203.0</v>
      </c>
      <c r="B243" s="47" t="s">
        <v>63</v>
      </c>
      <c r="C243" s="48">
        <v>0.18065578358160395</v>
      </c>
      <c r="D243" s="49">
        <v>0.03574135990391312</v>
      </c>
    </row>
    <row r="244" ht="14.25" customHeight="1">
      <c r="A244" s="46">
        <v>60501.0</v>
      </c>
      <c r="B244" s="47" t="s">
        <v>271</v>
      </c>
      <c r="C244" s="48">
        <v>0.13880886187657981</v>
      </c>
      <c r="D244" s="49">
        <v>0.03565036930465414</v>
      </c>
    </row>
    <row r="245" ht="14.25" customHeight="1">
      <c r="A245" s="46">
        <v>90102.0</v>
      </c>
      <c r="B245" s="47" t="s">
        <v>344</v>
      </c>
      <c r="C245" s="48">
        <v>0.1671240078177029</v>
      </c>
      <c r="D245" s="49">
        <v>0.035558976727745044</v>
      </c>
    </row>
    <row r="246" ht="14.25" customHeight="1">
      <c r="A246" s="46">
        <v>80101.0</v>
      </c>
      <c r="B246" s="47" t="s">
        <v>327</v>
      </c>
      <c r="C246" s="48">
        <v>0.14477510261813106</v>
      </c>
      <c r="D246" s="49">
        <v>0.034781516926696614</v>
      </c>
    </row>
    <row r="247" ht="14.25" customHeight="1">
      <c r="A247" s="46">
        <v>20201.0</v>
      </c>
      <c r="B247" s="47" t="s">
        <v>61</v>
      </c>
      <c r="C247" s="48">
        <v>0.16186500261882283</v>
      </c>
      <c r="D247" s="49">
        <v>0.03473336702440217</v>
      </c>
    </row>
    <row r="248" ht="14.25" customHeight="1">
      <c r="A248" s="46">
        <v>40901.0</v>
      </c>
      <c r="B248" s="47" t="s">
        <v>211</v>
      </c>
      <c r="C248" s="48">
        <v>0.1948573429391422</v>
      </c>
      <c r="D248" s="49">
        <v>0.03452164783505393</v>
      </c>
    </row>
    <row r="249" ht="14.25" customHeight="1">
      <c r="A249" s="46">
        <v>40503.0</v>
      </c>
      <c r="B249" s="47" t="s">
        <v>201</v>
      </c>
      <c r="C249" s="48">
        <v>0.28542983039061476</v>
      </c>
      <c r="D249" s="49">
        <v>0.03430825415986221</v>
      </c>
    </row>
    <row r="250" ht="14.25" customHeight="1">
      <c r="A250" s="46">
        <v>10404.0</v>
      </c>
      <c r="B250" s="47" t="s">
        <v>34</v>
      </c>
      <c r="C250" s="48">
        <v>0.27754793174635733</v>
      </c>
      <c r="D250" s="49">
        <v>0.034256301955166206</v>
      </c>
    </row>
    <row r="251" ht="14.25" customHeight="1">
      <c r="A251" s="46">
        <v>40505.0</v>
      </c>
      <c r="B251" s="47" t="s">
        <v>203</v>
      </c>
      <c r="C251" s="48">
        <v>0.14876819173583672</v>
      </c>
      <c r="D251" s="49">
        <v>0.03362724845803872</v>
      </c>
    </row>
    <row r="252" ht="14.25" customHeight="1">
      <c r="A252" s="46">
        <v>50902.0</v>
      </c>
      <c r="B252" s="47" t="s">
        <v>247</v>
      </c>
      <c r="C252" s="48">
        <v>0.18280290772567442</v>
      </c>
      <c r="D252" s="49">
        <v>0.03334067780610669</v>
      </c>
    </row>
    <row r="253" ht="14.25" customHeight="1">
      <c r="A253" s="46">
        <v>30802.0</v>
      </c>
      <c r="B253" s="47" t="s">
        <v>161</v>
      </c>
      <c r="C253" s="48">
        <v>0.11697153801314018</v>
      </c>
      <c r="D253" s="49">
        <v>0.031920508664439566</v>
      </c>
    </row>
    <row r="254" ht="14.25" customHeight="1">
      <c r="A254" s="46">
        <v>20205.0</v>
      </c>
      <c r="B254" s="47" t="s">
        <v>65</v>
      </c>
      <c r="C254" s="48">
        <v>0.08127916819101387</v>
      </c>
      <c r="D254" s="49">
        <v>0.03157755473343585</v>
      </c>
    </row>
    <row r="255" ht="14.25" customHeight="1">
      <c r="A255" s="46">
        <v>11003.0</v>
      </c>
      <c r="B255" s="47" t="s">
        <v>55</v>
      </c>
      <c r="C255" s="48">
        <v>0.22871455795489487</v>
      </c>
      <c r="D255" s="49">
        <v>0.0312728269159238</v>
      </c>
    </row>
    <row r="256" ht="14.25" customHeight="1">
      <c r="A256" s="46">
        <v>50103.0</v>
      </c>
      <c r="B256" s="47" t="s">
        <v>224</v>
      </c>
      <c r="C256" s="48">
        <v>0.1504374539875169</v>
      </c>
      <c r="D256" s="49">
        <v>0.030959696482580065</v>
      </c>
    </row>
    <row r="257" ht="14.25" customHeight="1">
      <c r="A257" s="46">
        <v>20103.0</v>
      </c>
      <c r="B257" s="47" t="s">
        <v>58</v>
      </c>
      <c r="C257" s="48">
        <v>0.16741823228286085</v>
      </c>
      <c r="D257" s="49">
        <v>0.0302940991414884</v>
      </c>
    </row>
    <row r="258" ht="14.25" customHeight="1">
      <c r="A258" s="46">
        <v>30902.0</v>
      </c>
      <c r="B258" s="47" t="s">
        <v>164</v>
      </c>
      <c r="C258" s="48">
        <v>0.12122890630918029</v>
      </c>
      <c r="D258" s="49">
        <v>0.02988264745808719</v>
      </c>
    </row>
    <row r="259" ht="14.25" customHeight="1">
      <c r="A259" s="46">
        <v>51201.0</v>
      </c>
      <c r="B259" s="47" t="s">
        <v>254</v>
      </c>
      <c r="C259" s="48">
        <v>0.16844077266702534</v>
      </c>
      <c r="D259" s="49">
        <v>0.029697054042919876</v>
      </c>
    </row>
    <row r="260" ht="14.25" customHeight="1">
      <c r="A260" s="46">
        <v>71004.0</v>
      </c>
      <c r="B260" s="47" t="s">
        <v>312</v>
      </c>
      <c r="C260" s="48">
        <v>0.13263285361122393</v>
      </c>
      <c r="D260" s="49">
        <v>0.02963838623066039</v>
      </c>
    </row>
    <row r="261" ht="14.25" customHeight="1">
      <c r="A261" s="46">
        <v>11002.0</v>
      </c>
      <c r="B261" s="47" t="s">
        <v>54</v>
      </c>
      <c r="C261" s="48">
        <v>0.2982937725373579</v>
      </c>
      <c r="D261" s="49">
        <v>0.029375712229474688</v>
      </c>
    </row>
    <row r="262" ht="14.25" customHeight="1">
      <c r="A262" s="46">
        <v>10102.0</v>
      </c>
      <c r="B262" s="47" t="s">
        <v>13</v>
      </c>
      <c r="C262" s="48">
        <v>0.1433289336710709</v>
      </c>
      <c r="D262" s="49">
        <v>0.028705766647722245</v>
      </c>
    </row>
    <row r="263" ht="14.25" customHeight="1">
      <c r="A263" s="46">
        <v>70602.0</v>
      </c>
      <c r="B263" s="47" t="s">
        <v>291</v>
      </c>
      <c r="C263" s="48">
        <v>0.2309474963809589</v>
      </c>
      <c r="D263" s="49">
        <v>0.028690427644360184</v>
      </c>
    </row>
    <row r="264" ht="14.25" customHeight="1">
      <c r="A264" s="46">
        <v>60401.0</v>
      </c>
      <c r="B264" s="47" t="s">
        <v>269</v>
      </c>
      <c r="C264" s="48">
        <v>0.14590270982049802</v>
      </c>
      <c r="D264" s="49">
        <v>0.028453918107897925</v>
      </c>
    </row>
    <row r="265" ht="14.25" customHeight="1">
      <c r="A265" s="46">
        <v>20606.0</v>
      </c>
      <c r="B265" s="47" t="s">
        <v>88</v>
      </c>
      <c r="C265" s="48">
        <v>0.11753884181136591</v>
      </c>
      <c r="D265" s="49">
        <v>0.028350062333775523</v>
      </c>
    </row>
    <row r="266" ht="14.25" customHeight="1">
      <c r="A266" s="46">
        <v>20802.0</v>
      </c>
      <c r="B266" s="47" t="s">
        <v>94</v>
      </c>
      <c r="C266" s="48">
        <v>0.15023161730873183</v>
      </c>
      <c r="D266" s="49">
        <v>0.028322440809478946</v>
      </c>
    </row>
    <row r="267" ht="14.25" customHeight="1">
      <c r="A267" s="46">
        <v>70404.0</v>
      </c>
      <c r="B267" s="47" t="s">
        <v>286</v>
      </c>
      <c r="C267" s="48">
        <v>0.187587372375318</v>
      </c>
      <c r="D267" s="49">
        <v>0.028240969866793555</v>
      </c>
    </row>
    <row r="268" ht="14.25" customHeight="1">
      <c r="A268" s="46">
        <v>70803.0</v>
      </c>
      <c r="B268" s="47" t="s">
        <v>302</v>
      </c>
      <c r="C268" s="48">
        <v>0.20264050890799873</v>
      </c>
      <c r="D268" s="49">
        <v>0.027646798758044985</v>
      </c>
    </row>
    <row r="269" ht="14.25" customHeight="1">
      <c r="A269" s="46">
        <v>70904.0</v>
      </c>
      <c r="B269" s="47" t="s">
        <v>308</v>
      </c>
      <c r="C269" s="48">
        <v>0.13616632755444916</v>
      </c>
      <c r="D269" s="49">
        <v>0.027596224406186275</v>
      </c>
    </row>
    <row r="270" ht="14.25" customHeight="1">
      <c r="A270" s="46">
        <v>70901.0</v>
      </c>
      <c r="B270" s="47" t="s">
        <v>305</v>
      </c>
      <c r="C270" s="48">
        <v>0.15673713161014927</v>
      </c>
      <c r="D270" s="49">
        <v>0.027579607415120458</v>
      </c>
    </row>
    <row r="271" ht="14.25" customHeight="1">
      <c r="A271" s="46">
        <v>70805.0</v>
      </c>
      <c r="B271" s="47" t="s">
        <v>304</v>
      </c>
      <c r="C271" s="48">
        <v>0.24343533611681778</v>
      </c>
      <c r="D271" s="49">
        <v>0.027487418436778606</v>
      </c>
    </row>
    <row r="272" ht="14.25" customHeight="1">
      <c r="A272" s="46">
        <v>31402.0</v>
      </c>
      <c r="B272" s="47" t="s">
        <v>183</v>
      </c>
      <c r="C272" s="48">
        <v>0.11554297413362828</v>
      </c>
      <c r="D272" s="49">
        <v>0.027237052440309818</v>
      </c>
    </row>
    <row r="273" ht="14.25" customHeight="1">
      <c r="A273" s="46">
        <v>70402.0</v>
      </c>
      <c r="B273" s="47" t="s">
        <v>284</v>
      </c>
      <c r="C273" s="48">
        <v>0.18193817412957933</v>
      </c>
      <c r="D273" s="49">
        <v>0.0272116128526453</v>
      </c>
    </row>
    <row r="274" ht="14.25" customHeight="1">
      <c r="A274" s="46">
        <v>71002.0</v>
      </c>
      <c r="B274" s="47" t="s">
        <v>310</v>
      </c>
      <c r="C274" s="48">
        <v>0.1389248482288259</v>
      </c>
      <c r="D274" s="49">
        <v>0.02714385975692191</v>
      </c>
    </row>
    <row r="275" ht="14.25" customHeight="1">
      <c r="A275" s="46">
        <v>40603.0</v>
      </c>
      <c r="B275" s="47" t="s">
        <v>206</v>
      </c>
      <c r="C275" s="48">
        <v>0.11974811897295552</v>
      </c>
      <c r="D275" s="49">
        <v>0.026943587534152623</v>
      </c>
    </row>
    <row r="276" ht="14.25" customHeight="1">
      <c r="A276" s="46">
        <v>30702.0</v>
      </c>
      <c r="B276" s="47" t="s">
        <v>158</v>
      </c>
      <c r="C276" s="48">
        <v>0.14555416339025576</v>
      </c>
      <c r="D276" s="49">
        <v>0.026800598438484213</v>
      </c>
    </row>
    <row r="277" ht="14.25" customHeight="1">
      <c r="A277" s="46">
        <v>70902.0</v>
      </c>
      <c r="B277" s="47" t="s">
        <v>306</v>
      </c>
      <c r="C277" s="48">
        <v>0.14959755157577842</v>
      </c>
      <c r="D277" s="49">
        <v>0.02671941219767555</v>
      </c>
    </row>
    <row r="278" ht="14.25" customHeight="1">
      <c r="A278" s="46">
        <v>30501.0</v>
      </c>
      <c r="B278" s="47" t="s">
        <v>153</v>
      </c>
      <c r="C278" s="48">
        <v>0.12212297690201192</v>
      </c>
      <c r="D278" s="49">
        <v>0.026219488352461653</v>
      </c>
    </row>
    <row r="279" ht="14.25" customHeight="1">
      <c r="A279" s="46">
        <v>50901.0</v>
      </c>
      <c r="B279" s="47" t="s">
        <v>246</v>
      </c>
      <c r="C279" s="48">
        <v>0.2160260694332315</v>
      </c>
      <c r="D279" s="49">
        <v>0.025994163339523358</v>
      </c>
    </row>
    <row r="280" ht="14.25" customHeight="1">
      <c r="A280" s="46">
        <v>50203.0</v>
      </c>
      <c r="B280" s="47" t="s">
        <v>228</v>
      </c>
      <c r="C280" s="48">
        <v>0.11580874050512402</v>
      </c>
      <c r="D280" s="49">
        <v>0.025776349416418865</v>
      </c>
    </row>
    <row r="281" ht="14.25" customHeight="1">
      <c r="A281" s="46">
        <v>71302.0</v>
      </c>
      <c r="B281" s="47" t="s">
        <v>321</v>
      </c>
      <c r="C281" s="48">
        <v>0.15766082298128228</v>
      </c>
      <c r="D281" s="49">
        <v>0.025437321092466977</v>
      </c>
    </row>
    <row r="282" ht="14.25" customHeight="1">
      <c r="A282" s="46">
        <v>71105.0</v>
      </c>
      <c r="B282" s="47" t="s">
        <v>317</v>
      </c>
      <c r="C282" s="48">
        <v>0.18605395313097703</v>
      </c>
      <c r="D282" s="49">
        <v>0.02474241443861265</v>
      </c>
    </row>
    <row r="283" ht="14.25" customHeight="1">
      <c r="A283" s="46">
        <v>51203.0</v>
      </c>
      <c r="B283" s="47" t="s">
        <v>256</v>
      </c>
      <c r="C283" s="48">
        <v>0.1317384602189834</v>
      </c>
      <c r="D283" s="49">
        <v>0.0244071083836871</v>
      </c>
    </row>
    <row r="284" ht="14.25" customHeight="1">
      <c r="A284" s="46">
        <v>51601.0</v>
      </c>
      <c r="B284" s="47" t="s">
        <v>263</v>
      </c>
      <c r="C284" s="48">
        <v>0.23874056726260093</v>
      </c>
      <c r="D284" s="49">
        <v>0.024402148028942014</v>
      </c>
    </row>
    <row r="285" ht="14.25" customHeight="1">
      <c r="A285" s="46">
        <v>70701.0</v>
      </c>
      <c r="B285" s="47" t="s">
        <v>293</v>
      </c>
      <c r="C285" s="48">
        <v>0.25104016768072457</v>
      </c>
      <c r="D285" s="49">
        <v>0.023588912707803313</v>
      </c>
    </row>
    <row r="286" ht="14.25" customHeight="1">
      <c r="A286" s="46">
        <v>60502.0</v>
      </c>
      <c r="B286" s="47" t="s">
        <v>272</v>
      </c>
      <c r="C286" s="48">
        <v>0.13930757649632866</v>
      </c>
      <c r="D286" s="49">
        <v>0.02336333216404145</v>
      </c>
    </row>
    <row r="287" ht="14.25" customHeight="1">
      <c r="A287" s="46">
        <v>50801.0</v>
      </c>
      <c r="B287" s="47" t="s">
        <v>244</v>
      </c>
      <c r="C287" s="48">
        <v>0.1326984742470124</v>
      </c>
      <c r="D287" s="49">
        <v>0.02331063573103186</v>
      </c>
    </row>
    <row r="288" ht="14.25" customHeight="1">
      <c r="A288" s="46">
        <v>70704.0</v>
      </c>
      <c r="B288" s="47" t="s">
        <v>296</v>
      </c>
      <c r="C288" s="48">
        <v>0.2393537954181807</v>
      </c>
      <c r="D288" s="49">
        <v>0.02269155049518799</v>
      </c>
    </row>
    <row r="289" ht="14.25" customHeight="1">
      <c r="A289" s="46">
        <v>60303.0</v>
      </c>
      <c r="B289" s="47" t="s">
        <v>268</v>
      </c>
      <c r="C289" s="48">
        <v>0.10024110105309608</v>
      </c>
      <c r="D289" s="49">
        <v>0.02247675177164634</v>
      </c>
    </row>
    <row r="290" ht="14.25" customHeight="1">
      <c r="A290" s="46">
        <v>20607.0</v>
      </c>
      <c r="B290" s="47" t="s">
        <v>89</v>
      </c>
      <c r="C290" s="48">
        <v>0.11478833033183472</v>
      </c>
      <c r="D290" s="49">
        <v>0.0220187853400319</v>
      </c>
    </row>
    <row r="291" ht="14.25" customHeight="1">
      <c r="A291" s="46">
        <v>71005.0</v>
      </c>
      <c r="B291" s="47" t="s">
        <v>238</v>
      </c>
      <c r="C291" s="48">
        <v>0.11515593314185724</v>
      </c>
      <c r="D291" s="49">
        <v>0.02181097761722078</v>
      </c>
    </row>
    <row r="292" ht="14.25" customHeight="1">
      <c r="A292" s="46">
        <v>70102.0</v>
      </c>
      <c r="B292" s="47" t="s">
        <v>274</v>
      </c>
      <c r="C292" s="48">
        <v>0.10105465024637168</v>
      </c>
      <c r="D292" s="49">
        <v>0.021693527843200635</v>
      </c>
    </row>
    <row r="293" ht="14.25" customHeight="1">
      <c r="A293" s="46">
        <v>20801.0</v>
      </c>
      <c r="B293" s="47" t="s">
        <v>93</v>
      </c>
      <c r="C293" s="48">
        <v>0.12702343070145902</v>
      </c>
      <c r="D293" s="49">
        <v>0.02167447995767296</v>
      </c>
    </row>
    <row r="294" ht="14.25" customHeight="1">
      <c r="A294" s="46">
        <v>30101.0</v>
      </c>
      <c r="B294" s="47" t="s">
        <v>16</v>
      </c>
      <c r="C294" s="48">
        <v>0.08762299313465954</v>
      </c>
      <c r="D294" s="49">
        <v>0.021375627857183128</v>
      </c>
    </row>
    <row r="295" ht="14.25" customHeight="1">
      <c r="A295" s="46">
        <v>70503.0</v>
      </c>
      <c r="B295" s="47" t="s">
        <v>289</v>
      </c>
      <c r="C295" s="48">
        <v>0.09380871768111082</v>
      </c>
      <c r="D295" s="49">
        <v>0.021318451184561313</v>
      </c>
    </row>
    <row r="296" ht="14.25" customHeight="1">
      <c r="A296" s="46">
        <v>30904.0</v>
      </c>
      <c r="B296" s="47" t="s">
        <v>166</v>
      </c>
      <c r="C296" s="48">
        <v>0.10918735523994642</v>
      </c>
      <c r="D296" s="49">
        <v>0.02122860343242672</v>
      </c>
    </row>
    <row r="297" ht="14.25" customHeight="1">
      <c r="A297" s="46">
        <v>51501.0</v>
      </c>
      <c r="B297" s="47" t="s">
        <v>262</v>
      </c>
      <c r="C297" s="48">
        <v>0.1122786652431653</v>
      </c>
      <c r="D297" s="49">
        <v>0.021100755005964162</v>
      </c>
    </row>
    <row r="298" ht="14.25" customHeight="1">
      <c r="A298" s="46">
        <v>71104.0</v>
      </c>
      <c r="B298" s="47" t="s">
        <v>316</v>
      </c>
      <c r="C298" s="48">
        <v>0.1518839424116408</v>
      </c>
      <c r="D298" s="49">
        <v>0.02104754836707165</v>
      </c>
    </row>
    <row r="299" ht="14.25" customHeight="1">
      <c r="A299" s="46">
        <v>31404.0</v>
      </c>
      <c r="B299" s="47" t="s">
        <v>185</v>
      </c>
      <c r="C299" s="48">
        <v>0.19478738540208632</v>
      </c>
      <c r="D299" s="49">
        <v>0.02097417274707937</v>
      </c>
    </row>
    <row r="300" ht="14.25" customHeight="1">
      <c r="A300" s="46">
        <v>70401.0</v>
      </c>
      <c r="B300" s="47" t="s">
        <v>283</v>
      </c>
      <c r="C300" s="48">
        <v>0.1349554615687411</v>
      </c>
      <c r="D300" s="49">
        <v>0.020916744194693075</v>
      </c>
    </row>
    <row r="301" ht="14.25" customHeight="1">
      <c r="A301" s="46">
        <v>20206.0</v>
      </c>
      <c r="B301" s="47" t="s">
        <v>66</v>
      </c>
      <c r="C301" s="48">
        <v>0.14894833475228691</v>
      </c>
      <c r="D301" s="49">
        <v>0.020836092878013177</v>
      </c>
    </row>
    <row r="302" ht="14.25" customHeight="1">
      <c r="A302" s="46">
        <v>40702.0</v>
      </c>
      <c r="B302" s="47" t="s">
        <v>208</v>
      </c>
      <c r="C302" s="48">
        <v>0.098406003314986</v>
      </c>
      <c r="D302" s="49">
        <v>0.020295102246717458</v>
      </c>
    </row>
    <row r="303" ht="14.25" customHeight="1">
      <c r="A303" s="46">
        <v>21103.0</v>
      </c>
      <c r="B303" s="47" t="s">
        <v>113</v>
      </c>
      <c r="C303" s="48">
        <v>0.10869019699816244</v>
      </c>
      <c r="D303" s="49">
        <v>0.020252444030977364</v>
      </c>
    </row>
    <row r="304" ht="14.25" customHeight="1">
      <c r="A304" s="46">
        <v>21402.0</v>
      </c>
      <c r="B304" s="47" t="s">
        <v>128</v>
      </c>
      <c r="C304" s="48">
        <v>0.08641460154184233</v>
      </c>
      <c r="D304" s="49">
        <v>0.020163245259925053</v>
      </c>
    </row>
    <row r="305" ht="14.25" customHeight="1">
      <c r="A305" s="46">
        <v>70603.0</v>
      </c>
      <c r="B305" s="47" t="s">
        <v>292</v>
      </c>
      <c r="C305" s="48">
        <v>0.13324428459084836</v>
      </c>
      <c r="D305" s="49">
        <v>0.020130851083384967</v>
      </c>
    </row>
    <row r="306" ht="14.25" customHeight="1">
      <c r="A306" s="46">
        <v>71106.0</v>
      </c>
      <c r="B306" s="47" t="s">
        <v>318</v>
      </c>
      <c r="C306" s="48">
        <v>0.11718136671525776</v>
      </c>
      <c r="D306" s="49">
        <v>0.01991344439994258</v>
      </c>
    </row>
    <row r="307" ht="14.25" customHeight="1">
      <c r="A307" s="46">
        <v>71003.0</v>
      </c>
      <c r="B307" s="47" t="s">
        <v>311</v>
      </c>
      <c r="C307" s="48">
        <v>0.14927901677210928</v>
      </c>
      <c r="D307" s="49">
        <v>0.019789366115873435</v>
      </c>
    </row>
    <row r="308" ht="14.25" customHeight="1">
      <c r="A308" s="46">
        <v>31001.0</v>
      </c>
      <c r="B308" s="47" t="s">
        <v>168</v>
      </c>
      <c r="C308" s="48">
        <v>0.0955438011710373</v>
      </c>
      <c r="D308" s="49">
        <v>0.019667848234076593</v>
      </c>
    </row>
    <row r="309" ht="14.25" customHeight="1">
      <c r="A309" s="46">
        <v>71402.0</v>
      </c>
      <c r="B309" s="47" t="s">
        <v>323</v>
      </c>
      <c r="C309" s="48">
        <v>0.10468343208628449</v>
      </c>
      <c r="D309" s="49">
        <v>0.019508156919801373</v>
      </c>
    </row>
    <row r="310" ht="14.25" customHeight="1">
      <c r="A310" s="46">
        <v>21101.0</v>
      </c>
      <c r="B310" s="47" t="s">
        <v>111</v>
      </c>
      <c r="C310" s="48">
        <v>0.1143446407536101</v>
      </c>
      <c r="D310" s="49">
        <v>0.01949242491061887</v>
      </c>
    </row>
    <row r="311" ht="14.25" customHeight="1">
      <c r="A311" s="46">
        <v>90101.0</v>
      </c>
      <c r="B311" s="47" t="s">
        <v>343</v>
      </c>
      <c r="C311" s="48">
        <v>0.11237211904187175</v>
      </c>
      <c r="D311" s="49">
        <v>0.01921776182753762</v>
      </c>
    </row>
    <row r="312" ht="14.25" customHeight="1">
      <c r="A312" s="46">
        <v>31401.0</v>
      </c>
      <c r="B312" s="47" t="s">
        <v>182</v>
      </c>
      <c r="C312" s="48">
        <v>0.059130914578908594</v>
      </c>
      <c r="D312" s="49">
        <v>0.0189359962483112</v>
      </c>
    </row>
    <row r="313" ht="14.25" customHeight="1">
      <c r="A313" s="46">
        <v>60302.0</v>
      </c>
      <c r="B313" s="47" t="s">
        <v>267</v>
      </c>
      <c r="C313" s="48">
        <v>0.07394886632102123</v>
      </c>
      <c r="D313" s="49">
        <v>0.01810445994261827</v>
      </c>
    </row>
    <row r="314" ht="14.25" customHeight="1">
      <c r="A314" s="46">
        <v>70105.0</v>
      </c>
      <c r="B314" s="47" t="s">
        <v>277</v>
      </c>
      <c r="C314" s="48">
        <v>0.12870693369673192</v>
      </c>
      <c r="D314" s="49">
        <v>0.018066765521397042</v>
      </c>
    </row>
    <row r="315" ht="14.25" customHeight="1">
      <c r="A315" s="46">
        <v>50802.0</v>
      </c>
      <c r="B315" s="47" t="s">
        <v>245</v>
      </c>
      <c r="C315" s="48">
        <v>0.0832469270083191</v>
      </c>
      <c r="D315" s="49">
        <v>0.017899216271513235</v>
      </c>
    </row>
    <row r="316" ht="14.25" customHeight="1">
      <c r="A316" s="46">
        <v>60301.0</v>
      </c>
      <c r="B316" s="47" t="s">
        <v>266</v>
      </c>
      <c r="C316" s="48">
        <v>0.0730102026690747</v>
      </c>
      <c r="D316" s="49">
        <v>0.01768758103048126</v>
      </c>
    </row>
    <row r="317" ht="14.25" customHeight="1">
      <c r="A317" s="46">
        <v>31403.0</v>
      </c>
      <c r="B317" s="47" t="s">
        <v>184</v>
      </c>
      <c r="C317" s="48">
        <v>0.09304912491628768</v>
      </c>
      <c r="D317" s="49">
        <v>0.017631812740352856</v>
      </c>
    </row>
    <row r="318" ht="14.25" customHeight="1">
      <c r="A318" s="46">
        <v>71401.0</v>
      </c>
      <c r="B318" s="47" t="s">
        <v>322</v>
      </c>
      <c r="C318" s="48">
        <v>0.09282366375009302</v>
      </c>
      <c r="D318" s="49">
        <v>0.01690196764385486</v>
      </c>
    </row>
    <row r="319" ht="14.25" customHeight="1">
      <c r="A319" s="46">
        <v>70201.0</v>
      </c>
      <c r="B319" s="47" t="s">
        <v>278</v>
      </c>
      <c r="C319" s="48">
        <v>0.10296420505394388</v>
      </c>
      <c r="D319" s="49">
        <v>0.016759539704642272</v>
      </c>
    </row>
    <row r="320" ht="14.25" customHeight="1">
      <c r="A320" s="46">
        <v>51401.0</v>
      </c>
      <c r="B320" s="47" t="s">
        <v>260</v>
      </c>
      <c r="C320" s="48">
        <v>0.2368883371278363</v>
      </c>
      <c r="D320" s="49">
        <v>0.016602179302819483</v>
      </c>
    </row>
    <row r="321" ht="14.25" customHeight="1">
      <c r="A321" s="46">
        <v>71001.0</v>
      </c>
      <c r="B321" s="47" t="s">
        <v>309</v>
      </c>
      <c r="C321" s="48">
        <v>0.08388133843637657</v>
      </c>
      <c r="D321" s="49">
        <v>0.015256994390341847</v>
      </c>
    </row>
    <row r="322" ht="14.25" customHeight="1">
      <c r="A322" s="46">
        <v>70801.0</v>
      </c>
      <c r="B322" s="47" t="s">
        <v>300</v>
      </c>
      <c r="C322" s="48">
        <v>0.1410124140602403</v>
      </c>
      <c r="D322" s="49">
        <v>0.015226484433288967</v>
      </c>
    </row>
    <row r="323" ht="14.25" customHeight="1">
      <c r="A323" s="46">
        <v>30903.0</v>
      </c>
      <c r="B323" s="47" t="s">
        <v>165</v>
      </c>
      <c r="C323" s="48">
        <v>0.09964449750354731</v>
      </c>
      <c r="D323" s="49">
        <v>0.014913901195190472</v>
      </c>
    </row>
    <row r="324" ht="14.25" customHeight="1">
      <c r="A324" s="46">
        <v>30901.0</v>
      </c>
      <c r="B324" s="47" t="s">
        <v>163</v>
      </c>
      <c r="C324" s="48">
        <v>0.06410481565010595</v>
      </c>
      <c r="D324" s="49">
        <v>0.014281321450405782</v>
      </c>
    </row>
    <row r="325" ht="14.25" customHeight="1">
      <c r="A325" s="46">
        <v>20804.0</v>
      </c>
      <c r="B325" s="47" t="s">
        <v>96</v>
      </c>
      <c r="C325" s="48">
        <v>0.10044918546372303</v>
      </c>
      <c r="D325" s="49">
        <v>0.013640202444637465</v>
      </c>
    </row>
    <row r="326" ht="14.25" customHeight="1">
      <c r="A326" s="46">
        <v>10101.0</v>
      </c>
      <c r="B326" s="47" t="s">
        <v>11</v>
      </c>
      <c r="C326" s="48">
        <v>0.07063020638551426</v>
      </c>
      <c r="D326" s="49">
        <v>0.013534304796142893</v>
      </c>
    </row>
    <row r="327" ht="14.25" customHeight="1">
      <c r="A327" s="46">
        <v>70103.0</v>
      </c>
      <c r="B327" s="47" t="s">
        <v>275</v>
      </c>
      <c r="C327" s="48">
        <v>0.132104760327094</v>
      </c>
      <c r="D327" s="49">
        <v>0.013449041061964165</v>
      </c>
    </row>
    <row r="328" ht="14.25" customHeight="1">
      <c r="A328" s="46">
        <v>70601.0</v>
      </c>
      <c r="B328" s="47" t="s">
        <v>290</v>
      </c>
      <c r="C328" s="48">
        <v>0.09068749357654625</v>
      </c>
      <c r="D328" s="49">
        <v>0.01291194512432746</v>
      </c>
    </row>
    <row r="329" ht="14.25" customHeight="1">
      <c r="A329" s="46">
        <v>70202.0</v>
      </c>
      <c r="B329" s="47" t="s">
        <v>279</v>
      </c>
      <c r="C329" s="48">
        <v>0.1078096942249876</v>
      </c>
      <c r="D329" s="49">
        <v>0.012811464340900204</v>
      </c>
    </row>
    <row r="330" ht="14.25" customHeight="1">
      <c r="A330" s="46">
        <v>70706.0</v>
      </c>
      <c r="B330" s="47" t="s">
        <v>298</v>
      </c>
      <c r="C330" s="48">
        <v>0.06685487798625861</v>
      </c>
      <c r="D330" s="49">
        <v>0.012645331754910779</v>
      </c>
    </row>
    <row r="331" ht="14.25" customHeight="1">
      <c r="A331" s="46">
        <v>50101.0</v>
      </c>
      <c r="B331" s="47" t="s">
        <v>20</v>
      </c>
      <c r="C331" s="48">
        <v>0.051293606113623796</v>
      </c>
      <c r="D331" s="49">
        <v>0.012494685172518866</v>
      </c>
    </row>
    <row r="332" ht="14.25" customHeight="1">
      <c r="A332" s="46">
        <v>40701.0</v>
      </c>
      <c r="B332" s="47" t="s">
        <v>207</v>
      </c>
      <c r="C332" s="48">
        <v>0.0744127265261282</v>
      </c>
      <c r="D332" s="49">
        <v>0.01167934198098822</v>
      </c>
    </row>
    <row r="333" ht="14.25" customHeight="1">
      <c r="A333" s="46">
        <v>70104.0</v>
      </c>
      <c r="B333" s="47" t="s">
        <v>276</v>
      </c>
      <c r="C333" s="48">
        <v>0.09197436759547062</v>
      </c>
      <c r="D333" s="49">
        <v>0.011412439184156796</v>
      </c>
    </row>
    <row r="334" ht="14.25" customHeight="1">
      <c r="A334" s="46">
        <v>60202.0</v>
      </c>
      <c r="B334" s="47" t="s">
        <v>265</v>
      </c>
      <c r="C334" s="48">
        <v>0.052998507898869986</v>
      </c>
      <c r="D334" s="49">
        <v>0.010825220068651234</v>
      </c>
    </row>
    <row r="335" ht="14.25" customHeight="1">
      <c r="A335" s="46">
        <v>40504.0</v>
      </c>
      <c r="B335" s="47" t="s">
        <v>202</v>
      </c>
      <c r="C335" s="48">
        <v>0.25449426655183754</v>
      </c>
      <c r="D335" s="49">
        <v>0.010666666984558105</v>
      </c>
    </row>
    <row r="336" ht="14.25" customHeight="1">
      <c r="A336" s="46">
        <v>60101.0</v>
      </c>
      <c r="B336" s="47" t="s">
        <v>22</v>
      </c>
      <c r="C336" s="48">
        <v>0.04523922873472345</v>
      </c>
      <c r="D336" s="49">
        <v>0.010205449629477803</v>
      </c>
    </row>
    <row r="337" ht="14.25" customHeight="1">
      <c r="A337" s="46">
        <v>40501.0</v>
      </c>
      <c r="B337" s="47" t="s">
        <v>199</v>
      </c>
      <c r="C337" s="48">
        <v>0.02598700713718134</v>
      </c>
      <c r="D337" s="49">
        <v>0.008420620472663495</v>
      </c>
    </row>
    <row r="338" ht="14.25" customHeight="1">
      <c r="A338" s="46">
        <v>40101.0</v>
      </c>
      <c r="B338" s="47" t="s">
        <v>18</v>
      </c>
      <c r="C338" s="48">
        <v>0.04634527356357154</v>
      </c>
      <c r="D338" s="49">
        <v>0.0074208927273082875</v>
      </c>
    </row>
    <row r="339" ht="14.25" customHeight="1">
      <c r="A339" s="46">
        <v>30801.0</v>
      </c>
      <c r="B339" s="47" t="s">
        <v>160</v>
      </c>
      <c r="C339" s="48">
        <v>0.05884274722202567</v>
      </c>
      <c r="D339" s="49">
        <v>0.007404948064604857</v>
      </c>
    </row>
    <row r="340" ht="14.25" customHeight="1">
      <c r="A340" s="46">
        <v>70101.0</v>
      </c>
      <c r="B340" s="47" t="s">
        <v>273</v>
      </c>
      <c r="C340" s="48">
        <v>0.05106188350770115</v>
      </c>
      <c r="D340" s="49">
        <v>0.005938194571720395</v>
      </c>
    </row>
    <row r="341" ht="14.25" customHeight="1">
      <c r="A341" s="46">
        <v>70802.0</v>
      </c>
      <c r="B341" s="47" t="s">
        <v>301</v>
      </c>
      <c r="C341" s="48">
        <v>0.09549029304192624</v>
      </c>
      <c r="D341" s="49">
        <v>0.0056593097075946465</v>
      </c>
    </row>
    <row r="342" ht="14.25" customHeight="1">
      <c r="A342" s="46">
        <v>20105.0</v>
      </c>
      <c r="B342" s="47" t="s">
        <v>60</v>
      </c>
      <c r="C342" s="48">
        <v>0.053281489826848286</v>
      </c>
      <c r="D342" s="49">
        <v>0.0055888749659766136</v>
      </c>
    </row>
    <row r="343" ht="14.25" customHeight="1">
      <c r="A343" s="46">
        <v>30905.0</v>
      </c>
      <c r="B343" s="47" t="s">
        <v>167</v>
      </c>
      <c r="C343" s="48">
        <v>0.039015223827265244</v>
      </c>
      <c r="D343" s="49">
        <v>0.0054117815209096965</v>
      </c>
    </row>
    <row r="344" ht="14.25" customHeight="1">
      <c r="A344" s="46">
        <v>20101.0</v>
      </c>
      <c r="B344" s="47" t="s">
        <v>56</v>
      </c>
      <c r="C344" s="48">
        <v>0.017618269886789304</v>
      </c>
      <c r="D344" s="49">
        <v>0.002626183006821864</v>
      </c>
    </row>
    <row r="345" ht="14.25" customHeight="1">
      <c r="A345" s="50"/>
      <c r="B345" s="38"/>
      <c r="C345" s="38"/>
      <c r="D345" s="38"/>
    </row>
    <row r="346" ht="14.25" customHeight="1">
      <c r="A346" s="51"/>
      <c r="B346" s="52"/>
      <c r="C346" s="53"/>
      <c r="D346" s="53"/>
    </row>
    <row r="347" ht="14.25" customHeight="1">
      <c r="A347" s="51"/>
      <c r="B347" s="52"/>
      <c r="C347" s="53"/>
      <c r="D347" s="53"/>
    </row>
    <row r="348" ht="14.25" customHeight="1">
      <c r="A348" s="51"/>
      <c r="B348" s="52"/>
      <c r="C348" s="53"/>
      <c r="D348" s="53"/>
    </row>
    <row r="349" ht="14.25" customHeight="1">
      <c r="A349" s="51"/>
      <c r="B349" s="52"/>
      <c r="C349" s="53"/>
      <c r="D349" s="53"/>
    </row>
    <row r="350" ht="14.25" customHeight="1">
      <c r="A350" s="51"/>
      <c r="B350" s="52"/>
      <c r="C350" s="53"/>
      <c r="D350" s="53"/>
    </row>
    <row r="351" ht="14.25" customHeight="1">
      <c r="A351" s="51"/>
      <c r="B351" s="52"/>
      <c r="C351" s="53"/>
      <c r="D351" s="53"/>
    </row>
    <row r="352" ht="14.25" customHeight="1">
      <c r="A352" s="51"/>
      <c r="B352" s="52"/>
      <c r="C352" s="53"/>
      <c r="D352" s="53"/>
    </row>
    <row r="353" ht="14.25" customHeight="1">
      <c r="A353" s="51"/>
      <c r="B353" s="52"/>
      <c r="C353" s="53"/>
      <c r="D353" s="53"/>
    </row>
    <row r="354" ht="14.25" customHeight="1">
      <c r="A354" s="51"/>
      <c r="B354" s="52"/>
      <c r="C354" s="53"/>
      <c r="D354" s="53"/>
    </row>
    <row r="355" ht="14.25" customHeight="1">
      <c r="A355" s="51"/>
      <c r="B355" s="52"/>
      <c r="C355" s="53"/>
      <c r="D355" s="53"/>
    </row>
    <row r="356" ht="14.25" customHeight="1">
      <c r="A356" s="51"/>
      <c r="B356" s="52"/>
      <c r="C356" s="53"/>
      <c r="D356" s="53"/>
    </row>
    <row r="357" ht="14.25" customHeight="1">
      <c r="A357" s="51"/>
      <c r="B357" s="52"/>
      <c r="C357" s="53"/>
      <c r="D357" s="53"/>
    </row>
    <row r="358" ht="14.25" customHeight="1">
      <c r="A358" s="51"/>
      <c r="B358" s="52"/>
      <c r="C358" s="53"/>
      <c r="D358" s="53"/>
    </row>
    <row r="359" ht="14.25" customHeight="1">
      <c r="A359" s="51"/>
      <c r="B359" s="52"/>
      <c r="C359" s="53"/>
      <c r="D359" s="53"/>
    </row>
    <row r="360" ht="14.25" customHeight="1">
      <c r="A360" s="51"/>
      <c r="B360" s="52"/>
      <c r="C360" s="53"/>
      <c r="D360" s="53"/>
    </row>
    <row r="361" ht="14.25" customHeight="1">
      <c r="A361" s="51"/>
      <c r="B361" s="52"/>
      <c r="C361" s="53"/>
      <c r="D361" s="53"/>
    </row>
    <row r="362" ht="14.25" customHeight="1">
      <c r="A362" s="51"/>
      <c r="B362" s="52"/>
      <c r="C362" s="53"/>
      <c r="D362" s="53"/>
    </row>
    <row r="363" ht="14.25" customHeight="1">
      <c r="A363" s="51"/>
      <c r="B363" s="52"/>
      <c r="C363" s="53"/>
      <c r="D363" s="53"/>
    </row>
    <row r="364" ht="14.25" customHeight="1">
      <c r="A364" s="51"/>
      <c r="B364" s="52"/>
      <c r="C364" s="53"/>
      <c r="D364" s="53"/>
    </row>
    <row r="365" ht="14.25" customHeight="1">
      <c r="A365" s="51"/>
      <c r="B365" s="52"/>
      <c r="C365" s="53"/>
      <c r="D365" s="53"/>
    </row>
    <row r="366" ht="14.25" customHeight="1">
      <c r="A366" s="51"/>
      <c r="B366" s="52"/>
      <c r="C366" s="53"/>
      <c r="D366" s="53"/>
    </row>
    <row r="367" ht="14.25" customHeight="1">
      <c r="A367" s="51"/>
      <c r="B367" s="52"/>
      <c r="C367" s="53"/>
      <c r="D367" s="53"/>
    </row>
    <row r="368" ht="14.25" customHeight="1">
      <c r="A368" s="51"/>
      <c r="B368" s="52"/>
      <c r="C368" s="53"/>
      <c r="D368" s="53"/>
    </row>
    <row r="369" ht="14.25" customHeight="1">
      <c r="A369" s="51"/>
      <c r="B369" s="52"/>
      <c r="C369" s="53"/>
      <c r="D369" s="53"/>
    </row>
    <row r="370" ht="14.25" customHeight="1">
      <c r="A370" s="51"/>
      <c r="B370" s="52"/>
      <c r="C370" s="53"/>
      <c r="D370" s="53"/>
    </row>
    <row r="371" ht="14.25" customHeight="1">
      <c r="A371" s="51"/>
      <c r="B371" s="52"/>
      <c r="C371" s="53"/>
      <c r="D371" s="53"/>
    </row>
    <row r="372" ht="14.25" customHeight="1">
      <c r="A372" s="51"/>
      <c r="B372" s="52"/>
      <c r="C372" s="53"/>
      <c r="D372" s="53"/>
    </row>
    <row r="373" ht="14.25" customHeight="1">
      <c r="A373" s="51"/>
      <c r="B373" s="52"/>
      <c r="C373" s="53"/>
      <c r="D373" s="53"/>
    </row>
    <row r="374" ht="14.25" customHeight="1">
      <c r="A374" s="51"/>
      <c r="B374" s="52"/>
      <c r="C374" s="53"/>
      <c r="D374" s="53"/>
    </row>
    <row r="375" ht="14.25" customHeight="1">
      <c r="A375" s="51"/>
      <c r="B375" s="52"/>
      <c r="C375" s="53"/>
      <c r="D375" s="53"/>
    </row>
    <row r="376" ht="14.25" customHeight="1">
      <c r="A376" s="51"/>
      <c r="B376" s="52"/>
      <c r="C376" s="53"/>
      <c r="D376" s="53"/>
    </row>
    <row r="377" ht="14.25" customHeight="1">
      <c r="A377" s="51"/>
      <c r="B377" s="52"/>
      <c r="C377" s="53"/>
      <c r="D377" s="53"/>
    </row>
    <row r="378" ht="14.25" customHeight="1">
      <c r="A378" s="51"/>
      <c r="B378" s="52"/>
      <c r="C378" s="53"/>
      <c r="D378" s="53"/>
    </row>
    <row r="379" ht="14.25" customHeight="1">
      <c r="A379" s="51"/>
      <c r="B379" s="52"/>
      <c r="C379" s="53"/>
      <c r="D379" s="53"/>
    </row>
    <row r="380" ht="14.25" customHeight="1">
      <c r="A380" s="51"/>
      <c r="B380" s="52"/>
      <c r="C380" s="53"/>
      <c r="D380" s="53"/>
    </row>
    <row r="381" ht="14.25" customHeight="1">
      <c r="A381" s="51"/>
      <c r="B381" s="52"/>
      <c r="C381" s="53"/>
      <c r="D381" s="53"/>
    </row>
    <row r="382" ht="14.25" customHeight="1">
      <c r="A382" s="51"/>
      <c r="B382" s="52"/>
      <c r="C382" s="53"/>
      <c r="D382" s="53"/>
    </row>
    <row r="383" ht="14.25" customHeight="1">
      <c r="A383" s="51"/>
      <c r="B383" s="52"/>
      <c r="C383" s="53"/>
      <c r="D383" s="53"/>
    </row>
    <row r="384" ht="14.25" customHeight="1">
      <c r="A384" s="51"/>
      <c r="B384" s="52"/>
      <c r="C384" s="53"/>
      <c r="D384" s="53"/>
    </row>
    <row r="385" ht="14.25" customHeight="1">
      <c r="A385" s="51"/>
      <c r="B385" s="52"/>
      <c r="C385" s="53"/>
      <c r="D385" s="53"/>
    </row>
    <row r="386" ht="14.25" customHeight="1">
      <c r="A386" s="51"/>
      <c r="B386" s="52"/>
      <c r="C386" s="53"/>
      <c r="D386" s="53"/>
    </row>
    <row r="387" ht="14.25" customHeight="1">
      <c r="A387" s="51"/>
      <c r="B387" s="52"/>
      <c r="C387" s="53"/>
      <c r="D387" s="53"/>
    </row>
    <row r="388" ht="14.25" customHeight="1">
      <c r="A388" s="51"/>
      <c r="B388" s="52"/>
      <c r="C388" s="53"/>
      <c r="D388" s="53"/>
    </row>
    <row r="389" ht="14.25" customHeight="1">
      <c r="A389" s="51"/>
      <c r="B389" s="52"/>
      <c r="C389" s="53"/>
      <c r="D389" s="53"/>
    </row>
    <row r="390" ht="14.25" customHeight="1">
      <c r="A390" s="51"/>
      <c r="B390" s="52"/>
      <c r="C390" s="53"/>
      <c r="D390" s="53"/>
    </row>
    <row r="391" ht="14.25" customHeight="1">
      <c r="A391" s="51"/>
      <c r="B391" s="52"/>
      <c r="C391" s="53"/>
      <c r="D391" s="53"/>
    </row>
    <row r="392" ht="14.25" customHeight="1">
      <c r="A392" s="51"/>
      <c r="B392" s="52"/>
      <c r="C392" s="53"/>
      <c r="D392" s="53"/>
    </row>
    <row r="393" ht="14.25" customHeight="1">
      <c r="A393" s="51"/>
      <c r="B393" s="52"/>
      <c r="C393" s="53"/>
      <c r="D393" s="53"/>
    </row>
    <row r="394" ht="14.25" customHeight="1">
      <c r="A394" s="51"/>
      <c r="B394" s="52"/>
      <c r="C394" s="53"/>
      <c r="D394" s="53"/>
    </row>
    <row r="395" ht="14.25" customHeight="1">
      <c r="A395" s="51"/>
      <c r="B395" s="52"/>
      <c r="C395" s="53"/>
      <c r="D395" s="53"/>
    </row>
    <row r="396" ht="14.25" customHeight="1">
      <c r="A396" s="51"/>
      <c r="B396" s="52"/>
      <c r="C396" s="53"/>
      <c r="D396" s="53"/>
    </row>
    <row r="397" ht="14.25" customHeight="1">
      <c r="A397" s="51"/>
      <c r="B397" s="52"/>
      <c r="C397" s="53"/>
      <c r="D397" s="53"/>
    </row>
    <row r="398" ht="14.25" customHeight="1">
      <c r="A398" s="51"/>
      <c r="B398" s="52"/>
      <c r="C398" s="53"/>
      <c r="D398" s="53"/>
    </row>
    <row r="399" ht="14.25" customHeight="1">
      <c r="A399" s="51"/>
      <c r="B399" s="52"/>
      <c r="C399" s="53"/>
      <c r="D399" s="53"/>
    </row>
    <row r="400" ht="14.25" customHeight="1">
      <c r="A400" s="51"/>
      <c r="B400" s="52"/>
      <c r="C400" s="53"/>
      <c r="D400" s="53"/>
    </row>
    <row r="401" ht="14.25" customHeight="1">
      <c r="A401" s="51"/>
      <c r="B401" s="52"/>
      <c r="C401" s="53"/>
      <c r="D401" s="53"/>
    </row>
    <row r="402" ht="14.25" customHeight="1">
      <c r="A402" s="51"/>
      <c r="B402" s="52"/>
      <c r="C402" s="53"/>
      <c r="D402" s="53"/>
    </row>
    <row r="403" ht="14.25" customHeight="1">
      <c r="A403" s="51"/>
      <c r="B403" s="52"/>
      <c r="C403" s="53"/>
      <c r="D403" s="53"/>
    </row>
    <row r="404" ht="14.25" customHeight="1">
      <c r="A404" s="51"/>
      <c r="B404" s="52"/>
      <c r="C404" s="53"/>
      <c r="D404" s="53"/>
    </row>
    <row r="405" ht="14.25" customHeight="1">
      <c r="A405" s="51"/>
      <c r="B405" s="52"/>
      <c r="C405" s="53"/>
      <c r="D405" s="53"/>
    </row>
    <row r="406" ht="14.25" customHeight="1">
      <c r="A406" s="51"/>
      <c r="B406" s="52"/>
      <c r="C406" s="53"/>
      <c r="D406" s="53"/>
    </row>
    <row r="407" ht="14.25" customHeight="1">
      <c r="A407" s="51"/>
      <c r="B407" s="52"/>
      <c r="C407" s="53"/>
      <c r="D407" s="53"/>
    </row>
    <row r="408" ht="14.25" customHeight="1">
      <c r="A408" s="51"/>
      <c r="B408" s="52"/>
      <c r="C408" s="53"/>
      <c r="D408" s="53"/>
    </row>
    <row r="409" ht="14.25" customHeight="1">
      <c r="A409" s="51"/>
      <c r="B409" s="52"/>
      <c r="C409" s="53"/>
      <c r="D409" s="53"/>
    </row>
    <row r="410" ht="14.25" customHeight="1">
      <c r="A410" s="51"/>
      <c r="B410" s="52"/>
      <c r="C410" s="53"/>
      <c r="D410" s="53"/>
    </row>
    <row r="411" ht="14.25" customHeight="1">
      <c r="A411" s="51"/>
      <c r="B411" s="52"/>
      <c r="C411" s="53"/>
      <c r="D411" s="53"/>
    </row>
    <row r="412" ht="14.25" customHeight="1">
      <c r="A412" s="51"/>
      <c r="B412" s="52"/>
      <c r="C412" s="53"/>
      <c r="D412" s="53"/>
    </row>
    <row r="413" ht="14.25" customHeight="1">
      <c r="A413" s="51"/>
      <c r="B413" s="52"/>
      <c r="C413" s="53"/>
      <c r="D413" s="53"/>
    </row>
    <row r="414" ht="14.25" customHeight="1">
      <c r="A414" s="51"/>
      <c r="B414" s="52"/>
      <c r="C414" s="53"/>
      <c r="D414" s="53"/>
    </row>
    <row r="415" ht="14.25" customHeight="1">
      <c r="A415" s="51"/>
      <c r="B415" s="52"/>
      <c r="C415" s="53"/>
      <c r="D415" s="53"/>
    </row>
    <row r="416" ht="14.25" customHeight="1">
      <c r="A416" s="51"/>
      <c r="B416" s="52"/>
      <c r="C416" s="53"/>
      <c r="D416" s="53"/>
    </row>
    <row r="417" ht="14.25" customHeight="1">
      <c r="A417" s="51"/>
      <c r="B417" s="52"/>
      <c r="C417" s="53"/>
      <c r="D417" s="53"/>
    </row>
    <row r="418" ht="14.25" customHeight="1">
      <c r="A418" s="51"/>
      <c r="B418" s="52"/>
      <c r="C418" s="53"/>
      <c r="D418" s="53"/>
    </row>
    <row r="419" ht="14.25" customHeight="1">
      <c r="A419" s="51"/>
      <c r="B419" s="52"/>
      <c r="C419" s="53"/>
      <c r="D419" s="53"/>
    </row>
    <row r="420" ht="14.25" customHeight="1">
      <c r="A420" s="51"/>
      <c r="B420" s="52"/>
      <c r="C420" s="53"/>
      <c r="D420" s="53"/>
    </row>
    <row r="421" ht="14.25" customHeight="1">
      <c r="A421" s="51"/>
      <c r="B421" s="52"/>
      <c r="C421" s="53"/>
      <c r="D421" s="53"/>
    </row>
    <row r="422" ht="14.25" customHeight="1">
      <c r="A422" s="51"/>
      <c r="B422" s="52"/>
      <c r="C422" s="53"/>
      <c r="D422" s="53"/>
    </row>
    <row r="423" ht="14.25" customHeight="1">
      <c r="A423" s="51"/>
      <c r="B423" s="52"/>
      <c r="C423" s="53"/>
      <c r="D423" s="53"/>
    </row>
    <row r="424" ht="14.25" customHeight="1">
      <c r="A424" s="51"/>
      <c r="B424" s="52"/>
      <c r="C424" s="53"/>
      <c r="D424" s="53"/>
    </row>
    <row r="425" ht="14.25" customHeight="1">
      <c r="A425" s="51"/>
      <c r="B425" s="52"/>
      <c r="C425" s="53"/>
      <c r="D425" s="53"/>
    </row>
    <row r="426" ht="14.25" customHeight="1">
      <c r="A426" s="51"/>
      <c r="B426" s="52"/>
      <c r="C426" s="53"/>
      <c r="D426" s="53"/>
    </row>
    <row r="427" ht="14.25" customHeight="1">
      <c r="A427" s="51"/>
      <c r="B427" s="52"/>
      <c r="C427" s="53"/>
      <c r="D427" s="53"/>
    </row>
    <row r="428" ht="14.25" customHeight="1">
      <c r="A428" s="51"/>
      <c r="B428" s="52"/>
      <c r="C428" s="53"/>
      <c r="D428" s="53"/>
    </row>
    <row r="429" ht="14.25" customHeight="1">
      <c r="A429" s="51"/>
      <c r="B429" s="52"/>
      <c r="C429" s="53"/>
      <c r="D429" s="53"/>
    </row>
    <row r="430" ht="14.25" customHeight="1">
      <c r="A430" s="51"/>
      <c r="B430" s="52"/>
      <c r="C430" s="53"/>
      <c r="D430" s="53"/>
    </row>
    <row r="431" ht="14.25" customHeight="1">
      <c r="A431" s="51"/>
      <c r="B431" s="52"/>
      <c r="C431" s="53"/>
      <c r="D431" s="53"/>
    </row>
    <row r="432" ht="14.25" customHeight="1">
      <c r="A432" s="51"/>
      <c r="B432" s="52"/>
      <c r="C432" s="53"/>
      <c r="D432" s="53"/>
    </row>
    <row r="433" ht="14.25" customHeight="1">
      <c r="A433" s="51"/>
      <c r="B433" s="52"/>
      <c r="C433" s="53"/>
      <c r="D433" s="53"/>
    </row>
    <row r="434" ht="14.25" customHeight="1">
      <c r="A434" s="51"/>
      <c r="B434" s="52"/>
      <c r="C434" s="53"/>
      <c r="D434" s="53"/>
    </row>
    <row r="435" ht="14.25" customHeight="1">
      <c r="A435" s="51"/>
      <c r="B435" s="52"/>
      <c r="C435" s="53"/>
      <c r="D435" s="53"/>
    </row>
    <row r="436" ht="14.25" customHeight="1">
      <c r="A436" s="51"/>
      <c r="B436" s="52"/>
      <c r="C436" s="53"/>
      <c r="D436" s="53"/>
    </row>
    <row r="437" ht="14.25" customHeight="1">
      <c r="A437" s="51"/>
      <c r="B437" s="52"/>
      <c r="C437" s="53"/>
      <c r="D437" s="53"/>
    </row>
    <row r="438" ht="14.25" customHeight="1">
      <c r="A438" s="51"/>
      <c r="B438" s="52"/>
      <c r="C438" s="53"/>
      <c r="D438" s="53"/>
    </row>
    <row r="439" ht="14.25" customHeight="1">
      <c r="A439" s="51"/>
      <c r="B439" s="52"/>
      <c r="C439" s="53"/>
      <c r="D439" s="53"/>
    </row>
    <row r="440" ht="14.25" customHeight="1">
      <c r="A440" s="51"/>
      <c r="B440" s="52"/>
      <c r="C440" s="53"/>
      <c r="D440" s="53"/>
    </row>
    <row r="441" ht="14.25" customHeight="1">
      <c r="A441" s="51"/>
      <c r="B441" s="52"/>
      <c r="C441" s="53"/>
      <c r="D441" s="53"/>
    </row>
    <row r="442" ht="14.25" customHeight="1">
      <c r="A442" s="51"/>
      <c r="B442" s="52"/>
      <c r="C442" s="53"/>
      <c r="D442" s="53"/>
    </row>
    <row r="443" ht="14.25" customHeight="1">
      <c r="A443" s="51"/>
      <c r="B443" s="52"/>
      <c r="C443" s="53"/>
      <c r="D443" s="53"/>
    </row>
    <row r="444" ht="14.25" customHeight="1">
      <c r="A444" s="51"/>
      <c r="B444" s="52"/>
      <c r="C444" s="53"/>
      <c r="D444" s="53"/>
    </row>
    <row r="445" ht="14.25" customHeight="1">
      <c r="A445" s="51"/>
      <c r="B445" s="52"/>
      <c r="C445" s="53"/>
      <c r="D445" s="53"/>
    </row>
    <row r="446" ht="14.25" customHeight="1">
      <c r="A446" s="51"/>
      <c r="B446" s="52"/>
      <c r="C446" s="53"/>
      <c r="D446" s="53"/>
    </row>
    <row r="447" ht="14.25" customHeight="1">
      <c r="A447" s="51"/>
      <c r="B447" s="52"/>
      <c r="C447" s="53"/>
      <c r="D447" s="53"/>
    </row>
    <row r="448" ht="14.25" customHeight="1">
      <c r="A448" s="51"/>
      <c r="B448" s="52"/>
      <c r="C448" s="53"/>
      <c r="D448" s="53"/>
    </row>
    <row r="449" ht="14.25" customHeight="1">
      <c r="A449" s="51"/>
      <c r="B449" s="52"/>
      <c r="C449" s="53"/>
      <c r="D449" s="53"/>
    </row>
    <row r="450" ht="14.25" customHeight="1">
      <c r="A450" s="51"/>
      <c r="B450" s="52"/>
      <c r="C450" s="53"/>
      <c r="D450" s="53"/>
    </row>
    <row r="451" ht="14.25" customHeight="1">
      <c r="A451" s="51"/>
      <c r="B451" s="52"/>
      <c r="C451" s="53"/>
      <c r="D451" s="53"/>
    </row>
    <row r="452" ht="14.25" customHeight="1">
      <c r="A452" s="51"/>
      <c r="B452" s="52"/>
      <c r="C452" s="53"/>
      <c r="D452" s="53"/>
    </row>
    <row r="453" ht="14.25" customHeight="1">
      <c r="A453" s="51"/>
      <c r="B453" s="52"/>
      <c r="C453" s="53"/>
      <c r="D453" s="53"/>
    </row>
    <row r="454" ht="14.25" customHeight="1">
      <c r="A454" s="51"/>
      <c r="B454" s="52"/>
      <c r="C454" s="53"/>
      <c r="D454" s="53"/>
    </row>
    <row r="455" ht="14.25" customHeight="1">
      <c r="A455" s="51"/>
      <c r="B455" s="52"/>
      <c r="C455" s="53"/>
      <c r="D455" s="53"/>
    </row>
    <row r="456" ht="14.25" customHeight="1">
      <c r="A456" s="51"/>
      <c r="B456" s="52"/>
      <c r="C456" s="53"/>
      <c r="D456" s="53"/>
    </row>
    <row r="457" ht="14.25" customHeight="1">
      <c r="A457" s="51"/>
      <c r="B457" s="52"/>
      <c r="C457" s="53"/>
      <c r="D457" s="53"/>
    </row>
    <row r="458" ht="14.25" customHeight="1">
      <c r="A458" s="51"/>
      <c r="B458" s="52"/>
      <c r="C458" s="53"/>
      <c r="D458" s="53"/>
    </row>
    <row r="459" ht="14.25" customHeight="1">
      <c r="A459" s="51"/>
      <c r="B459" s="52"/>
      <c r="C459" s="53"/>
      <c r="D459" s="53"/>
    </row>
    <row r="460" ht="14.25" customHeight="1">
      <c r="A460" s="51"/>
      <c r="B460" s="52"/>
      <c r="C460" s="53"/>
      <c r="D460" s="53"/>
    </row>
    <row r="461" ht="14.25" customHeight="1">
      <c r="A461" s="51"/>
      <c r="B461" s="52"/>
      <c r="C461" s="53"/>
      <c r="D461" s="53"/>
    </row>
    <row r="462" ht="14.25" customHeight="1">
      <c r="A462" s="51"/>
      <c r="B462" s="52"/>
      <c r="C462" s="53"/>
      <c r="D462" s="53"/>
    </row>
    <row r="463" ht="14.25" customHeight="1">
      <c r="A463" s="51"/>
      <c r="B463" s="52"/>
      <c r="C463" s="53"/>
      <c r="D463" s="53"/>
    </row>
    <row r="464" ht="14.25" customHeight="1">
      <c r="A464" s="51"/>
      <c r="B464" s="52"/>
      <c r="C464" s="53"/>
      <c r="D464" s="53"/>
    </row>
    <row r="465" ht="14.25" customHeight="1">
      <c r="A465" s="51"/>
      <c r="B465" s="52"/>
      <c r="C465" s="53"/>
      <c r="D465" s="53"/>
    </row>
    <row r="466" ht="14.25" customHeight="1">
      <c r="A466" s="51"/>
      <c r="B466" s="52"/>
      <c r="C466" s="53"/>
      <c r="D466" s="53"/>
    </row>
    <row r="467" ht="14.25" customHeight="1">
      <c r="A467" s="51"/>
      <c r="B467" s="52"/>
      <c r="C467" s="53"/>
      <c r="D467" s="53"/>
    </row>
    <row r="468" ht="14.25" customHeight="1">
      <c r="A468" s="51"/>
      <c r="B468" s="52"/>
      <c r="C468" s="53"/>
      <c r="D468" s="53"/>
    </row>
    <row r="469" ht="14.25" customHeight="1">
      <c r="A469" s="51"/>
      <c r="B469" s="52"/>
      <c r="C469" s="53"/>
      <c r="D469" s="53"/>
    </row>
    <row r="470" ht="14.25" customHeight="1">
      <c r="A470" s="51"/>
      <c r="B470" s="52"/>
      <c r="C470" s="53"/>
      <c r="D470" s="53"/>
    </row>
    <row r="471" ht="14.25" customHeight="1">
      <c r="A471" s="51"/>
      <c r="B471" s="52"/>
      <c r="C471" s="53"/>
      <c r="D471" s="53"/>
    </row>
    <row r="472" ht="14.25" customHeight="1">
      <c r="A472" s="51"/>
      <c r="B472" s="52"/>
      <c r="C472" s="53"/>
      <c r="D472" s="53"/>
    </row>
    <row r="473" ht="14.25" customHeight="1">
      <c r="A473" s="51"/>
      <c r="B473" s="52"/>
      <c r="C473" s="53"/>
      <c r="D473" s="53"/>
    </row>
    <row r="474" ht="14.25" customHeight="1">
      <c r="A474" s="51"/>
      <c r="B474" s="52"/>
      <c r="C474" s="53"/>
      <c r="D474" s="53"/>
    </row>
    <row r="475" ht="14.25" customHeight="1">
      <c r="A475" s="51"/>
      <c r="B475" s="52"/>
      <c r="C475" s="53"/>
      <c r="D475" s="53"/>
    </row>
    <row r="476" ht="14.25" customHeight="1">
      <c r="A476" s="51"/>
      <c r="B476" s="52"/>
      <c r="C476" s="53"/>
      <c r="D476" s="53"/>
    </row>
    <row r="477" ht="14.25" customHeight="1">
      <c r="A477" s="51"/>
      <c r="B477" s="52"/>
      <c r="C477" s="53"/>
      <c r="D477" s="53"/>
    </row>
    <row r="478" ht="14.25" customHeight="1">
      <c r="A478" s="51"/>
      <c r="B478" s="52"/>
      <c r="C478" s="53"/>
      <c r="D478" s="53"/>
    </row>
    <row r="479" ht="14.25" customHeight="1">
      <c r="A479" s="51"/>
      <c r="B479" s="52"/>
      <c r="C479" s="53"/>
      <c r="D479" s="53"/>
    </row>
    <row r="480" ht="14.25" customHeight="1">
      <c r="A480" s="51"/>
      <c r="B480" s="52"/>
      <c r="C480" s="53"/>
      <c r="D480" s="53"/>
    </row>
    <row r="481" ht="14.25" customHeight="1">
      <c r="A481" s="51"/>
      <c r="B481" s="52"/>
      <c r="C481" s="53"/>
      <c r="D481" s="53"/>
    </row>
    <row r="482" ht="14.25" customHeight="1">
      <c r="A482" s="51"/>
      <c r="B482" s="52"/>
      <c r="C482" s="53"/>
      <c r="D482" s="53"/>
    </row>
    <row r="483" ht="14.25" customHeight="1">
      <c r="A483" s="51"/>
      <c r="B483" s="52"/>
      <c r="C483" s="53"/>
      <c r="D483" s="53"/>
    </row>
    <row r="484" ht="14.25" customHeight="1">
      <c r="A484" s="51"/>
      <c r="B484" s="52"/>
      <c r="C484" s="53"/>
      <c r="D484" s="53"/>
    </row>
    <row r="485" ht="14.25" customHeight="1">
      <c r="A485" s="51"/>
      <c r="B485" s="52"/>
      <c r="C485" s="53"/>
      <c r="D485" s="53"/>
    </row>
    <row r="486" ht="14.25" customHeight="1">
      <c r="A486" s="51"/>
      <c r="B486" s="52"/>
      <c r="C486" s="53"/>
      <c r="D486" s="53"/>
    </row>
    <row r="487" ht="14.25" customHeight="1">
      <c r="A487" s="51"/>
      <c r="B487" s="52"/>
      <c r="C487" s="53"/>
      <c r="D487" s="53"/>
    </row>
    <row r="488" ht="14.25" customHeight="1">
      <c r="A488" s="51"/>
      <c r="B488" s="52"/>
      <c r="C488" s="53"/>
      <c r="D488" s="53"/>
    </row>
    <row r="489" ht="14.25" customHeight="1">
      <c r="A489" s="51"/>
      <c r="B489" s="52"/>
      <c r="C489" s="53"/>
      <c r="D489" s="53"/>
    </row>
    <row r="490" ht="14.25" customHeight="1">
      <c r="A490" s="51"/>
      <c r="B490" s="52"/>
      <c r="C490" s="53"/>
      <c r="D490" s="53"/>
    </row>
    <row r="491" ht="14.25" customHeight="1">
      <c r="A491" s="51"/>
      <c r="B491" s="52"/>
      <c r="C491" s="53"/>
      <c r="D491" s="53"/>
    </row>
    <row r="492" ht="14.25" customHeight="1">
      <c r="A492" s="51"/>
      <c r="B492" s="52"/>
      <c r="C492" s="53"/>
      <c r="D492" s="53"/>
    </row>
    <row r="493" ht="14.25" customHeight="1">
      <c r="A493" s="51"/>
      <c r="B493" s="52"/>
      <c r="C493" s="53"/>
      <c r="D493" s="53"/>
    </row>
    <row r="494" ht="14.25" customHeight="1">
      <c r="A494" s="51"/>
      <c r="B494" s="52"/>
      <c r="C494" s="53"/>
      <c r="D494" s="53"/>
    </row>
    <row r="495" ht="14.25" customHeight="1">
      <c r="A495" s="51"/>
      <c r="B495" s="52"/>
      <c r="C495" s="53"/>
      <c r="D495" s="53"/>
    </row>
    <row r="496" ht="14.25" customHeight="1">
      <c r="A496" s="51"/>
      <c r="B496" s="52"/>
      <c r="C496" s="53"/>
      <c r="D496" s="53"/>
    </row>
    <row r="497" ht="14.25" customHeight="1">
      <c r="A497" s="51"/>
      <c r="B497" s="52"/>
      <c r="C497" s="53"/>
      <c r="D497" s="53"/>
    </row>
    <row r="498" ht="14.25" customHeight="1">
      <c r="A498" s="51"/>
      <c r="B498" s="52"/>
      <c r="C498" s="53"/>
      <c r="D498" s="53"/>
    </row>
    <row r="499" ht="14.25" customHeight="1">
      <c r="A499" s="51"/>
      <c r="B499" s="52"/>
      <c r="C499" s="53"/>
      <c r="D499" s="53"/>
    </row>
    <row r="500" ht="14.25" customHeight="1">
      <c r="A500" s="51"/>
      <c r="B500" s="52"/>
      <c r="C500" s="53"/>
      <c r="D500" s="53"/>
    </row>
    <row r="501" ht="14.25" customHeight="1">
      <c r="A501" s="51"/>
      <c r="B501" s="52"/>
      <c r="C501" s="53"/>
      <c r="D501" s="53"/>
    </row>
    <row r="502" ht="14.25" customHeight="1">
      <c r="A502" s="51"/>
      <c r="B502" s="52"/>
      <c r="C502" s="53"/>
      <c r="D502" s="53"/>
    </row>
    <row r="503" ht="14.25" customHeight="1">
      <c r="A503" s="51"/>
      <c r="B503" s="52"/>
      <c r="C503" s="53"/>
      <c r="D503" s="53"/>
    </row>
    <row r="504" ht="14.25" customHeight="1">
      <c r="A504" s="51"/>
      <c r="B504" s="52"/>
      <c r="C504" s="53"/>
      <c r="D504" s="53"/>
    </row>
    <row r="505" ht="14.25" customHeight="1">
      <c r="A505" s="51"/>
      <c r="B505" s="52"/>
      <c r="C505" s="53"/>
      <c r="D505" s="53"/>
    </row>
    <row r="506" ht="14.25" customHeight="1">
      <c r="A506" s="51"/>
      <c r="B506" s="52"/>
      <c r="C506" s="53"/>
      <c r="D506" s="53"/>
    </row>
    <row r="507" ht="14.25" customHeight="1">
      <c r="A507" s="51"/>
      <c r="B507" s="52"/>
      <c r="C507" s="53"/>
      <c r="D507" s="53"/>
    </row>
    <row r="508" ht="14.25" customHeight="1">
      <c r="A508" s="51"/>
      <c r="B508" s="52"/>
      <c r="C508" s="53"/>
      <c r="D508" s="53"/>
    </row>
    <row r="509" ht="14.25" customHeight="1">
      <c r="A509" s="51"/>
      <c r="B509" s="52"/>
      <c r="C509" s="53"/>
      <c r="D509" s="53"/>
    </row>
    <row r="510" ht="14.25" customHeight="1">
      <c r="A510" s="51"/>
      <c r="B510" s="52"/>
      <c r="C510" s="53"/>
      <c r="D510" s="53"/>
    </row>
    <row r="511" ht="14.25" customHeight="1">
      <c r="A511" s="51"/>
      <c r="B511" s="52"/>
      <c r="C511" s="53"/>
      <c r="D511" s="53"/>
    </row>
    <row r="512" ht="14.25" customHeight="1">
      <c r="A512" s="51"/>
      <c r="B512" s="52"/>
      <c r="C512" s="53"/>
      <c r="D512" s="53"/>
    </row>
    <row r="513" ht="14.25" customHeight="1">
      <c r="A513" s="51"/>
      <c r="B513" s="52"/>
      <c r="C513" s="53"/>
      <c r="D513" s="53"/>
    </row>
    <row r="514" ht="14.25" customHeight="1">
      <c r="A514" s="51"/>
      <c r="B514" s="52"/>
      <c r="C514" s="53"/>
      <c r="D514" s="53"/>
    </row>
    <row r="515" ht="14.25" customHeight="1">
      <c r="A515" s="51"/>
      <c r="B515" s="52"/>
      <c r="C515" s="53"/>
      <c r="D515" s="53"/>
    </row>
    <row r="516" ht="14.25" customHeight="1">
      <c r="A516" s="51"/>
      <c r="B516" s="52"/>
      <c r="C516" s="53"/>
      <c r="D516" s="53"/>
    </row>
    <row r="517" ht="14.25" customHeight="1">
      <c r="A517" s="51"/>
      <c r="B517" s="52"/>
      <c r="C517" s="53"/>
      <c r="D517" s="53"/>
    </row>
    <row r="518" ht="14.25" customHeight="1">
      <c r="A518" s="51"/>
      <c r="B518" s="52"/>
      <c r="C518" s="53"/>
      <c r="D518" s="53"/>
    </row>
    <row r="519" ht="14.25" customHeight="1">
      <c r="A519" s="51"/>
      <c r="B519" s="52"/>
      <c r="C519" s="53"/>
      <c r="D519" s="53"/>
    </row>
    <row r="520" ht="14.25" customHeight="1">
      <c r="A520" s="51"/>
      <c r="B520" s="52"/>
      <c r="C520" s="53"/>
      <c r="D520" s="53"/>
    </row>
    <row r="521" ht="14.25" customHeight="1">
      <c r="A521" s="51"/>
      <c r="B521" s="52"/>
      <c r="C521" s="53"/>
      <c r="D521" s="53"/>
    </row>
    <row r="522" ht="14.25" customHeight="1">
      <c r="A522" s="51"/>
      <c r="B522" s="52"/>
      <c r="C522" s="53"/>
      <c r="D522" s="53"/>
    </row>
    <row r="523" ht="14.25" customHeight="1">
      <c r="A523" s="51"/>
      <c r="B523" s="52"/>
      <c r="C523" s="53"/>
      <c r="D523" s="53"/>
    </row>
    <row r="524" ht="14.25" customHeight="1">
      <c r="A524" s="51"/>
      <c r="B524" s="52"/>
      <c r="C524" s="53"/>
      <c r="D524" s="53"/>
    </row>
    <row r="525" ht="14.25" customHeight="1">
      <c r="A525" s="51"/>
      <c r="B525" s="52"/>
      <c r="C525" s="53"/>
      <c r="D525" s="53"/>
    </row>
    <row r="526" ht="14.25" customHeight="1">
      <c r="A526" s="51"/>
      <c r="B526" s="52"/>
      <c r="C526" s="53"/>
      <c r="D526" s="53"/>
    </row>
    <row r="527" ht="14.25" customHeight="1">
      <c r="A527" s="51"/>
      <c r="B527" s="52"/>
      <c r="C527" s="53"/>
      <c r="D527" s="53"/>
    </row>
    <row r="528" ht="14.25" customHeight="1">
      <c r="A528" s="51"/>
      <c r="B528" s="52"/>
      <c r="C528" s="53"/>
      <c r="D528" s="53"/>
    </row>
    <row r="529" ht="14.25" customHeight="1">
      <c r="A529" s="51"/>
      <c r="B529" s="52"/>
      <c r="C529" s="53"/>
      <c r="D529" s="53"/>
    </row>
    <row r="530" ht="14.25" customHeight="1">
      <c r="A530" s="51"/>
      <c r="B530" s="52"/>
      <c r="C530" s="53"/>
      <c r="D530" s="53"/>
    </row>
    <row r="531" ht="14.25" customHeight="1">
      <c r="A531" s="51"/>
      <c r="B531" s="52"/>
      <c r="C531" s="53"/>
      <c r="D531" s="53"/>
    </row>
    <row r="532" ht="14.25" customHeight="1">
      <c r="A532" s="51"/>
      <c r="B532" s="52"/>
      <c r="C532" s="53"/>
      <c r="D532" s="53"/>
    </row>
    <row r="533" ht="14.25" customHeight="1">
      <c r="A533" s="51"/>
      <c r="B533" s="52"/>
      <c r="C533" s="53"/>
      <c r="D533" s="53"/>
    </row>
    <row r="534" ht="14.25" customHeight="1">
      <c r="A534" s="51"/>
      <c r="B534" s="52"/>
      <c r="C534" s="53"/>
      <c r="D534" s="53"/>
    </row>
    <row r="535" ht="14.25" customHeight="1">
      <c r="A535" s="51"/>
      <c r="B535" s="52"/>
      <c r="C535" s="53"/>
      <c r="D535" s="53"/>
    </row>
    <row r="536" ht="14.25" customHeight="1">
      <c r="A536" s="51"/>
      <c r="B536" s="52"/>
      <c r="C536" s="53"/>
      <c r="D536" s="53"/>
    </row>
    <row r="537" ht="14.25" customHeight="1">
      <c r="A537" s="51"/>
      <c r="B537" s="52"/>
      <c r="C537" s="53"/>
      <c r="D537" s="53"/>
    </row>
    <row r="538" ht="14.25" customHeight="1">
      <c r="A538" s="51"/>
      <c r="B538" s="52"/>
      <c r="C538" s="53"/>
      <c r="D538" s="53"/>
    </row>
    <row r="539" ht="14.25" customHeight="1">
      <c r="A539" s="51"/>
      <c r="B539" s="52"/>
      <c r="C539" s="53"/>
      <c r="D539" s="53"/>
    </row>
    <row r="540" ht="14.25" customHeight="1">
      <c r="A540" s="51"/>
      <c r="B540" s="52"/>
      <c r="C540" s="53"/>
      <c r="D540" s="53"/>
    </row>
    <row r="541" ht="14.25" customHeight="1">
      <c r="A541" s="51"/>
      <c r="B541" s="52"/>
      <c r="C541" s="53"/>
      <c r="D541" s="53"/>
    </row>
    <row r="542" ht="14.25" customHeight="1">
      <c r="A542" s="51"/>
      <c r="B542" s="52"/>
      <c r="C542" s="53"/>
      <c r="D542" s="53"/>
    </row>
    <row r="543" ht="14.25" customHeight="1">
      <c r="A543" s="51"/>
      <c r="B543" s="52"/>
      <c r="C543" s="53"/>
      <c r="D543" s="53"/>
    </row>
    <row r="544" ht="14.25" customHeight="1">
      <c r="A544" s="51"/>
      <c r="B544" s="52"/>
      <c r="C544" s="53"/>
      <c r="D544" s="53"/>
    </row>
    <row r="545" ht="14.25" customHeight="1">
      <c r="A545" s="51"/>
      <c r="B545" s="52"/>
      <c r="C545" s="53"/>
      <c r="D545" s="53"/>
    </row>
    <row r="546" ht="14.25" customHeight="1">
      <c r="A546" s="51"/>
      <c r="B546" s="52"/>
      <c r="C546" s="53"/>
      <c r="D546" s="53"/>
    </row>
    <row r="547" ht="14.25" customHeight="1">
      <c r="A547" s="51"/>
      <c r="B547" s="52"/>
      <c r="C547" s="53"/>
      <c r="D547" s="53"/>
    </row>
    <row r="548" ht="14.25" customHeight="1">
      <c r="A548" s="51"/>
      <c r="B548" s="52"/>
      <c r="C548" s="53"/>
      <c r="D548" s="53"/>
    </row>
    <row r="549" ht="14.25" customHeight="1">
      <c r="A549" s="51"/>
      <c r="B549" s="52"/>
      <c r="C549" s="53"/>
      <c r="D549" s="53"/>
    </row>
    <row r="550" ht="14.25" customHeight="1">
      <c r="A550" s="51"/>
      <c r="B550" s="52"/>
      <c r="C550" s="53"/>
      <c r="D550" s="53"/>
    </row>
    <row r="551" ht="14.25" customHeight="1">
      <c r="A551" s="51"/>
      <c r="B551" s="52"/>
      <c r="C551" s="53"/>
      <c r="D551" s="53"/>
    </row>
    <row r="552" ht="14.25" customHeight="1">
      <c r="A552" s="51"/>
      <c r="B552" s="52"/>
      <c r="C552" s="53"/>
      <c r="D552" s="53"/>
    </row>
    <row r="553" ht="14.25" customHeight="1">
      <c r="A553" s="51"/>
      <c r="B553" s="52"/>
      <c r="C553" s="53"/>
      <c r="D553" s="53"/>
    </row>
    <row r="554" ht="14.25" customHeight="1">
      <c r="A554" s="51"/>
      <c r="B554" s="52"/>
      <c r="C554" s="53"/>
      <c r="D554" s="53"/>
    </row>
    <row r="555" ht="14.25" customHeight="1">
      <c r="A555" s="51"/>
      <c r="B555" s="52"/>
      <c r="C555" s="53"/>
      <c r="D555" s="53"/>
    </row>
    <row r="556" ht="14.25" customHeight="1">
      <c r="A556" s="51"/>
      <c r="B556" s="52"/>
      <c r="C556" s="53"/>
      <c r="D556" s="53"/>
    </row>
    <row r="557" ht="14.25" customHeight="1">
      <c r="A557" s="51"/>
      <c r="B557" s="52"/>
      <c r="C557" s="53"/>
      <c r="D557" s="53"/>
    </row>
    <row r="558" ht="14.25" customHeight="1">
      <c r="A558" s="51"/>
      <c r="B558" s="52"/>
      <c r="C558" s="53"/>
      <c r="D558" s="53"/>
    </row>
    <row r="559" ht="14.25" customHeight="1">
      <c r="A559" s="51"/>
      <c r="B559" s="52"/>
      <c r="C559" s="53"/>
      <c r="D559" s="53"/>
    </row>
    <row r="560" ht="14.25" customHeight="1">
      <c r="A560" s="51"/>
      <c r="B560" s="52"/>
      <c r="C560" s="53"/>
      <c r="D560" s="53"/>
    </row>
    <row r="561" ht="14.25" customHeight="1">
      <c r="A561" s="51"/>
      <c r="B561" s="52"/>
      <c r="C561" s="53"/>
      <c r="D561" s="53"/>
    </row>
    <row r="562" ht="14.25" customHeight="1">
      <c r="A562" s="51"/>
      <c r="B562" s="52"/>
      <c r="C562" s="53"/>
      <c r="D562" s="53"/>
    </row>
    <row r="563" ht="14.25" customHeight="1">
      <c r="A563" s="51"/>
      <c r="B563" s="52"/>
      <c r="C563" s="53"/>
      <c r="D563" s="53"/>
    </row>
    <row r="564" ht="14.25" customHeight="1">
      <c r="A564" s="51"/>
      <c r="B564" s="52"/>
      <c r="C564" s="53"/>
      <c r="D564" s="53"/>
    </row>
    <row r="565" ht="14.25" customHeight="1">
      <c r="A565" s="51"/>
      <c r="B565" s="52"/>
      <c r="C565" s="53"/>
      <c r="D565" s="53"/>
    </row>
    <row r="566" ht="14.25" customHeight="1">
      <c r="A566" s="51"/>
      <c r="B566" s="52"/>
      <c r="C566" s="53"/>
      <c r="D566" s="53"/>
    </row>
    <row r="567" ht="14.25" customHeight="1">
      <c r="A567" s="51"/>
      <c r="B567" s="52"/>
      <c r="C567" s="53"/>
      <c r="D567" s="53"/>
    </row>
    <row r="568" ht="14.25" customHeight="1">
      <c r="A568" s="51"/>
      <c r="B568" s="52"/>
      <c r="C568" s="53"/>
      <c r="D568" s="53"/>
    </row>
    <row r="569" ht="14.25" customHeight="1">
      <c r="A569" s="51"/>
      <c r="B569" s="52"/>
      <c r="C569" s="53"/>
      <c r="D569" s="53"/>
    </row>
    <row r="570" ht="14.25" customHeight="1">
      <c r="A570" s="51"/>
      <c r="B570" s="52"/>
      <c r="C570" s="53"/>
      <c r="D570" s="53"/>
    </row>
    <row r="571" ht="14.25" customHeight="1">
      <c r="A571" s="51"/>
      <c r="B571" s="52"/>
      <c r="C571" s="53"/>
      <c r="D571" s="53"/>
    </row>
    <row r="572" ht="14.25" customHeight="1">
      <c r="A572" s="51"/>
      <c r="B572" s="52"/>
      <c r="C572" s="53"/>
      <c r="D572" s="53"/>
    </row>
    <row r="573" ht="14.25" customHeight="1">
      <c r="A573" s="51"/>
      <c r="B573" s="52"/>
      <c r="C573" s="53"/>
      <c r="D573" s="53"/>
    </row>
    <row r="574" ht="14.25" customHeight="1">
      <c r="A574" s="51"/>
      <c r="B574" s="52"/>
      <c r="C574" s="53"/>
      <c r="D574" s="53"/>
    </row>
    <row r="575" ht="14.25" customHeight="1">
      <c r="A575" s="51"/>
      <c r="B575" s="52"/>
      <c r="C575" s="53"/>
      <c r="D575" s="53"/>
    </row>
    <row r="576" ht="14.25" customHeight="1">
      <c r="A576" s="51"/>
      <c r="B576" s="52"/>
      <c r="C576" s="53"/>
      <c r="D576" s="53"/>
    </row>
    <row r="577" ht="14.25" customHeight="1">
      <c r="A577" s="51"/>
      <c r="B577" s="52"/>
      <c r="C577" s="53"/>
      <c r="D577" s="53"/>
    </row>
    <row r="578" ht="14.25" customHeight="1">
      <c r="A578" s="51"/>
      <c r="B578" s="52"/>
      <c r="C578" s="53"/>
      <c r="D578" s="53"/>
    </row>
    <row r="579" ht="14.25" customHeight="1">
      <c r="A579" s="51"/>
      <c r="B579" s="52"/>
      <c r="C579" s="53"/>
      <c r="D579" s="53"/>
    </row>
    <row r="580" ht="14.25" customHeight="1">
      <c r="A580" s="51"/>
      <c r="B580" s="52"/>
      <c r="C580" s="53"/>
      <c r="D580" s="53"/>
    </row>
    <row r="581" ht="14.25" customHeight="1">
      <c r="A581" s="51"/>
      <c r="B581" s="52"/>
      <c r="C581" s="53"/>
      <c r="D581" s="53"/>
    </row>
    <row r="582" ht="14.25" customHeight="1">
      <c r="A582" s="51"/>
      <c r="B582" s="52"/>
      <c r="C582" s="53"/>
      <c r="D582" s="53"/>
    </row>
    <row r="583" ht="14.25" customHeight="1">
      <c r="A583" s="51"/>
      <c r="B583" s="52"/>
      <c r="C583" s="53"/>
      <c r="D583" s="53"/>
    </row>
    <row r="584" ht="14.25" customHeight="1">
      <c r="A584" s="51"/>
      <c r="B584" s="52"/>
      <c r="C584" s="53"/>
      <c r="D584" s="53"/>
    </row>
    <row r="585" ht="14.25" customHeight="1">
      <c r="A585" s="51"/>
      <c r="B585" s="52"/>
      <c r="C585" s="53"/>
      <c r="D585" s="53"/>
    </row>
    <row r="586" ht="14.25" customHeight="1">
      <c r="A586" s="51"/>
      <c r="B586" s="52"/>
      <c r="C586" s="53"/>
      <c r="D586" s="53"/>
    </row>
    <row r="587" ht="14.25" customHeight="1">
      <c r="A587" s="51"/>
      <c r="B587" s="52"/>
      <c r="C587" s="53"/>
      <c r="D587" s="53"/>
    </row>
    <row r="588" ht="14.25" customHeight="1">
      <c r="A588" s="51"/>
      <c r="B588" s="52"/>
      <c r="C588" s="53"/>
      <c r="D588" s="53"/>
    </row>
    <row r="589" ht="14.25" customHeight="1">
      <c r="A589" s="51"/>
      <c r="B589" s="52"/>
      <c r="C589" s="53"/>
      <c r="D589" s="53"/>
    </row>
    <row r="590" ht="14.25" customHeight="1">
      <c r="A590" s="51"/>
      <c r="B590" s="52"/>
      <c r="C590" s="53"/>
      <c r="D590" s="53"/>
    </row>
    <row r="591" ht="14.25" customHeight="1">
      <c r="A591" s="51"/>
      <c r="B591" s="52"/>
      <c r="C591" s="53"/>
      <c r="D591" s="53"/>
    </row>
    <row r="592" ht="14.25" customHeight="1">
      <c r="A592" s="51"/>
      <c r="B592" s="52"/>
      <c r="C592" s="53"/>
      <c r="D592" s="53"/>
    </row>
    <row r="593" ht="14.25" customHeight="1">
      <c r="A593" s="51"/>
      <c r="B593" s="52"/>
      <c r="C593" s="53"/>
      <c r="D593" s="53"/>
    </row>
    <row r="594" ht="14.25" customHeight="1">
      <c r="A594" s="51"/>
      <c r="B594" s="52"/>
      <c r="C594" s="53"/>
      <c r="D594" s="53"/>
    </row>
    <row r="595" ht="14.25" customHeight="1">
      <c r="A595" s="51"/>
      <c r="B595" s="52"/>
      <c r="C595" s="53"/>
      <c r="D595" s="53"/>
    </row>
    <row r="596" ht="14.25" customHeight="1">
      <c r="A596" s="51"/>
      <c r="B596" s="52"/>
      <c r="C596" s="53"/>
      <c r="D596" s="53"/>
    </row>
    <row r="597" ht="14.25" customHeight="1">
      <c r="A597" s="51"/>
      <c r="B597" s="52"/>
      <c r="C597" s="53"/>
      <c r="D597" s="53"/>
    </row>
    <row r="598" ht="14.25" customHeight="1">
      <c r="A598" s="51"/>
      <c r="B598" s="52"/>
      <c r="C598" s="53"/>
      <c r="D598" s="53"/>
    </row>
    <row r="599" ht="14.25" customHeight="1">
      <c r="A599" s="51"/>
      <c r="B599" s="52"/>
      <c r="C599" s="53"/>
      <c r="D599" s="53"/>
    </row>
    <row r="600" ht="14.25" customHeight="1">
      <c r="A600" s="51"/>
      <c r="B600" s="52"/>
      <c r="C600" s="53"/>
      <c r="D600" s="53"/>
    </row>
    <row r="601" ht="14.25" customHeight="1">
      <c r="A601" s="51"/>
      <c r="B601" s="52"/>
      <c r="C601" s="53"/>
      <c r="D601" s="53"/>
    </row>
    <row r="602" ht="14.25" customHeight="1">
      <c r="A602" s="51"/>
      <c r="B602" s="52"/>
      <c r="C602" s="53"/>
      <c r="D602" s="53"/>
    </row>
    <row r="603" ht="14.25" customHeight="1">
      <c r="A603" s="51"/>
      <c r="B603" s="52"/>
      <c r="C603" s="53"/>
      <c r="D603" s="53"/>
    </row>
    <row r="604" ht="14.25" customHeight="1">
      <c r="A604" s="51"/>
      <c r="B604" s="52"/>
      <c r="C604" s="53"/>
      <c r="D604" s="53"/>
    </row>
    <row r="605" ht="14.25" customHeight="1">
      <c r="A605" s="51"/>
      <c r="B605" s="52"/>
      <c r="C605" s="53"/>
      <c r="D605" s="53"/>
    </row>
    <row r="606" ht="14.25" customHeight="1">
      <c r="A606" s="51"/>
      <c r="B606" s="52"/>
      <c r="C606" s="53"/>
      <c r="D606" s="53"/>
    </row>
    <row r="607" ht="14.25" customHeight="1">
      <c r="A607" s="51"/>
      <c r="B607" s="52"/>
      <c r="C607" s="53"/>
      <c r="D607" s="53"/>
    </row>
    <row r="608" ht="14.25" customHeight="1">
      <c r="A608" s="51"/>
      <c r="B608" s="52"/>
      <c r="C608" s="53"/>
      <c r="D608" s="53"/>
    </row>
    <row r="609" ht="14.25" customHeight="1">
      <c r="A609" s="51"/>
      <c r="B609" s="52"/>
      <c r="C609" s="53"/>
      <c r="D609" s="53"/>
    </row>
    <row r="610" ht="14.25" customHeight="1">
      <c r="A610" s="51"/>
      <c r="B610" s="52"/>
      <c r="C610" s="53"/>
      <c r="D610" s="53"/>
    </row>
    <row r="611" ht="14.25" customHeight="1">
      <c r="A611" s="51"/>
      <c r="B611" s="52"/>
      <c r="C611" s="53"/>
      <c r="D611" s="53"/>
    </row>
    <row r="612" ht="14.25" customHeight="1">
      <c r="A612" s="51"/>
      <c r="B612" s="52"/>
      <c r="C612" s="53"/>
      <c r="D612" s="53"/>
    </row>
    <row r="613" ht="14.25" customHeight="1">
      <c r="A613" s="51"/>
      <c r="B613" s="52"/>
      <c r="C613" s="53"/>
      <c r="D613" s="53"/>
    </row>
    <row r="614" ht="14.25" customHeight="1">
      <c r="A614" s="51"/>
      <c r="B614" s="52"/>
      <c r="C614" s="53"/>
      <c r="D614" s="53"/>
    </row>
    <row r="615" ht="14.25" customHeight="1">
      <c r="A615" s="51"/>
      <c r="B615" s="52"/>
      <c r="C615" s="53"/>
      <c r="D615" s="53"/>
    </row>
    <row r="616" ht="14.25" customHeight="1">
      <c r="A616" s="51"/>
      <c r="B616" s="52"/>
      <c r="C616" s="53"/>
      <c r="D616" s="53"/>
    </row>
    <row r="617" ht="14.25" customHeight="1">
      <c r="A617" s="51"/>
      <c r="B617" s="52"/>
      <c r="C617" s="53"/>
      <c r="D617" s="53"/>
    </row>
    <row r="618" ht="14.25" customHeight="1">
      <c r="A618" s="51"/>
      <c r="B618" s="52"/>
      <c r="C618" s="53"/>
      <c r="D618" s="53"/>
    </row>
    <row r="619" ht="14.25" customHeight="1">
      <c r="A619" s="51"/>
      <c r="B619" s="52"/>
      <c r="C619" s="53"/>
      <c r="D619" s="53"/>
    </row>
    <row r="620" ht="14.25" customHeight="1">
      <c r="A620" s="51"/>
      <c r="B620" s="52"/>
      <c r="C620" s="53"/>
      <c r="D620" s="53"/>
    </row>
    <row r="621" ht="14.25" customHeight="1">
      <c r="A621" s="51"/>
      <c r="B621" s="52"/>
      <c r="C621" s="53"/>
      <c r="D621" s="53"/>
    </row>
    <row r="622" ht="14.25" customHeight="1">
      <c r="A622" s="51"/>
      <c r="B622" s="52"/>
      <c r="C622" s="53"/>
      <c r="D622" s="53"/>
    </row>
    <row r="623" ht="14.25" customHeight="1">
      <c r="A623" s="51"/>
      <c r="B623" s="52"/>
      <c r="C623" s="53"/>
      <c r="D623" s="53"/>
    </row>
    <row r="624" ht="14.25" customHeight="1">
      <c r="A624" s="51"/>
      <c r="B624" s="52"/>
      <c r="C624" s="53"/>
      <c r="D624" s="53"/>
    </row>
    <row r="625" ht="14.25" customHeight="1">
      <c r="A625" s="51"/>
      <c r="B625" s="52"/>
      <c r="C625" s="53"/>
      <c r="D625" s="53"/>
    </row>
    <row r="626" ht="14.25" customHeight="1">
      <c r="A626" s="51"/>
      <c r="B626" s="52"/>
      <c r="C626" s="53"/>
      <c r="D626" s="53"/>
    </row>
    <row r="627" ht="14.25" customHeight="1">
      <c r="A627" s="51"/>
      <c r="B627" s="52"/>
      <c r="C627" s="53"/>
      <c r="D627" s="53"/>
    </row>
    <row r="628" ht="14.25" customHeight="1">
      <c r="A628" s="51"/>
      <c r="B628" s="52"/>
      <c r="C628" s="53"/>
      <c r="D628" s="53"/>
    </row>
    <row r="629" ht="14.25" customHeight="1">
      <c r="A629" s="51"/>
      <c r="B629" s="52"/>
      <c r="C629" s="53"/>
      <c r="D629" s="53"/>
    </row>
    <row r="630" ht="14.25" customHeight="1">
      <c r="A630" s="51"/>
      <c r="B630" s="52"/>
      <c r="C630" s="53"/>
      <c r="D630" s="53"/>
    </row>
    <row r="631" ht="14.25" customHeight="1">
      <c r="A631" s="51"/>
      <c r="B631" s="52"/>
      <c r="C631" s="53"/>
      <c r="D631" s="53"/>
    </row>
    <row r="632" ht="14.25" customHeight="1">
      <c r="A632" s="51"/>
      <c r="B632" s="52"/>
      <c r="C632" s="53"/>
      <c r="D632" s="53"/>
    </row>
    <row r="633" ht="14.25" customHeight="1">
      <c r="A633" s="51"/>
      <c r="B633" s="52"/>
      <c r="C633" s="53"/>
      <c r="D633" s="53"/>
    </row>
    <row r="634" ht="14.25" customHeight="1">
      <c r="A634" s="51"/>
      <c r="B634" s="52"/>
      <c r="C634" s="53"/>
      <c r="D634" s="53"/>
    </row>
    <row r="635" ht="14.25" customHeight="1">
      <c r="A635" s="51"/>
      <c r="B635" s="52"/>
      <c r="C635" s="53"/>
      <c r="D635" s="53"/>
    </row>
    <row r="636" ht="14.25" customHeight="1">
      <c r="A636" s="51"/>
      <c r="B636" s="52"/>
      <c r="C636" s="53"/>
      <c r="D636" s="53"/>
    </row>
    <row r="637" ht="14.25" customHeight="1">
      <c r="A637" s="51"/>
      <c r="B637" s="52"/>
      <c r="C637" s="53"/>
      <c r="D637" s="53"/>
    </row>
    <row r="638" ht="14.25" customHeight="1">
      <c r="A638" s="51"/>
      <c r="B638" s="52"/>
      <c r="C638" s="53"/>
      <c r="D638" s="53"/>
    </row>
    <row r="639" ht="14.25" customHeight="1">
      <c r="A639" s="51"/>
      <c r="B639" s="52"/>
      <c r="C639" s="53"/>
      <c r="D639" s="53"/>
    </row>
    <row r="640" ht="14.25" customHeight="1">
      <c r="A640" s="51"/>
      <c r="B640" s="52"/>
      <c r="C640" s="53"/>
      <c r="D640" s="53"/>
    </row>
    <row r="641" ht="14.25" customHeight="1">
      <c r="A641" s="51"/>
      <c r="B641" s="52"/>
      <c r="C641" s="53"/>
      <c r="D641" s="53"/>
    </row>
    <row r="642" ht="14.25" customHeight="1">
      <c r="A642" s="51"/>
      <c r="B642" s="52"/>
      <c r="C642" s="53"/>
      <c r="D642" s="53"/>
    </row>
    <row r="643" ht="14.25" customHeight="1">
      <c r="A643" s="51"/>
      <c r="B643" s="52"/>
      <c r="C643" s="53"/>
      <c r="D643" s="53"/>
    </row>
    <row r="644" ht="14.25" customHeight="1">
      <c r="A644" s="51"/>
      <c r="B644" s="52"/>
      <c r="C644" s="53"/>
      <c r="D644" s="53"/>
    </row>
    <row r="645" ht="14.25" customHeight="1">
      <c r="A645" s="51"/>
      <c r="B645" s="52"/>
      <c r="C645" s="53"/>
      <c r="D645" s="53"/>
    </row>
    <row r="646" ht="14.25" customHeight="1">
      <c r="A646" s="51"/>
      <c r="B646" s="52"/>
      <c r="C646" s="53"/>
      <c r="D646" s="53"/>
    </row>
    <row r="647" ht="14.25" customHeight="1">
      <c r="A647" s="51"/>
      <c r="B647" s="52"/>
      <c r="C647" s="53"/>
      <c r="D647" s="53"/>
    </row>
    <row r="648" ht="14.25" customHeight="1">
      <c r="A648" s="51"/>
      <c r="B648" s="52"/>
      <c r="C648" s="53"/>
      <c r="D648" s="53"/>
    </row>
    <row r="649" ht="14.25" customHeight="1">
      <c r="A649" s="51"/>
      <c r="B649" s="52"/>
      <c r="C649" s="53"/>
      <c r="D649" s="53"/>
    </row>
    <row r="650" ht="14.25" customHeight="1">
      <c r="A650" s="51"/>
      <c r="B650" s="52"/>
      <c r="C650" s="53"/>
      <c r="D650" s="53"/>
    </row>
    <row r="651" ht="14.25" customHeight="1">
      <c r="A651" s="51"/>
      <c r="B651" s="52"/>
      <c r="C651" s="53"/>
      <c r="D651" s="53"/>
    </row>
    <row r="652" ht="14.25" customHeight="1">
      <c r="A652" s="51"/>
      <c r="B652" s="52"/>
      <c r="C652" s="53"/>
      <c r="D652" s="53"/>
    </row>
    <row r="653" ht="14.25" customHeight="1">
      <c r="A653" s="51"/>
      <c r="B653" s="52"/>
      <c r="C653" s="53"/>
      <c r="D653" s="53"/>
    </row>
    <row r="654" ht="14.25" customHeight="1">
      <c r="A654" s="51"/>
      <c r="B654" s="52"/>
      <c r="C654" s="53"/>
      <c r="D654" s="53"/>
    </row>
    <row r="655" ht="14.25" customHeight="1">
      <c r="A655" s="51"/>
      <c r="B655" s="52"/>
      <c r="C655" s="53"/>
      <c r="D655" s="53"/>
    </row>
    <row r="656" ht="14.25" customHeight="1">
      <c r="A656" s="51"/>
      <c r="B656" s="52"/>
      <c r="C656" s="53"/>
      <c r="D656" s="53"/>
    </row>
    <row r="657" ht="14.25" customHeight="1">
      <c r="A657" s="51"/>
      <c r="B657" s="52"/>
      <c r="C657" s="53"/>
      <c r="D657" s="53"/>
    </row>
    <row r="658" ht="14.25" customHeight="1">
      <c r="A658" s="51"/>
      <c r="B658" s="52"/>
      <c r="C658" s="53"/>
      <c r="D658" s="53"/>
    </row>
    <row r="659" ht="14.25" customHeight="1">
      <c r="A659" s="51"/>
      <c r="B659" s="52"/>
      <c r="C659" s="53"/>
      <c r="D659" s="53"/>
    </row>
    <row r="660" ht="14.25" customHeight="1">
      <c r="A660" s="51"/>
      <c r="B660" s="52"/>
      <c r="C660" s="53"/>
      <c r="D660" s="53"/>
    </row>
    <row r="661" ht="14.25" customHeight="1">
      <c r="A661" s="51"/>
      <c r="B661" s="52"/>
      <c r="C661" s="53"/>
      <c r="D661" s="53"/>
    </row>
    <row r="662" ht="14.25" customHeight="1">
      <c r="A662" s="51"/>
      <c r="B662" s="52"/>
      <c r="C662" s="53"/>
      <c r="D662" s="53"/>
    </row>
    <row r="663" ht="14.25" customHeight="1">
      <c r="A663" s="51"/>
      <c r="B663" s="52"/>
      <c r="C663" s="53"/>
      <c r="D663" s="53"/>
    </row>
    <row r="664" ht="14.25" customHeight="1">
      <c r="A664" s="51"/>
      <c r="B664" s="52"/>
      <c r="C664" s="53"/>
      <c r="D664" s="53"/>
    </row>
    <row r="665" ht="14.25" customHeight="1">
      <c r="A665" s="51"/>
      <c r="B665" s="52"/>
      <c r="C665" s="53"/>
      <c r="D665" s="53"/>
    </row>
    <row r="666" ht="14.25" customHeight="1">
      <c r="A666" s="51"/>
      <c r="B666" s="52"/>
      <c r="C666" s="53"/>
      <c r="D666" s="53"/>
    </row>
    <row r="667" ht="14.25" customHeight="1">
      <c r="A667" s="51"/>
      <c r="B667" s="52"/>
      <c r="C667" s="53"/>
      <c r="D667" s="53"/>
    </row>
    <row r="668" ht="14.25" customHeight="1">
      <c r="A668" s="51"/>
      <c r="B668" s="52"/>
      <c r="C668" s="53"/>
      <c r="D668" s="53"/>
    </row>
    <row r="669" ht="14.25" customHeight="1">
      <c r="A669" s="51"/>
      <c r="B669" s="52"/>
      <c r="C669" s="53"/>
      <c r="D669" s="53"/>
    </row>
    <row r="670" ht="14.25" customHeight="1">
      <c r="A670" s="51"/>
      <c r="B670" s="52"/>
      <c r="C670" s="53"/>
      <c r="D670" s="53"/>
    </row>
    <row r="671" ht="14.25" customHeight="1">
      <c r="A671" s="51"/>
      <c r="B671" s="52"/>
      <c r="C671" s="53"/>
      <c r="D671" s="53"/>
    </row>
    <row r="672" ht="14.25" customHeight="1">
      <c r="A672" s="51"/>
      <c r="B672" s="52"/>
      <c r="C672" s="53"/>
      <c r="D672" s="53"/>
    </row>
    <row r="673" ht="14.25" customHeight="1">
      <c r="A673" s="51"/>
      <c r="B673" s="52"/>
      <c r="C673" s="53"/>
      <c r="D673" s="53"/>
    </row>
    <row r="674" ht="14.25" customHeight="1">
      <c r="A674" s="51"/>
      <c r="B674" s="52"/>
      <c r="C674" s="53"/>
      <c r="D674" s="53"/>
    </row>
    <row r="675" ht="14.25" customHeight="1">
      <c r="A675" s="51"/>
      <c r="B675" s="52"/>
      <c r="C675" s="53"/>
      <c r="D675" s="53"/>
    </row>
    <row r="676" ht="14.25" customHeight="1">
      <c r="A676" s="51"/>
      <c r="B676" s="52"/>
      <c r="C676" s="53"/>
      <c r="D676" s="53"/>
    </row>
    <row r="677" ht="14.25" customHeight="1">
      <c r="A677" s="51"/>
      <c r="B677" s="52"/>
      <c r="C677" s="53"/>
      <c r="D677" s="53"/>
    </row>
    <row r="678" ht="14.25" customHeight="1">
      <c r="A678" s="51"/>
      <c r="B678" s="52"/>
      <c r="C678" s="53"/>
      <c r="D678" s="53"/>
    </row>
    <row r="679" ht="14.25" customHeight="1">
      <c r="A679" s="51"/>
      <c r="B679" s="52"/>
      <c r="C679" s="53"/>
      <c r="D679" s="53"/>
    </row>
    <row r="680" ht="14.25" customHeight="1">
      <c r="A680" s="51"/>
      <c r="B680" s="52"/>
      <c r="C680" s="53"/>
      <c r="D680" s="53"/>
    </row>
    <row r="681" ht="14.25" customHeight="1">
      <c r="A681" s="51"/>
      <c r="B681" s="52"/>
      <c r="C681" s="53"/>
      <c r="D681" s="53"/>
    </row>
    <row r="682" ht="14.25" customHeight="1">
      <c r="A682" s="51"/>
      <c r="B682" s="52"/>
      <c r="C682" s="53"/>
      <c r="D682" s="53"/>
    </row>
    <row r="683" ht="14.25" customHeight="1">
      <c r="A683" s="51"/>
      <c r="B683" s="52"/>
      <c r="C683" s="53"/>
      <c r="D683" s="53"/>
    </row>
    <row r="684" ht="14.25" customHeight="1">
      <c r="A684" s="51"/>
      <c r="B684" s="52"/>
      <c r="C684" s="53"/>
      <c r="D684" s="53"/>
    </row>
    <row r="685" ht="14.25" customHeight="1">
      <c r="A685" s="51"/>
      <c r="B685" s="52"/>
      <c r="C685" s="53"/>
      <c r="D685" s="53"/>
    </row>
    <row r="686" ht="14.25" customHeight="1">
      <c r="A686" s="51"/>
      <c r="B686" s="52"/>
      <c r="C686" s="53"/>
      <c r="D686" s="53"/>
    </row>
    <row r="687" ht="14.25" customHeight="1">
      <c r="A687" s="51"/>
      <c r="B687" s="52"/>
      <c r="C687" s="53"/>
      <c r="D687" s="53"/>
    </row>
    <row r="688" ht="14.25" customHeight="1">
      <c r="A688" s="51"/>
      <c r="B688" s="52"/>
      <c r="C688" s="53"/>
      <c r="D688" s="53"/>
    </row>
    <row r="689" ht="14.25" customHeight="1">
      <c r="A689" s="51"/>
      <c r="B689" s="52"/>
      <c r="C689" s="53"/>
      <c r="D689" s="53"/>
    </row>
    <row r="690" ht="14.25" customHeight="1">
      <c r="A690" s="51"/>
      <c r="B690" s="52"/>
      <c r="C690" s="53"/>
      <c r="D690" s="53"/>
    </row>
    <row r="691" ht="14.25" customHeight="1">
      <c r="A691" s="51"/>
      <c r="B691" s="52"/>
      <c r="C691" s="53"/>
      <c r="D691" s="53"/>
    </row>
    <row r="692" ht="14.25" customHeight="1">
      <c r="A692" s="51"/>
      <c r="B692" s="52"/>
      <c r="C692" s="53"/>
      <c r="D692" s="53"/>
    </row>
    <row r="693" ht="14.25" customHeight="1">
      <c r="A693" s="51"/>
      <c r="B693" s="52"/>
      <c r="C693" s="53"/>
      <c r="D693" s="53"/>
    </row>
    <row r="694" ht="14.25" customHeight="1">
      <c r="A694" s="51"/>
      <c r="B694" s="52"/>
      <c r="C694" s="53"/>
      <c r="D694" s="53"/>
    </row>
    <row r="695" ht="14.25" customHeight="1">
      <c r="A695" s="51"/>
      <c r="B695" s="52"/>
      <c r="C695" s="53"/>
      <c r="D695" s="53"/>
    </row>
    <row r="696" ht="14.25" customHeight="1">
      <c r="A696" s="51"/>
      <c r="B696" s="52"/>
      <c r="C696" s="53"/>
      <c r="D696" s="53"/>
    </row>
    <row r="697" ht="14.25" customHeight="1">
      <c r="A697" s="51"/>
      <c r="B697" s="52"/>
      <c r="C697" s="53"/>
      <c r="D697" s="53"/>
    </row>
    <row r="698" ht="14.25" customHeight="1">
      <c r="A698" s="51"/>
      <c r="B698" s="52"/>
      <c r="C698" s="53"/>
      <c r="D698" s="53"/>
    </row>
    <row r="699" ht="14.25" customHeight="1">
      <c r="A699" s="51"/>
      <c r="B699" s="52"/>
      <c r="C699" s="53"/>
      <c r="D699" s="53"/>
    </row>
    <row r="700" ht="14.25" customHeight="1">
      <c r="A700" s="51"/>
      <c r="B700" s="52"/>
      <c r="C700" s="53"/>
      <c r="D700" s="53"/>
    </row>
    <row r="701" ht="14.25" customHeight="1">
      <c r="A701" s="51"/>
      <c r="B701" s="52"/>
      <c r="C701" s="53"/>
      <c r="D701" s="53"/>
    </row>
    <row r="702" ht="14.25" customHeight="1">
      <c r="A702" s="51"/>
      <c r="B702" s="52"/>
      <c r="C702" s="53"/>
      <c r="D702" s="53"/>
    </row>
    <row r="703" ht="14.25" customHeight="1">
      <c r="A703" s="51"/>
      <c r="B703" s="52"/>
      <c r="C703" s="53"/>
      <c r="D703" s="53"/>
    </row>
    <row r="704" ht="14.25" customHeight="1">
      <c r="A704" s="51"/>
      <c r="B704" s="52"/>
      <c r="C704" s="53"/>
      <c r="D704" s="53"/>
    </row>
    <row r="705" ht="14.25" customHeight="1">
      <c r="A705" s="51"/>
      <c r="B705" s="52"/>
      <c r="C705" s="53"/>
      <c r="D705" s="53"/>
    </row>
    <row r="706" ht="14.25" customHeight="1">
      <c r="A706" s="51"/>
      <c r="B706" s="52"/>
      <c r="C706" s="53"/>
      <c r="D706" s="53"/>
    </row>
    <row r="707" ht="14.25" customHeight="1">
      <c r="A707" s="51"/>
      <c r="B707" s="52"/>
      <c r="C707" s="53"/>
      <c r="D707" s="53"/>
    </row>
    <row r="708" ht="14.25" customHeight="1">
      <c r="A708" s="51"/>
      <c r="B708" s="52"/>
      <c r="C708" s="53"/>
      <c r="D708" s="53"/>
    </row>
    <row r="709" ht="14.25" customHeight="1">
      <c r="A709" s="51"/>
      <c r="B709" s="52"/>
      <c r="C709" s="53"/>
      <c r="D709" s="53"/>
    </row>
    <row r="710" ht="14.25" customHeight="1">
      <c r="A710" s="51"/>
      <c r="B710" s="52"/>
      <c r="C710" s="53"/>
      <c r="D710" s="53"/>
    </row>
    <row r="711" ht="14.25" customHeight="1">
      <c r="A711" s="51"/>
      <c r="B711" s="52"/>
      <c r="C711" s="53"/>
      <c r="D711" s="53"/>
    </row>
    <row r="712" ht="14.25" customHeight="1">
      <c r="A712" s="51"/>
      <c r="B712" s="52"/>
      <c r="C712" s="53"/>
      <c r="D712" s="53"/>
    </row>
    <row r="713" ht="14.25" customHeight="1">
      <c r="A713" s="51"/>
      <c r="B713" s="52"/>
      <c r="C713" s="53"/>
      <c r="D713" s="53"/>
    </row>
    <row r="714" ht="14.25" customHeight="1">
      <c r="A714" s="51"/>
      <c r="B714" s="52"/>
      <c r="C714" s="53"/>
      <c r="D714" s="53"/>
    </row>
    <row r="715" ht="14.25" customHeight="1">
      <c r="A715" s="51"/>
      <c r="B715" s="52"/>
      <c r="C715" s="53"/>
      <c r="D715" s="53"/>
    </row>
    <row r="716" ht="14.25" customHeight="1">
      <c r="A716" s="51"/>
      <c r="B716" s="52"/>
      <c r="C716" s="53"/>
      <c r="D716" s="53"/>
    </row>
    <row r="717" ht="14.25" customHeight="1">
      <c r="A717" s="51"/>
      <c r="B717" s="52"/>
      <c r="C717" s="53"/>
      <c r="D717" s="53"/>
    </row>
    <row r="718" ht="14.25" customHeight="1">
      <c r="A718" s="51"/>
      <c r="B718" s="52"/>
      <c r="C718" s="53"/>
      <c r="D718" s="53"/>
    </row>
    <row r="719" ht="14.25" customHeight="1">
      <c r="A719" s="51"/>
      <c r="B719" s="52"/>
      <c r="C719" s="53"/>
      <c r="D719" s="53"/>
    </row>
    <row r="720" ht="14.25" customHeight="1">
      <c r="A720" s="51"/>
      <c r="B720" s="52"/>
      <c r="C720" s="53"/>
      <c r="D720" s="53"/>
    </row>
    <row r="721" ht="14.25" customHeight="1">
      <c r="A721" s="51"/>
      <c r="B721" s="52"/>
      <c r="C721" s="53"/>
      <c r="D721" s="53"/>
    </row>
    <row r="722" ht="14.25" customHeight="1">
      <c r="A722" s="51"/>
      <c r="B722" s="52"/>
      <c r="C722" s="53"/>
      <c r="D722" s="53"/>
    </row>
    <row r="723" ht="14.25" customHeight="1">
      <c r="A723" s="51"/>
      <c r="B723" s="52"/>
      <c r="C723" s="53"/>
      <c r="D723" s="53"/>
    </row>
    <row r="724" ht="14.25" customHeight="1">
      <c r="A724" s="51"/>
      <c r="B724" s="52"/>
      <c r="C724" s="53"/>
      <c r="D724" s="53"/>
    </row>
    <row r="725" ht="14.25" customHeight="1">
      <c r="A725" s="51"/>
      <c r="B725" s="52"/>
      <c r="C725" s="53"/>
      <c r="D725" s="53"/>
    </row>
    <row r="726" ht="14.25" customHeight="1">
      <c r="A726" s="51"/>
      <c r="B726" s="52"/>
      <c r="C726" s="53"/>
      <c r="D726" s="53"/>
    </row>
    <row r="727" ht="14.25" customHeight="1">
      <c r="A727" s="51"/>
      <c r="B727" s="52"/>
      <c r="C727" s="53"/>
      <c r="D727" s="53"/>
    </row>
    <row r="728" ht="14.25" customHeight="1">
      <c r="A728" s="51"/>
      <c r="B728" s="52"/>
      <c r="C728" s="53"/>
      <c r="D728" s="53"/>
    </row>
    <row r="729" ht="14.25" customHeight="1">
      <c r="A729" s="51"/>
      <c r="B729" s="52"/>
      <c r="C729" s="53"/>
      <c r="D729" s="53"/>
    </row>
    <row r="730" ht="14.25" customHeight="1">
      <c r="A730" s="51"/>
      <c r="B730" s="52"/>
      <c r="C730" s="53"/>
      <c r="D730" s="53"/>
    </row>
    <row r="731" ht="14.25" customHeight="1">
      <c r="A731" s="51"/>
      <c r="B731" s="52"/>
      <c r="C731" s="53"/>
      <c r="D731" s="53"/>
    </row>
    <row r="732" ht="14.25" customHeight="1">
      <c r="A732" s="51"/>
      <c r="B732" s="52"/>
      <c r="C732" s="53"/>
      <c r="D732" s="53"/>
    </row>
    <row r="733" ht="14.25" customHeight="1">
      <c r="A733" s="51"/>
      <c r="B733" s="52"/>
      <c r="C733" s="53"/>
      <c r="D733" s="53"/>
    </row>
    <row r="734" ht="14.25" customHeight="1">
      <c r="A734" s="51"/>
      <c r="B734" s="52"/>
      <c r="C734" s="53"/>
      <c r="D734" s="53"/>
    </row>
    <row r="735" ht="14.25" customHeight="1">
      <c r="A735" s="51"/>
      <c r="B735" s="52"/>
      <c r="C735" s="53"/>
      <c r="D735" s="53"/>
    </row>
    <row r="736" ht="14.25" customHeight="1">
      <c r="A736" s="51"/>
      <c r="B736" s="52"/>
      <c r="C736" s="53"/>
      <c r="D736" s="53"/>
    </row>
    <row r="737" ht="14.25" customHeight="1">
      <c r="A737" s="51"/>
      <c r="B737" s="52"/>
      <c r="C737" s="53"/>
      <c r="D737" s="53"/>
    </row>
    <row r="738" ht="14.25" customHeight="1">
      <c r="A738" s="51"/>
      <c r="B738" s="52"/>
      <c r="C738" s="53"/>
      <c r="D738" s="53"/>
    </row>
    <row r="739" ht="14.25" customHeight="1">
      <c r="A739" s="51"/>
      <c r="B739" s="52"/>
      <c r="C739" s="53"/>
      <c r="D739" s="53"/>
    </row>
    <row r="740" ht="14.25" customHeight="1">
      <c r="A740" s="51"/>
      <c r="B740" s="52"/>
      <c r="C740" s="53"/>
      <c r="D740" s="53"/>
    </row>
    <row r="741" ht="14.25" customHeight="1">
      <c r="A741" s="51"/>
      <c r="B741" s="52"/>
      <c r="C741" s="53"/>
      <c r="D741" s="53"/>
    </row>
    <row r="742" ht="14.25" customHeight="1">
      <c r="A742" s="51"/>
      <c r="B742" s="52"/>
      <c r="C742" s="53"/>
      <c r="D742" s="53"/>
    </row>
    <row r="743" ht="14.25" customHeight="1">
      <c r="A743" s="51"/>
      <c r="B743" s="52"/>
      <c r="C743" s="53"/>
      <c r="D743" s="53"/>
    </row>
    <row r="744" ht="14.25" customHeight="1">
      <c r="A744" s="51"/>
      <c r="B744" s="52"/>
      <c r="C744" s="53"/>
      <c r="D744" s="53"/>
    </row>
    <row r="745" ht="14.25" customHeight="1">
      <c r="A745" s="51"/>
      <c r="B745" s="52"/>
      <c r="C745" s="53"/>
      <c r="D745" s="53"/>
    </row>
    <row r="746" ht="14.25" customHeight="1">
      <c r="A746" s="51"/>
      <c r="B746" s="52"/>
      <c r="C746" s="53"/>
      <c r="D746" s="53"/>
    </row>
    <row r="747" ht="14.25" customHeight="1">
      <c r="A747" s="51"/>
      <c r="B747" s="52"/>
      <c r="C747" s="53"/>
      <c r="D747" s="53"/>
    </row>
    <row r="748" ht="14.25" customHeight="1">
      <c r="A748" s="51"/>
      <c r="B748" s="52"/>
      <c r="C748" s="53"/>
      <c r="D748" s="53"/>
    </row>
    <row r="749" ht="14.25" customHeight="1">
      <c r="A749" s="51"/>
      <c r="B749" s="52"/>
      <c r="C749" s="53"/>
      <c r="D749" s="53"/>
    </row>
    <row r="750" ht="14.25" customHeight="1">
      <c r="A750" s="51"/>
      <c r="B750" s="52"/>
      <c r="C750" s="53"/>
      <c r="D750" s="53"/>
    </row>
    <row r="751" ht="14.25" customHeight="1">
      <c r="A751" s="51"/>
      <c r="B751" s="52"/>
      <c r="C751" s="53"/>
      <c r="D751" s="53"/>
    </row>
    <row r="752" ht="14.25" customHeight="1">
      <c r="A752" s="51"/>
      <c r="B752" s="52"/>
      <c r="C752" s="53"/>
      <c r="D752" s="53"/>
    </row>
    <row r="753" ht="14.25" customHeight="1">
      <c r="A753" s="51"/>
      <c r="B753" s="52"/>
      <c r="C753" s="53"/>
      <c r="D753" s="53"/>
    </row>
    <row r="754" ht="14.25" customHeight="1">
      <c r="A754" s="51"/>
      <c r="B754" s="52"/>
      <c r="C754" s="53"/>
      <c r="D754" s="53"/>
    </row>
    <row r="755" ht="14.25" customHeight="1">
      <c r="A755" s="51"/>
      <c r="B755" s="52"/>
      <c r="C755" s="53"/>
      <c r="D755" s="53"/>
    </row>
    <row r="756" ht="14.25" customHeight="1">
      <c r="A756" s="51"/>
      <c r="B756" s="52"/>
      <c r="C756" s="53"/>
      <c r="D756" s="53"/>
    </row>
    <row r="757" ht="14.25" customHeight="1">
      <c r="A757" s="51"/>
      <c r="B757" s="52"/>
      <c r="C757" s="53"/>
      <c r="D757" s="53"/>
    </row>
    <row r="758" ht="14.25" customHeight="1">
      <c r="A758" s="51"/>
      <c r="B758" s="52"/>
      <c r="C758" s="53"/>
      <c r="D758" s="53"/>
    </row>
    <row r="759" ht="14.25" customHeight="1">
      <c r="A759" s="51"/>
      <c r="B759" s="52"/>
      <c r="C759" s="53"/>
      <c r="D759" s="53"/>
    </row>
    <row r="760" ht="14.25" customHeight="1">
      <c r="A760" s="51"/>
      <c r="B760" s="52"/>
      <c r="C760" s="53"/>
      <c r="D760" s="53"/>
    </row>
    <row r="761" ht="14.25" customHeight="1">
      <c r="A761" s="51"/>
      <c r="B761" s="52"/>
      <c r="C761" s="53"/>
      <c r="D761" s="53"/>
    </row>
    <row r="762" ht="14.25" customHeight="1">
      <c r="A762" s="51"/>
      <c r="B762" s="52"/>
      <c r="C762" s="53"/>
      <c r="D762" s="53"/>
    </row>
    <row r="763" ht="14.25" customHeight="1">
      <c r="A763" s="51"/>
      <c r="B763" s="52"/>
      <c r="C763" s="53"/>
      <c r="D763" s="53"/>
    </row>
    <row r="764" ht="14.25" customHeight="1">
      <c r="A764" s="51"/>
      <c r="B764" s="52"/>
      <c r="C764" s="53"/>
      <c r="D764" s="53"/>
    </row>
    <row r="765" ht="14.25" customHeight="1">
      <c r="A765" s="51"/>
      <c r="B765" s="52"/>
      <c r="C765" s="53"/>
      <c r="D765" s="53"/>
    </row>
    <row r="766" ht="14.25" customHeight="1">
      <c r="A766" s="51"/>
      <c r="B766" s="52"/>
      <c r="C766" s="53"/>
      <c r="D766" s="53"/>
    </row>
    <row r="767" ht="14.25" customHeight="1">
      <c r="A767" s="51"/>
      <c r="B767" s="52"/>
      <c r="C767" s="53"/>
      <c r="D767" s="53"/>
    </row>
    <row r="768" ht="14.25" customHeight="1">
      <c r="A768" s="51"/>
      <c r="B768" s="52"/>
      <c r="C768" s="53"/>
      <c r="D768" s="53"/>
    </row>
    <row r="769" ht="14.25" customHeight="1">
      <c r="A769" s="51"/>
      <c r="B769" s="52"/>
      <c r="C769" s="53"/>
      <c r="D769" s="53"/>
    </row>
    <row r="770" ht="14.25" customHeight="1">
      <c r="A770" s="51"/>
      <c r="B770" s="52"/>
      <c r="C770" s="53"/>
      <c r="D770" s="53"/>
    </row>
    <row r="771" ht="14.25" customHeight="1">
      <c r="A771" s="51"/>
      <c r="B771" s="52"/>
      <c r="C771" s="53"/>
      <c r="D771" s="53"/>
    </row>
    <row r="772" ht="14.25" customHeight="1">
      <c r="A772" s="51"/>
      <c r="B772" s="52"/>
      <c r="C772" s="53"/>
      <c r="D772" s="53"/>
    </row>
    <row r="773" ht="14.25" customHeight="1">
      <c r="A773" s="51"/>
      <c r="B773" s="52"/>
      <c r="C773" s="53"/>
      <c r="D773" s="53"/>
    </row>
    <row r="774" ht="14.25" customHeight="1">
      <c r="A774" s="51"/>
      <c r="B774" s="52"/>
      <c r="C774" s="53"/>
      <c r="D774" s="53"/>
    </row>
    <row r="775" ht="14.25" customHeight="1">
      <c r="A775" s="51"/>
      <c r="B775" s="52"/>
      <c r="C775" s="53"/>
      <c r="D775" s="53"/>
    </row>
    <row r="776" ht="14.25" customHeight="1">
      <c r="A776" s="51"/>
      <c r="B776" s="52"/>
      <c r="C776" s="53"/>
      <c r="D776" s="53"/>
    </row>
    <row r="777" ht="14.25" customHeight="1">
      <c r="A777" s="51"/>
      <c r="B777" s="52"/>
      <c r="C777" s="53"/>
      <c r="D777" s="53"/>
    </row>
    <row r="778" ht="14.25" customHeight="1">
      <c r="A778" s="51"/>
      <c r="B778" s="52"/>
      <c r="C778" s="53"/>
      <c r="D778" s="53"/>
    </row>
    <row r="779" ht="14.25" customHeight="1">
      <c r="A779" s="51"/>
      <c r="B779" s="52"/>
      <c r="C779" s="53"/>
      <c r="D779" s="53"/>
    </row>
    <row r="780" ht="14.25" customHeight="1">
      <c r="A780" s="51"/>
      <c r="B780" s="52"/>
      <c r="C780" s="53"/>
      <c r="D780" s="53"/>
    </row>
    <row r="781" ht="14.25" customHeight="1">
      <c r="A781" s="51"/>
      <c r="B781" s="52"/>
      <c r="C781" s="53"/>
      <c r="D781" s="53"/>
    </row>
    <row r="782" ht="14.25" customHeight="1">
      <c r="A782" s="51"/>
      <c r="B782" s="52"/>
      <c r="C782" s="53"/>
      <c r="D782" s="53"/>
    </row>
    <row r="783" ht="14.25" customHeight="1">
      <c r="A783" s="51"/>
      <c r="B783" s="52"/>
      <c r="C783" s="53"/>
      <c r="D783" s="53"/>
    </row>
    <row r="784" ht="14.25" customHeight="1">
      <c r="A784" s="51"/>
      <c r="B784" s="52"/>
      <c r="C784" s="53"/>
      <c r="D784" s="53"/>
    </row>
    <row r="785" ht="14.25" customHeight="1">
      <c r="A785" s="51"/>
      <c r="B785" s="52"/>
      <c r="C785" s="53"/>
      <c r="D785" s="53"/>
    </row>
    <row r="786" ht="14.25" customHeight="1">
      <c r="A786" s="51"/>
      <c r="B786" s="52"/>
      <c r="C786" s="53"/>
      <c r="D786" s="53"/>
    </row>
    <row r="787" ht="14.25" customHeight="1">
      <c r="A787" s="51"/>
      <c r="B787" s="52"/>
      <c r="C787" s="53"/>
      <c r="D787" s="53"/>
    </row>
    <row r="788" ht="14.25" customHeight="1">
      <c r="A788" s="51"/>
      <c r="B788" s="52"/>
      <c r="C788" s="53"/>
      <c r="D788" s="53"/>
    </row>
    <row r="789" ht="14.25" customHeight="1">
      <c r="A789" s="51"/>
      <c r="B789" s="52"/>
      <c r="C789" s="53"/>
      <c r="D789" s="53"/>
    </row>
    <row r="790" ht="14.25" customHeight="1">
      <c r="A790" s="51"/>
      <c r="B790" s="52"/>
      <c r="C790" s="53"/>
      <c r="D790" s="53"/>
    </row>
    <row r="791" ht="14.25" customHeight="1">
      <c r="A791" s="51"/>
      <c r="B791" s="52"/>
      <c r="C791" s="53"/>
      <c r="D791" s="53"/>
    </row>
    <row r="792" ht="14.25" customHeight="1">
      <c r="A792" s="51"/>
      <c r="B792" s="52"/>
      <c r="C792" s="53"/>
      <c r="D792" s="53"/>
    </row>
    <row r="793" ht="14.25" customHeight="1">
      <c r="A793" s="51"/>
      <c r="B793" s="52"/>
      <c r="C793" s="53"/>
      <c r="D793" s="53"/>
    </row>
    <row r="794" ht="14.25" customHeight="1">
      <c r="A794" s="51"/>
      <c r="B794" s="52"/>
      <c r="C794" s="53"/>
      <c r="D794" s="53"/>
    </row>
    <row r="795" ht="14.25" customHeight="1">
      <c r="A795" s="51"/>
      <c r="B795" s="52"/>
      <c r="C795" s="53"/>
      <c r="D795" s="53"/>
    </row>
    <row r="796" ht="14.25" customHeight="1">
      <c r="A796" s="51"/>
      <c r="B796" s="52"/>
      <c r="C796" s="53"/>
      <c r="D796" s="53"/>
    </row>
    <row r="797" ht="14.25" customHeight="1">
      <c r="A797" s="51"/>
      <c r="B797" s="52"/>
      <c r="C797" s="53"/>
      <c r="D797" s="53"/>
    </row>
    <row r="798" ht="14.25" customHeight="1">
      <c r="A798" s="51"/>
      <c r="B798" s="52"/>
      <c r="C798" s="53"/>
      <c r="D798" s="53"/>
    </row>
    <row r="799" ht="14.25" customHeight="1">
      <c r="A799" s="51"/>
      <c r="B799" s="52"/>
      <c r="C799" s="53"/>
      <c r="D799" s="53"/>
    </row>
    <row r="800" ht="14.25" customHeight="1">
      <c r="A800" s="51"/>
      <c r="B800" s="52"/>
      <c r="C800" s="53"/>
      <c r="D800" s="53"/>
    </row>
    <row r="801" ht="14.25" customHeight="1">
      <c r="A801" s="51"/>
      <c r="B801" s="52"/>
      <c r="C801" s="53"/>
      <c r="D801" s="53"/>
    </row>
    <row r="802" ht="14.25" customHeight="1">
      <c r="A802" s="51"/>
      <c r="B802" s="52"/>
      <c r="C802" s="53"/>
      <c r="D802" s="53"/>
    </row>
    <row r="803" ht="14.25" customHeight="1">
      <c r="A803" s="51"/>
      <c r="B803" s="52"/>
      <c r="C803" s="53"/>
      <c r="D803" s="53"/>
    </row>
    <row r="804" ht="14.25" customHeight="1">
      <c r="A804" s="51"/>
      <c r="B804" s="52"/>
      <c r="C804" s="53"/>
      <c r="D804" s="53"/>
    </row>
    <row r="805" ht="14.25" customHeight="1">
      <c r="A805" s="51"/>
      <c r="B805" s="52"/>
      <c r="C805" s="53"/>
      <c r="D805" s="53"/>
    </row>
    <row r="806" ht="14.25" customHeight="1">
      <c r="A806" s="51"/>
      <c r="B806" s="52"/>
      <c r="C806" s="53"/>
      <c r="D806" s="53"/>
    </row>
    <row r="807" ht="14.25" customHeight="1">
      <c r="A807" s="51"/>
      <c r="B807" s="52"/>
      <c r="C807" s="53"/>
      <c r="D807" s="53"/>
    </row>
    <row r="808" ht="14.25" customHeight="1">
      <c r="A808" s="51"/>
      <c r="B808" s="52"/>
      <c r="C808" s="53"/>
      <c r="D808" s="53"/>
    </row>
    <row r="809" ht="14.25" customHeight="1">
      <c r="A809" s="51"/>
      <c r="B809" s="52"/>
      <c r="C809" s="53"/>
      <c r="D809" s="53"/>
    </row>
    <row r="810" ht="14.25" customHeight="1">
      <c r="A810" s="51"/>
      <c r="B810" s="52"/>
      <c r="C810" s="53"/>
      <c r="D810" s="53"/>
    </row>
    <row r="811" ht="14.25" customHeight="1">
      <c r="A811" s="51"/>
      <c r="B811" s="52"/>
      <c r="C811" s="53"/>
      <c r="D811" s="53"/>
    </row>
    <row r="812" ht="14.25" customHeight="1">
      <c r="A812" s="51"/>
      <c r="B812" s="52"/>
      <c r="C812" s="53"/>
      <c r="D812" s="53"/>
    </row>
    <row r="813" ht="14.25" customHeight="1">
      <c r="A813" s="51"/>
      <c r="B813" s="52"/>
      <c r="C813" s="53"/>
      <c r="D813" s="53"/>
    </row>
    <row r="814" ht="14.25" customHeight="1">
      <c r="A814" s="51"/>
      <c r="B814" s="52"/>
      <c r="C814" s="53"/>
      <c r="D814" s="53"/>
    </row>
    <row r="815" ht="14.25" customHeight="1">
      <c r="A815" s="51"/>
      <c r="B815" s="52"/>
      <c r="C815" s="53"/>
      <c r="D815" s="53"/>
    </row>
    <row r="816" ht="14.25" customHeight="1">
      <c r="A816" s="51"/>
      <c r="B816" s="52"/>
      <c r="C816" s="53"/>
      <c r="D816" s="53"/>
    </row>
    <row r="817" ht="14.25" customHeight="1">
      <c r="A817" s="51"/>
      <c r="B817" s="52"/>
      <c r="C817" s="53"/>
      <c r="D817" s="53"/>
    </row>
    <row r="818" ht="14.25" customHeight="1">
      <c r="A818" s="51"/>
      <c r="B818" s="52"/>
      <c r="C818" s="53"/>
      <c r="D818" s="53"/>
    </row>
    <row r="819" ht="14.25" customHeight="1">
      <c r="A819" s="51"/>
      <c r="B819" s="52"/>
      <c r="C819" s="53"/>
      <c r="D819" s="53"/>
    </row>
    <row r="820" ht="14.25" customHeight="1">
      <c r="A820" s="51"/>
      <c r="B820" s="52"/>
      <c r="C820" s="53"/>
      <c r="D820" s="53"/>
    </row>
    <row r="821" ht="14.25" customHeight="1">
      <c r="A821" s="51"/>
      <c r="B821" s="52"/>
      <c r="C821" s="53"/>
      <c r="D821" s="53"/>
    </row>
    <row r="822" ht="14.25" customHeight="1">
      <c r="A822" s="51"/>
      <c r="B822" s="52"/>
      <c r="C822" s="53"/>
      <c r="D822" s="53"/>
    </row>
    <row r="823" ht="14.25" customHeight="1">
      <c r="A823" s="51"/>
      <c r="B823" s="52"/>
      <c r="C823" s="53"/>
      <c r="D823" s="53"/>
    </row>
    <row r="824" ht="14.25" customHeight="1">
      <c r="A824" s="51"/>
      <c r="B824" s="52"/>
      <c r="C824" s="53"/>
      <c r="D824" s="53"/>
    </row>
    <row r="825" ht="14.25" customHeight="1">
      <c r="A825" s="51"/>
      <c r="B825" s="52"/>
      <c r="C825" s="53"/>
      <c r="D825" s="53"/>
    </row>
    <row r="826" ht="14.25" customHeight="1">
      <c r="A826" s="51"/>
      <c r="B826" s="52"/>
      <c r="C826" s="53"/>
      <c r="D826" s="53"/>
    </row>
    <row r="827" ht="14.25" customHeight="1">
      <c r="A827" s="51"/>
      <c r="B827" s="52"/>
      <c r="C827" s="53"/>
      <c r="D827" s="53"/>
    </row>
    <row r="828" ht="14.25" customHeight="1">
      <c r="A828" s="51"/>
      <c r="B828" s="52"/>
      <c r="C828" s="53"/>
      <c r="D828" s="53"/>
    </row>
    <row r="829" ht="14.25" customHeight="1">
      <c r="A829" s="51"/>
      <c r="B829" s="52"/>
      <c r="C829" s="53"/>
      <c r="D829" s="53"/>
    </row>
    <row r="830" ht="14.25" customHeight="1">
      <c r="A830" s="51"/>
      <c r="B830" s="52"/>
      <c r="C830" s="53"/>
      <c r="D830" s="53"/>
    </row>
    <row r="831" ht="14.25" customHeight="1">
      <c r="A831" s="51"/>
      <c r="B831" s="52"/>
      <c r="C831" s="53"/>
      <c r="D831" s="53"/>
    </row>
    <row r="832" ht="14.25" customHeight="1">
      <c r="A832" s="51"/>
      <c r="B832" s="52"/>
      <c r="C832" s="53"/>
      <c r="D832" s="53"/>
    </row>
    <row r="833" ht="14.25" customHeight="1">
      <c r="A833" s="51"/>
      <c r="B833" s="52"/>
      <c r="C833" s="53"/>
      <c r="D833" s="53"/>
    </row>
    <row r="834" ht="14.25" customHeight="1">
      <c r="A834" s="51"/>
      <c r="B834" s="52"/>
      <c r="C834" s="53"/>
      <c r="D834" s="53"/>
    </row>
    <row r="835" ht="14.25" customHeight="1">
      <c r="A835" s="51"/>
      <c r="B835" s="52"/>
      <c r="C835" s="53"/>
      <c r="D835" s="53"/>
    </row>
    <row r="836" ht="14.25" customHeight="1">
      <c r="A836" s="51"/>
      <c r="B836" s="52"/>
      <c r="C836" s="53"/>
      <c r="D836" s="53"/>
    </row>
    <row r="837" ht="14.25" customHeight="1">
      <c r="A837" s="51"/>
      <c r="B837" s="52"/>
      <c r="C837" s="53"/>
      <c r="D837" s="53"/>
    </row>
    <row r="838" ht="14.25" customHeight="1">
      <c r="A838" s="51"/>
      <c r="B838" s="52"/>
      <c r="C838" s="53"/>
      <c r="D838" s="53"/>
    </row>
    <row r="839" ht="14.25" customHeight="1">
      <c r="A839" s="51"/>
      <c r="B839" s="52"/>
      <c r="C839" s="53"/>
      <c r="D839" s="53"/>
    </row>
    <row r="840" ht="14.25" customHeight="1">
      <c r="A840" s="51"/>
      <c r="B840" s="52"/>
      <c r="C840" s="53"/>
      <c r="D840" s="53"/>
    </row>
    <row r="841" ht="14.25" customHeight="1">
      <c r="A841" s="51"/>
      <c r="B841" s="52"/>
      <c r="C841" s="53"/>
      <c r="D841" s="53"/>
    </row>
    <row r="842" ht="14.25" customHeight="1">
      <c r="A842" s="51"/>
      <c r="B842" s="52"/>
      <c r="C842" s="53"/>
      <c r="D842" s="53"/>
    </row>
    <row r="843" ht="14.25" customHeight="1">
      <c r="A843" s="51"/>
      <c r="B843" s="52"/>
      <c r="C843" s="53"/>
      <c r="D843" s="53"/>
    </row>
    <row r="844" ht="14.25" customHeight="1">
      <c r="A844" s="51"/>
      <c r="B844" s="52"/>
      <c r="C844" s="53"/>
      <c r="D844" s="53"/>
    </row>
    <row r="845" ht="14.25" customHeight="1">
      <c r="A845" s="51"/>
      <c r="B845" s="52"/>
      <c r="C845" s="53"/>
      <c r="D845" s="53"/>
    </row>
    <row r="846" ht="14.25" customHeight="1">
      <c r="A846" s="51"/>
      <c r="B846" s="52"/>
      <c r="C846" s="53"/>
      <c r="D846" s="53"/>
    </row>
    <row r="847" ht="14.25" customHeight="1">
      <c r="A847" s="51"/>
      <c r="B847" s="52"/>
      <c r="C847" s="53"/>
      <c r="D847" s="53"/>
    </row>
    <row r="848" ht="14.25" customHeight="1">
      <c r="A848" s="51"/>
      <c r="B848" s="52"/>
      <c r="C848" s="53"/>
      <c r="D848" s="53"/>
    </row>
    <row r="849" ht="14.25" customHeight="1">
      <c r="A849" s="51"/>
      <c r="B849" s="52"/>
      <c r="C849" s="53"/>
      <c r="D849" s="53"/>
    </row>
    <row r="850" ht="14.25" customHeight="1">
      <c r="A850" s="51"/>
      <c r="B850" s="52"/>
      <c r="C850" s="53"/>
      <c r="D850" s="53"/>
    </row>
    <row r="851" ht="14.25" customHeight="1">
      <c r="A851" s="51"/>
      <c r="B851" s="52"/>
      <c r="C851" s="53"/>
      <c r="D851" s="53"/>
    </row>
    <row r="852" ht="14.25" customHeight="1">
      <c r="A852" s="51"/>
      <c r="B852" s="52"/>
      <c r="C852" s="53"/>
      <c r="D852" s="53"/>
    </row>
    <row r="853" ht="14.25" customHeight="1">
      <c r="A853" s="51"/>
      <c r="B853" s="52"/>
      <c r="C853" s="53"/>
      <c r="D853" s="53"/>
    </row>
    <row r="854" ht="14.25" customHeight="1">
      <c r="A854" s="51"/>
      <c r="B854" s="52"/>
      <c r="C854" s="53"/>
      <c r="D854" s="53"/>
    </row>
    <row r="855" ht="14.25" customHeight="1">
      <c r="A855" s="51"/>
      <c r="B855" s="52"/>
      <c r="C855" s="53"/>
      <c r="D855" s="53"/>
    </row>
    <row r="856" ht="14.25" customHeight="1">
      <c r="A856" s="51"/>
      <c r="B856" s="52"/>
      <c r="C856" s="53"/>
      <c r="D856" s="53"/>
    </row>
    <row r="857" ht="14.25" customHeight="1">
      <c r="A857" s="51"/>
      <c r="B857" s="52"/>
      <c r="C857" s="53"/>
      <c r="D857" s="53"/>
    </row>
    <row r="858" ht="14.25" customHeight="1">
      <c r="A858" s="51"/>
      <c r="B858" s="52"/>
      <c r="C858" s="53"/>
      <c r="D858" s="53"/>
    </row>
    <row r="859" ht="14.25" customHeight="1">
      <c r="A859" s="51"/>
      <c r="B859" s="52"/>
      <c r="C859" s="53"/>
      <c r="D859" s="53"/>
    </row>
    <row r="860" ht="14.25" customHeight="1">
      <c r="A860" s="51"/>
      <c r="B860" s="52"/>
      <c r="C860" s="53"/>
      <c r="D860" s="53"/>
    </row>
    <row r="861" ht="14.25" customHeight="1">
      <c r="A861" s="51"/>
      <c r="B861" s="52"/>
      <c r="C861" s="53"/>
      <c r="D861" s="53"/>
    </row>
    <row r="862" ht="14.25" customHeight="1">
      <c r="A862" s="51"/>
      <c r="B862" s="52"/>
      <c r="C862" s="53"/>
      <c r="D862" s="53"/>
    </row>
    <row r="863" ht="14.25" customHeight="1">
      <c r="A863" s="51"/>
      <c r="B863" s="52"/>
      <c r="C863" s="53"/>
      <c r="D863" s="53"/>
    </row>
    <row r="864" ht="14.25" customHeight="1">
      <c r="A864" s="51"/>
      <c r="B864" s="52"/>
      <c r="C864" s="53"/>
      <c r="D864" s="53"/>
    </row>
    <row r="865" ht="14.25" customHeight="1">
      <c r="A865" s="51"/>
      <c r="B865" s="52"/>
      <c r="C865" s="53"/>
      <c r="D865" s="53"/>
    </row>
    <row r="866" ht="14.25" customHeight="1">
      <c r="A866" s="51"/>
      <c r="B866" s="52"/>
      <c r="C866" s="53"/>
      <c r="D866" s="53"/>
    </row>
    <row r="867" ht="14.25" customHeight="1">
      <c r="A867" s="51"/>
      <c r="B867" s="52"/>
      <c r="C867" s="53"/>
      <c r="D867" s="53"/>
    </row>
    <row r="868" ht="14.25" customHeight="1">
      <c r="A868" s="51"/>
      <c r="B868" s="52"/>
      <c r="C868" s="53"/>
      <c r="D868" s="53"/>
    </row>
    <row r="869" ht="14.25" customHeight="1">
      <c r="A869" s="51"/>
      <c r="B869" s="52"/>
      <c r="C869" s="53"/>
      <c r="D869" s="53"/>
    </row>
    <row r="870" ht="14.25" customHeight="1">
      <c r="A870" s="51"/>
      <c r="B870" s="52"/>
      <c r="C870" s="53"/>
      <c r="D870" s="53"/>
    </row>
    <row r="871" ht="14.25" customHeight="1">
      <c r="A871" s="51"/>
      <c r="B871" s="52"/>
      <c r="C871" s="53"/>
      <c r="D871" s="53"/>
    </row>
    <row r="872" ht="14.25" customHeight="1">
      <c r="A872" s="51"/>
      <c r="B872" s="52"/>
      <c r="C872" s="53"/>
      <c r="D872" s="53"/>
    </row>
    <row r="873" ht="14.25" customHeight="1">
      <c r="A873" s="51"/>
      <c r="B873" s="52"/>
      <c r="C873" s="53"/>
      <c r="D873" s="53"/>
    </row>
    <row r="874" ht="14.25" customHeight="1">
      <c r="A874" s="51"/>
      <c r="B874" s="52"/>
      <c r="C874" s="53"/>
      <c r="D874" s="53"/>
    </row>
    <row r="875" ht="14.25" customHeight="1">
      <c r="A875" s="51"/>
      <c r="B875" s="52"/>
      <c r="C875" s="53"/>
      <c r="D875" s="53"/>
    </row>
    <row r="876" ht="14.25" customHeight="1">
      <c r="A876" s="51"/>
      <c r="B876" s="52"/>
      <c r="C876" s="53"/>
      <c r="D876" s="53"/>
    </row>
    <row r="877" ht="14.25" customHeight="1">
      <c r="A877" s="51"/>
      <c r="B877" s="52"/>
      <c r="C877" s="53"/>
      <c r="D877" s="53"/>
    </row>
    <row r="878" ht="14.25" customHeight="1">
      <c r="A878" s="51"/>
      <c r="B878" s="52"/>
      <c r="C878" s="53"/>
      <c r="D878" s="53"/>
    </row>
    <row r="879" ht="14.25" customHeight="1">
      <c r="A879" s="51"/>
      <c r="B879" s="52"/>
      <c r="C879" s="53"/>
      <c r="D879" s="53"/>
    </row>
    <row r="880" ht="14.25" customHeight="1">
      <c r="A880" s="51"/>
      <c r="B880" s="52"/>
      <c r="C880" s="53"/>
      <c r="D880" s="53"/>
    </row>
    <row r="881" ht="14.25" customHeight="1">
      <c r="A881" s="51"/>
      <c r="B881" s="52"/>
      <c r="C881" s="53"/>
      <c r="D881" s="53"/>
    </row>
    <row r="882" ht="14.25" customHeight="1">
      <c r="A882" s="51"/>
      <c r="B882" s="52"/>
      <c r="C882" s="53"/>
      <c r="D882" s="53"/>
    </row>
    <row r="883" ht="14.25" customHeight="1">
      <c r="A883" s="51"/>
      <c r="B883" s="52"/>
      <c r="C883" s="53"/>
      <c r="D883" s="53"/>
    </row>
    <row r="884" ht="14.25" customHeight="1">
      <c r="A884" s="51"/>
      <c r="B884" s="52"/>
      <c r="C884" s="53"/>
      <c r="D884" s="53"/>
    </row>
    <row r="885" ht="14.25" customHeight="1">
      <c r="A885" s="51"/>
      <c r="B885" s="52"/>
      <c r="C885" s="53"/>
      <c r="D885" s="53"/>
    </row>
    <row r="886" ht="14.25" customHeight="1">
      <c r="A886" s="51"/>
      <c r="B886" s="52"/>
      <c r="C886" s="53"/>
      <c r="D886" s="53"/>
    </row>
    <row r="887" ht="14.25" customHeight="1">
      <c r="A887" s="51"/>
      <c r="B887" s="52"/>
      <c r="C887" s="53"/>
      <c r="D887" s="53"/>
    </row>
    <row r="888" ht="14.25" customHeight="1">
      <c r="A888" s="51"/>
      <c r="B888" s="52"/>
      <c r="C888" s="53"/>
      <c r="D888" s="53"/>
    </row>
    <row r="889" ht="14.25" customHeight="1">
      <c r="A889" s="51"/>
      <c r="B889" s="52"/>
      <c r="C889" s="53"/>
      <c r="D889" s="53"/>
    </row>
    <row r="890" ht="14.25" customHeight="1">
      <c r="A890" s="51"/>
      <c r="B890" s="52"/>
      <c r="C890" s="53"/>
      <c r="D890" s="53"/>
    </row>
    <row r="891" ht="14.25" customHeight="1">
      <c r="A891" s="51"/>
      <c r="B891" s="52"/>
      <c r="C891" s="53"/>
      <c r="D891" s="53"/>
    </row>
    <row r="892" ht="14.25" customHeight="1">
      <c r="A892" s="51"/>
      <c r="B892" s="52"/>
      <c r="C892" s="53"/>
      <c r="D892" s="53"/>
    </row>
    <row r="893" ht="14.25" customHeight="1">
      <c r="A893" s="51"/>
      <c r="B893" s="52"/>
      <c r="C893" s="53"/>
      <c r="D893" s="53"/>
    </row>
    <row r="894" ht="14.25" customHeight="1">
      <c r="A894" s="51"/>
      <c r="B894" s="52"/>
      <c r="C894" s="53"/>
      <c r="D894" s="53"/>
    </row>
    <row r="895" ht="14.25" customHeight="1">
      <c r="A895" s="51"/>
      <c r="B895" s="52"/>
      <c r="C895" s="53"/>
      <c r="D895" s="53"/>
    </row>
    <row r="896" ht="14.25" customHeight="1">
      <c r="A896" s="51"/>
      <c r="B896" s="52"/>
      <c r="C896" s="53"/>
      <c r="D896" s="53"/>
    </row>
    <row r="897" ht="14.25" customHeight="1">
      <c r="A897" s="51"/>
      <c r="B897" s="52"/>
      <c r="C897" s="53"/>
      <c r="D897" s="53"/>
    </row>
    <row r="898" ht="14.25" customHeight="1">
      <c r="A898" s="51"/>
      <c r="B898" s="52"/>
      <c r="C898" s="53"/>
      <c r="D898" s="53"/>
    </row>
    <row r="899" ht="14.25" customHeight="1">
      <c r="A899" s="51"/>
      <c r="B899" s="52"/>
      <c r="C899" s="53"/>
      <c r="D899" s="53"/>
    </row>
    <row r="900" ht="14.25" customHeight="1">
      <c r="A900" s="51"/>
      <c r="B900" s="52"/>
      <c r="C900" s="53"/>
      <c r="D900" s="53"/>
    </row>
    <row r="901" ht="14.25" customHeight="1">
      <c r="A901" s="51"/>
      <c r="B901" s="52"/>
      <c r="C901" s="53"/>
      <c r="D901" s="53"/>
    </row>
    <row r="902" ht="14.25" customHeight="1">
      <c r="A902" s="51"/>
      <c r="B902" s="52"/>
      <c r="C902" s="53"/>
      <c r="D902" s="53"/>
    </row>
    <row r="903" ht="14.25" customHeight="1">
      <c r="A903" s="51"/>
      <c r="B903" s="52"/>
      <c r="C903" s="53"/>
      <c r="D903" s="53"/>
    </row>
    <row r="904" ht="14.25" customHeight="1">
      <c r="A904" s="51"/>
      <c r="B904" s="52"/>
      <c r="C904" s="53"/>
      <c r="D904" s="53"/>
    </row>
    <row r="905" ht="14.25" customHeight="1">
      <c r="A905" s="51"/>
      <c r="B905" s="52"/>
      <c r="C905" s="53"/>
      <c r="D905" s="53"/>
    </row>
    <row r="906" ht="14.25" customHeight="1">
      <c r="A906" s="51"/>
      <c r="B906" s="52"/>
      <c r="C906" s="53"/>
      <c r="D906" s="53"/>
    </row>
    <row r="907" ht="14.25" customHeight="1">
      <c r="A907" s="51"/>
      <c r="B907" s="52"/>
      <c r="C907" s="53"/>
      <c r="D907" s="53"/>
    </row>
    <row r="908" ht="14.25" customHeight="1">
      <c r="A908" s="51"/>
      <c r="B908" s="52"/>
      <c r="C908" s="53"/>
      <c r="D908" s="53"/>
    </row>
    <row r="909" ht="14.25" customHeight="1">
      <c r="A909" s="51"/>
      <c r="B909" s="52"/>
      <c r="C909" s="53"/>
      <c r="D909" s="53"/>
    </row>
    <row r="910" ht="14.25" customHeight="1">
      <c r="A910" s="51"/>
      <c r="B910" s="52"/>
      <c r="C910" s="53"/>
      <c r="D910" s="53"/>
    </row>
    <row r="911" ht="14.25" customHeight="1">
      <c r="A911" s="51"/>
      <c r="B911" s="52"/>
      <c r="C911" s="53"/>
      <c r="D911" s="53"/>
    </row>
    <row r="912" ht="14.25" customHeight="1">
      <c r="A912" s="51"/>
      <c r="B912" s="52"/>
      <c r="C912" s="53"/>
      <c r="D912" s="53"/>
    </row>
    <row r="913" ht="14.25" customHeight="1">
      <c r="A913" s="51"/>
      <c r="B913" s="52"/>
      <c r="C913" s="53"/>
      <c r="D913" s="53"/>
    </row>
    <row r="914" ht="14.25" customHeight="1">
      <c r="A914" s="51"/>
      <c r="B914" s="52"/>
      <c r="C914" s="53"/>
      <c r="D914" s="53"/>
    </row>
    <row r="915" ht="14.25" customHeight="1">
      <c r="A915" s="51"/>
      <c r="B915" s="52"/>
      <c r="C915" s="53"/>
      <c r="D915" s="53"/>
    </row>
    <row r="916" ht="14.25" customHeight="1">
      <c r="A916" s="51"/>
      <c r="B916" s="52"/>
      <c r="C916" s="53"/>
      <c r="D916" s="53"/>
    </row>
    <row r="917" ht="14.25" customHeight="1">
      <c r="A917" s="51"/>
      <c r="B917" s="52"/>
      <c r="C917" s="53"/>
      <c r="D917" s="53"/>
    </row>
    <row r="918" ht="14.25" customHeight="1">
      <c r="A918" s="51"/>
      <c r="B918" s="52"/>
      <c r="C918" s="53"/>
      <c r="D918" s="53"/>
    </row>
    <row r="919" ht="14.25" customHeight="1">
      <c r="A919" s="51"/>
      <c r="B919" s="52"/>
      <c r="C919" s="53"/>
      <c r="D919" s="53"/>
    </row>
    <row r="920" ht="14.25" customHeight="1">
      <c r="A920" s="51"/>
      <c r="B920" s="52"/>
      <c r="C920" s="53"/>
      <c r="D920" s="53"/>
    </row>
    <row r="921" ht="14.25" customHeight="1">
      <c r="A921" s="51"/>
      <c r="B921" s="52"/>
      <c r="C921" s="53"/>
      <c r="D921" s="53"/>
    </row>
    <row r="922" ht="14.25" customHeight="1">
      <c r="A922" s="51"/>
      <c r="B922" s="52"/>
      <c r="C922" s="53"/>
      <c r="D922" s="53"/>
    </row>
    <row r="923" ht="14.25" customHeight="1">
      <c r="A923" s="51"/>
      <c r="B923" s="52"/>
      <c r="C923" s="53"/>
      <c r="D923" s="53"/>
    </row>
    <row r="924" ht="14.25" customHeight="1">
      <c r="A924" s="51"/>
      <c r="B924" s="52"/>
      <c r="C924" s="53"/>
      <c r="D924" s="53"/>
    </row>
    <row r="925" ht="14.25" customHeight="1">
      <c r="A925" s="51"/>
      <c r="B925" s="52"/>
      <c r="C925" s="53"/>
      <c r="D925" s="53"/>
    </row>
    <row r="926" ht="14.25" customHeight="1">
      <c r="A926" s="51"/>
      <c r="B926" s="52"/>
      <c r="C926" s="53"/>
      <c r="D926" s="53"/>
    </row>
    <row r="927" ht="14.25" customHeight="1">
      <c r="A927" s="51"/>
      <c r="B927" s="52"/>
      <c r="C927" s="53"/>
      <c r="D927" s="53"/>
    </row>
    <row r="928" ht="14.25" customHeight="1">
      <c r="A928" s="51"/>
      <c r="B928" s="52"/>
      <c r="C928" s="53"/>
      <c r="D928" s="53"/>
    </row>
    <row r="929" ht="14.25" customHeight="1">
      <c r="A929" s="51"/>
      <c r="B929" s="52"/>
      <c r="C929" s="53"/>
      <c r="D929" s="53"/>
    </row>
    <row r="930" ht="14.25" customHeight="1">
      <c r="A930" s="51"/>
      <c r="B930" s="52"/>
      <c r="C930" s="53"/>
      <c r="D930" s="53"/>
    </row>
    <row r="931" ht="14.25" customHeight="1">
      <c r="A931" s="51"/>
      <c r="B931" s="52"/>
      <c r="C931" s="53"/>
      <c r="D931" s="53"/>
    </row>
    <row r="932" ht="14.25" customHeight="1">
      <c r="A932" s="51"/>
      <c r="B932" s="52"/>
      <c r="C932" s="53"/>
      <c r="D932" s="53"/>
    </row>
    <row r="933" ht="14.25" customHeight="1">
      <c r="A933" s="51"/>
      <c r="B933" s="52"/>
      <c r="C933" s="53"/>
      <c r="D933" s="53"/>
    </row>
    <row r="934" ht="14.25" customHeight="1">
      <c r="A934" s="51"/>
      <c r="B934" s="52"/>
      <c r="C934" s="53"/>
      <c r="D934" s="53"/>
    </row>
    <row r="935" ht="14.25" customHeight="1">
      <c r="A935" s="51"/>
      <c r="B935" s="52"/>
      <c r="C935" s="53"/>
      <c r="D935" s="53"/>
    </row>
    <row r="936" ht="14.25" customHeight="1">
      <c r="A936" s="51"/>
      <c r="B936" s="52"/>
      <c r="C936" s="53"/>
      <c r="D936" s="53"/>
    </row>
    <row r="937" ht="14.25" customHeight="1">
      <c r="A937" s="51"/>
      <c r="B937" s="52"/>
      <c r="C937" s="53"/>
      <c r="D937" s="53"/>
    </row>
    <row r="938" ht="14.25" customHeight="1">
      <c r="A938" s="51"/>
      <c r="B938" s="52"/>
      <c r="C938" s="53"/>
      <c r="D938" s="53"/>
    </row>
    <row r="939" ht="14.25" customHeight="1">
      <c r="A939" s="51"/>
      <c r="B939" s="52"/>
      <c r="C939" s="53"/>
      <c r="D939" s="53"/>
    </row>
    <row r="940" ht="14.25" customHeight="1">
      <c r="A940" s="51"/>
      <c r="B940" s="52"/>
      <c r="C940" s="53"/>
      <c r="D940" s="53"/>
    </row>
    <row r="941" ht="14.25" customHeight="1">
      <c r="A941" s="51"/>
      <c r="B941" s="52"/>
      <c r="C941" s="53"/>
      <c r="D941" s="53"/>
    </row>
    <row r="942" ht="14.25" customHeight="1">
      <c r="A942" s="51"/>
      <c r="B942" s="52"/>
      <c r="C942" s="53"/>
      <c r="D942" s="53"/>
    </row>
    <row r="943" ht="14.25" customHeight="1">
      <c r="A943" s="51"/>
      <c r="B943" s="52"/>
      <c r="C943" s="53"/>
      <c r="D943" s="53"/>
    </row>
    <row r="944" ht="14.25" customHeight="1">
      <c r="A944" s="51"/>
      <c r="B944" s="52"/>
      <c r="C944" s="53"/>
      <c r="D944" s="53"/>
    </row>
    <row r="945" ht="14.25" customHeight="1">
      <c r="A945" s="51"/>
      <c r="B945" s="52"/>
      <c r="C945" s="53"/>
      <c r="D945" s="53"/>
    </row>
    <row r="946" ht="14.25" customHeight="1">
      <c r="A946" s="51"/>
      <c r="B946" s="52"/>
      <c r="C946" s="53"/>
      <c r="D946" s="53"/>
    </row>
    <row r="947" ht="14.25" customHeight="1">
      <c r="A947" s="51"/>
      <c r="B947" s="52"/>
      <c r="C947" s="53"/>
      <c r="D947" s="53"/>
    </row>
    <row r="948" ht="14.25" customHeight="1">
      <c r="A948" s="51"/>
      <c r="B948" s="52"/>
      <c r="C948" s="53"/>
      <c r="D948" s="53"/>
    </row>
    <row r="949" ht="14.25" customHeight="1">
      <c r="A949" s="51"/>
      <c r="B949" s="52"/>
      <c r="C949" s="53"/>
      <c r="D949" s="53"/>
    </row>
    <row r="950" ht="14.25" customHeight="1">
      <c r="A950" s="51"/>
      <c r="B950" s="52"/>
      <c r="C950" s="53"/>
      <c r="D950" s="53"/>
    </row>
    <row r="951" ht="14.25" customHeight="1">
      <c r="A951" s="51"/>
      <c r="B951" s="52"/>
      <c r="C951" s="53"/>
      <c r="D951" s="53"/>
    </row>
    <row r="952" ht="14.25" customHeight="1">
      <c r="A952" s="51"/>
      <c r="B952" s="52"/>
      <c r="C952" s="53"/>
      <c r="D952" s="53"/>
    </row>
    <row r="953" ht="14.25" customHeight="1">
      <c r="A953" s="51"/>
      <c r="B953" s="52"/>
      <c r="C953" s="53"/>
      <c r="D953" s="53"/>
    </row>
    <row r="954" ht="14.25" customHeight="1">
      <c r="A954" s="51"/>
      <c r="B954" s="52"/>
      <c r="C954" s="53"/>
      <c r="D954" s="53"/>
    </row>
    <row r="955" ht="14.25" customHeight="1">
      <c r="A955" s="51"/>
      <c r="B955" s="52"/>
      <c r="C955" s="53"/>
      <c r="D955" s="53"/>
    </row>
    <row r="956" ht="14.25" customHeight="1">
      <c r="A956" s="51"/>
      <c r="B956" s="52"/>
      <c r="C956" s="53"/>
      <c r="D956" s="53"/>
    </row>
    <row r="957" ht="14.25" customHeight="1">
      <c r="A957" s="51"/>
      <c r="B957" s="52"/>
      <c r="C957" s="53"/>
      <c r="D957" s="53"/>
    </row>
    <row r="958" ht="14.25" customHeight="1">
      <c r="A958" s="51"/>
      <c r="B958" s="52"/>
      <c r="C958" s="53"/>
      <c r="D958" s="53"/>
    </row>
    <row r="959" ht="14.25" customHeight="1">
      <c r="A959" s="51"/>
      <c r="B959" s="52"/>
      <c r="C959" s="53"/>
      <c r="D959" s="53"/>
    </row>
    <row r="960" ht="14.25" customHeight="1">
      <c r="A960" s="51"/>
      <c r="B960" s="52"/>
      <c r="C960" s="53"/>
      <c r="D960" s="53"/>
    </row>
    <row r="961" ht="14.25" customHeight="1">
      <c r="A961" s="51"/>
      <c r="B961" s="52"/>
      <c r="C961" s="53"/>
      <c r="D961" s="53"/>
    </row>
    <row r="962" ht="14.25" customHeight="1">
      <c r="A962" s="51"/>
      <c r="B962" s="52"/>
      <c r="C962" s="53"/>
      <c r="D962" s="53"/>
    </row>
    <row r="963" ht="14.25" customHeight="1">
      <c r="A963" s="51"/>
      <c r="B963" s="52"/>
      <c r="C963" s="53"/>
      <c r="D963" s="53"/>
    </row>
    <row r="964" ht="14.25" customHeight="1">
      <c r="A964" s="51"/>
      <c r="B964" s="52"/>
      <c r="C964" s="53"/>
      <c r="D964" s="53"/>
    </row>
    <row r="965" ht="14.25" customHeight="1">
      <c r="A965" s="51"/>
      <c r="B965" s="52"/>
      <c r="C965" s="53"/>
      <c r="D965" s="53"/>
    </row>
    <row r="966" ht="14.25" customHeight="1">
      <c r="A966" s="51"/>
      <c r="B966" s="52"/>
      <c r="C966" s="53"/>
      <c r="D966" s="53"/>
    </row>
    <row r="967" ht="14.25" customHeight="1">
      <c r="A967" s="51"/>
      <c r="B967" s="52"/>
      <c r="C967" s="53"/>
      <c r="D967" s="53"/>
    </row>
    <row r="968" ht="14.25" customHeight="1">
      <c r="A968" s="51"/>
      <c r="B968" s="52"/>
      <c r="C968" s="53"/>
      <c r="D968" s="53"/>
    </row>
    <row r="969" ht="14.25" customHeight="1">
      <c r="A969" s="51"/>
      <c r="B969" s="52"/>
      <c r="C969" s="53"/>
      <c r="D969" s="53"/>
    </row>
    <row r="970" ht="14.25" customHeight="1">
      <c r="A970" s="51"/>
      <c r="B970" s="52"/>
      <c r="C970" s="53"/>
      <c r="D970" s="53"/>
    </row>
    <row r="971" ht="14.25" customHeight="1">
      <c r="A971" s="51"/>
      <c r="B971" s="52"/>
      <c r="C971" s="53"/>
      <c r="D971" s="53"/>
    </row>
    <row r="972" ht="14.25" customHeight="1">
      <c r="A972" s="51"/>
      <c r="B972" s="52"/>
      <c r="C972" s="53"/>
      <c r="D972" s="53"/>
    </row>
    <row r="973" ht="14.25" customHeight="1">
      <c r="A973" s="51"/>
      <c r="B973" s="52"/>
      <c r="C973" s="53"/>
      <c r="D973" s="53"/>
    </row>
    <row r="974" ht="14.25" customHeight="1">
      <c r="A974" s="51"/>
      <c r="B974" s="52"/>
      <c r="C974" s="53"/>
      <c r="D974" s="53"/>
    </row>
    <row r="975" ht="14.25" customHeight="1">
      <c r="A975" s="51"/>
      <c r="B975" s="52"/>
      <c r="C975" s="53"/>
      <c r="D975" s="53"/>
    </row>
    <row r="976" ht="14.25" customHeight="1">
      <c r="A976" s="51"/>
      <c r="B976" s="52"/>
      <c r="C976" s="53"/>
      <c r="D976" s="53"/>
    </row>
    <row r="977" ht="14.25" customHeight="1">
      <c r="A977" s="51"/>
      <c r="B977" s="52"/>
      <c r="C977" s="53"/>
      <c r="D977" s="53"/>
    </row>
    <row r="978" ht="14.25" customHeight="1">
      <c r="A978" s="51"/>
      <c r="B978" s="52"/>
      <c r="C978" s="53"/>
      <c r="D978" s="53"/>
    </row>
    <row r="979" ht="14.25" customHeight="1">
      <c r="A979" s="51"/>
      <c r="B979" s="52"/>
      <c r="C979" s="53"/>
      <c r="D979" s="53"/>
    </row>
    <row r="980" ht="14.25" customHeight="1">
      <c r="A980" s="51"/>
      <c r="B980" s="52"/>
      <c r="C980" s="53"/>
      <c r="D980" s="53"/>
    </row>
    <row r="981" ht="14.25" customHeight="1">
      <c r="A981" s="51"/>
      <c r="B981" s="52"/>
      <c r="C981" s="53"/>
      <c r="D981" s="53"/>
    </row>
    <row r="982" ht="14.25" customHeight="1">
      <c r="A982" s="51"/>
      <c r="B982" s="52"/>
      <c r="C982" s="53"/>
      <c r="D982" s="53"/>
    </row>
    <row r="983" ht="14.25" customHeight="1">
      <c r="A983" s="51"/>
      <c r="B983" s="52"/>
      <c r="C983" s="53"/>
      <c r="D983" s="53"/>
    </row>
    <row r="984" ht="14.25" customHeight="1">
      <c r="A984" s="51"/>
      <c r="B984" s="52"/>
      <c r="C984" s="53"/>
      <c r="D984" s="53"/>
    </row>
    <row r="985" ht="14.25" customHeight="1">
      <c r="A985" s="51"/>
      <c r="B985" s="52"/>
      <c r="C985" s="53"/>
      <c r="D985" s="53"/>
    </row>
    <row r="986" ht="14.25" customHeight="1">
      <c r="A986" s="51"/>
      <c r="B986" s="52"/>
      <c r="C986" s="53"/>
      <c r="D986" s="53"/>
    </row>
    <row r="987" ht="14.25" customHeight="1">
      <c r="A987" s="51"/>
      <c r="B987" s="52"/>
      <c r="C987" s="53"/>
      <c r="D987" s="53"/>
    </row>
    <row r="988" ht="14.25" customHeight="1">
      <c r="A988" s="51"/>
      <c r="B988" s="52"/>
      <c r="C988" s="53"/>
      <c r="D988" s="53"/>
    </row>
    <row r="989" ht="14.25" customHeight="1">
      <c r="A989" s="51"/>
      <c r="B989" s="52"/>
      <c r="C989" s="53"/>
      <c r="D989" s="53"/>
    </row>
    <row r="990" ht="14.25" customHeight="1">
      <c r="A990" s="51"/>
      <c r="B990" s="52"/>
      <c r="C990" s="53"/>
      <c r="D990" s="53"/>
    </row>
    <row r="991" ht="14.25" customHeight="1">
      <c r="A991" s="51"/>
      <c r="B991" s="52"/>
      <c r="C991" s="53"/>
      <c r="D991" s="53"/>
    </row>
    <row r="992" ht="14.25" customHeight="1">
      <c r="A992" s="51"/>
      <c r="B992" s="52"/>
      <c r="C992" s="53"/>
      <c r="D992" s="53"/>
    </row>
    <row r="993" ht="14.25" customHeight="1">
      <c r="A993" s="51"/>
      <c r="B993" s="52"/>
      <c r="C993" s="53"/>
      <c r="D993" s="53"/>
    </row>
    <row r="994" ht="14.25" customHeight="1">
      <c r="A994" s="51"/>
      <c r="B994" s="52"/>
      <c r="C994" s="53"/>
      <c r="D994" s="53"/>
    </row>
    <row r="995" ht="14.25" customHeight="1">
      <c r="A995" s="51"/>
      <c r="B995" s="52"/>
      <c r="C995" s="53"/>
      <c r="D995" s="53"/>
    </row>
    <row r="996" ht="14.25" customHeight="1">
      <c r="A996" s="51"/>
      <c r="B996" s="52"/>
      <c r="C996" s="53"/>
      <c r="D996" s="53"/>
    </row>
    <row r="997" ht="14.25" customHeight="1">
      <c r="A997" s="51"/>
      <c r="B997" s="52"/>
      <c r="C997" s="53"/>
      <c r="D997" s="53"/>
    </row>
    <row r="998" ht="14.25" customHeight="1">
      <c r="A998" s="51"/>
      <c r="B998" s="52"/>
      <c r="C998" s="53"/>
      <c r="D998" s="53"/>
    </row>
    <row r="999" ht="14.25" customHeight="1">
      <c r="A999" s="51"/>
      <c r="B999" s="52"/>
      <c r="C999" s="53"/>
      <c r="D999" s="53"/>
    </row>
    <row r="1000" ht="14.25" customHeight="1">
      <c r="A1000" s="51"/>
      <c r="B1000" s="52"/>
      <c r="C1000" s="53"/>
      <c r="D1000" s="53"/>
    </row>
    <row r="1001" ht="14.25" customHeight="1">
      <c r="A1001" s="51"/>
      <c r="B1001" s="52"/>
      <c r="C1001" s="53"/>
      <c r="D1001" s="53"/>
    </row>
    <row r="1002" ht="14.25" customHeight="1">
      <c r="A1002" s="51"/>
      <c r="B1002" s="52"/>
      <c r="C1002" s="53"/>
      <c r="D1002" s="53"/>
    </row>
    <row r="1003" ht="14.25" customHeight="1">
      <c r="A1003" s="51"/>
      <c r="B1003" s="52"/>
      <c r="C1003" s="53"/>
      <c r="D1003" s="53"/>
    </row>
    <row r="1004" ht="14.25" customHeight="1">
      <c r="A1004" s="51"/>
      <c r="B1004" s="52"/>
      <c r="C1004" s="53"/>
      <c r="D1004" s="53"/>
    </row>
    <row r="1005" ht="14.25" customHeight="1">
      <c r="A1005" s="51"/>
      <c r="B1005" s="52"/>
      <c r="C1005" s="53"/>
      <c r="D1005" s="53"/>
    </row>
    <row r="1006" ht="14.25" customHeight="1">
      <c r="A1006" s="51"/>
      <c r="B1006" s="52"/>
      <c r="C1006" s="53"/>
      <c r="D1006" s="53"/>
    </row>
    <row r="1007" ht="14.25" customHeight="1">
      <c r="A1007" s="51"/>
      <c r="B1007" s="52"/>
      <c r="C1007" s="53"/>
      <c r="D1007" s="53"/>
    </row>
    <row r="1008" ht="14.25" customHeight="1">
      <c r="A1008" s="51"/>
      <c r="B1008" s="52"/>
      <c r="C1008" s="53"/>
      <c r="D1008" s="53"/>
    </row>
    <row r="1009" ht="14.25" customHeight="1">
      <c r="A1009" s="51"/>
      <c r="B1009" s="52"/>
      <c r="C1009" s="53"/>
      <c r="D1009" s="53"/>
    </row>
    <row r="1010" ht="14.25" customHeight="1">
      <c r="A1010" s="51"/>
      <c r="B1010" s="52"/>
      <c r="C1010" s="53"/>
      <c r="D1010" s="53"/>
    </row>
    <row r="1011" ht="14.25" customHeight="1">
      <c r="A1011" s="51"/>
      <c r="B1011" s="52"/>
      <c r="C1011" s="53"/>
      <c r="D1011" s="53"/>
    </row>
    <row r="1012" ht="15.0" customHeight="1">
      <c r="A1012" s="51"/>
      <c r="B1012" s="52"/>
      <c r="C1012" s="53"/>
      <c r="D1012" s="53"/>
    </row>
    <row r="1013">
      <c r="A1013" s="54"/>
      <c r="B1013" s="17"/>
      <c r="C1013" s="17"/>
      <c r="D1013" s="17"/>
    </row>
    <row r="1014">
      <c r="A1014" s="54"/>
      <c r="B1014" s="17"/>
      <c r="C1014" s="17"/>
      <c r="D1014" s="17"/>
    </row>
    <row r="1015">
      <c r="A1015" s="54"/>
      <c r="B1015" s="17"/>
      <c r="C1015" s="17"/>
      <c r="D1015" s="17"/>
    </row>
    <row r="1016">
      <c r="A1016" s="54"/>
      <c r="B1016" s="17"/>
      <c r="C1016" s="17"/>
      <c r="D1016" s="17"/>
    </row>
    <row r="1017">
      <c r="A1017" s="54"/>
      <c r="B1017" s="17"/>
      <c r="C1017" s="17"/>
      <c r="D1017" s="1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2" width="15.14"/>
    <col customWidth="1" min="3" max="3" width="8.86"/>
    <col customWidth="1" min="4" max="4" width="15.57"/>
    <col customWidth="1" min="5" max="26" width="8.86"/>
  </cols>
  <sheetData>
    <row r="1" ht="14.25" customHeight="1">
      <c r="A1" s="55" t="s">
        <v>8</v>
      </c>
      <c r="B1" s="56" t="s">
        <v>9</v>
      </c>
      <c r="C1" s="57" t="s">
        <v>369</v>
      </c>
      <c r="D1" s="57" t="s">
        <v>370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4.25" customHeight="1">
      <c r="A2" s="58">
        <v>1.0</v>
      </c>
      <c r="B2" s="59" t="s">
        <v>12</v>
      </c>
      <c r="C2" s="60">
        <v>0.22160613904587953</v>
      </c>
      <c r="D2" s="61">
        <v>0.05835769754412129</v>
      </c>
    </row>
    <row r="3" ht="14.25" customHeight="1">
      <c r="A3" s="58">
        <v>2.0</v>
      </c>
      <c r="B3" s="59" t="s">
        <v>14</v>
      </c>
      <c r="C3" s="60">
        <v>0.10984024587868928</v>
      </c>
      <c r="D3" s="61">
        <v>0.02736093030394003</v>
      </c>
    </row>
    <row r="4" ht="14.25" customHeight="1">
      <c r="A4" s="58">
        <v>3.0</v>
      </c>
      <c r="B4" s="59" t="s">
        <v>16</v>
      </c>
      <c r="C4" s="60">
        <v>0.14182934425371055</v>
      </c>
      <c r="D4" s="61">
        <v>0.038254272015466995</v>
      </c>
    </row>
    <row r="5" ht="14.25" customHeight="1">
      <c r="A5" s="58">
        <v>4.0</v>
      </c>
      <c r="B5" s="59" t="s">
        <v>18</v>
      </c>
      <c r="C5" s="60">
        <v>0.12985164249555672</v>
      </c>
      <c r="D5" s="61">
        <v>0.03751945019588647</v>
      </c>
    </row>
    <row r="6" ht="14.25" customHeight="1">
      <c r="A6" s="58">
        <v>5.0</v>
      </c>
      <c r="B6" s="59" t="s">
        <v>20</v>
      </c>
      <c r="C6" s="60">
        <v>0.22515940345245286</v>
      </c>
      <c r="D6" s="61">
        <v>0.0635754953098301</v>
      </c>
    </row>
    <row r="7" ht="14.25" customHeight="1">
      <c r="A7" s="58">
        <v>6.0</v>
      </c>
      <c r="B7" s="59" t="s">
        <v>22</v>
      </c>
      <c r="C7" s="60">
        <v>0.07921814011345432</v>
      </c>
      <c r="D7" s="61">
        <v>0.01776380541036397</v>
      </c>
    </row>
    <row r="8" ht="14.25" customHeight="1">
      <c r="A8" s="58">
        <v>7.0</v>
      </c>
      <c r="B8" s="59" t="s">
        <v>24</v>
      </c>
      <c r="C8" s="60">
        <v>0.09472852298908875</v>
      </c>
      <c r="D8" s="61">
        <v>0.01708072146087942</v>
      </c>
    </row>
    <row r="9" ht="14.25" customHeight="1">
      <c r="A9" s="58">
        <v>8.0</v>
      </c>
      <c r="B9" s="59" t="s">
        <v>26</v>
      </c>
      <c r="C9" s="60">
        <v>0.2287599041538934</v>
      </c>
      <c r="D9" s="61">
        <v>0.07282481125853629</v>
      </c>
    </row>
    <row r="10" ht="14.25" customHeight="1">
      <c r="A10" s="58">
        <v>9.0</v>
      </c>
      <c r="B10" s="59" t="s">
        <v>28</v>
      </c>
      <c r="C10" s="60">
        <v>0.23724774043369357</v>
      </c>
      <c r="D10" s="61">
        <v>0.04943289077491926</v>
      </c>
    </row>
    <row r="11" ht="14.25" customHeight="1">
      <c r="A11" s="58">
        <v>10.0</v>
      </c>
      <c r="B11" s="59" t="s">
        <v>30</v>
      </c>
      <c r="C11" s="60">
        <v>0.08050498716791062</v>
      </c>
      <c r="D11" s="61">
        <v>0.019107846746968523</v>
      </c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4.25" customHeight="1">
      <c r="A12" s="58">
        <v>11.0</v>
      </c>
      <c r="B12" s="59" t="s">
        <v>32</v>
      </c>
      <c r="C12" s="60">
        <v>0.13331640171095777</v>
      </c>
      <c r="D12" s="61">
        <v>0.03313258007067953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4.25" customHeight="1">
      <c r="A13" s="63"/>
      <c r="B13" s="64"/>
      <c r="C13" s="65"/>
      <c r="D13" s="65"/>
    </row>
    <row r="14" ht="14.25" customHeight="1">
      <c r="A14" s="63"/>
      <c r="B14" s="64"/>
      <c r="C14" s="65"/>
      <c r="D14" s="65"/>
    </row>
    <row r="15" ht="14.25" customHeight="1">
      <c r="A15" s="63"/>
      <c r="B15" s="64"/>
      <c r="C15" s="65"/>
      <c r="D15" s="65"/>
    </row>
    <row r="16" ht="14.25" customHeight="1">
      <c r="A16" s="63"/>
      <c r="B16" s="64"/>
      <c r="C16" s="65"/>
      <c r="D16" s="65"/>
    </row>
    <row r="17" ht="14.25" customHeight="1">
      <c r="A17" s="63"/>
      <c r="B17" s="64"/>
      <c r="C17" s="65"/>
      <c r="D17" s="65"/>
    </row>
    <row r="18" ht="14.25" customHeight="1">
      <c r="A18" s="63"/>
      <c r="B18" s="64"/>
      <c r="C18" s="65"/>
      <c r="D18" s="65"/>
    </row>
    <row r="19" ht="14.25" customHeight="1">
      <c r="A19" s="63"/>
      <c r="B19" s="64"/>
      <c r="C19" s="65"/>
      <c r="D19" s="65"/>
    </row>
    <row r="20" ht="14.25" customHeight="1">
      <c r="A20" s="63"/>
      <c r="B20" s="64"/>
      <c r="C20" s="65"/>
      <c r="D20" s="65"/>
    </row>
    <row r="21" ht="14.25" customHeight="1">
      <c r="A21" s="63"/>
      <c r="B21" s="64"/>
      <c r="C21" s="65"/>
      <c r="D21" s="65"/>
    </row>
    <row r="22" ht="14.25" customHeight="1">
      <c r="A22" s="63"/>
      <c r="B22" s="64"/>
      <c r="C22" s="65"/>
      <c r="D22" s="65"/>
    </row>
    <row r="23" ht="14.25" customHeight="1">
      <c r="A23" s="63"/>
      <c r="B23" s="64"/>
      <c r="C23" s="65"/>
      <c r="D23" s="65"/>
    </row>
    <row r="24" ht="14.25" customHeight="1">
      <c r="A24" s="63"/>
      <c r="B24" s="64"/>
      <c r="C24" s="65"/>
      <c r="D24" s="65"/>
    </row>
    <row r="25" ht="14.25" customHeight="1">
      <c r="A25" s="63"/>
      <c r="B25" s="64"/>
      <c r="C25" s="65"/>
      <c r="D25" s="65"/>
    </row>
    <row r="26" ht="14.25" customHeight="1">
      <c r="A26" s="63"/>
      <c r="B26" s="64"/>
      <c r="C26" s="65"/>
      <c r="D26" s="65"/>
    </row>
    <row r="27" ht="14.25" customHeight="1">
      <c r="A27" s="63"/>
      <c r="B27" s="64"/>
      <c r="C27" s="65"/>
      <c r="D27" s="65"/>
    </row>
    <row r="28" ht="14.25" customHeight="1">
      <c r="A28" s="63"/>
      <c r="B28" s="64"/>
      <c r="C28" s="65"/>
      <c r="D28" s="65"/>
    </row>
    <row r="29" ht="14.25" customHeight="1">
      <c r="A29" s="63"/>
      <c r="B29" s="64"/>
      <c r="C29" s="65"/>
      <c r="D29" s="65"/>
    </row>
    <row r="30" ht="14.25" customHeight="1">
      <c r="A30" s="63"/>
      <c r="B30" s="64"/>
      <c r="C30" s="65"/>
      <c r="D30" s="65"/>
    </row>
    <row r="31" ht="14.25" customHeight="1">
      <c r="A31" s="63"/>
      <c r="B31" s="64"/>
      <c r="C31" s="65"/>
      <c r="D31" s="65"/>
    </row>
    <row r="32" ht="14.25" customHeight="1">
      <c r="A32" s="63"/>
      <c r="B32" s="64"/>
      <c r="C32" s="65"/>
      <c r="D32" s="65"/>
    </row>
    <row r="33" ht="14.25" customHeight="1">
      <c r="A33" s="63"/>
      <c r="B33" s="64"/>
      <c r="C33" s="65"/>
      <c r="D33" s="65"/>
    </row>
    <row r="34" ht="14.25" customHeight="1">
      <c r="A34" s="63"/>
      <c r="B34" s="64"/>
      <c r="C34" s="65"/>
      <c r="D34" s="65"/>
    </row>
    <row r="35" ht="14.25" customHeight="1">
      <c r="A35" s="63"/>
      <c r="B35" s="64"/>
      <c r="C35" s="65"/>
      <c r="D35" s="65"/>
    </row>
    <row r="36" ht="14.25" customHeight="1">
      <c r="A36" s="63"/>
      <c r="B36" s="64"/>
      <c r="C36" s="65"/>
      <c r="D36" s="65"/>
    </row>
    <row r="37" ht="14.25" customHeight="1">
      <c r="A37" s="63"/>
      <c r="B37" s="64"/>
      <c r="C37" s="65"/>
      <c r="D37" s="65"/>
    </row>
    <row r="38" ht="14.25" customHeight="1">
      <c r="A38" s="63"/>
      <c r="B38" s="64"/>
      <c r="C38" s="65"/>
      <c r="D38" s="65"/>
    </row>
    <row r="39" ht="14.25" customHeight="1">
      <c r="A39" s="63"/>
      <c r="B39" s="64"/>
      <c r="C39" s="65"/>
      <c r="D39" s="65"/>
    </row>
    <row r="40" ht="14.25" customHeight="1">
      <c r="A40" s="63"/>
      <c r="B40" s="64"/>
      <c r="C40" s="65"/>
      <c r="D40" s="65"/>
    </row>
    <row r="41" ht="14.25" customHeight="1">
      <c r="A41" s="63"/>
      <c r="B41" s="64"/>
      <c r="C41" s="65"/>
      <c r="D41" s="65"/>
    </row>
    <row r="42" ht="14.25" customHeight="1">
      <c r="A42" s="63"/>
      <c r="B42" s="64"/>
      <c r="C42" s="65"/>
      <c r="D42" s="65"/>
    </row>
    <row r="43" ht="14.25" customHeight="1">
      <c r="A43" s="63"/>
      <c r="B43" s="64"/>
      <c r="C43" s="65"/>
      <c r="D43" s="65"/>
    </row>
    <row r="44" ht="14.25" customHeight="1">
      <c r="A44" s="63"/>
      <c r="B44" s="64"/>
      <c r="C44" s="65"/>
      <c r="D44" s="65"/>
    </row>
    <row r="45" ht="14.25" customHeight="1">
      <c r="A45" s="63"/>
      <c r="B45" s="64"/>
      <c r="C45" s="65"/>
      <c r="D45" s="65"/>
    </row>
    <row r="46" ht="14.25" customHeight="1">
      <c r="A46" s="63"/>
      <c r="B46" s="64"/>
      <c r="C46" s="65"/>
      <c r="D46" s="65"/>
    </row>
    <row r="47" ht="14.25" customHeight="1">
      <c r="A47" s="63"/>
      <c r="B47" s="64"/>
      <c r="C47" s="65"/>
      <c r="D47" s="65"/>
    </row>
    <row r="48" ht="14.25" customHeight="1">
      <c r="A48" s="63"/>
      <c r="B48" s="64"/>
      <c r="C48" s="65"/>
      <c r="D48" s="65"/>
    </row>
    <row r="49" ht="14.25" customHeight="1">
      <c r="A49" s="63"/>
      <c r="B49" s="64"/>
      <c r="C49" s="65"/>
      <c r="D49" s="65"/>
    </row>
    <row r="50" ht="14.25" customHeight="1">
      <c r="A50" s="63"/>
      <c r="B50" s="64"/>
      <c r="C50" s="65"/>
      <c r="D50" s="65"/>
    </row>
    <row r="51" ht="14.25" customHeight="1">
      <c r="A51" s="63"/>
      <c r="B51" s="64"/>
      <c r="C51" s="65"/>
      <c r="D51" s="65"/>
    </row>
    <row r="52" ht="14.25" customHeight="1">
      <c r="A52" s="63"/>
      <c r="B52" s="64"/>
      <c r="C52" s="65"/>
      <c r="D52" s="65"/>
    </row>
    <row r="53" ht="14.25" customHeight="1">
      <c r="A53" s="63"/>
      <c r="B53" s="64"/>
      <c r="C53" s="65"/>
      <c r="D53" s="65"/>
    </row>
    <row r="54" ht="14.25" customHeight="1">
      <c r="A54" s="63"/>
      <c r="B54" s="64"/>
      <c r="C54" s="65"/>
      <c r="D54" s="65"/>
    </row>
    <row r="55" ht="14.25" customHeight="1">
      <c r="A55" s="63"/>
      <c r="B55" s="64"/>
      <c r="C55" s="65"/>
      <c r="D55" s="65"/>
    </row>
    <row r="56" ht="14.25" customHeight="1">
      <c r="A56" s="63"/>
      <c r="B56" s="64"/>
      <c r="C56" s="65"/>
      <c r="D56" s="65"/>
    </row>
    <row r="57" ht="14.25" customHeight="1">
      <c r="A57" s="63"/>
      <c r="B57" s="64"/>
      <c r="C57" s="65"/>
      <c r="D57" s="65"/>
    </row>
    <row r="58" ht="14.25" customHeight="1">
      <c r="A58" s="63"/>
      <c r="B58" s="64"/>
      <c r="C58" s="65"/>
      <c r="D58" s="65"/>
    </row>
    <row r="59" ht="14.25" customHeight="1">
      <c r="A59" s="63"/>
      <c r="B59" s="64"/>
      <c r="C59" s="65"/>
      <c r="D59" s="65"/>
    </row>
    <row r="60" ht="14.25" customHeight="1">
      <c r="A60" s="63"/>
      <c r="B60" s="64"/>
      <c r="C60" s="65"/>
      <c r="D60" s="65"/>
    </row>
    <row r="61" ht="14.25" customHeight="1">
      <c r="A61" s="63"/>
      <c r="B61" s="64"/>
      <c r="C61" s="65"/>
      <c r="D61" s="65"/>
    </row>
    <row r="62" ht="14.25" customHeight="1">
      <c r="A62" s="63"/>
      <c r="B62" s="64"/>
      <c r="C62" s="65"/>
      <c r="D62" s="65"/>
    </row>
    <row r="63" ht="14.25" customHeight="1">
      <c r="A63" s="63"/>
      <c r="B63" s="64"/>
      <c r="C63" s="65"/>
      <c r="D63" s="65"/>
    </row>
    <row r="64" ht="14.25" customHeight="1">
      <c r="A64" s="63"/>
      <c r="B64" s="64"/>
      <c r="C64" s="65"/>
      <c r="D64" s="65"/>
    </row>
    <row r="65" ht="14.25" customHeight="1">
      <c r="A65" s="63"/>
      <c r="B65" s="64"/>
      <c r="C65" s="65"/>
      <c r="D65" s="65"/>
    </row>
    <row r="66" ht="14.25" customHeight="1">
      <c r="A66" s="63"/>
      <c r="B66" s="64"/>
      <c r="C66" s="65"/>
      <c r="D66" s="65"/>
    </row>
    <row r="67" ht="14.25" customHeight="1">
      <c r="A67" s="63"/>
      <c r="B67" s="64"/>
      <c r="C67" s="65"/>
      <c r="D67" s="65"/>
    </row>
    <row r="68" ht="14.25" customHeight="1">
      <c r="A68" s="63"/>
      <c r="B68" s="64"/>
      <c r="C68" s="65"/>
      <c r="D68" s="65"/>
    </row>
    <row r="69" ht="14.25" customHeight="1">
      <c r="A69" s="63"/>
      <c r="B69" s="64"/>
      <c r="C69" s="65"/>
      <c r="D69" s="65"/>
    </row>
    <row r="70" ht="14.25" customHeight="1">
      <c r="A70" s="63"/>
      <c r="B70" s="64"/>
      <c r="C70" s="65"/>
      <c r="D70" s="65"/>
    </row>
    <row r="71" ht="14.25" customHeight="1">
      <c r="A71" s="63"/>
      <c r="B71" s="64"/>
      <c r="C71" s="65"/>
      <c r="D71" s="65"/>
    </row>
    <row r="72" ht="14.25" customHeight="1">
      <c r="A72" s="63"/>
      <c r="B72" s="64"/>
      <c r="C72" s="65"/>
      <c r="D72" s="65"/>
    </row>
    <row r="73" ht="14.25" customHeight="1">
      <c r="A73" s="63"/>
      <c r="B73" s="64"/>
      <c r="C73" s="65"/>
      <c r="D73" s="65"/>
    </row>
    <row r="74" ht="14.25" customHeight="1">
      <c r="A74" s="63"/>
      <c r="B74" s="64"/>
      <c r="C74" s="65"/>
      <c r="D74" s="65"/>
    </row>
    <row r="75" ht="14.25" customHeight="1">
      <c r="A75" s="63"/>
      <c r="B75" s="64"/>
      <c r="C75" s="65"/>
      <c r="D75" s="65"/>
    </row>
    <row r="76" ht="14.25" customHeight="1">
      <c r="A76" s="63"/>
      <c r="B76" s="64"/>
      <c r="C76" s="65"/>
      <c r="D76" s="65"/>
    </row>
    <row r="77" ht="14.25" customHeight="1">
      <c r="A77" s="63"/>
      <c r="B77" s="64"/>
      <c r="C77" s="65"/>
      <c r="D77" s="65"/>
    </row>
    <row r="78" ht="14.25" customHeight="1">
      <c r="A78" s="63"/>
      <c r="B78" s="64"/>
      <c r="C78" s="65"/>
      <c r="D78" s="65"/>
    </row>
    <row r="79" ht="14.25" customHeight="1">
      <c r="A79" s="63"/>
      <c r="B79" s="64"/>
      <c r="C79" s="65"/>
      <c r="D79" s="65"/>
    </row>
    <row r="80" ht="14.25" customHeight="1">
      <c r="A80" s="63"/>
      <c r="B80" s="64"/>
      <c r="C80" s="65"/>
      <c r="D80" s="65"/>
    </row>
    <row r="81" ht="14.25" customHeight="1">
      <c r="A81" s="63"/>
      <c r="B81" s="64"/>
      <c r="C81" s="65"/>
      <c r="D81" s="65"/>
    </row>
    <row r="82" ht="14.25" customHeight="1">
      <c r="A82" s="63"/>
      <c r="B82" s="64"/>
      <c r="C82" s="65"/>
      <c r="D82" s="65"/>
    </row>
    <row r="83" ht="14.25" customHeight="1">
      <c r="A83" s="63"/>
      <c r="B83" s="64"/>
      <c r="C83" s="65"/>
      <c r="D83" s="65"/>
    </row>
    <row r="84" ht="14.25" customHeight="1">
      <c r="A84" s="63"/>
      <c r="B84" s="64"/>
      <c r="C84" s="65"/>
      <c r="D84" s="65"/>
    </row>
    <row r="85" ht="14.25" customHeight="1">
      <c r="A85" s="63"/>
      <c r="B85" s="64"/>
      <c r="C85" s="65"/>
      <c r="D85" s="65"/>
    </row>
    <row r="86" ht="14.25" customHeight="1">
      <c r="A86" s="63"/>
      <c r="B86" s="64"/>
      <c r="C86" s="65"/>
      <c r="D86" s="65"/>
    </row>
    <row r="87" ht="14.25" customHeight="1">
      <c r="A87" s="63"/>
      <c r="B87" s="64"/>
      <c r="C87" s="65"/>
      <c r="D87" s="65"/>
    </row>
    <row r="88" ht="14.25" customHeight="1">
      <c r="A88" s="63"/>
      <c r="B88" s="64"/>
      <c r="C88" s="65"/>
      <c r="D88" s="65"/>
    </row>
    <row r="89" ht="14.25" customHeight="1">
      <c r="A89" s="63"/>
      <c r="B89" s="64"/>
      <c r="C89" s="65"/>
      <c r="D89" s="65"/>
    </row>
    <row r="90" ht="14.25" customHeight="1">
      <c r="A90" s="63"/>
      <c r="B90" s="64"/>
      <c r="C90" s="65"/>
      <c r="D90" s="65"/>
    </row>
    <row r="91" ht="14.25" customHeight="1">
      <c r="A91" s="63"/>
      <c r="B91" s="64"/>
      <c r="C91" s="65"/>
      <c r="D91" s="65"/>
    </row>
    <row r="92" ht="14.25" customHeight="1">
      <c r="A92" s="63"/>
      <c r="B92" s="64"/>
      <c r="C92" s="65"/>
      <c r="D92" s="65"/>
    </row>
    <row r="93" ht="14.25" customHeight="1">
      <c r="A93" s="63"/>
      <c r="B93" s="64"/>
      <c r="C93" s="65"/>
      <c r="D93" s="65"/>
    </row>
    <row r="94" ht="14.25" customHeight="1">
      <c r="A94" s="63"/>
      <c r="B94" s="64"/>
      <c r="C94" s="65"/>
      <c r="D94" s="65"/>
    </row>
    <row r="95" ht="14.25" customHeight="1">
      <c r="A95" s="63"/>
      <c r="B95" s="64"/>
      <c r="C95" s="65"/>
      <c r="D95" s="65"/>
    </row>
    <row r="96" ht="14.25" customHeight="1">
      <c r="A96" s="63"/>
      <c r="B96" s="64"/>
      <c r="C96" s="65"/>
      <c r="D96" s="65"/>
    </row>
    <row r="97" ht="14.25" customHeight="1">
      <c r="A97" s="63"/>
      <c r="B97" s="64"/>
      <c r="C97" s="65"/>
      <c r="D97" s="65"/>
    </row>
    <row r="98" ht="14.25" customHeight="1">
      <c r="A98" s="63"/>
      <c r="B98" s="64"/>
      <c r="C98" s="65"/>
      <c r="D98" s="65"/>
    </row>
    <row r="99" ht="14.25" customHeight="1">
      <c r="A99" s="63"/>
      <c r="B99" s="64"/>
      <c r="C99" s="65"/>
      <c r="D99" s="65"/>
    </row>
    <row r="100" ht="14.25" customHeight="1">
      <c r="A100" s="63"/>
      <c r="B100" s="64"/>
      <c r="C100" s="65"/>
      <c r="D100" s="65"/>
    </row>
    <row r="101" ht="14.25" customHeight="1">
      <c r="A101" s="63"/>
      <c r="B101" s="64"/>
      <c r="C101" s="65"/>
      <c r="D101" s="65"/>
    </row>
    <row r="102" ht="14.25" customHeight="1">
      <c r="A102" s="63"/>
      <c r="B102" s="64"/>
      <c r="C102" s="65"/>
      <c r="D102" s="65"/>
    </row>
    <row r="103" ht="14.25" customHeight="1">
      <c r="A103" s="63"/>
      <c r="B103" s="64"/>
      <c r="C103" s="65"/>
      <c r="D103" s="65"/>
    </row>
    <row r="104" ht="14.25" customHeight="1">
      <c r="A104" s="63"/>
      <c r="B104" s="64"/>
      <c r="C104" s="65"/>
      <c r="D104" s="65"/>
    </row>
    <row r="105" ht="14.25" customHeight="1">
      <c r="A105" s="63"/>
      <c r="B105" s="64"/>
      <c r="C105" s="65"/>
      <c r="D105" s="65"/>
    </row>
    <row r="106" ht="14.25" customHeight="1">
      <c r="A106" s="63"/>
      <c r="B106" s="64"/>
      <c r="C106" s="65"/>
      <c r="D106" s="65"/>
    </row>
    <row r="107" ht="14.25" customHeight="1">
      <c r="A107" s="63"/>
      <c r="B107" s="64"/>
      <c r="C107" s="65"/>
      <c r="D107" s="65"/>
    </row>
    <row r="108" ht="14.25" customHeight="1">
      <c r="A108" s="63"/>
      <c r="B108" s="64"/>
      <c r="C108" s="65"/>
      <c r="D108" s="65"/>
    </row>
    <row r="109" ht="14.25" customHeight="1">
      <c r="A109" s="63"/>
      <c r="B109" s="64"/>
      <c r="C109" s="65"/>
      <c r="D109" s="65"/>
    </row>
    <row r="110" ht="14.25" customHeight="1">
      <c r="A110" s="63"/>
      <c r="B110" s="64"/>
      <c r="C110" s="65"/>
      <c r="D110" s="65"/>
    </row>
    <row r="111" ht="14.25" customHeight="1">
      <c r="A111" s="63"/>
      <c r="B111" s="64"/>
      <c r="C111" s="65"/>
      <c r="D111" s="65"/>
    </row>
    <row r="112" ht="14.25" customHeight="1">
      <c r="A112" s="63"/>
      <c r="B112" s="64"/>
      <c r="C112" s="65"/>
      <c r="D112" s="65"/>
    </row>
    <row r="113" ht="14.25" customHeight="1">
      <c r="A113" s="63"/>
      <c r="B113" s="64"/>
      <c r="C113" s="65"/>
      <c r="D113" s="65"/>
    </row>
    <row r="114" ht="14.25" customHeight="1">
      <c r="A114" s="63"/>
      <c r="B114" s="64"/>
      <c r="C114" s="65"/>
      <c r="D114" s="65"/>
    </row>
    <row r="115" ht="14.25" customHeight="1">
      <c r="A115" s="63"/>
      <c r="B115" s="64"/>
      <c r="C115" s="65"/>
      <c r="D115" s="65"/>
    </row>
    <row r="116" ht="14.25" customHeight="1">
      <c r="A116" s="63"/>
      <c r="B116" s="64"/>
      <c r="C116" s="65"/>
      <c r="D116" s="65"/>
    </row>
    <row r="117" ht="14.25" customHeight="1">
      <c r="A117" s="63"/>
      <c r="B117" s="64"/>
      <c r="C117" s="65"/>
      <c r="D117" s="65"/>
    </row>
    <row r="118" ht="14.25" customHeight="1">
      <c r="A118" s="63"/>
      <c r="B118" s="64"/>
      <c r="C118" s="65"/>
      <c r="D118" s="65"/>
    </row>
    <row r="119" ht="14.25" customHeight="1">
      <c r="A119" s="63"/>
      <c r="B119" s="64"/>
      <c r="C119" s="65"/>
      <c r="D119" s="65"/>
    </row>
    <row r="120" ht="14.25" customHeight="1">
      <c r="A120" s="63"/>
      <c r="B120" s="64"/>
      <c r="C120" s="65"/>
      <c r="D120" s="65"/>
    </row>
    <row r="121" ht="14.25" customHeight="1">
      <c r="A121" s="63"/>
      <c r="B121" s="64"/>
      <c r="C121" s="65"/>
      <c r="D121" s="65"/>
    </row>
    <row r="122" ht="14.25" customHeight="1">
      <c r="A122" s="63"/>
      <c r="B122" s="64"/>
      <c r="C122" s="65"/>
      <c r="D122" s="65"/>
    </row>
    <row r="123" ht="14.25" customHeight="1">
      <c r="A123" s="63"/>
      <c r="B123" s="64"/>
      <c r="C123" s="65"/>
      <c r="D123" s="65"/>
    </row>
    <row r="124" ht="14.25" customHeight="1">
      <c r="A124" s="63"/>
      <c r="B124" s="64"/>
      <c r="C124" s="65"/>
      <c r="D124" s="65"/>
    </row>
    <row r="125" ht="14.25" customHeight="1">
      <c r="A125" s="63"/>
      <c r="B125" s="64"/>
      <c r="C125" s="65"/>
      <c r="D125" s="65"/>
    </row>
    <row r="126" ht="14.25" customHeight="1">
      <c r="A126" s="63"/>
      <c r="B126" s="64"/>
      <c r="C126" s="65"/>
      <c r="D126" s="65"/>
    </row>
    <row r="127" ht="14.25" customHeight="1">
      <c r="A127" s="63"/>
      <c r="B127" s="64"/>
      <c r="C127" s="65"/>
      <c r="D127" s="65"/>
    </row>
    <row r="128" ht="14.25" customHeight="1">
      <c r="A128" s="63"/>
      <c r="B128" s="64"/>
      <c r="C128" s="65"/>
      <c r="D128" s="65"/>
    </row>
    <row r="129" ht="14.25" customHeight="1">
      <c r="A129" s="63"/>
      <c r="B129" s="64"/>
      <c r="C129" s="65"/>
      <c r="D129" s="65"/>
    </row>
    <row r="130" ht="14.25" customHeight="1">
      <c r="A130" s="63"/>
      <c r="B130" s="64"/>
      <c r="C130" s="65"/>
      <c r="D130" s="65"/>
    </row>
    <row r="131" ht="14.25" customHeight="1">
      <c r="A131" s="63"/>
      <c r="B131" s="64"/>
      <c r="C131" s="65"/>
      <c r="D131" s="65"/>
    </row>
    <row r="132" ht="14.25" customHeight="1">
      <c r="A132" s="63"/>
      <c r="B132" s="64"/>
      <c r="C132" s="65"/>
      <c r="D132" s="65"/>
    </row>
    <row r="133" ht="14.25" customHeight="1">
      <c r="A133" s="63"/>
      <c r="B133" s="64"/>
      <c r="C133" s="65"/>
      <c r="D133" s="65"/>
    </row>
    <row r="134" ht="14.25" customHeight="1">
      <c r="A134" s="63"/>
      <c r="B134" s="64"/>
      <c r="C134" s="65"/>
      <c r="D134" s="65"/>
    </row>
    <row r="135" ht="14.25" customHeight="1">
      <c r="A135" s="63"/>
      <c r="B135" s="64"/>
      <c r="C135" s="65"/>
      <c r="D135" s="65"/>
    </row>
    <row r="136" ht="14.25" customHeight="1">
      <c r="A136" s="63"/>
      <c r="B136" s="64"/>
      <c r="C136" s="65"/>
      <c r="D136" s="65"/>
    </row>
    <row r="137" ht="14.25" customHeight="1">
      <c r="A137" s="63"/>
      <c r="B137" s="64"/>
      <c r="C137" s="65"/>
      <c r="D137" s="65"/>
    </row>
    <row r="138" ht="14.25" customHeight="1">
      <c r="A138" s="63"/>
      <c r="B138" s="64"/>
      <c r="C138" s="65"/>
      <c r="D138" s="65"/>
    </row>
    <row r="139" ht="14.25" customHeight="1">
      <c r="A139" s="63"/>
      <c r="B139" s="64"/>
      <c r="C139" s="65"/>
      <c r="D139" s="65"/>
    </row>
    <row r="140" ht="14.25" customHeight="1">
      <c r="A140" s="63"/>
      <c r="B140" s="64"/>
      <c r="C140" s="65"/>
      <c r="D140" s="65"/>
    </row>
    <row r="141" ht="14.25" customHeight="1">
      <c r="A141" s="63"/>
      <c r="B141" s="64"/>
      <c r="C141" s="65"/>
      <c r="D141" s="65"/>
    </row>
    <row r="142" ht="14.25" customHeight="1">
      <c r="A142" s="63"/>
      <c r="B142" s="64"/>
      <c r="C142" s="65"/>
      <c r="D142" s="65"/>
    </row>
    <row r="143" ht="14.25" customHeight="1">
      <c r="A143" s="63"/>
      <c r="B143" s="64"/>
      <c r="C143" s="65"/>
      <c r="D143" s="65"/>
    </row>
    <row r="144" ht="14.25" customHeight="1">
      <c r="A144" s="63"/>
      <c r="B144" s="64"/>
      <c r="C144" s="65"/>
      <c r="D144" s="65"/>
    </row>
    <row r="145" ht="14.25" customHeight="1">
      <c r="A145" s="63"/>
      <c r="B145" s="64"/>
      <c r="C145" s="65"/>
      <c r="D145" s="65"/>
    </row>
    <row r="146" ht="14.25" customHeight="1">
      <c r="A146" s="63"/>
      <c r="B146" s="64"/>
      <c r="C146" s="65"/>
      <c r="D146" s="65"/>
    </row>
    <row r="147" ht="14.25" customHeight="1">
      <c r="A147" s="63"/>
      <c r="B147" s="64"/>
      <c r="C147" s="65"/>
      <c r="D147" s="65"/>
    </row>
    <row r="148" ht="14.25" customHeight="1">
      <c r="A148" s="63"/>
      <c r="B148" s="64"/>
      <c r="C148" s="65"/>
      <c r="D148" s="65"/>
    </row>
    <row r="149" ht="14.25" customHeight="1">
      <c r="A149" s="63"/>
      <c r="B149" s="64"/>
      <c r="C149" s="65"/>
      <c r="D149" s="65"/>
    </row>
    <row r="150" ht="14.25" customHeight="1">
      <c r="A150" s="63"/>
      <c r="B150" s="64"/>
      <c r="C150" s="65"/>
      <c r="D150" s="65"/>
    </row>
    <row r="151" ht="14.25" customHeight="1">
      <c r="A151" s="63"/>
      <c r="B151" s="64"/>
      <c r="C151" s="65"/>
      <c r="D151" s="65"/>
    </row>
    <row r="152" ht="14.25" customHeight="1">
      <c r="A152" s="63"/>
      <c r="B152" s="64"/>
      <c r="C152" s="65"/>
      <c r="D152" s="65"/>
    </row>
    <row r="153" ht="14.25" customHeight="1">
      <c r="A153" s="63"/>
      <c r="B153" s="64"/>
      <c r="C153" s="65"/>
      <c r="D153" s="65"/>
    </row>
    <row r="154" ht="14.25" customHeight="1">
      <c r="A154" s="63"/>
      <c r="B154" s="64"/>
      <c r="C154" s="65"/>
      <c r="D154" s="65"/>
    </row>
    <row r="155" ht="14.25" customHeight="1">
      <c r="A155" s="63"/>
      <c r="B155" s="64"/>
      <c r="C155" s="65"/>
      <c r="D155" s="65"/>
    </row>
    <row r="156" ht="14.25" customHeight="1">
      <c r="A156" s="63"/>
      <c r="B156" s="64"/>
      <c r="C156" s="65"/>
      <c r="D156" s="65"/>
    </row>
    <row r="157" ht="14.25" customHeight="1">
      <c r="A157" s="63"/>
      <c r="B157" s="64"/>
      <c r="C157" s="65"/>
      <c r="D157" s="65"/>
    </row>
    <row r="158" ht="14.25" customHeight="1">
      <c r="A158" s="63"/>
      <c r="B158" s="64"/>
      <c r="C158" s="65"/>
      <c r="D158" s="65"/>
    </row>
    <row r="159" ht="14.25" customHeight="1">
      <c r="A159" s="63"/>
      <c r="B159" s="64"/>
      <c r="C159" s="65"/>
      <c r="D159" s="65"/>
    </row>
    <row r="160" ht="14.25" customHeight="1">
      <c r="A160" s="63"/>
      <c r="B160" s="64"/>
      <c r="C160" s="65"/>
      <c r="D160" s="65"/>
    </row>
    <row r="161" ht="14.25" customHeight="1">
      <c r="A161" s="63"/>
      <c r="B161" s="64"/>
      <c r="C161" s="65"/>
      <c r="D161" s="65"/>
    </row>
    <row r="162" ht="14.25" customHeight="1">
      <c r="A162" s="63"/>
      <c r="B162" s="64"/>
      <c r="C162" s="65"/>
      <c r="D162" s="65"/>
    </row>
    <row r="163" ht="14.25" customHeight="1">
      <c r="A163" s="63"/>
      <c r="B163" s="64"/>
      <c r="C163" s="65"/>
      <c r="D163" s="65"/>
    </row>
    <row r="164" ht="14.25" customHeight="1">
      <c r="A164" s="63"/>
      <c r="B164" s="64"/>
      <c r="C164" s="65"/>
      <c r="D164" s="65"/>
    </row>
    <row r="165" ht="14.25" customHeight="1">
      <c r="A165" s="63"/>
      <c r="B165" s="64"/>
      <c r="C165" s="65"/>
      <c r="D165" s="65"/>
    </row>
    <row r="166" ht="14.25" customHeight="1">
      <c r="A166" s="63"/>
      <c r="B166" s="64"/>
      <c r="C166" s="65"/>
      <c r="D166" s="65"/>
    </row>
    <row r="167" ht="14.25" customHeight="1">
      <c r="A167" s="63"/>
      <c r="B167" s="64"/>
      <c r="C167" s="65"/>
      <c r="D167" s="65"/>
    </row>
    <row r="168" ht="14.25" customHeight="1">
      <c r="A168" s="63"/>
      <c r="B168" s="64"/>
      <c r="C168" s="65"/>
      <c r="D168" s="65"/>
    </row>
    <row r="169" ht="14.25" customHeight="1">
      <c r="A169" s="63"/>
      <c r="B169" s="64"/>
      <c r="C169" s="65"/>
      <c r="D169" s="65"/>
    </row>
    <row r="170" ht="14.25" customHeight="1">
      <c r="A170" s="63"/>
      <c r="B170" s="64"/>
      <c r="C170" s="65"/>
      <c r="D170" s="65"/>
    </row>
    <row r="171" ht="14.25" customHeight="1">
      <c r="A171" s="63"/>
      <c r="B171" s="64"/>
      <c r="C171" s="65"/>
      <c r="D171" s="65"/>
    </row>
    <row r="172" ht="14.25" customHeight="1">
      <c r="A172" s="63"/>
      <c r="B172" s="64"/>
      <c r="C172" s="65"/>
      <c r="D172" s="65"/>
    </row>
    <row r="173" ht="14.25" customHeight="1">
      <c r="A173" s="63"/>
      <c r="B173" s="64"/>
      <c r="C173" s="65"/>
      <c r="D173" s="65"/>
    </row>
    <row r="174" ht="14.25" customHeight="1">
      <c r="A174" s="63"/>
      <c r="B174" s="64"/>
      <c r="C174" s="65"/>
      <c r="D174" s="65"/>
    </row>
    <row r="175" ht="14.25" customHeight="1">
      <c r="A175" s="63"/>
      <c r="B175" s="64"/>
      <c r="C175" s="65"/>
      <c r="D175" s="65"/>
    </row>
    <row r="176" ht="14.25" customHeight="1">
      <c r="A176" s="63"/>
      <c r="B176" s="64"/>
      <c r="C176" s="65"/>
      <c r="D176" s="65"/>
    </row>
    <row r="177" ht="14.25" customHeight="1">
      <c r="A177" s="63"/>
      <c r="B177" s="64"/>
      <c r="C177" s="65"/>
      <c r="D177" s="65"/>
    </row>
    <row r="178" ht="14.25" customHeight="1">
      <c r="A178" s="63"/>
      <c r="B178" s="64"/>
      <c r="C178" s="65"/>
      <c r="D178" s="65"/>
    </row>
    <row r="179" ht="14.25" customHeight="1">
      <c r="A179" s="63"/>
      <c r="B179" s="64"/>
      <c r="C179" s="65"/>
      <c r="D179" s="65"/>
    </row>
    <row r="180" ht="14.25" customHeight="1">
      <c r="A180" s="63"/>
      <c r="B180" s="64"/>
      <c r="C180" s="65"/>
      <c r="D180" s="65"/>
    </row>
    <row r="181" ht="14.25" customHeight="1">
      <c r="A181" s="63"/>
      <c r="B181" s="64"/>
      <c r="C181" s="65"/>
      <c r="D181" s="65"/>
    </row>
    <row r="182" ht="14.25" customHeight="1">
      <c r="A182" s="63"/>
      <c r="B182" s="64"/>
      <c r="C182" s="65"/>
      <c r="D182" s="65"/>
    </row>
    <row r="183" ht="14.25" customHeight="1">
      <c r="A183" s="63"/>
      <c r="B183" s="64"/>
      <c r="C183" s="65"/>
      <c r="D183" s="65"/>
    </row>
    <row r="184" ht="14.25" customHeight="1">
      <c r="A184" s="63"/>
      <c r="B184" s="64"/>
      <c r="C184" s="65"/>
      <c r="D184" s="65"/>
    </row>
    <row r="185" ht="14.25" customHeight="1">
      <c r="A185" s="63"/>
      <c r="B185" s="64"/>
      <c r="C185" s="65"/>
      <c r="D185" s="65"/>
    </row>
    <row r="186" ht="14.25" customHeight="1">
      <c r="A186" s="63"/>
      <c r="B186" s="64"/>
      <c r="C186" s="65"/>
      <c r="D186" s="65"/>
    </row>
    <row r="187" ht="14.25" customHeight="1">
      <c r="A187" s="63"/>
      <c r="B187" s="64"/>
      <c r="C187" s="65"/>
      <c r="D187" s="65"/>
    </row>
    <row r="188" ht="14.25" customHeight="1">
      <c r="A188" s="63"/>
      <c r="B188" s="64"/>
      <c r="C188" s="65"/>
      <c r="D188" s="65"/>
    </row>
    <row r="189" ht="14.25" customHeight="1">
      <c r="A189" s="63"/>
      <c r="B189" s="64"/>
      <c r="C189" s="65"/>
      <c r="D189" s="65"/>
    </row>
    <row r="190" ht="14.25" customHeight="1">
      <c r="A190" s="63"/>
      <c r="B190" s="64"/>
      <c r="C190" s="65"/>
      <c r="D190" s="65"/>
    </row>
    <row r="191" ht="14.25" customHeight="1">
      <c r="A191" s="63"/>
      <c r="B191" s="64"/>
      <c r="C191" s="65"/>
      <c r="D191" s="65"/>
    </row>
    <row r="192" ht="14.25" customHeight="1">
      <c r="A192" s="63"/>
      <c r="B192" s="64"/>
      <c r="C192" s="65"/>
      <c r="D192" s="65"/>
    </row>
    <row r="193" ht="14.25" customHeight="1">
      <c r="A193" s="63"/>
      <c r="B193" s="64"/>
      <c r="C193" s="65"/>
      <c r="D193" s="65"/>
    </row>
    <row r="194" ht="14.25" customHeight="1">
      <c r="A194" s="63"/>
      <c r="B194" s="64"/>
      <c r="C194" s="65"/>
      <c r="D194" s="65"/>
    </row>
    <row r="195" ht="14.25" customHeight="1">
      <c r="A195" s="63"/>
      <c r="B195" s="64"/>
      <c r="C195" s="65"/>
      <c r="D195" s="65"/>
    </row>
    <row r="196" ht="14.25" customHeight="1">
      <c r="A196" s="63"/>
      <c r="B196" s="64"/>
      <c r="C196" s="65"/>
      <c r="D196" s="65"/>
    </row>
    <row r="197" ht="14.25" customHeight="1">
      <c r="A197" s="63"/>
      <c r="B197" s="64"/>
      <c r="C197" s="65"/>
      <c r="D197" s="65"/>
    </row>
    <row r="198" ht="14.25" customHeight="1">
      <c r="A198" s="63"/>
      <c r="B198" s="64"/>
      <c r="C198" s="65"/>
      <c r="D198" s="65"/>
    </row>
    <row r="199" ht="14.25" customHeight="1">
      <c r="A199" s="63"/>
      <c r="B199" s="64"/>
      <c r="C199" s="65"/>
      <c r="D199" s="65"/>
    </row>
    <row r="200" ht="14.25" customHeight="1">
      <c r="A200" s="63"/>
      <c r="B200" s="64"/>
      <c r="C200" s="65"/>
      <c r="D200" s="65"/>
    </row>
    <row r="201" ht="14.25" customHeight="1">
      <c r="A201" s="63"/>
      <c r="B201" s="64"/>
      <c r="C201" s="65"/>
      <c r="D201" s="65"/>
    </row>
    <row r="202" ht="14.25" customHeight="1">
      <c r="A202" s="63"/>
      <c r="B202" s="64"/>
      <c r="C202" s="65"/>
      <c r="D202" s="65"/>
    </row>
    <row r="203" ht="14.25" customHeight="1">
      <c r="A203" s="63"/>
      <c r="B203" s="64"/>
      <c r="C203" s="65"/>
      <c r="D203" s="65"/>
    </row>
    <row r="204" ht="14.25" customHeight="1">
      <c r="A204" s="63"/>
      <c r="B204" s="64"/>
      <c r="C204" s="65"/>
      <c r="D204" s="65"/>
    </row>
    <row r="205" ht="14.25" customHeight="1">
      <c r="A205" s="63"/>
      <c r="B205" s="64"/>
      <c r="C205" s="65"/>
      <c r="D205" s="65"/>
    </row>
    <row r="206" ht="14.25" customHeight="1">
      <c r="A206" s="63"/>
      <c r="B206" s="64"/>
      <c r="C206" s="65"/>
      <c r="D206" s="65"/>
    </row>
    <row r="207" ht="14.25" customHeight="1">
      <c r="A207" s="63"/>
      <c r="B207" s="64"/>
      <c r="C207" s="65"/>
      <c r="D207" s="65"/>
    </row>
    <row r="208" ht="14.25" customHeight="1">
      <c r="A208" s="63"/>
      <c r="B208" s="64"/>
      <c r="C208" s="65"/>
      <c r="D208" s="65"/>
    </row>
    <row r="209" ht="14.25" customHeight="1">
      <c r="A209" s="63"/>
      <c r="B209" s="64"/>
      <c r="C209" s="65"/>
      <c r="D209" s="65"/>
    </row>
    <row r="210" ht="14.25" customHeight="1">
      <c r="A210" s="63"/>
      <c r="B210" s="64"/>
      <c r="C210" s="65"/>
      <c r="D210" s="65"/>
    </row>
    <row r="211" ht="14.25" customHeight="1">
      <c r="A211" s="63"/>
      <c r="B211" s="64"/>
      <c r="C211" s="65"/>
      <c r="D211" s="65"/>
    </row>
    <row r="212" ht="14.25" customHeight="1">
      <c r="A212" s="63"/>
      <c r="B212" s="64"/>
      <c r="C212" s="65"/>
      <c r="D212" s="65"/>
    </row>
    <row r="213" ht="14.25" customHeight="1">
      <c r="A213" s="63"/>
      <c r="B213" s="64"/>
      <c r="C213" s="65"/>
      <c r="D213" s="65"/>
    </row>
    <row r="214" ht="14.25" customHeight="1">
      <c r="A214" s="63"/>
      <c r="B214" s="64"/>
      <c r="C214" s="65"/>
      <c r="D214" s="65"/>
    </row>
    <row r="215" ht="14.25" customHeight="1">
      <c r="A215" s="63"/>
      <c r="B215" s="64"/>
      <c r="C215" s="65"/>
      <c r="D215" s="65"/>
    </row>
    <row r="216" ht="14.25" customHeight="1">
      <c r="A216" s="63"/>
      <c r="B216" s="64"/>
      <c r="C216" s="65"/>
      <c r="D216" s="65"/>
    </row>
    <row r="217" ht="14.25" customHeight="1">
      <c r="A217" s="63"/>
      <c r="B217" s="64"/>
      <c r="C217" s="65"/>
      <c r="D217" s="65"/>
    </row>
    <row r="218" ht="14.25" customHeight="1">
      <c r="A218" s="63"/>
      <c r="B218" s="64"/>
      <c r="C218" s="65"/>
      <c r="D218" s="65"/>
    </row>
    <row r="219" ht="14.25" customHeight="1">
      <c r="A219" s="63"/>
      <c r="B219" s="64"/>
      <c r="C219" s="65"/>
      <c r="D219" s="65"/>
    </row>
    <row r="220" ht="14.25" customHeight="1">
      <c r="A220" s="63"/>
      <c r="B220" s="64"/>
      <c r="C220" s="65"/>
      <c r="D220" s="65"/>
    </row>
    <row r="221" ht="14.25" customHeight="1">
      <c r="A221" s="63"/>
      <c r="B221" s="64"/>
      <c r="C221" s="65"/>
      <c r="D221" s="65"/>
    </row>
    <row r="222" ht="14.25" customHeight="1">
      <c r="A222" s="63"/>
      <c r="B222" s="64"/>
      <c r="C222" s="65"/>
      <c r="D222" s="65"/>
    </row>
    <row r="223" ht="14.25" customHeight="1">
      <c r="A223" s="63"/>
      <c r="B223" s="64"/>
      <c r="C223" s="65"/>
      <c r="D223" s="65"/>
    </row>
    <row r="224" ht="14.25" customHeight="1">
      <c r="A224" s="63"/>
      <c r="B224" s="64"/>
      <c r="C224" s="65"/>
      <c r="D224" s="65"/>
    </row>
    <row r="225" ht="14.25" customHeight="1">
      <c r="A225" s="63"/>
      <c r="B225" s="64"/>
      <c r="C225" s="65"/>
      <c r="D225" s="65"/>
    </row>
    <row r="226" ht="14.25" customHeight="1">
      <c r="A226" s="63"/>
      <c r="B226" s="64"/>
      <c r="C226" s="65"/>
      <c r="D226" s="65"/>
    </row>
    <row r="227" ht="14.25" customHeight="1">
      <c r="A227" s="63"/>
      <c r="B227" s="64"/>
      <c r="C227" s="65"/>
      <c r="D227" s="65"/>
    </row>
    <row r="228" ht="14.25" customHeight="1">
      <c r="A228" s="63"/>
      <c r="B228" s="64"/>
      <c r="C228" s="65"/>
      <c r="D228" s="65"/>
    </row>
    <row r="229" ht="14.25" customHeight="1">
      <c r="A229" s="63"/>
      <c r="B229" s="64"/>
      <c r="C229" s="65"/>
      <c r="D229" s="65"/>
    </row>
    <row r="230" ht="14.25" customHeight="1">
      <c r="A230" s="63"/>
      <c r="B230" s="64"/>
      <c r="C230" s="65"/>
      <c r="D230" s="65"/>
    </row>
    <row r="231" ht="14.25" customHeight="1">
      <c r="A231" s="63"/>
      <c r="B231" s="64"/>
      <c r="C231" s="65"/>
      <c r="D231" s="65"/>
    </row>
    <row r="232" ht="14.25" customHeight="1">
      <c r="A232" s="63"/>
      <c r="B232" s="64"/>
      <c r="C232" s="65"/>
      <c r="D232" s="65"/>
    </row>
    <row r="233" ht="14.25" customHeight="1">
      <c r="A233" s="63"/>
      <c r="B233" s="64"/>
      <c r="C233" s="65"/>
      <c r="D233" s="65"/>
    </row>
    <row r="234" ht="14.25" customHeight="1">
      <c r="A234" s="63"/>
      <c r="B234" s="64"/>
      <c r="C234" s="65"/>
      <c r="D234" s="65"/>
    </row>
    <row r="235" ht="14.25" customHeight="1">
      <c r="A235" s="63"/>
      <c r="B235" s="64"/>
      <c r="C235" s="65"/>
      <c r="D235" s="65"/>
    </row>
    <row r="236" ht="14.25" customHeight="1">
      <c r="A236" s="63"/>
      <c r="B236" s="64"/>
      <c r="C236" s="65"/>
      <c r="D236" s="65"/>
    </row>
    <row r="237" ht="14.25" customHeight="1">
      <c r="A237" s="63"/>
      <c r="B237" s="64"/>
      <c r="C237" s="65"/>
      <c r="D237" s="65"/>
    </row>
    <row r="238" ht="14.25" customHeight="1">
      <c r="A238" s="63"/>
      <c r="B238" s="64"/>
      <c r="C238" s="65"/>
      <c r="D238" s="65"/>
    </row>
    <row r="239" ht="14.25" customHeight="1">
      <c r="A239" s="63"/>
      <c r="B239" s="64"/>
      <c r="C239" s="65"/>
      <c r="D239" s="65"/>
    </row>
    <row r="240" ht="14.25" customHeight="1">
      <c r="A240" s="63"/>
      <c r="B240" s="64"/>
      <c r="C240" s="65"/>
      <c r="D240" s="65"/>
    </row>
    <row r="241" ht="14.25" customHeight="1">
      <c r="A241" s="63"/>
      <c r="B241" s="64"/>
      <c r="C241" s="65"/>
      <c r="D241" s="65"/>
    </row>
    <row r="242" ht="14.25" customHeight="1">
      <c r="A242" s="63"/>
      <c r="B242" s="64"/>
      <c r="C242" s="65"/>
      <c r="D242" s="65"/>
    </row>
    <row r="243" ht="14.25" customHeight="1">
      <c r="A243" s="63"/>
      <c r="B243" s="64"/>
      <c r="C243" s="65"/>
      <c r="D243" s="65"/>
    </row>
    <row r="244" ht="14.25" customHeight="1">
      <c r="A244" s="63"/>
      <c r="B244" s="64"/>
      <c r="C244" s="65"/>
      <c r="D244" s="65"/>
    </row>
    <row r="245" ht="14.25" customHeight="1">
      <c r="A245" s="63"/>
      <c r="B245" s="64"/>
      <c r="C245" s="65"/>
      <c r="D245" s="65"/>
    </row>
    <row r="246" ht="14.25" customHeight="1">
      <c r="A246" s="63"/>
      <c r="B246" s="64"/>
      <c r="C246" s="65"/>
      <c r="D246" s="65"/>
    </row>
    <row r="247" ht="14.25" customHeight="1">
      <c r="A247" s="63"/>
      <c r="B247" s="64"/>
      <c r="C247" s="65"/>
      <c r="D247" s="65"/>
    </row>
    <row r="248" ht="14.25" customHeight="1">
      <c r="A248" s="63"/>
      <c r="B248" s="64"/>
      <c r="C248" s="65"/>
      <c r="D248" s="65"/>
    </row>
    <row r="249" ht="14.25" customHeight="1">
      <c r="A249" s="63"/>
      <c r="B249" s="64"/>
      <c r="C249" s="65"/>
      <c r="D249" s="65"/>
    </row>
    <row r="250" ht="14.25" customHeight="1">
      <c r="A250" s="63"/>
      <c r="B250" s="64"/>
      <c r="C250" s="65"/>
      <c r="D250" s="65"/>
    </row>
    <row r="251" ht="14.25" customHeight="1">
      <c r="A251" s="63"/>
      <c r="B251" s="64"/>
      <c r="C251" s="65"/>
      <c r="D251" s="65"/>
    </row>
    <row r="252" ht="14.25" customHeight="1">
      <c r="A252" s="63"/>
      <c r="B252" s="64"/>
      <c r="C252" s="65"/>
      <c r="D252" s="65"/>
    </row>
    <row r="253" ht="14.25" customHeight="1">
      <c r="A253" s="63"/>
      <c r="B253" s="64"/>
      <c r="C253" s="65"/>
      <c r="D253" s="65"/>
    </row>
    <row r="254" ht="14.25" customHeight="1">
      <c r="A254" s="63"/>
      <c r="B254" s="64"/>
      <c r="C254" s="65"/>
      <c r="D254" s="65"/>
    </row>
    <row r="255" ht="14.25" customHeight="1">
      <c r="A255" s="63"/>
      <c r="B255" s="64"/>
      <c r="C255" s="65"/>
      <c r="D255" s="65"/>
    </row>
    <row r="256" ht="14.25" customHeight="1">
      <c r="A256" s="63"/>
      <c r="B256" s="64"/>
      <c r="C256" s="65"/>
      <c r="D256" s="65"/>
    </row>
    <row r="257" ht="14.25" customHeight="1">
      <c r="A257" s="63"/>
      <c r="B257" s="64"/>
      <c r="C257" s="65"/>
      <c r="D257" s="65"/>
    </row>
    <row r="258" ht="14.25" customHeight="1">
      <c r="A258" s="63"/>
      <c r="B258" s="64"/>
      <c r="C258" s="65"/>
      <c r="D258" s="65"/>
    </row>
    <row r="259" ht="14.25" customHeight="1">
      <c r="A259" s="63"/>
      <c r="B259" s="64"/>
      <c r="C259" s="65"/>
      <c r="D259" s="65"/>
    </row>
    <row r="260" ht="14.25" customHeight="1">
      <c r="A260" s="63"/>
      <c r="B260" s="64"/>
      <c r="C260" s="65"/>
      <c r="D260" s="65"/>
    </row>
    <row r="261" ht="14.25" customHeight="1">
      <c r="A261" s="63"/>
      <c r="B261" s="64"/>
      <c r="C261" s="65"/>
      <c r="D261" s="65"/>
    </row>
    <row r="262" ht="14.25" customHeight="1">
      <c r="A262" s="63"/>
      <c r="B262" s="64"/>
      <c r="C262" s="65"/>
      <c r="D262" s="65"/>
    </row>
    <row r="263" ht="14.25" customHeight="1">
      <c r="A263" s="63"/>
      <c r="B263" s="64"/>
      <c r="C263" s="65"/>
      <c r="D263" s="65"/>
    </row>
    <row r="264" ht="14.25" customHeight="1">
      <c r="A264" s="63"/>
      <c r="B264" s="64"/>
      <c r="C264" s="65"/>
      <c r="D264" s="65"/>
    </row>
    <row r="265" ht="14.25" customHeight="1">
      <c r="A265" s="63"/>
      <c r="B265" s="64"/>
      <c r="C265" s="65"/>
      <c r="D265" s="65"/>
    </row>
    <row r="266" ht="14.25" customHeight="1">
      <c r="A266" s="63"/>
      <c r="B266" s="64"/>
      <c r="C266" s="65"/>
      <c r="D266" s="65"/>
    </row>
    <row r="267" ht="14.25" customHeight="1">
      <c r="A267" s="63"/>
      <c r="B267" s="64"/>
      <c r="C267" s="65"/>
      <c r="D267" s="65"/>
    </row>
    <row r="268" ht="14.25" customHeight="1">
      <c r="A268" s="63"/>
      <c r="B268" s="64"/>
      <c r="C268" s="65"/>
      <c r="D268" s="65"/>
    </row>
    <row r="269" ht="14.25" customHeight="1">
      <c r="A269" s="63"/>
      <c r="B269" s="64"/>
      <c r="C269" s="65"/>
      <c r="D269" s="65"/>
    </row>
    <row r="270" ht="14.25" customHeight="1">
      <c r="A270" s="63"/>
      <c r="B270" s="64"/>
      <c r="C270" s="65"/>
      <c r="D270" s="65"/>
    </row>
    <row r="271" ht="14.25" customHeight="1">
      <c r="A271" s="63"/>
      <c r="B271" s="64"/>
      <c r="C271" s="65"/>
      <c r="D271" s="65"/>
    </row>
    <row r="272" ht="14.25" customHeight="1">
      <c r="A272" s="63"/>
      <c r="B272" s="64"/>
      <c r="C272" s="65"/>
      <c r="D272" s="65"/>
    </row>
    <row r="273" ht="14.25" customHeight="1">
      <c r="A273" s="63"/>
      <c r="B273" s="64"/>
      <c r="C273" s="65"/>
      <c r="D273" s="65"/>
    </row>
    <row r="274" ht="14.25" customHeight="1">
      <c r="A274" s="63"/>
      <c r="B274" s="64"/>
      <c r="C274" s="65"/>
      <c r="D274" s="65"/>
    </row>
    <row r="275" ht="14.25" customHeight="1">
      <c r="A275" s="63"/>
      <c r="B275" s="64"/>
      <c r="C275" s="65"/>
      <c r="D275" s="65"/>
    </row>
    <row r="276" ht="14.25" customHeight="1">
      <c r="A276" s="63"/>
      <c r="B276" s="64"/>
      <c r="C276" s="65"/>
      <c r="D276" s="65"/>
    </row>
    <row r="277" ht="14.25" customHeight="1">
      <c r="A277" s="63"/>
      <c r="B277" s="64"/>
      <c r="C277" s="65"/>
      <c r="D277" s="65"/>
    </row>
    <row r="278" ht="14.25" customHeight="1">
      <c r="A278" s="63"/>
      <c r="B278" s="64"/>
      <c r="C278" s="65"/>
      <c r="D278" s="65"/>
    </row>
    <row r="279" ht="14.25" customHeight="1">
      <c r="A279" s="63"/>
      <c r="B279" s="64"/>
      <c r="C279" s="65"/>
      <c r="D279" s="65"/>
    </row>
    <row r="280" ht="14.25" customHeight="1">
      <c r="A280" s="63"/>
      <c r="B280" s="64"/>
      <c r="C280" s="65"/>
      <c r="D280" s="65"/>
    </row>
    <row r="281" ht="14.25" customHeight="1">
      <c r="A281" s="63"/>
      <c r="B281" s="64"/>
      <c r="C281" s="65"/>
      <c r="D281" s="65"/>
    </row>
    <row r="282" ht="14.25" customHeight="1">
      <c r="A282" s="63"/>
      <c r="B282" s="64"/>
      <c r="C282" s="65"/>
      <c r="D282" s="65"/>
    </row>
    <row r="283" ht="14.25" customHeight="1">
      <c r="A283" s="63"/>
      <c r="B283" s="64"/>
      <c r="C283" s="65"/>
      <c r="D283" s="65"/>
    </row>
    <row r="284" ht="14.25" customHeight="1">
      <c r="A284" s="63"/>
      <c r="B284" s="64"/>
      <c r="C284" s="65"/>
      <c r="D284" s="65"/>
    </row>
    <row r="285" ht="14.25" customHeight="1">
      <c r="A285" s="63"/>
      <c r="B285" s="64"/>
      <c r="C285" s="65"/>
      <c r="D285" s="65"/>
    </row>
    <row r="286" ht="14.25" customHeight="1">
      <c r="A286" s="63"/>
      <c r="B286" s="64"/>
      <c r="C286" s="65"/>
      <c r="D286" s="65"/>
    </row>
    <row r="287" ht="14.25" customHeight="1">
      <c r="A287" s="63"/>
      <c r="B287" s="64"/>
      <c r="C287" s="65"/>
      <c r="D287" s="65"/>
    </row>
    <row r="288" ht="14.25" customHeight="1">
      <c r="A288" s="63"/>
      <c r="B288" s="64"/>
      <c r="C288" s="65"/>
      <c r="D288" s="65"/>
    </row>
    <row r="289" ht="14.25" customHeight="1">
      <c r="A289" s="63"/>
      <c r="B289" s="64"/>
      <c r="C289" s="65"/>
      <c r="D289" s="65"/>
    </row>
    <row r="290" ht="14.25" customHeight="1">
      <c r="A290" s="63"/>
      <c r="B290" s="64"/>
      <c r="C290" s="65"/>
      <c r="D290" s="65"/>
    </row>
    <row r="291" ht="14.25" customHeight="1">
      <c r="A291" s="63"/>
      <c r="B291" s="64"/>
      <c r="C291" s="65"/>
      <c r="D291" s="65"/>
    </row>
    <row r="292" ht="14.25" customHeight="1">
      <c r="A292" s="63"/>
      <c r="B292" s="64"/>
      <c r="C292" s="65"/>
      <c r="D292" s="65"/>
    </row>
    <row r="293" ht="14.25" customHeight="1">
      <c r="A293" s="63"/>
      <c r="B293" s="64"/>
      <c r="C293" s="65"/>
      <c r="D293" s="65"/>
    </row>
    <row r="294" ht="14.25" customHeight="1">
      <c r="A294" s="63"/>
      <c r="B294" s="64"/>
      <c r="C294" s="65"/>
      <c r="D294" s="65"/>
    </row>
    <row r="295" ht="14.25" customHeight="1">
      <c r="A295" s="63"/>
      <c r="B295" s="64"/>
      <c r="C295" s="65"/>
      <c r="D295" s="65"/>
    </row>
    <row r="296" ht="14.25" customHeight="1">
      <c r="A296" s="63"/>
      <c r="B296" s="64"/>
      <c r="C296" s="65"/>
      <c r="D296" s="65"/>
    </row>
    <row r="297" ht="14.25" customHeight="1">
      <c r="A297" s="63"/>
      <c r="B297" s="64"/>
      <c r="C297" s="65"/>
      <c r="D297" s="65"/>
    </row>
    <row r="298" ht="14.25" customHeight="1">
      <c r="A298" s="63"/>
      <c r="B298" s="64"/>
      <c r="C298" s="65"/>
      <c r="D298" s="65"/>
    </row>
    <row r="299" ht="14.25" customHeight="1">
      <c r="A299" s="63"/>
      <c r="B299" s="64"/>
      <c r="C299" s="65"/>
      <c r="D299" s="65"/>
    </row>
    <row r="300" ht="14.25" customHeight="1">
      <c r="A300" s="63"/>
      <c r="B300" s="64"/>
      <c r="C300" s="65"/>
      <c r="D300" s="65"/>
    </row>
    <row r="301" ht="14.25" customHeight="1">
      <c r="A301" s="63"/>
      <c r="B301" s="64"/>
      <c r="C301" s="65"/>
      <c r="D301" s="65"/>
    </row>
    <row r="302" ht="14.25" customHeight="1">
      <c r="A302" s="63"/>
      <c r="B302" s="64"/>
      <c r="C302" s="65"/>
      <c r="D302" s="65"/>
    </row>
    <row r="303" ht="14.25" customHeight="1">
      <c r="A303" s="63"/>
      <c r="B303" s="64"/>
      <c r="C303" s="65"/>
      <c r="D303" s="65"/>
    </row>
    <row r="304" ht="14.25" customHeight="1">
      <c r="A304" s="63"/>
      <c r="B304" s="64"/>
      <c r="C304" s="65"/>
      <c r="D304" s="65"/>
    </row>
    <row r="305" ht="14.25" customHeight="1">
      <c r="A305" s="63"/>
      <c r="B305" s="64"/>
      <c r="C305" s="65"/>
      <c r="D305" s="65"/>
    </row>
    <row r="306" ht="14.25" customHeight="1">
      <c r="A306" s="63"/>
      <c r="B306" s="64"/>
      <c r="C306" s="65"/>
      <c r="D306" s="65"/>
    </row>
    <row r="307" ht="14.25" customHeight="1">
      <c r="A307" s="63"/>
      <c r="B307" s="64"/>
      <c r="C307" s="65"/>
      <c r="D307" s="65"/>
    </row>
    <row r="308" ht="14.25" customHeight="1">
      <c r="A308" s="63"/>
      <c r="B308" s="64"/>
      <c r="C308" s="65"/>
      <c r="D308" s="65"/>
    </row>
    <row r="309" ht="14.25" customHeight="1">
      <c r="A309" s="63"/>
      <c r="B309" s="64"/>
      <c r="C309" s="65"/>
      <c r="D309" s="65"/>
    </row>
    <row r="310" ht="14.25" customHeight="1">
      <c r="A310" s="63"/>
      <c r="B310" s="64"/>
      <c r="C310" s="65"/>
      <c r="D310" s="65"/>
    </row>
    <row r="311" ht="14.25" customHeight="1">
      <c r="A311" s="63"/>
      <c r="B311" s="64"/>
      <c r="C311" s="65"/>
      <c r="D311" s="65"/>
    </row>
    <row r="312" ht="14.25" customHeight="1">
      <c r="A312" s="63"/>
      <c r="B312" s="64"/>
      <c r="C312" s="65"/>
      <c r="D312" s="65"/>
    </row>
    <row r="313" ht="14.25" customHeight="1">
      <c r="A313" s="63"/>
      <c r="B313" s="64"/>
      <c r="C313" s="65"/>
      <c r="D313" s="65"/>
    </row>
    <row r="314" ht="14.25" customHeight="1">
      <c r="A314" s="63"/>
      <c r="B314" s="64"/>
      <c r="C314" s="65"/>
      <c r="D314" s="65"/>
    </row>
    <row r="315" ht="14.25" customHeight="1">
      <c r="A315" s="63"/>
      <c r="B315" s="64"/>
      <c r="C315" s="65"/>
      <c r="D315" s="65"/>
    </row>
    <row r="316" ht="14.25" customHeight="1">
      <c r="A316" s="63"/>
      <c r="B316" s="64"/>
      <c r="C316" s="65"/>
      <c r="D316" s="65"/>
    </row>
    <row r="317" ht="14.25" customHeight="1">
      <c r="A317" s="63"/>
      <c r="B317" s="64"/>
      <c r="C317" s="65"/>
      <c r="D317" s="65"/>
    </row>
    <row r="318" ht="14.25" customHeight="1">
      <c r="A318" s="63"/>
      <c r="B318" s="64"/>
      <c r="C318" s="65"/>
      <c r="D318" s="65"/>
    </row>
    <row r="319" ht="14.25" customHeight="1">
      <c r="A319" s="63"/>
      <c r="B319" s="64"/>
      <c r="C319" s="65"/>
      <c r="D319" s="65"/>
    </row>
    <row r="320" ht="14.25" customHeight="1">
      <c r="A320" s="63"/>
      <c r="B320" s="64"/>
      <c r="C320" s="65"/>
      <c r="D320" s="65"/>
    </row>
    <row r="321" ht="14.25" customHeight="1">
      <c r="A321" s="63"/>
      <c r="B321" s="64"/>
      <c r="C321" s="65"/>
      <c r="D321" s="65"/>
    </row>
    <row r="322" ht="14.25" customHeight="1">
      <c r="A322" s="63"/>
      <c r="B322" s="64"/>
      <c r="C322" s="65"/>
      <c r="D322" s="65"/>
    </row>
    <row r="323" ht="14.25" customHeight="1">
      <c r="A323" s="63"/>
      <c r="B323" s="64"/>
      <c r="C323" s="65"/>
      <c r="D323" s="65"/>
    </row>
    <row r="324" ht="14.25" customHeight="1">
      <c r="A324" s="63"/>
      <c r="B324" s="64"/>
      <c r="C324" s="65"/>
      <c r="D324" s="65"/>
    </row>
    <row r="325" ht="14.25" customHeight="1">
      <c r="A325" s="63"/>
      <c r="B325" s="64"/>
      <c r="C325" s="65"/>
      <c r="D325" s="65"/>
    </row>
    <row r="326" ht="14.25" customHeight="1">
      <c r="A326" s="63"/>
      <c r="B326" s="64"/>
      <c r="C326" s="65"/>
      <c r="D326" s="65"/>
    </row>
    <row r="327" ht="14.25" customHeight="1">
      <c r="A327" s="63"/>
      <c r="B327" s="64"/>
      <c r="C327" s="65"/>
      <c r="D327" s="65"/>
    </row>
    <row r="328" ht="14.25" customHeight="1">
      <c r="A328" s="63"/>
      <c r="B328" s="64"/>
      <c r="C328" s="65"/>
      <c r="D328" s="65"/>
    </row>
    <row r="329" ht="14.25" customHeight="1">
      <c r="A329" s="63"/>
      <c r="B329" s="64"/>
      <c r="C329" s="65"/>
      <c r="D329" s="65"/>
    </row>
    <row r="330" ht="14.25" customHeight="1">
      <c r="A330" s="63"/>
      <c r="B330" s="64"/>
      <c r="C330" s="65"/>
      <c r="D330" s="65"/>
    </row>
    <row r="331" ht="14.25" customHeight="1">
      <c r="A331" s="63"/>
      <c r="B331" s="64"/>
      <c r="C331" s="65"/>
      <c r="D331" s="65"/>
    </row>
    <row r="332" ht="14.25" customHeight="1">
      <c r="A332" s="63"/>
      <c r="B332" s="64"/>
      <c r="C332" s="65"/>
      <c r="D332" s="65"/>
    </row>
    <row r="333" ht="14.25" customHeight="1">
      <c r="A333" s="63"/>
      <c r="B333" s="64"/>
      <c r="C333" s="65"/>
      <c r="D333" s="65"/>
    </row>
    <row r="334" ht="14.25" customHeight="1">
      <c r="A334" s="63"/>
      <c r="B334" s="64"/>
      <c r="C334" s="65"/>
      <c r="D334" s="65"/>
    </row>
    <row r="335" ht="14.25" customHeight="1">
      <c r="A335" s="63"/>
      <c r="B335" s="64"/>
      <c r="C335" s="65"/>
      <c r="D335" s="65"/>
    </row>
    <row r="336" ht="14.25" customHeight="1">
      <c r="A336" s="63"/>
      <c r="B336" s="64"/>
      <c r="C336" s="65"/>
      <c r="D336" s="65"/>
    </row>
    <row r="337" ht="14.25" customHeight="1">
      <c r="A337" s="63"/>
      <c r="B337" s="64"/>
      <c r="C337" s="65"/>
      <c r="D337" s="65"/>
    </row>
    <row r="338" ht="14.25" customHeight="1">
      <c r="A338" s="63"/>
      <c r="B338" s="64"/>
      <c r="C338" s="65"/>
      <c r="D338" s="65"/>
    </row>
    <row r="339" ht="14.25" customHeight="1">
      <c r="A339" s="63"/>
      <c r="B339" s="64"/>
      <c r="C339" s="65"/>
      <c r="D339" s="65"/>
    </row>
    <row r="340" ht="14.25" customHeight="1">
      <c r="A340" s="63"/>
      <c r="B340" s="64"/>
      <c r="C340" s="65"/>
      <c r="D340" s="65"/>
    </row>
    <row r="341" ht="14.25" customHeight="1">
      <c r="A341" s="63"/>
      <c r="B341" s="64"/>
      <c r="C341" s="65"/>
      <c r="D341" s="65"/>
    </row>
    <row r="342" ht="14.25" customHeight="1">
      <c r="A342" s="63"/>
      <c r="B342" s="64"/>
      <c r="C342" s="65"/>
      <c r="D342" s="65"/>
    </row>
    <row r="343" ht="14.25" customHeight="1">
      <c r="A343" s="63"/>
      <c r="B343" s="64"/>
      <c r="C343" s="65"/>
      <c r="D343" s="65"/>
    </row>
    <row r="344" ht="14.25" customHeight="1">
      <c r="A344" s="63"/>
      <c r="B344" s="64"/>
      <c r="C344" s="65"/>
      <c r="D344" s="65"/>
    </row>
    <row r="345" ht="14.25" customHeight="1">
      <c r="A345" s="63"/>
      <c r="B345" s="64"/>
      <c r="C345" s="65"/>
      <c r="D345" s="65"/>
    </row>
    <row r="346" ht="14.25" customHeight="1">
      <c r="A346" s="63"/>
      <c r="B346" s="64"/>
      <c r="C346" s="65"/>
      <c r="D346" s="65"/>
    </row>
    <row r="347" ht="14.25" customHeight="1">
      <c r="A347" s="63"/>
      <c r="B347" s="64"/>
      <c r="C347" s="65"/>
      <c r="D347" s="65"/>
    </row>
    <row r="348" ht="14.25" customHeight="1">
      <c r="A348" s="63"/>
      <c r="B348" s="64"/>
      <c r="C348" s="65"/>
      <c r="D348" s="65"/>
    </row>
    <row r="349" ht="14.25" customHeight="1">
      <c r="A349" s="63"/>
      <c r="B349" s="64"/>
      <c r="C349" s="65"/>
      <c r="D349" s="65"/>
    </row>
    <row r="350" ht="14.25" customHeight="1">
      <c r="A350" s="63"/>
      <c r="B350" s="64"/>
      <c r="C350" s="65"/>
      <c r="D350" s="65"/>
    </row>
    <row r="351" ht="14.25" customHeight="1">
      <c r="A351" s="63"/>
      <c r="B351" s="64"/>
      <c r="C351" s="65"/>
      <c r="D351" s="65"/>
    </row>
    <row r="352" ht="14.25" customHeight="1">
      <c r="A352" s="63"/>
      <c r="B352" s="64"/>
      <c r="C352" s="65"/>
      <c r="D352" s="65"/>
    </row>
    <row r="353" ht="14.25" customHeight="1">
      <c r="A353" s="63"/>
      <c r="B353" s="64"/>
      <c r="C353" s="65"/>
      <c r="D353" s="65"/>
    </row>
    <row r="354" ht="14.25" customHeight="1">
      <c r="A354" s="63"/>
      <c r="B354" s="64"/>
      <c r="C354" s="65"/>
      <c r="D354" s="65"/>
    </row>
    <row r="355" ht="14.25" customHeight="1">
      <c r="A355" s="63"/>
      <c r="B355" s="64"/>
      <c r="C355" s="65"/>
      <c r="D355" s="65"/>
    </row>
    <row r="356" ht="14.25" customHeight="1">
      <c r="A356" s="63"/>
      <c r="B356" s="64"/>
      <c r="C356" s="65"/>
      <c r="D356" s="65"/>
    </row>
    <row r="357" ht="14.25" customHeight="1">
      <c r="A357" s="63"/>
      <c r="B357" s="64"/>
      <c r="C357" s="65"/>
      <c r="D357" s="65"/>
    </row>
    <row r="358" ht="14.25" customHeight="1">
      <c r="A358" s="63"/>
      <c r="B358" s="64"/>
      <c r="C358" s="65"/>
      <c r="D358" s="65"/>
    </row>
    <row r="359" ht="14.25" customHeight="1">
      <c r="A359" s="63"/>
      <c r="B359" s="64"/>
      <c r="C359" s="65"/>
      <c r="D359" s="65"/>
    </row>
    <row r="360" ht="14.25" customHeight="1">
      <c r="A360" s="63"/>
      <c r="B360" s="64"/>
      <c r="C360" s="65"/>
      <c r="D360" s="65"/>
    </row>
    <row r="361" ht="14.25" customHeight="1">
      <c r="A361" s="63"/>
      <c r="B361" s="64"/>
      <c r="C361" s="65"/>
      <c r="D361" s="65"/>
    </row>
    <row r="362" ht="14.25" customHeight="1">
      <c r="A362" s="63"/>
      <c r="B362" s="64"/>
      <c r="C362" s="65"/>
      <c r="D362" s="65"/>
    </row>
    <row r="363" ht="14.25" customHeight="1">
      <c r="A363" s="63"/>
      <c r="B363" s="64"/>
      <c r="C363" s="65"/>
      <c r="D363" s="65"/>
    </row>
    <row r="364" ht="14.25" customHeight="1">
      <c r="A364" s="63"/>
      <c r="B364" s="64"/>
      <c r="C364" s="65"/>
      <c r="D364" s="65"/>
    </row>
    <row r="365" ht="14.25" customHeight="1">
      <c r="A365" s="63"/>
      <c r="B365" s="64"/>
      <c r="C365" s="65"/>
      <c r="D365" s="65"/>
    </row>
    <row r="366" ht="14.25" customHeight="1">
      <c r="A366" s="63"/>
      <c r="B366" s="64"/>
      <c r="C366" s="65"/>
      <c r="D366" s="65"/>
    </row>
    <row r="367" ht="14.25" customHeight="1">
      <c r="A367" s="63"/>
      <c r="B367" s="64"/>
      <c r="C367" s="65"/>
      <c r="D367" s="65"/>
    </row>
    <row r="368" ht="14.25" customHeight="1">
      <c r="A368" s="63"/>
      <c r="B368" s="64"/>
      <c r="C368" s="65"/>
      <c r="D368" s="65"/>
    </row>
    <row r="369" ht="14.25" customHeight="1">
      <c r="A369" s="63"/>
      <c r="B369" s="64"/>
      <c r="C369" s="65"/>
      <c r="D369" s="65"/>
    </row>
    <row r="370" ht="14.25" customHeight="1">
      <c r="A370" s="63"/>
      <c r="B370" s="64"/>
      <c r="C370" s="65"/>
      <c r="D370" s="65"/>
    </row>
    <row r="371" ht="14.25" customHeight="1">
      <c r="A371" s="63"/>
      <c r="B371" s="64"/>
      <c r="C371" s="65"/>
      <c r="D371" s="65"/>
    </row>
    <row r="372" ht="14.25" customHeight="1">
      <c r="A372" s="63"/>
      <c r="B372" s="64"/>
      <c r="C372" s="65"/>
      <c r="D372" s="65"/>
    </row>
    <row r="373" ht="14.25" customHeight="1">
      <c r="A373" s="63"/>
      <c r="B373" s="64"/>
      <c r="C373" s="65"/>
      <c r="D373" s="65"/>
    </row>
    <row r="374" ht="14.25" customHeight="1">
      <c r="A374" s="63"/>
      <c r="B374" s="64"/>
      <c r="C374" s="65"/>
      <c r="D374" s="65"/>
    </row>
    <row r="375" ht="14.25" customHeight="1">
      <c r="A375" s="63"/>
      <c r="B375" s="64"/>
      <c r="C375" s="65"/>
      <c r="D375" s="65"/>
    </row>
    <row r="376" ht="14.25" customHeight="1">
      <c r="A376" s="63"/>
      <c r="B376" s="64"/>
      <c r="C376" s="65"/>
      <c r="D376" s="65"/>
    </row>
    <row r="377" ht="14.25" customHeight="1">
      <c r="A377" s="63"/>
      <c r="B377" s="64"/>
      <c r="C377" s="65"/>
      <c r="D377" s="65"/>
    </row>
    <row r="378" ht="14.25" customHeight="1">
      <c r="A378" s="63"/>
      <c r="B378" s="64"/>
      <c r="C378" s="65"/>
      <c r="D378" s="65"/>
    </row>
    <row r="379" ht="14.25" customHeight="1">
      <c r="A379" s="63"/>
      <c r="B379" s="64"/>
      <c r="C379" s="65"/>
      <c r="D379" s="65"/>
    </row>
    <row r="380" ht="14.25" customHeight="1">
      <c r="A380" s="63"/>
      <c r="B380" s="64"/>
      <c r="C380" s="65"/>
      <c r="D380" s="65"/>
    </row>
    <row r="381" ht="14.25" customHeight="1">
      <c r="A381" s="63"/>
      <c r="B381" s="64"/>
      <c r="C381" s="65"/>
      <c r="D381" s="65"/>
    </row>
    <row r="382" ht="14.25" customHeight="1">
      <c r="A382" s="63"/>
      <c r="B382" s="64"/>
      <c r="C382" s="65"/>
      <c r="D382" s="65"/>
    </row>
    <row r="383" ht="14.25" customHeight="1">
      <c r="A383" s="63"/>
      <c r="B383" s="64"/>
      <c r="C383" s="65"/>
      <c r="D383" s="65"/>
    </row>
    <row r="384" ht="14.25" customHeight="1">
      <c r="A384" s="63"/>
      <c r="B384" s="64"/>
      <c r="C384" s="65"/>
      <c r="D384" s="65"/>
    </row>
    <row r="385" ht="14.25" customHeight="1">
      <c r="A385" s="63"/>
      <c r="B385" s="64"/>
      <c r="C385" s="65"/>
      <c r="D385" s="65"/>
    </row>
    <row r="386" ht="14.25" customHeight="1">
      <c r="A386" s="63"/>
      <c r="B386" s="64"/>
      <c r="C386" s="65"/>
      <c r="D386" s="65"/>
    </row>
    <row r="387" ht="14.25" customHeight="1">
      <c r="A387" s="63"/>
      <c r="B387" s="64"/>
      <c r="C387" s="65"/>
      <c r="D387" s="65"/>
    </row>
    <row r="388" ht="14.25" customHeight="1">
      <c r="A388" s="63"/>
      <c r="B388" s="64"/>
      <c r="C388" s="65"/>
      <c r="D388" s="65"/>
    </row>
    <row r="389" ht="14.25" customHeight="1">
      <c r="A389" s="63"/>
      <c r="B389" s="64"/>
      <c r="C389" s="65"/>
      <c r="D389" s="65"/>
    </row>
    <row r="390" ht="14.25" customHeight="1">
      <c r="A390" s="63"/>
      <c r="B390" s="64"/>
      <c r="C390" s="65"/>
      <c r="D390" s="65"/>
    </row>
    <row r="391" ht="14.25" customHeight="1">
      <c r="A391" s="63"/>
      <c r="B391" s="64"/>
      <c r="C391" s="65"/>
      <c r="D391" s="65"/>
    </row>
    <row r="392" ht="14.25" customHeight="1">
      <c r="A392" s="63"/>
      <c r="B392" s="64"/>
      <c r="C392" s="65"/>
      <c r="D392" s="65"/>
    </row>
    <row r="393" ht="14.25" customHeight="1">
      <c r="A393" s="63"/>
      <c r="B393" s="64"/>
      <c r="C393" s="65"/>
      <c r="D393" s="65"/>
    </row>
    <row r="394" ht="14.25" customHeight="1">
      <c r="A394" s="63"/>
      <c r="B394" s="64"/>
      <c r="C394" s="65"/>
      <c r="D394" s="65"/>
    </row>
    <row r="395" ht="14.25" customHeight="1">
      <c r="A395" s="63"/>
      <c r="B395" s="64"/>
      <c r="C395" s="65"/>
      <c r="D395" s="65"/>
    </row>
    <row r="396" ht="14.25" customHeight="1">
      <c r="A396" s="63"/>
      <c r="B396" s="64"/>
      <c r="C396" s="65"/>
      <c r="D396" s="65"/>
    </row>
    <row r="397" ht="14.25" customHeight="1">
      <c r="A397" s="63"/>
      <c r="B397" s="64"/>
      <c r="C397" s="65"/>
      <c r="D397" s="65"/>
    </row>
    <row r="398" ht="14.25" customHeight="1">
      <c r="A398" s="63"/>
      <c r="B398" s="64"/>
      <c r="C398" s="65"/>
      <c r="D398" s="65"/>
    </row>
    <row r="399" ht="14.25" customHeight="1">
      <c r="A399" s="63"/>
      <c r="B399" s="64"/>
      <c r="C399" s="65"/>
      <c r="D399" s="65"/>
    </row>
    <row r="400" ht="14.25" customHeight="1">
      <c r="A400" s="63"/>
      <c r="B400" s="64"/>
      <c r="C400" s="65"/>
      <c r="D400" s="65"/>
    </row>
    <row r="401" ht="14.25" customHeight="1">
      <c r="A401" s="63"/>
      <c r="B401" s="64"/>
      <c r="C401" s="65"/>
      <c r="D401" s="65"/>
    </row>
    <row r="402" ht="14.25" customHeight="1">
      <c r="A402" s="63"/>
      <c r="B402" s="64"/>
      <c r="C402" s="65"/>
      <c r="D402" s="65"/>
    </row>
    <row r="403" ht="14.25" customHeight="1">
      <c r="A403" s="63"/>
      <c r="B403" s="64"/>
      <c r="C403" s="65"/>
      <c r="D403" s="65"/>
    </row>
    <row r="404" ht="14.25" customHeight="1">
      <c r="A404" s="63"/>
      <c r="B404" s="64"/>
      <c r="C404" s="65"/>
      <c r="D404" s="65"/>
    </row>
    <row r="405" ht="14.25" customHeight="1">
      <c r="A405" s="63"/>
      <c r="B405" s="64"/>
      <c r="C405" s="65"/>
      <c r="D405" s="65"/>
    </row>
    <row r="406" ht="14.25" customHeight="1">
      <c r="A406" s="63"/>
      <c r="B406" s="64"/>
      <c r="C406" s="65"/>
      <c r="D406" s="65"/>
    </row>
    <row r="407" ht="14.25" customHeight="1">
      <c r="A407" s="63"/>
      <c r="B407" s="64"/>
      <c r="C407" s="65"/>
      <c r="D407" s="65"/>
    </row>
    <row r="408" ht="14.25" customHeight="1">
      <c r="A408" s="63"/>
      <c r="B408" s="64"/>
      <c r="C408" s="65"/>
      <c r="D408" s="65"/>
    </row>
    <row r="409" ht="14.25" customHeight="1">
      <c r="A409" s="63"/>
      <c r="B409" s="64"/>
      <c r="C409" s="65"/>
      <c r="D409" s="65"/>
    </row>
    <row r="410" ht="14.25" customHeight="1">
      <c r="A410" s="63"/>
      <c r="B410" s="64"/>
      <c r="C410" s="65"/>
      <c r="D410" s="65"/>
    </row>
    <row r="411" ht="14.25" customHeight="1">
      <c r="A411" s="63"/>
      <c r="B411" s="64"/>
      <c r="C411" s="65"/>
      <c r="D411" s="65"/>
    </row>
    <row r="412" ht="14.25" customHeight="1">
      <c r="A412" s="63"/>
      <c r="B412" s="64"/>
      <c r="C412" s="65"/>
      <c r="D412" s="65"/>
    </row>
    <row r="413" ht="14.25" customHeight="1">
      <c r="A413" s="63"/>
      <c r="B413" s="64"/>
      <c r="C413" s="65"/>
      <c r="D413" s="65"/>
    </row>
    <row r="414" ht="14.25" customHeight="1">
      <c r="A414" s="63"/>
      <c r="B414" s="64"/>
      <c r="C414" s="65"/>
      <c r="D414" s="65"/>
    </row>
    <row r="415" ht="14.25" customHeight="1">
      <c r="A415" s="63"/>
      <c r="B415" s="64"/>
      <c r="C415" s="65"/>
      <c r="D415" s="65"/>
    </row>
    <row r="416" ht="14.25" customHeight="1">
      <c r="A416" s="63"/>
      <c r="B416" s="64"/>
      <c r="C416" s="65"/>
      <c r="D416" s="65"/>
    </row>
    <row r="417" ht="14.25" customHeight="1">
      <c r="A417" s="63"/>
      <c r="B417" s="64"/>
      <c r="C417" s="65"/>
      <c r="D417" s="65"/>
    </row>
    <row r="418" ht="14.25" customHeight="1">
      <c r="A418" s="63"/>
      <c r="B418" s="64"/>
      <c r="C418" s="65"/>
      <c r="D418" s="65"/>
    </row>
    <row r="419" ht="14.25" customHeight="1">
      <c r="A419" s="63"/>
      <c r="B419" s="64"/>
      <c r="C419" s="65"/>
      <c r="D419" s="65"/>
    </row>
    <row r="420" ht="14.25" customHeight="1">
      <c r="A420" s="63"/>
      <c r="B420" s="64"/>
      <c r="C420" s="65"/>
      <c r="D420" s="65"/>
    </row>
    <row r="421" ht="14.25" customHeight="1">
      <c r="A421" s="63"/>
      <c r="B421" s="64"/>
      <c r="C421" s="65"/>
      <c r="D421" s="65"/>
    </row>
    <row r="422" ht="14.25" customHeight="1">
      <c r="A422" s="63"/>
      <c r="B422" s="64"/>
      <c r="C422" s="65"/>
      <c r="D422" s="65"/>
    </row>
    <row r="423" ht="14.25" customHeight="1">
      <c r="A423" s="63"/>
      <c r="B423" s="64"/>
      <c r="C423" s="65"/>
      <c r="D423" s="65"/>
    </row>
    <row r="424" ht="14.25" customHeight="1">
      <c r="A424" s="63"/>
      <c r="B424" s="64"/>
      <c r="C424" s="65"/>
      <c r="D424" s="65"/>
    </row>
    <row r="425" ht="14.25" customHeight="1">
      <c r="A425" s="63"/>
      <c r="B425" s="64"/>
      <c r="C425" s="65"/>
      <c r="D425" s="65"/>
    </row>
    <row r="426" ht="14.25" customHeight="1">
      <c r="A426" s="63"/>
      <c r="B426" s="64"/>
      <c r="C426" s="65"/>
      <c r="D426" s="65"/>
    </row>
    <row r="427" ht="14.25" customHeight="1">
      <c r="A427" s="63"/>
      <c r="B427" s="64"/>
      <c r="C427" s="65"/>
      <c r="D427" s="65"/>
    </row>
    <row r="428" ht="14.25" customHeight="1">
      <c r="A428" s="63"/>
      <c r="B428" s="64"/>
      <c r="C428" s="65"/>
      <c r="D428" s="65"/>
    </row>
    <row r="429" ht="14.25" customHeight="1">
      <c r="A429" s="63"/>
      <c r="B429" s="64"/>
      <c r="C429" s="65"/>
      <c r="D429" s="65"/>
    </row>
    <row r="430" ht="14.25" customHeight="1">
      <c r="A430" s="63"/>
      <c r="B430" s="64"/>
      <c r="C430" s="65"/>
      <c r="D430" s="65"/>
    </row>
    <row r="431" ht="14.25" customHeight="1">
      <c r="A431" s="63"/>
      <c r="B431" s="64"/>
      <c r="C431" s="65"/>
      <c r="D431" s="65"/>
    </row>
    <row r="432" ht="14.25" customHeight="1">
      <c r="A432" s="63"/>
      <c r="B432" s="64"/>
      <c r="C432" s="65"/>
      <c r="D432" s="65"/>
    </row>
    <row r="433" ht="14.25" customHeight="1">
      <c r="A433" s="63"/>
      <c r="B433" s="64"/>
      <c r="C433" s="65"/>
      <c r="D433" s="65"/>
    </row>
    <row r="434" ht="14.25" customHeight="1">
      <c r="A434" s="63"/>
      <c r="B434" s="64"/>
      <c r="C434" s="65"/>
      <c r="D434" s="65"/>
    </row>
    <row r="435" ht="14.25" customHeight="1">
      <c r="A435" s="63"/>
      <c r="B435" s="64"/>
      <c r="C435" s="65"/>
      <c r="D435" s="65"/>
    </row>
    <row r="436" ht="14.25" customHeight="1">
      <c r="A436" s="63"/>
      <c r="B436" s="64"/>
      <c r="C436" s="65"/>
      <c r="D436" s="65"/>
    </row>
    <row r="437" ht="14.25" customHeight="1">
      <c r="A437" s="63"/>
      <c r="B437" s="64"/>
      <c r="C437" s="65"/>
      <c r="D437" s="65"/>
    </row>
    <row r="438" ht="14.25" customHeight="1">
      <c r="A438" s="63"/>
      <c r="B438" s="64"/>
      <c r="C438" s="65"/>
      <c r="D438" s="65"/>
    </row>
    <row r="439" ht="14.25" customHeight="1">
      <c r="A439" s="63"/>
      <c r="B439" s="64"/>
      <c r="C439" s="65"/>
      <c r="D439" s="65"/>
    </row>
    <row r="440" ht="14.25" customHeight="1">
      <c r="A440" s="63"/>
      <c r="B440" s="64"/>
      <c r="C440" s="65"/>
      <c r="D440" s="65"/>
    </row>
    <row r="441" ht="14.25" customHeight="1">
      <c r="A441" s="63"/>
      <c r="B441" s="64"/>
      <c r="C441" s="65"/>
      <c r="D441" s="65"/>
    </row>
    <row r="442" ht="14.25" customHeight="1">
      <c r="A442" s="63"/>
      <c r="B442" s="64"/>
      <c r="C442" s="65"/>
      <c r="D442" s="65"/>
    </row>
    <row r="443" ht="14.25" customHeight="1">
      <c r="A443" s="63"/>
      <c r="B443" s="64"/>
      <c r="C443" s="65"/>
      <c r="D443" s="65"/>
    </row>
    <row r="444" ht="14.25" customHeight="1">
      <c r="A444" s="63"/>
      <c r="B444" s="64"/>
      <c r="C444" s="65"/>
      <c r="D444" s="65"/>
    </row>
    <row r="445" ht="14.25" customHeight="1">
      <c r="A445" s="63"/>
      <c r="B445" s="64"/>
      <c r="C445" s="65"/>
      <c r="D445" s="65"/>
    </row>
    <row r="446" ht="14.25" customHeight="1">
      <c r="A446" s="63"/>
      <c r="B446" s="64"/>
      <c r="C446" s="65"/>
      <c r="D446" s="65"/>
    </row>
    <row r="447" ht="14.25" customHeight="1">
      <c r="A447" s="63"/>
      <c r="B447" s="64"/>
      <c r="C447" s="65"/>
      <c r="D447" s="65"/>
    </row>
    <row r="448" ht="14.25" customHeight="1">
      <c r="A448" s="63"/>
      <c r="B448" s="64"/>
      <c r="C448" s="65"/>
      <c r="D448" s="65"/>
    </row>
    <row r="449" ht="14.25" customHeight="1">
      <c r="A449" s="63"/>
      <c r="B449" s="64"/>
      <c r="C449" s="65"/>
      <c r="D449" s="65"/>
    </row>
    <row r="450" ht="14.25" customHeight="1">
      <c r="A450" s="63"/>
      <c r="B450" s="64"/>
      <c r="C450" s="65"/>
      <c r="D450" s="65"/>
    </row>
    <row r="451" ht="14.25" customHeight="1">
      <c r="A451" s="63"/>
      <c r="B451" s="64"/>
      <c r="C451" s="65"/>
      <c r="D451" s="65"/>
    </row>
    <row r="452" ht="14.25" customHeight="1">
      <c r="A452" s="63"/>
      <c r="B452" s="64"/>
      <c r="C452" s="65"/>
      <c r="D452" s="65"/>
    </row>
    <row r="453" ht="14.25" customHeight="1">
      <c r="A453" s="63"/>
      <c r="B453" s="64"/>
      <c r="C453" s="65"/>
      <c r="D453" s="65"/>
    </row>
    <row r="454" ht="14.25" customHeight="1">
      <c r="A454" s="63"/>
      <c r="B454" s="64"/>
      <c r="C454" s="65"/>
      <c r="D454" s="65"/>
    </row>
    <row r="455" ht="14.25" customHeight="1">
      <c r="A455" s="63"/>
      <c r="B455" s="64"/>
      <c r="C455" s="65"/>
      <c r="D455" s="65"/>
    </row>
    <row r="456" ht="14.25" customHeight="1">
      <c r="A456" s="63"/>
      <c r="B456" s="64"/>
      <c r="C456" s="65"/>
      <c r="D456" s="65"/>
    </row>
    <row r="457" ht="14.25" customHeight="1">
      <c r="A457" s="63"/>
      <c r="B457" s="64"/>
      <c r="C457" s="65"/>
      <c r="D457" s="65"/>
    </row>
    <row r="458" ht="14.25" customHeight="1">
      <c r="A458" s="63"/>
      <c r="B458" s="64"/>
      <c r="C458" s="65"/>
      <c r="D458" s="65"/>
    </row>
    <row r="459" ht="14.25" customHeight="1">
      <c r="A459" s="63"/>
      <c r="B459" s="64"/>
      <c r="C459" s="65"/>
      <c r="D459" s="65"/>
    </row>
    <row r="460" ht="14.25" customHeight="1">
      <c r="A460" s="63"/>
      <c r="B460" s="64"/>
      <c r="C460" s="65"/>
      <c r="D460" s="65"/>
    </row>
    <row r="461" ht="14.25" customHeight="1">
      <c r="A461" s="63"/>
      <c r="B461" s="64"/>
      <c r="C461" s="65"/>
      <c r="D461" s="65"/>
    </row>
    <row r="462" ht="14.25" customHeight="1">
      <c r="A462" s="63"/>
      <c r="B462" s="64"/>
      <c r="C462" s="65"/>
      <c r="D462" s="65"/>
    </row>
    <row r="463" ht="14.25" customHeight="1">
      <c r="A463" s="63"/>
      <c r="B463" s="64"/>
      <c r="C463" s="65"/>
      <c r="D463" s="65"/>
    </row>
    <row r="464" ht="14.25" customHeight="1">
      <c r="A464" s="63"/>
      <c r="B464" s="64"/>
      <c r="C464" s="65"/>
      <c r="D464" s="65"/>
    </row>
    <row r="465" ht="14.25" customHeight="1">
      <c r="A465" s="63"/>
      <c r="B465" s="64"/>
      <c r="C465" s="65"/>
      <c r="D465" s="65"/>
    </row>
    <row r="466" ht="14.25" customHeight="1">
      <c r="A466" s="63"/>
      <c r="B466" s="64"/>
      <c r="C466" s="65"/>
      <c r="D466" s="65"/>
    </row>
    <row r="467" ht="14.25" customHeight="1">
      <c r="A467" s="63"/>
      <c r="B467" s="64"/>
      <c r="C467" s="65"/>
      <c r="D467" s="65"/>
    </row>
    <row r="468" ht="14.25" customHeight="1">
      <c r="A468" s="63"/>
      <c r="B468" s="64"/>
      <c r="C468" s="65"/>
      <c r="D468" s="65"/>
    </row>
    <row r="469" ht="14.25" customHeight="1">
      <c r="A469" s="63"/>
      <c r="B469" s="64"/>
      <c r="C469" s="65"/>
      <c r="D469" s="65"/>
    </row>
    <row r="470" ht="14.25" customHeight="1">
      <c r="A470" s="63"/>
      <c r="B470" s="64"/>
      <c r="C470" s="65"/>
      <c r="D470" s="65"/>
    </row>
    <row r="471" ht="14.25" customHeight="1">
      <c r="A471" s="63"/>
      <c r="B471" s="64"/>
      <c r="C471" s="65"/>
      <c r="D471" s="65"/>
    </row>
    <row r="472" ht="14.25" customHeight="1">
      <c r="A472" s="63"/>
      <c r="B472" s="64"/>
      <c r="C472" s="65"/>
      <c r="D472" s="65"/>
    </row>
    <row r="473" ht="14.25" customHeight="1">
      <c r="A473" s="63"/>
      <c r="B473" s="64"/>
      <c r="C473" s="65"/>
      <c r="D473" s="65"/>
    </row>
    <row r="474" ht="14.25" customHeight="1">
      <c r="A474" s="63"/>
      <c r="B474" s="64"/>
      <c r="C474" s="65"/>
      <c r="D474" s="65"/>
    </row>
    <row r="475" ht="14.25" customHeight="1">
      <c r="A475" s="63"/>
      <c r="B475" s="64"/>
      <c r="C475" s="65"/>
      <c r="D475" s="65"/>
    </row>
    <row r="476" ht="14.25" customHeight="1">
      <c r="A476" s="63"/>
      <c r="B476" s="64"/>
      <c r="C476" s="65"/>
      <c r="D476" s="65"/>
    </row>
    <row r="477" ht="14.25" customHeight="1">
      <c r="A477" s="63"/>
      <c r="B477" s="64"/>
      <c r="C477" s="65"/>
      <c r="D477" s="65"/>
    </row>
    <row r="478" ht="14.25" customHeight="1">
      <c r="A478" s="63"/>
      <c r="B478" s="64"/>
      <c r="C478" s="65"/>
      <c r="D478" s="65"/>
    </row>
    <row r="479" ht="14.25" customHeight="1">
      <c r="A479" s="63"/>
      <c r="B479" s="64"/>
      <c r="C479" s="65"/>
      <c r="D479" s="65"/>
    </row>
    <row r="480" ht="14.25" customHeight="1">
      <c r="A480" s="63"/>
      <c r="B480" s="64"/>
      <c r="C480" s="65"/>
      <c r="D480" s="65"/>
    </row>
    <row r="481" ht="14.25" customHeight="1">
      <c r="A481" s="63"/>
      <c r="B481" s="64"/>
      <c r="C481" s="65"/>
      <c r="D481" s="65"/>
    </row>
    <row r="482" ht="14.25" customHeight="1">
      <c r="A482" s="63"/>
      <c r="B482" s="64"/>
      <c r="C482" s="65"/>
      <c r="D482" s="65"/>
    </row>
    <row r="483" ht="14.25" customHeight="1">
      <c r="A483" s="63"/>
      <c r="B483" s="64"/>
      <c r="C483" s="65"/>
      <c r="D483" s="65"/>
    </row>
    <row r="484" ht="14.25" customHeight="1">
      <c r="A484" s="63"/>
      <c r="B484" s="64"/>
      <c r="C484" s="65"/>
      <c r="D484" s="65"/>
    </row>
    <row r="485" ht="14.25" customHeight="1">
      <c r="A485" s="63"/>
      <c r="B485" s="64"/>
      <c r="C485" s="65"/>
      <c r="D485" s="65"/>
    </row>
    <row r="486" ht="14.25" customHeight="1">
      <c r="A486" s="63"/>
      <c r="B486" s="64"/>
      <c r="C486" s="65"/>
      <c r="D486" s="65"/>
    </row>
    <row r="487" ht="14.25" customHeight="1">
      <c r="A487" s="63"/>
      <c r="B487" s="64"/>
      <c r="C487" s="65"/>
      <c r="D487" s="65"/>
    </row>
    <row r="488" ht="14.25" customHeight="1">
      <c r="A488" s="63"/>
      <c r="B488" s="64"/>
      <c r="C488" s="65"/>
      <c r="D488" s="65"/>
    </row>
    <row r="489" ht="14.25" customHeight="1">
      <c r="A489" s="63"/>
      <c r="B489" s="64"/>
      <c r="C489" s="65"/>
      <c r="D489" s="65"/>
    </row>
    <row r="490" ht="14.25" customHeight="1">
      <c r="A490" s="63"/>
      <c r="B490" s="64"/>
      <c r="C490" s="65"/>
      <c r="D490" s="65"/>
    </row>
    <row r="491" ht="14.25" customHeight="1">
      <c r="A491" s="63"/>
      <c r="B491" s="64"/>
      <c r="C491" s="65"/>
      <c r="D491" s="65"/>
    </row>
    <row r="492" ht="14.25" customHeight="1">
      <c r="A492" s="63"/>
      <c r="B492" s="64"/>
      <c r="C492" s="65"/>
      <c r="D492" s="65"/>
    </row>
    <row r="493" ht="14.25" customHeight="1">
      <c r="A493" s="63"/>
      <c r="B493" s="64"/>
      <c r="C493" s="65"/>
      <c r="D493" s="65"/>
    </row>
    <row r="494" ht="14.25" customHeight="1">
      <c r="A494" s="63"/>
      <c r="B494" s="64"/>
      <c r="C494" s="65"/>
      <c r="D494" s="65"/>
    </row>
    <row r="495" ht="14.25" customHeight="1">
      <c r="A495" s="63"/>
      <c r="B495" s="64"/>
      <c r="C495" s="65"/>
      <c r="D495" s="65"/>
    </row>
    <row r="496" ht="14.25" customHeight="1">
      <c r="A496" s="63"/>
      <c r="B496" s="64"/>
      <c r="C496" s="65"/>
      <c r="D496" s="65"/>
    </row>
    <row r="497" ht="14.25" customHeight="1">
      <c r="A497" s="63"/>
      <c r="B497" s="64"/>
      <c r="C497" s="65"/>
      <c r="D497" s="65"/>
    </row>
    <row r="498" ht="14.25" customHeight="1">
      <c r="A498" s="63"/>
      <c r="B498" s="64"/>
      <c r="C498" s="65"/>
      <c r="D498" s="65"/>
    </row>
    <row r="499" ht="14.25" customHeight="1">
      <c r="A499" s="63"/>
      <c r="B499" s="64"/>
      <c r="C499" s="65"/>
      <c r="D499" s="65"/>
    </row>
    <row r="500" ht="14.25" customHeight="1">
      <c r="A500" s="63"/>
      <c r="B500" s="64"/>
      <c r="C500" s="65"/>
      <c r="D500" s="65"/>
    </row>
    <row r="501" ht="14.25" customHeight="1">
      <c r="A501" s="63"/>
      <c r="B501" s="64"/>
      <c r="C501" s="65"/>
      <c r="D501" s="65"/>
    </row>
    <row r="502" ht="14.25" customHeight="1">
      <c r="A502" s="63"/>
      <c r="B502" s="64"/>
      <c r="C502" s="65"/>
      <c r="D502" s="65"/>
    </row>
    <row r="503" ht="14.25" customHeight="1">
      <c r="A503" s="63"/>
      <c r="B503" s="64"/>
      <c r="C503" s="65"/>
      <c r="D503" s="65"/>
    </row>
    <row r="504" ht="14.25" customHeight="1">
      <c r="A504" s="63"/>
      <c r="B504" s="64"/>
      <c r="C504" s="65"/>
      <c r="D504" s="65"/>
    </row>
    <row r="505" ht="14.25" customHeight="1">
      <c r="A505" s="63"/>
      <c r="B505" s="64"/>
      <c r="C505" s="65"/>
      <c r="D505" s="65"/>
    </row>
    <row r="506" ht="14.25" customHeight="1">
      <c r="A506" s="63"/>
      <c r="B506" s="64"/>
      <c r="C506" s="65"/>
      <c r="D506" s="65"/>
    </row>
    <row r="507" ht="14.25" customHeight="1">
      <c r="A507" s="63"/>
      <c r="B507" s="64"/>
      <c r="C507" s="65"/>
      <c r="D507" s="65"/>
    </row>
    <row r="508" ht="14.25" customHeight="1">
      <c r="A508" s="63"/>
      <c r="B508" s="64"/>
      <c r="C508" s="65"/>
      <c r="D508" s="65"/>
    </row>
    <row r="509" ht="14.25" customHeight="1">
      <c r="A509" s="63"/>
      <c r="B509" s="64"/>
      <c r="C509" s="65"/>
      <c r="D509" s="65"/>
    </row>
    <row r="510" ht="14.25" customHeight="1">
      <c r="A510" s="63"/>
      <c r="B510" s="64"/>
      <c r="C510" s="65"/>
      <c r="D510" s="65"/>
    </row>
    <row r="511" ht="14.25" customHeight="1">
      <c r="A511" s="63"/>
      <c r="B511" s="64"/>
      <c r="C511" s="65"/>
      <c r="D511" s="65"/>
    </row>
    <row r="512" ht="14.25" customHeight="1">
      <c r="A512" s="63"/>
      <c r="B512" s="64"/>
      <c r="C512" s="65"/>
      <c r="D512" s="65"/>
    </row>
    <row r="513" ht="14.25" customHeight="1">
      <c r="A513" s="63"/>
      <c r="B513" s="64"/>
      <c r="C513" s="65"/>
      <c r="D513" s="65"/>
    </row>
    <row r="514" ht="14.25" customHeight="1">
      <c r="A514" s="63"/>
      <c r="B514" s="64"/>
      <c r="C514" s="65"/>
      <c r="D514" s="65"/>
    </row>
    <row r="515" ht="14.25" customHeight="1">
      <c r="A515" s="63"/>
      <c r="B515" s="64"/>
      <c r="C515" s="65"/>
      <c r="D515" s="65"/>
    </row>
    <row r="516" ht="14.25" customHeight="1">
      <c r="A516" s="63"/>
      <c r="B516" s="64"/>
      <c r="C516" s="65"/>
      <c r="D516" s="65"/>
    </row>
    <row r="517" ht="14.25" customHeight="1">
      <c r="A517" s="63"/>
      <c r="B517" s="64"/>
      <c r="C517" s="65"/>
      <c r="D517" s="65"/>
    </row>
    <row r="518" ht="14.25" customHeight="1">
      <c r="A518" s="63"/>
      <c r="B518" s="64"/>
      <c r="C518" s="65"/>
      <c r="D518" s="65"/>
    </row>
    <row r="519" ht="14.25" customHeight="1">
      <c r="A519" s="63"/>
      <c r="B519" s="64"/>
      <c r="C519" s="65"/>
      <c r="D519" s="65"/>
    </row>
    <row r="520" ht="14.25" customHeight="1">
      <c r="A520" s="63"/>
      <c r="B520" s="64"/>
      <c r="C520" s="65"/>
      <c r="D520" s="65"/>
    </row>
    <row r="521" ht="14.25" customHeight="1">
      <c r="A521" s="63"/>
      <c r="B521" s="64"/>
      <c r="C521" s="65"/>
      <c r="D521" s="65"/>
    </row>
    <row r="522" ht="14.25" customHeight="1">
      <c r="A522" s="63"/>
      <c r="B522" s="64"/>
      <c r="C522" s="65"/>
      <c r="D522" s="65"/>
    </row>
    <row r="523" ht="14.25" customHeight="1">
      <c r="A523" s="63"/>
      <c r="B523" s="64"/>
      <c r="C523" s="65"/>
      <c r="D523" s="65"/>
    </row>
    <row r="524" ht="14.25" customHeight="1">
      <c r="A524" s="63"/>
      <c r="B524" s="64"/>
      <c r="C524" s="65"/>
      <c r="D524" s="65"/>
    </row>
    <row r="525" ht="14.25" customHeight="1">
      <c r="A525" s="63"/>
      <c r="B525" s="64"/>
      <c r="C525" s="65"/>
      <c r="D525" s="65"/>
    </row>
    <row r="526" ht="14.25" customHeight="1">
      <c r="A526" s="63"/>
      <c r="B526" s="64"/>
      <c r="C526" s="65"/>
      <c r="D526" s="65"/>
    </row>
    <row r="527" ht="14.25" customHeight="1">
      <c r="A527" s="63"/>
      <c r="B527" s="64"/>
      <c r="C527" s="65"/>
      <c r="D527" s="65"/>
    </row>
    <row r="528" ht="14.25" customHeight="1">
      <c r="A528" s="63"/>
      <c r="B528" s="64"/>
      <c r="C528" s="65"/>
      <c r="D528" s="65"/>
    </row>
    <row r="529" ht="14.25" customHeight="1">
      <c r="A529" s="63"/>
      <c r="B529" s="64"/>
      <c r="C529" s="65"/>
      <c r="D529" s="65"/>
    </row>
    <row r="530" ht="14.25" customHeight="1">
      <c r="A530" s="63"/>
      <c r="B530" s="64"/>
      <c r="C530" s="65"/>
      <c r="D530" s="65"/>
    </row>
    <row r="531" ht="14.25" customHeight="1">
      <c r="A531" s="63"/>
      <c r="B531" s="64"/>
      <c r="C531" s="65"/>
      <c r="D531" s="65"/>
    </row>
    <row r="532" ht="14.25" customHeight="1">
      <c r="A532" s="63"/>
      <c r="B532" s="64"/>
      <c r="C532" s="65"/>
      <c r="D532" s="65"/>
    </row>
    <row r="533" ht="14.25" customHeight="1">
      <c r="A533" s="63"/>
      <c r="B533" s="64"/>
      <c r="C533" s="65"/>
      <c r="D533" s="65"/>
    </row>
    <row r="534" ht="14.25" customHeight="1">
      <c r="A534" s="63"/>
      <c r="B534" s="64"/>
      <c r="C534" s="65"/>
      <c r="D534" s="65"/>
    </row>
    <row r="535" ht="14.25" customHeight="1">
      <c r="A535" s="63"/>
      <c r="B535" s="64"/>
      <c r="C535" s="65"/>
      <c r="D535" s="65"/>
    </row>
    <row r="536" ht="14.25" customHeight="1">
      <c r="A536" s="63"/>
      <c r="B536" s="64"/>
      <c r="C536" s="65"/>
      <c r="D536" s="65"/>
    </row>
    <row r="537" ht="14.25" customHeight="1">
      <c r="A537" s="63"/>
      <c r="B537" s="64"/>
      <c r="C537" s="65"/>
      <c r="D537" s="65"/>
    </row>
    <row r="538" ht="14.25" customHeight="1">
      <c r="A538" s="63"/>
      <c r="B538" s="64"/>
      <c r="C538" s="65"/>
      <c r="D538" s="65"/>
    </row>
    <row r="539" ht="14.25" customHeight="1">
      <c r="A539" s="63"/>
      <c r="B539" s="64"/>
      <c r="C539" s="65"/>
      <c r="D539" s="65"/>
    </row>
    <row r="540" ht="14.25" customHeight="1">
      <c r="A540" s="63"/>
      <c r="B540" s="64"/>
      <c r="C540" s="65"/>
      <c r="D540" s="65"/>
    </row>
    <row r="541" ht="14.25" customHeight="1">
      <c r="A541" s="63"/>
      <c r="B541" s="64"/>
      <c r="C541" s="65"/>
      <c r="D541" s="65"/>
    </row>
    <row r="542" ht="14.25" customHeight="1">
      <c r="A542" s="63"/>
      <c r="B542" s="64"/>
      <c r="C542" s="65"/>
      <c r="D542" s="65"/>
    </row>
    <row r="543" ht="14.25" customHeight="1">
      <c r="A543" s="63"/>
      <c r="B543" s="64"/>
      <c r="C543" s="65"/>
      <c r="D543" s="65"/>
    </row>
    <row r="544" ht="14.25" customHeight="1">
      <c r="A544" s="63"/>
      <c r="B544" s="64"/>
      <c r="C544" s="65"/>
      <c r="D544" s="65"/>
    </row>
    <row r="545" ht="14.25" customHeight="1">
      <c r="A545" s="63"/>
      <c r="B545" s="64"/>
      <c r="C545" s="65"/>
      <c r="D545" s="65"/>
    </row>
    <row r="546" ht="14.25" customHeight="1">
      <c r="A546" s="63"/>
      <c r="B546" s="64"/>
      <c r="C546" s="65"/>
      <c r="D546" s="65"/>
    </row>
    <row r="547" ht="14.25" customHeight="1">
      <c r="A547" s="63"/>
      <c r="B547" s="64"/>
      <c r="C547" s="65"/>
      <c r="D547" s="65"/>
    </row>
    <row r="548" ht="14.25" customHeight="1">
      <c r="A548" s="63"/>
      <c r="B548" s="64"/>
      <c r="C548" s="65"/>
      <c r="D548" s="65"/>
    </row>
    <row r="549" ht="14.25" customHeight="1">
      <c r="A549" s="63"/>
      <c r="B549" s="64"/>
      <c r="C549" s="65"/>
      <c r="D549" s="65"/>
    </row>
    <row r="550" ht="14.25" customHeight="1">
      <c r="A550" s="63"/>
      <c r="B550" s="64"/>
      <c r="C550" s="65"/>
      <c r="D550" s="65"/>
    </row>
    <row r="551" ht="14.25" customHeight="1">
      <c r="A551" s="63"/>
      <c r="B551" s="64"/>
      <c r="C551" s="65"/>
      <c r="D551" s="65"/>
    </row>
    <row r="552" ht="14.25" customHeight="1">
      <c r="A552" s="63"/>
      <c r="B552" s="64"/>
      <c r="C552" s="65"/>
      <c r="D552" s="65"/>
    </row>
    <row r="553" ht="14.25" customHeight="1">
      <c r="A553" s="63"/>
      <c r="B553" s="64"/>
      <c r="C553" s="65"/>
      <c r="D553" s="65"/>
    </row>
    <row r="554" ht="14.25" customHeight="1">
      <c r="A554" s="63"/>
      <c r="B554" s="64"/>
      <c r="C554" s="65"/>
      <c r="D554" s="65"/>
    </row>
    <row r="555" ht="14.25" customHeight="1">
      <c r="A555" s="63"/>
      <c r="B555" s="64"/>
      <c r="C555" s="65"/>
      <c r="D555" s="65"/>
    </row>
    <row r="556" ht="14.25" customHeight="1">
      <c r="A556" s="63"/>
      <c r="B556" s="64"/>
      <c r="C556" s="65"/>
      <c r="D556" s="65"/>
    </row>
    <row r="557" ht="14.25" customHeight="1">
      <c r="A557" s="63"/>
      <c r="B557" s="64"/>
      <c r="C557" s="65"/>
      <c r="D557" s="65"/>
    </row>
    <row r="558" ht="14.25" customHeight="1">
      <c r="A558" s="63"/>
      <c r="B558" s="64"/>
      <c r="C558" s="65"/>
      <c r="D558" s="65"/>
    </row>
    <row r="559" ht="14.25" customHeight="1">
      <c r="A559" s="63"/>
      <c r="B559" s="64"/>
      <c r="C559" s="65"/>
      <c r="D559" s="65"/>
    </row>
    <row r="560" ht="14.25" customHeight="1">
      <c r="A560" s="63"/>
      <c r="B560" s="64"/>
      <c r="C560" s="65"/>
      <c r="D560" s="65"/>
    </row>
    <row r="561" ht="14.25" customHeight="1">
      <c r="A561" s="63"/>
      <c r="B561" s="64"/>
      <c r="C561" s="65"/>
      <c r="D561" s="65"/>
    </row>
    <row r="562" ht="14.25" customHeight="1">
      <c r="A562" s="63"/>
      <c r="B562" s="64"/>
      <c r="C562" s="65"/>
      <c r="D562" s="65"/>
    </row>
    <row r="563" ht="14.25" customHeight="1">
      <c r="A563" s="63"/>
      <c r="B563" s="64"/>
      <c r="C563" s="65"/>
      <c r="D563" s="65"/>
    </row>
    <row r="564" ht="14.25" customHeight="1">
      <c r="A564" s="63"/>
      <c r="B564" s="64"/>
      <c r="C564" s="65"/>
      <c r="D564" s="65"/>
    </row>
    <row r="565" ht="14.25" customHeight="1">
      <c r="A565" s="63"/>
      <c r="B565" s="64"/>
      <c r="C565" s="65"/>
      <c r="D565" s="65"/>
    </row>
    <row r="566" ht="14.25" customHeight="1">
      <c r="A566" s="63"/>
      <c r="B566" s="64"/>
      <c r="C566" s="65"/>
      <c r="D566" s="65"/>
    </row>
    <row r="567" ht="14.25" customHeight="1">
      <c r="A567" s="63"/>
      <c r="B567" s="64"/>
      <c r="C567" s="65"/>
      <c r="D567" s="65"/>
    </row>
    <row r="568" ht="14.25" customHeight="1">
      <c r="A568" s="63"/>
      <c r="B568" s="64"/>
      <c r="C568" s="65"/>
      <c r="D568" s="65"/>
    </row>
    <row r="569" ht="14.25" customHeight="1">
      <c r="A569" s="63"/>
      <c r="B569" s="64"/>
      <c r="C569" s="65"/>
      <c r="D569" s="65"/>
    </row>
    <row r="570" ht="14.25" customHeight="1">
      <c r="A570" s="63"/>
      <c r="B570" s="64"/>
      <c r="C570" s="65"/>
      <c r="D570" s="65"/>
    </row>
    <row r="571" ht="14.25" customHeight="1">
      <c r="A571" s="63"/>
      <c r="B571" s="64"/>
      <c r="C571" s="65"/>
      <c r="D571" s="65"/>
    </row>
    <row r="572" ht="14.25" customHeight="1">
      <c r="A572" s="63"/>
      <c r="B572" s="64"/>
      <c r="C572" s="65"/>
      <c r="D572" s="65"/>
    </row>
    <row r="573" ht="14.25" customHeight="1">
      <c r="A573" s="63"/>
      <c r="B573" s="64"/>
      <c r="C573" s="65"/>
      <c r="D573" s="65"/>
    </row>
    <row r="574" ht="14.25" customHeight="1">
      <c r="A574" s="63"/>
      <c r="B574" s="64"/>
      <c r="C574" s="65"/>
      <c r="D574" s="65"/>
    </row>
    <row r="575" ht="14.25" customHeight="1">
      <c r="A575" s="63"/>
      <c r="B575" s="64"/>
      <c r="C575" s="65"/>
      <c r="D575" s="65"/>
    </row>
    <row r="576" ht="14.25" customHeight="1">
      <c r="A576" s="63"/>
      <c r="B576" s="64"/>
      <c r="C576" s="65"/>
      <c r="D576" s="65"/>
    </row>
    <row r="577" ht="14.25" customHeight="1">
      <c r="A577" s="63"/>
      <c r="B577" s="64"/>
      <c r="C577" s="65"/>
      <c r="D577" s="65"/>
    </row>
    <row r="578" ht="14.25" customHeight="1">
      <c r="A578" s="63"/>
      <c r="B578" s="64"/>
      <c r="C578" s="65"/>
      <c r="D578" s="65"/>
    </row>
    <row r="579" ht="14.25" customHeight="1">
      <c r="A579" s="63"/>
      <c r="B579" s="64"/>
      <c r="C579" s="65"/>
      <c r="D579" s="65"/>
    </row>
    <row r="580" ht="14.25" customHeight="1">
      <c r="A580" s="63"/>
      <c r="B580" s="64"/>
      <c r="C580" s="65"/>
      <c r="D580" s="65"/>
    </row>
    <row r="581" ht="14.25" customHeight="1">
      <c r="A581" s="63"/>
      <c r="B581" s="64"/>
      <c r="C581" s="65"/>
      <c r="D581" s="65"/>
    </row>
    <row r="582" ht="14.25" customHeight="1">
      <c r="A582" s="63"/>
      <c r="B582" s="64"/>
      <c r="C582" s="65"/>
      <c r="D582" s="65"/>
    </row>
    <row r="583" ht="14.25" customHeight="1">
      <c r="A583" s="63"/>
      <c r="B583" s="64"/>
      <c r="C583" s="65"/>
      <c r="D583" s="65"/>
    </row>
    <row r="584" ht="14.25" customHeight="1">
      <c r="A584" s="63"/>
      <c r="B584" s="64"/>
      <c r="C584" s="65"/>
      <c r="D584" s="65"/>
    </row>
    <row r="585" ht="14.25" customHeight="1">
      <c r="A585" s="63"/>
      <c r="B585" s="64"/>
      <c r="C585" s="65"/>
      <c r="D585" s="65"/>
    </row>
    <row r="586" ht="14.25" customHeight="1">
      <c r="A586" s="63"/>
      <c r="B586" s="64"/>
      <c r="C586" s="65"/>
      <c r="D586" s="65"/>
    </row>
    <row r="587" ht="14.25" customHeight="1">
      <c r="A587" s="63"/>
      <c r="B587" s="64"/>
      <c r="C587" s="65"/>
      <c r="D587" s="65"/>
    </row>
    <row r="588" ht="14.25" customHeight="1">
      <c r="A588" s="63"/>
      <c r="B588" s="64"/>
      <c r="C588" s="65"/>
      <c r="D588" s="65"/>
    </row>
    <row r="589" ht="14.25" customHeight="1">
      <c r="A589" s="63"/>
      <c r="B589" s="64"/>
      <c r="C589" s="65"/>
      <c r="D589" s="65"/>
    </row>
    <row r="590" ht="14.25" customHeight="1">
      <c r="A590" s="63"/>
      <c r="B590" s="64"/>
      <c r="C590" s="65"/>
      <c r="D590" s="65"/>
    </row>
    <row r="591" ht="14.25" customHeight="1">
      <c r="A591" s="63"/>
      <c r="B591" s="64"/>
      <c r="C591" s="65"/>
      <c r="D591" s="65"/>
    </row>
    <row r="592" ht="14.25" customHeight="1">
      <c r="A592" s="63"/>
      <c r="B592" s="64"/>
      <c r="C592" s="65"/>
      <c r="D592" s="65"/>
    </row>
    <row r="593" ht="14.25" customHeight="1">
      <c r="A593" s="63"/>
      <c r="B593" s="64"/>
      <c r="C593" s="65"/>
      <c r="D593" s="65"/>
    </row>
    <row r="594" ht="14.25" customHeight="1">
      <c r="A594" s="63"/>
      <c r="B594" s="64"/>
      <c r="C594" s="65"/>
      <c r="D594" s="65"/>
    </row>
    <row r="595" ht="14.25" customHeight="1">
      <c r="A595" s="63"/>
      <c r="B595" s="64"/>
      <c r="C595" s="65"/>
      <c r="D595" s="65"/>
    </row>
    <row r="596" ht="14.25" customHeight="1">
      <c r="A596" s="63"/>
      <c r="B596" s="64"/>
      <c r="C596" s="65"/>
      <c r="D596" s="65"/>
    </row>
    <row r="597" ht="14.25" customHeight="1">
      <c r="A597" s="63"/>
      <c r="B597" s="64"/>
      <c r="C597" s="65"/>
      <c r="D597" s="65"/>
    </row>
    <row r="598" ht="14.25" customHeight="1">
      <c r="A598" s="63"/>
      <c r="B598" s="64"/>
      <c r="C598" s="65"/>
      <c r="D598" s="65"/>
    </row>
    <row r="599" ht="14.25" customHeight="1">
      <c r="A599" s="63"/>
      <c r="B599" s="64"/>
      <c r="C599" s="65"/>
      <c r="D599" s="65"/>
    </row>
    <row r="600" ht="14.25" customHeight="1">
      <c r="A600" s="63"/>
      <c r="B600" s="64"/>
      <c r="C600" s="65"/>
      <c r="D600" s="65"/>
    </row>
    <row r="601" ht="14.25" customHeight="1">
      <c r="A601" s="63"/>
      <c r="B601" s="64"/>
      <c r="C601" s="65"/>
      <c r="D601" s="65"/>
    </row>
    <row r="602" ht="14.25" customHeight="1">
      <c r="A602" s="63"/>
      <c r="B602" s="64"/>
      <c r="C602" s="65"/>
      <c r="D602" s="65"/>
    </row>
    <row r="603" ht="14.25" customHeight="1">
      <c r="A603" s="63"/>
      <c r="B603" s="64"/>
      <c r="C603" s="65"/>
      <c r="D603" s="65"/>
    </row>
    <row r="604" ht="14.25" customHeight="1">
      <c r="A604" s="63"/>
      <c r="B604" s="64"/>
      <c r="C604" s="65"/>
      <c r="D604" s="65"/>
    </row>
    <row r="605" ht="14.25" customHeight="1">
      <c r="A605" s="63"/>
      <c r="B605" s="64"/>
      <c r="C605" s="65"/>
      <c r="D605" s="65"/>
    </row>
    <row r="606" ht="14.25" customHeight="1">
      <c r="A606" s="63"/>
      <c r="B606" s="64"/>
      <c r="C606" s="65"/>
      <c r="D606" s="65"/>
    </row>
    <row r="607" ht="14.25" customHeight="1">
      <c r="A607" s="63"/>
      <c r="B607" s="64"/>
      <c r="C607" s="65"/>
      <c r="D607" s="65"/>
    </row>
    <row r="608" ht="14.25" customHeight="1">
      <c r="A608" s="63"/>
      <c r="B608" s="64"/>
      <c r="C608" s="65"/>
      <c r="D608" s="65"/>
    </row>
    <row r="609" ht="14.25" customHeight="1">
      <c r="A609" s="63"/>
      <c r="B609" s="64"/>
      <c r="C609" s="65"/>
      <c r="D609" s="65"/>
    </row>
    <row r="610" ht="14.25" customHeight="1">
      <c r="A610" s="63"/>
      <c r="B610" s="64"/>
      <c r="C610" s="65"/>
      <c r="D610" s="65"/>
    </row>
    <row r="611" ht="14.25" customHeight="1">
      <c r="A611" s="63"/>
      <c r="B611" s="64"/>
      <c r="C611" s="65"/>
      <c r="D611" s="65"/>
    </row>
    <row r="612" ht="14.25" customHeight="1">
      <c r="A612" s="63"/>
      <c r="B612" s="64"/>
      <c r="C612" s="65"/>
      <c r="D612" s="65"/>
    </row>
    <row r="613" ht="14.25" customHeight="1">
      <c r="A613" s="63"/>
      <c r="B613" s="64"/>
      <c r="C613" s="65"/>
      <c r="D613" s="65"/>
    </row>
    <row r="614" ht="14.25" customHeight="1">
      <c r="A614" s="63"/>
      <c r="B614" s="64"/>
      <c r="C614" s="65"/>
      <c r="D614" s="65"/>
    </row>
    <row r="615" ht="14.25" customHeight="1">
      <c r="A615" s="63"/>
      <c r="B615" s="64"/>
      <c r="C615" s="65"/>
      <c r="D615" s="65"/>
    </row>
    <row r="616" ht="14.25" customHeight="1">
      <c r="A616" s="63"/>
      <c r="B616" s="64"/>
      <c r="C616" s="65"/>
      <c r="D616" s="65"/>
    </row>
    <row r="617" ht="14.25" customHeight="1">
      <c r="A617" s="63"/>
      <c r="B617" s="64"/>
      <c r="C617" s="65"/>
      <c r="D617" s="65"/>
    </row>
    <row r="618" ht="14.25" customHeight="1">
      <c r="A618" s="63"/>
      <c r="B618" s="64"/>
      <c r="C618" s="65"/>
      <c r="D618" s="65"/>
    </row>
    <row r="619" ht="14.25" customHeight="1">
      <c r="A619" s="63"/>
      <c r="B619" s="64"/>
      <c r="C619" s="65"/>
      <c r="D619" s="65"/>
    </row>
    <row r="620" ht="14.25" customHeight="1">
      <c r="A620" s="63"/>
      <c r="B620" s="64"/>
      <c r="C620" s="65"/>
      <c r="D620" s="65"/>
    </row>
    <row r="621" ht="14.25" customHeight="1">
      <c r="A621" s="63"/>
      <c r="B621" s="64"/>
      <c r="C621" s="65"/>
      <c r="D621" s="65"/>
    </row>
    <row r="622" ht="14.25" customHeight="1">
      <c r="A622" s="63"/>
      <c r="B622" s="64"/>
      <c r="C622" s="65"/>
      <c r="D622" s="65"/>
    </row>
    <row r="623" ht="14.25" customHeight="1">
      <c r="A623" s="63"/>
      <c r="B623" s="64"/>
      <c r="C623" s="65"/>
      <c r="D623" s="65"/>
    </row>
    <row r="624" ht="14.25" customHeight="1">
      <c r="A624" s="63"/>
      <c r="B624" s="64"/>
      <c r="C624" s="65"/>
      <c r="D624" s="65"/>
    </row>
    <row r="625" ht="14.25" customHeight="1">
      <c r="A625" s="63"/>
      <c r="B625" s="64"/>
      <c r="C625" s="65"/>
      <c r="D625" s="65"/>
    </row>
    <row r="626" ht="14.25" customHeight="1">
      <c r="A626" s="63"/>
      <c r="B626" s="64"/>
      <c r="C626" s="65"/>
      <c r="D626" s="65"/>
    </row>
    <row r="627" ht="14.25" customHeight="1">
      <c r="A627" s="63"/>
      <c r="B627" s="64"/>
      <c r="C627" s="65"/>
      <c r="D627" s="65"/>
    </row>
    <row r="628" ht="14.25" customHeight="1">
      <c r="A628" s="63"/>
      <c r="B628" s="64"/>
      <c r="C628" s="65"/>
      <c r="D628" s="65"/>
    </row>
    <row r="629" ht="14.25" customHeight="1">
      <c r="A629" s="63"/>
      <c r="B629" s="64"/>
      <c r="C629" s="65"/>
      <c r="D629" s="65"/>
    </row>
    <row r="630" ht="14.25" customHeight="1">
      <c r="A630" s="63"/>
      <c r="B630" s="64"/>
      <c r="C630" s="65"/>
      <c r="D630" s="65"/>
    </row>
    <row r="631" ht="14.25" customHeight="1">
      <c r="A631" s="63"/>
      <c r="B631" s="64"/>
      <c r="C631" s="65"/>
      <c r="D631" s="65"/>
    </row>
    <row r="632" ht="14.25" customHeight="1">
      <c r="A632" s="63"/>
      <c r="B632" s="64"/>
      <c r="C632" s="65"/>
      <c r="D632" s="65"/>
    </row>
    <row r="633" ht="14.25" customHeight="1">
      <c r="A633" s="63"/>
      <c r="B633" s="64"/>
      <c r="C633" s="65"/>
      <c r="D633" s="65"/>
    </row>
    <row r="634" ht="14.25" customHeight="1">
      <c r="A634" s="63"/>
      <c r="B634" s="64"/>
      <c r="C634" s="65"/>
      <c r="D634" s="65"/>
    </row>
    <row r="635" ht="14.25" customHeight="1">
      <c r="A635" s="63"/>
      <c r="B635" s="64"/>
      <c r="C635" s="65"/>
      <c r="D635" s="65"/>
    </row>
    <row r="636" ht="14.25" customHeight="1">
      <c r="A636" s="63"/>
      <c r="B636" s="64"/>
      <c r="C636" s="65"/>
      <c r="D636" s="65"/>
    </row>
    <row r="637" ht="14.25" customHeight="1">
      <c r="A637" s="63"/>
      <c r="B637" s="64"/>
      <c r="C637" s="65"/>
      <c r="D637" s="65"/>
    </row>
    <row r="638" ht="14.25" customHeight="1">
      <c r="A638" s="63"/>
      <c r="B638" s="64"/>
      <c r="C638" s="65"/>
      <c r="D638" s="65"/>
    </row>
    <row r="639" ht="14.25" customHeight="1">
      <c r="A639" s="63"/>
      <c r="B639" s="64"/>
      <c r="C639" s="65"/>
      <c r="D639" s="65"/>
    </row>
    <row r="640" ht="14.25" customHeight="1">
      <c r="A640" s="63"/>
      <c r="B640" s="64"/>
      <c r="C640" s="65"/>
      <c r="D640" s="65"/>
    </row>
    <row r="641" ht="14.25" customHeight="1">
      <c r="A641" s="63"/>
      <c r="B641" s="64"/>
      <c r="C641" s="65"/>
      <c r="D641" s="65"/>
    </row>
    <row r="642" ht="14.25" customHeight="1">
      <c r="A642" s="63"/>
      <c r="B642" s="64"/>
      <c r="C642" s="65"/>
      <c r="D642" s="65"/>
    </row>
    <row r="643" ht="14.25" customHeight="1">
      <c r="A643" s="63"/>
      <c r="B643" s="64"/>
      <c r="C643" s="65"/>
      <c r="D643" s="65"/>
    </row>
    <row r="644" ht="14.25" customHeight="1">
      <c r="A644" s="63"/>
      <c r="B644" s="64"/>
      <c r="C644" s="65"/>
      <c r="D644" s="65"/>
    </row>
    <row r="645" ht="14.25" customHeight="1">
      <c r="A645" s="63"/>
      <c r="B645" s="64"/>
      <c r="C645" s="65"/>
      <c r="D645" s="65"/>
    </row>
    <row r="646" ht="14.25" customHeight="1">
      <c r="A646" s="63"/>
      <c r="B646" s="64"/>
      <c r="C646" s="65"/>
      <c r="D646" s="65"/>
    </row>
    <row r="647" ht="14.25" customHeight="1">
      <c r="A647" s="63"/>
      <c r="B647" s="64"/>
      <c r="C647" s="65"/>
      <c r="D647" s="65"/>
    </row>
    <row r="648" ht="14.25" customHeight="1">
      <c r="A648" s="63"/>
      <c r="B648" s="64"/>
      <c r="C648" s="65"/>
      <c r="D648" s="65"/>
    </row>
    <row r="649" ht="14.25" customHeight="1">
      <c r="A649" s="63"/>
      <c r="B649" s="64"/>
      <c r="C649" s="65"/>
      <c r="D649" s="65"/>
    </row>
    <row r="650" ht="14.25" customHeight="1">
      <c r="A650" s="63"/>
      <c r="B650" s="64"/>
      <c r="C650" s="65"/>
      <c r="D650" s="65"/>
    </row>
    <row r="651" ht="14.25" customHeight="1">
      <c r="A651" s="63"/>
      <c r="B651" s="64"/>
      <c r="C651" s="65"/>
      <c r="D651" s="65"/>
    </row>
    <row r="652" ht="14.25" customHeight="1">
      <c r="A652" s="63"/>
      <c r="B652" s="64"/>
      <c r="C652" s="65"/>
      <c r="D652" s="65"/>
    </row>
    <row r="653" ht="14.25" customHeight="1">
      <c r="A653" s="63"/>
      <c r="B653" s="64"/>
      <c r="C653" s="65"/>
      <c r="D653" s="65"/>
    </row>
    <row r="654" ht="14.25" customHeight="1">
      <c r="A654" s="63"/>
      <c r="B654" s="64"/>
      <c r="C654" s="65"/>
      <c r="D654" s="65"/>
    </row>
    <row r="655" ht="14.25" customHeight="1">
      <c r="A655" s="63"/>
      <c r="B655" s="64"/>
      <c r="C655" s="65"/>
      <c r="D655" s="65"/>
    </row>
    <row r="656" ht="14.25" customHeight="1">
      <c r="A656" s="63"/>
      <c r="B656" s="64"/>
      <c r="C656" s="65"/>
      <c r="D656" s="65"/>
    </row>
    <row r="657" ht="14.25" customHeight="1">
      <c r="A657" s="63"/>
      <c r="B657" s="64"/>
      <c r="C657" s="65"/>
      <c r="D657" s="65"/>
    </row>
    <row r="658" ht="14.25" customHeight="1">
      <c r="A658" s="63"/>
      <c r="B658" s="64"/>
      <c r="C658" s="65"/>
      <c r="D658" s="65"/>
    </row>
    <row r="659" ht="14.25" customHeight="1">
      <c r="A659" s="63"/>
      <c r="B659" s="64"/>
      <c r="C659" s="65"/>
      <c r="D659" s="65"/>
    </row>
    <row r="660" ht="14.25" customHeight="1">
      <c r="A660" s="63"/>
      <c r="B660" s="64"/>
      <c r="C660" s="65"/>
      <c r="D660" s="65"/>
    </row>
    <row r="661" ht="14.25" customHeight="1">
      <c r="A661" s="63"/>
      <c r="B661" s="64"/>
      <c r="C661" s="65"/>
      <c r="D661" s="65"/>
    </row>
    <row r="662" ht="14.25" customHeight="1">
      <c r="A662" s="63"/>
      <c r="B662" s="64"/>
      <c r="C662" s="65"/>
      <c r="D662" s="65"/>
    </row>
    <row r="663" ht="14.25" customHeight="1">
      <c r="A663" s="63"/>
      <c r="B663" s="64"/>
      <c r="C663" s="65"/>
      <c r="D663" s="65"/>
    </row>
    <row r="664" ht="14.25" customHeight="1">
      <c r="A664" s="63"/>
      <c r="B664" s="64"/>
      <c r="C664" s="65"/>
      <c r="D664" s="65"/>
    </row>
    <row r="665" ht="14.25" customHeight="1">
      <c r="A665" s="63"/>
      <c r="B665" s="64"/>
      <c r="C665" s="65"/>
      <c r="D665" s="65"/>
    </row>
    <row r="666" ht="14.25" customHeight="1">
      <c r="A666" s="63"/>
      <c r="B666" s="64"/>
      <c r="C666" s="65"/>
      <c r="D666" s="65"/>
    </row>
    <row r="667" ht="14.25" customHeight="1">
      <c r="A667" s="63"/>
      <c r="B667" s="64"/>
      <c r="C667" s="65"/>
      <c r="D667" s="65"/>
    </row>
    <row r="668" ht="14.25" customHeight="1">
      <c r="A668" s="63"/>
      <c r="B668" s="64"/>
      <c r="C668" s="65"/>
      <c r="D668" s="65"/>
    </row>
    <row r="669" ht="14.25" customHeight="1">
      <c r="A669" s="63"/>
      <c r="B669" s="64"/>
      <c r="C669" s="65"/>
      <c r="D669" s="65"/>
    </row>
    <row r="670" ht="14.25" customHeight="1">
      <c r="A670" s="63"/>
      <c r="B670" s="64"/>
      <c r="C670" s="65"/>
      <c r="D670" s="65"/>
    </row>
    <row r="671" ht="14.25" customHeight="1">
      <c r="A671" s="63"/>
      <c r="B671" s="64"/>
      <c r="C671" s="65"/>
      <c r="D671" s="65"/>
    </row>
    <row r="672" ht="14.25" customHeight="1">
      <c r="A672" s="63"/>
      <c r="B672" s="64"/>
      <c r="C672" s="65"/>
      <c r="D672" s="65"/>
    </row>
    <row r="673" ht="14.25" customHeight="1">
      <c r="A673" s="63"/>
      <c r="B673" s="64"/>
      <c r="C673" s="65"/>
      <c r="D673" s="65"/>
    </row>
    <row r="674" ht="14.25" customHeight="1">
      <c r="A674" s="63"/>
      <c r="B674" s="64"/>
      <c r="C674" s="65"/>
      <c r="D674" s="65"/>
    </row>
    <row r="675" ht="14.25" customHeight="1">
      <c r="A675" s="63"/>
      <c r="B675" s="64"/>
      <c r="C675" s="65"/>
      <c r="D675" s="65"/>
    </row>
    <row r="676" ht="14.25" customHeight="1">
      <c r="A676" s="63"/>
      <c r="B676" s="64"/>
      <c r="C676" s="65"/>
      <c r="D676" s="65"/>
    </row>
    <row r="677" ht="14.25" customHeight="1">
      <c r="A677" s="63"/>
      <c r="B677" s="64"/>
      <c r="C677" s="65"/>
      <c r="D677" s="65"/>
    </row>
    <row r="678" ht="14.25" customHeight="1">
      <c r="A678" s="63"/>
      <c r="B678" s="64"/>
      <c r="C678" s="65"/>
      <c r="D678" s="65"/>
    </row>
    <row r="679" ht="14.25" customHeight="1">
      <c r="A679" s="63"/>
      <c r="B679" s="64"/>
      <c r="C679" s="65"/>
      <c r="D679" s="65"/>
    </row>
    <row r="680" ht="14.25" customHeight="1">
      <c r="A680" s="63"/>
      <c r="B680" s="64"/>
      <c r="C680" s="65"/>
      <c r="D680" s="65"/>
    </row>
    <row r="681" ht="14.25" customHeight="1">
      <c r="A681" s="63"/>
      <c r="B681" s="64"/>
      <c r="C681" s="65"/>
      <c r="D681" s="65"/>
    </row>
    <row r="682" ht="14.25" customHeight="1">
      <c r="A682" s="63"/>
      <c r="B682" s="64"/>
      <c r="C682" s="65"/>
      <c r="D682" s="65"/>
    </row>
    <row r="683" ht="14.25" customHeight="1">
      <c r="A683" s="63"/>
      <c r="B683" s="64"/>
      <c r="C683" s="65"/>
      <c r="D683" s="65"/>
    </row>
    <row r="684" ht="14.25" customHeight="1">
      <c r="A684" s="63"/>
      <c r="B684" s="64"/>
      <c r="C684" s="65"/>
      <c r="D684" s="65"/>
    </row>
    <row r="685" ht="14.25" customHeight="1">
      <c r="A685" s="63"/>
      <c r="B685" s="64"/>
      <c r="C685" s="65"/>
      <c r="D685" s="65"/>
    </row>
    <row r="686" ht="14.25" customHeight="1">
      <c r="A686" s="63"/>
      <c r="B686" s="64"/>
      <c r="C686" s="65"/>
      <c r="D686" s="65"/>
    </row>
    <row r="687" ht="14.25" customHeight="1">
      <c r="A687" s="63"/>
      <c r="B687" s="64"/>
      <c r="C687" s="65"/>
      <c r="D687" s="65"/>
    </row>
    <row r="688" ht="14.25" customHeight="1">
      <c r="A688" s="63"/>
      <c r="B688" s="64"/>
      <c r="C688" s="65"/>
      <c r="D688" s="65"/>
    </row>
    <row r="689" ht="14.25" customHeight="1">
      <c r="A689" s="63"/>
      <c r="B689" s="64"/>
      <c r="C689" s="65"/>
      <c r="D689" s="65"/>
    </row>
    <row r="690" ht="14.25" customHeight="1">
      <c r="A690" s="63"/>
      <c r="B690" s="64"/>
      <c r="C690" s="65"/>
      <c r="D690" s="65"/>
    </row>
    <row r="691" ht="14.25" customHeight="1">
      <c r="A691" s="63"/>
      <c r="B691" s="64"/>
      <c r="C691" s="65"/>
      <c r="D691" s="65"/>
    </row>
    <row r="692" ht="14.25" customHeight="1">
      <c r="A692" s="63"/>
      <c r="B692" s="64"/>
      <c r="C692" s="65"/>
      <c r="D692" s="65"/>
    </row>
    <row r="693" ht="14.25" customHeight="1">
      <c r="A693" s="63"/>
      <c r="B693" s="64"/>
      <c r="C693" s="65"/>
      <c r="D693" s="65"/>
    </row>
    <row r="694" ht="14.25" customHeight="1">
      <c r="A694" s="63"/>
      <c r="B694" s="64"/>
      <c r="C694" s="65"/>
      <c r="D694" s="65"/>
    </row>
    <row r="695" ht="14.25" customHeight="1">
      <c r="A695" s="63"/>
      <c r="B695" s="64"/>
      <c r="C695" s="65"/>
      <c r="D695" s="65"/>
    </row>
    <row r="696" ht="14.25" customHeight="1">
      <c r="A696" s="63"/>
      <c r="B696" s="64"/>
      <c r="C696" s="65"/>
      <c r="D696" s="65"/>
    </row>
    <row r="697" ht="14.25" customHeight="1">
      <c r="A697" s="63"/>
      <c r="B697" s="64"/>
      <c r="C697" s="65"/>
      <c r="D697" s="65"/>
    </row>
    <row r="698" ht="14.25" customHeight="1">
      <c r="A698" s="63"/>
      <c r="B698" s="64"/>
      <c r="C698" s="65"/>
      <c r="D698" s="65"/>
    </row>
    <row r="699" ht="14.25" customHeight="1">
      <c r="A699" s="63"/>
      <c r="B699" s="64"/>
      <c r="C699" s="65"/>
      <c r="D699" s="65"/>
    </row>
    <row r="700" ht="14.25" customHeight="1">
      <c r="A700" s="63"/>
      <c r="B700" s="64"/>
      <c r="C700" s="65"/>
      <c r="D700" s="65"/>
    </row>
    <row r="701" ht="14.25" customHeight="1">
      <c r="A701" s="63"/>
      <c r="B701" s="64"/>
      <c r="C701" s="65"/>
      <c r="D701" s="65"/>
    </row>
    <row r="702" ht="14.25" customHeight="1">
      <c r="A702" s="63"/>
      <c r="B702" s="64"/>
      <c r="C702" s="65"/>
      <c r="D702" s="65"/>
    </row>
    <row r="703" ht="14.25" customHeight="1">
      <c r="A703" s="63"/>
      <c r="B703" s="64"/>
      <c r="C703" s="65"/>
      <c r="D703" s="65"/>
    </row>
    <row r="704" ht="14.25" customHeight="1">
      <c r="A704" s="63"/>
      <c r="B704" s="64"/>
      <c r="C704" s="65"/>
      <c r="D704" s="65"/>
    </row>
    <row r="705" ht="14.25" customHeight="1">
      <c r="A705" s="63"/>
      <c r="B705" s="64"/>
      <c r="C705" s="65"/>
      <c r="D705" s="65"/>
    </row>
    <row r="706" ht="14.25" customHeight="1">
      <c r="A706" s="63"/>
      <c r="B706" s="64"/>
      <c r="C706" s="65"/>
      <c r="D706" s="65"/>
    </row>
    <row r="707" ht="14.25" customHeight="1">
      <c r="A707" s="63"/>
      <c r="B707" s="64"/>
      <c r="C707" s="65"/>
      <c r="D707" s="65"/>
    </row>
    <row r="708" ht="14.25" customHeight="1">
      <c r="A708" s="63"/>
      <c r="B708" s="64"/>
      <c r="C708" s="65"/>
      <c r="D708" s="65"/>
    </row>
    <row r="709" ht="14.25" customHeight="1">
      <c r="A709" s="63"/>
      <c r="B709" s="64"/>
      <c r="C709" s="65"/>
      <c r="D709" s="65"/>
    </row>
    <row r="710" ht="14.25" customHeight="1">
      <c r="A710" s="63"/>
      <c r="B710" s="64"/>
      <c r="C710" s="65"/>
      <c r="D710" s="65"/>
    </row>
    <row r="711" ht="14.25" customHeight="1">
      <c r="A711" s="63"/>
      <c r="B711" s="64"/>
      <c r="C711" s="65"/>
      <c r="D711" s="65"/>
    </row>
    <row r="712" ht="14.25" customHeight="1">
      <c r="A712" s="63"/>
      <c r="B712" s="64"/>
      <c r="C712" s="65"/>
      <c r="D712" s="65"/>
    </row>
    <row r="713" ht="14.25" customHeight="1">
      <c r="A713" s="63"/>
      <c r="B713" s="64"/>
      <c r="C713" s="65"/>
      <c r="D713" s="65"/>
    </row>
    <row r="714" ht="14.25" customHeight="1">
      <c r="A714" s="63"/>
      <c r="B714" s="64"/>
      <c r="C714" s="65"/>
      <c r="D714" s="65"/>
    </row>
    <row r="715" ht="14.25" customHeight="1">
      <c r="A715" s="63"/>
      <c r="B715" s="64"/>
      <c r="C715" s="65"/>
      <c r="D715" s="65"/>
    </row>
    <row r="716" ht="14.25" customHeight="1">
      <c r="A716" s="63"/>
      <c r="B716" s="64"/>
      <c r="C716" s="65"/>
      <c r="D716" s="65"/>
    </row>
    <row r="717" ht="14.25" customHeight="1">
      <c r="A717" s="63"/>
      <c r="B717" s="64"/>
      <c r="C717" s="65"/>
      <c r="D717" s="65"/>
    </row>
    <row r="718" ht="14.25" customHeight="1">
      <c r="A718" s="63"/>
      <c r="B718" s="64"/>
      <c r="C718" s="65"/>
      <c r="D718" s="65"/>
    </row>
    <row r="719" ht="14.25" customHeight="1">
      <c r="A719" s="63"/>
      <c r="B719" s="64"/>
      <c r="C719" s="65"/>
      <c r="D719" s="65"/>
    </row>
    <row r="720" ht="14.25" customHeight="1">
      <c r="A720" s="63"/>
      <c r="B720" s="64"/>
      <c r="C720" s="65"/>
      <c r="D720" s="65"/>
    </row>
    <row r="721" ht="14.25" customHeight="1">
      <c r="A721" s="63"/>
      <c r="B721" s="64"/>
      <c r="C721" s="65"/>
      <c r="D721" s="65"/>
    </row>
    <row r="722" ht="14.25" customHeight="1">
      <c r="A722" s="63"/>
      <c r="B722" s="64"/>
      <c r="C722" s="65"/>
      <c r="D722" s="65"/>
    </row>
    <row r="723" ht="14.25" customHeight="1">
      <c r="A723" s="63"/>
      <c r="B723" s="64"/>
      <c r="C723" s="65"/>
      <c r="D723" s="65"/>
    </row>
    <row r="724" ht="14.25" customHeight="1">
      <c r="A724" s="63"/>
      <c r="B724" s="64"/>
      <c r="C724" s="65"/>
      <c r="D724" s="65"/>
    </row>
    <row r="725" ht="14.25" customHeight="1">
      <c r="A725" s="63"/>
      <c r="B725" s="64"/>
      <c r="C725" s="65"/>
      <c r="D725" s="65"/>
    </row>
    <row r="726" ht="14.25" customHeight="1">
      <c r="A726" s="63"/>
      <c r="B726" s="64"/>
      <c r="C726" s="65"/>
      <c r="D726" s="65"/>
    </row>
    <row r="727" ht="14.25" customHeight="1">
      <c r="A727" s="63"/>
      <c r="B727" s="64"/>
      <c r="C727" s="65"/>
      <c r="D727" s="65"/>
    </row>
    <row r="728" ht="14.25" customHeight="1">
      <c r="A728" s="63"/>
      <c r="B728" s="64"/>
      <c r="C728" s="65"/>
      <c r="D728" s="65"/>
    </row>
    <row r="729" ht="14.25" customHeight="1">
      <c r="A729" s="63"/>
      <c r="B729" s="64"/>
      <c r="C729" s="65"/>
      <c r="D729" s="65"/>
    </row>
    <row r="730" ht="14.25" customHeight="1">
      <c r="A730" s="63"/>
      <c r="B730" s="64"/>
      <c r="C730" s="65"/>
      <c r="D730" s="65"/>
    </row>
    <row r="731" ht="14.25" customHeight="1">
      <c r="A731" s="63"/>
      <c r="B731" s="64"/>
      <c r="C731" s="65"/>
      <c r="D731" s="65"/>
    </row>
    <row r="732" ht="14.25" customHeight="1">
      <c r="A732" s="63"/>
      <c r="B732" s="64"/>
      <c r="C732" s="65"/>
      <c r="D732" s="65"/>
    </row>
    <row r="733" ht="14.25" customHeight="1">
      <c r="A733" s="63"/>
      <c r="B733" s="64"/>
      <c r="C733" s="65"/>
      <c r="D733" s="65"/>
    </row>
    <row r="734" ht="14.25" customHeight="1">
      <c r="A734" s="63"/>
      <c r="B734" s="64"/>
      <c r="C734" s="65"/>
      <c r="D734" s="65"/>
    </row>
    <row r="735" ht="14.25" customHeight="1">
      <c r="A735" s="63"/>
      <c r="B735" s="64"/>
      <c r="C735" s="65"/>
      <c r="D735" s="65"/>
    </row>
    <row r="736" ht="14.25" customHeight="1">
      <c r="A736" s="63"/>
      <c r="B736" s="64"/>
      <c r="C736" s="65"/>
      <c r="D736" s="65"/>
    </row>
    <row r="737" ht="14.25" customHeight="1">
      <c r="A737" s="63"/>
      <c r="B737" s="64"/>
      <c r="C737" s="65"/>
      <c r="D737" s="65"/>
    </row>
    <row r="738" ht="14.25" customHeight="1">
      <c r="A738" s="63"/>
      <c r="B738" s="64"/>
      <c r="C738" s="65"/>
      <c r="D738" s="65"/>
    </row>
    <row r="739" ht="14.25" customHeight="1">
      <c r="A739" s="63"/>
      <c r="B739" s="64"/>
      <c r="C739" s="65"/>
      <c r="D739" s="65"/>
    </row>
    <row r="740" ht="14.25" customHeight="1">
      <c r="A740" s="63"/>
      <c r="B740" s="64"/>
      <c r="C740" s="65"/>
      <c r="D740" s="65"/>
    </row>
    <row r="741" ht="14.25" customHeight="1">
      <c r="A741" s="63"/>
      <c r="B741" s="64"/>
      <c r="C741" s="65"/>
      <c r="D741" s="65"/>
    </row>
    <row r="742" ht="14.25" customHeight="1">
      <c r="A742" s="63"/>
      <c r="B742" s="64"/>
      <c r="C742" s="65"/>
      <c r="D742" s="65"/>
    </row>
    <row r="743" ht="14.25" customHeight="1">
      <c r="A743" s="63"/>
      <c r="B743" s="64"/>
      <c r="C743" s="65"/>
      <c r="D743" s="65"/>
    </row>
    <row r="744" ht="14.25" customHeight="1">
      <c r="A744" s="63"/>
      <c r="B744" s="64"/>
      <c r="C744" s="65"/>
      <c r="D744" s="65"/>
    </row>
    <row r="745" ht="14.25" customHeight="1">
      <c r="A745" s="63"/>
      <c r="B745" s="64"/>
      <c r="C745" s="65"/>
      <c r="D745" s="65"/>
    </row>
    <row r="746" ht="14.25" customHeight="1">
      <c r="A746" s="63"/>
      <c r="B746" s="64"/>
      <c r="C746" s="65"/>
      <c r="D746" s="65"/>
    </row>
    <row r="747" ht="14.25" customHeight="1">
      <c r="A747" s="63"/>
      <c r="B747" s="64"/>
      <c r="C747" s="65"/>
      <c r="D747" s="65"/>
    </row>
    <row r="748" ht="14.25" customHeight="1">
      <c r="A748" s="63"/>
      <c r="B748" s="64"/>
      <c r="C748" s="65"/>
      <c r="D748" s="65"/>
    </row>
    <row r="749" ht="14.25" customHeight="1">
      <c r="A749" s="63"/>
      <c r="B749" s="64"/>
      <c r="C749" s="65"/>
      <c r="D749" s="65"/>
    </row>
    <row r="750" ht="14.25" customHeight="1">
      <c r="A750" s="63"/>
      <c r="B750" s="64"/>
      <c r="C750" s="65"/>
      <c r="D750" s="65"/>
    </row>
    <row r="751" ht="14.25" customHeight="1">
      <c r="A751" s="63"/>
      <c r="B751" s="64"/>
      <c r="C751" s="65"/>
      <c r="D751" s="65"/>
    </row>
    <row r="752" ht="14.25" customHeight="1">
      <c r="A752" s="63"/>
      <c r="B752" s="64"/>
      <c r="C752" s="65"/>
      <c r="D752" s="65"/>
    </row>
    <row r="753" ht="14.25" customHeight="1">
      <c r="A753" s="63"/>
      <c r="B753" s="64"/>
      <c r="C753" s="65"/>
      <c r="D753" s="65"/>
    </row>
    <row r="754" ht="14.25" customHeight="1">
      <c r="A754" s="63"/>
      <c r="B754" s="64"/>
      <c r="C754" s="65"/>
      <c r="D754" s="65"/>
    </row>
    <row r="755" ht="14.25" customHeight="1">
      <c r="A755" s="63"/>
      <c r="B755" s="64"/>
      <c r="C755" s="65"/>
      <c r="D755" s="65"/>
    </row>
    <row r="756" ht="14.25" customHeight="1">
      <c r="A756" s="63"/>
      <c r="B756" s="64"/>
      <c r="C756" s="65"/>
      <c r="D756" s="65"/>
    </row>
    <row r="757" ht="14.25" customHeight="1">
      <c r="A757" s="63"/>
      <c r="B757" s="64"/>
      <c r="C757" s="65"/>
      <c r="D757" s="65"/>
    </row>
    <row r="758" ht="14.25" customHeight="1">
      <c r="A758" s="63"/>
      <c r="B758" s="64"/>
      <c r="C758" s="65"/>
      <c r="D758" s="65"/>
    </row>
    <row r="759" ht="14.25" customHeight="1">
      <c r="A759" s="63"/>
      <c r="B759" s="64"/>
      <c r="C759" s="65"/>
      <c r="D759" s="65"/>
    </row>
    <row r="760" ht="14.25" customHeight="1">
      <c r="A760" s="63"/>
      <c r="B760" s="64"/>
      <c r="C760" s="65"/>
      <c r="D760" s="65"/>
    </row>
    <row r="761" ht="14.25" customHeight="1">
      <c r="A761" s="63"/>
      <c r="B761" s="64"/>
      <c r="C761" s="65"/>
      <c r="D761" s="65"/>
    </row>
    <row r="762" ht="14.25" customHeight="1">
      <c r="A762" s="63"/>
      <c r="B762" s="64"/>
      <c r="C762" s="65"/>
      <c r="D762" s="65"/>
    </row>
    <row r="763" ht="14.25" customHeight="1">
      <c r="A763" s="63"/>
      <c r="B763" s="64"/>
      <c r="C763" s="65"/>
      <c r="D763" s="65"/>
    </row>
    <row r="764" ht="14.25" customHeight="1">
      <c r="A764" s="63"/>
      <c r="B764" s="64"/>
      <c r="C764" s="65"/>
      <c r="D764" s="65"/>
    </row>
    <row r="765" ht="14.25" customHeight="1">
      <c r="A765" s="63"/>
      <c r="B765" s="64"/>
      <c r="C765" s="65"/>
      <c r="D765" s="65"/>
    </row>
    <row r="766" ht="14.25" customHeight="1">
      <c r="A766" s="63"/>
      <c r="B766" s="64"/>
      <c r="C766" s="65"/>
      <c r="D766" s="65"/>
    </row>
    <row r="767" ht="14.25" customHeight="1">
      <c r="A767" s="63"/>
      <c r="B767" s="64"/>
      <c r="C767" s="65"/>
      <c r="D767" s="65"/>
    </row>
    <row r="768" ht="14.25" customHeight="1">
      <c r="A768" s="63"/>
      <c r="B768" s="64"/>
      <c r="C768" s="65"/>
      <c r="D768" s="65"/>
    </row>
    <row r="769" ht="14.25" customHeight="1">
      <c r="A769" s="63"/>
      <c r="B769" s="64"/>
      <c r="C769" s="65"/>
      <c r="D769" s="65"/>
    </row>
    <row r="770" ht="14.25" customHeight="1">
      <c r="A770" s="63"/>
      <c r="B770" s="64"/>
      <c r="C770" s="65"/>
      <c r="D770" s="65"/>
    </row>
    <row r="771" ht="14.25" customHeight="1">
      <c r="A771" s="63"/>
      <c r="B771" s="64"/>
      <c r="C771" s="65"/>
      <c r="D771" s="65"/>
    </row>
    <row r="772" ht="14.25" customHeight="1">
      <c r="A772" s="63"/>
      <c r="B772" s="64"/>
      <c r="C772" s="65"/>
      <c r="D772" s="65"/>
    </row>
    <row r="773" ht="14.25" customHeight="1">
      <c r="A773" s="63"/>
      <c r="B773" s="64"/>
      <c r="C773" s="65"/>
      <c r="D773" s="65"/>
    </row>
    <row r="774" ht="14.25" customHeight="1">
      <c r="A774" s="63"/>
      <c r="B774" s="64"/>
      <c r="C774" s="65"/>
      <c r="D774" s="65"/>
    </row>
    <row r="775" ht="14.25" customHeight="1">
      <c r="A775" s="63"/>
      <c r="B775" s="64"/>
      <c r="C775" s="65"/>
      <c r="D775" s="65"/>
    </row>
    <row r="776" ht="14.25" customHeight="1">
      <c r="A776" s="63"/>
      <c r="B776" s="64"/>
      <c r="C776" s="65"/>
      <c r="D776" s="65"/>
    </row>
    <row r="777" ht="14.25" customHeight="1">
      <c r="A777" s="63"/>
      <c r="B777" s="64"/>
      <c r="C777" s="65"/>
      <c r="D777" s="65"/>
    </row>
    <row r="778" ht="14.25" customHeight="1">
      <c r="A778" s="63"/>
      <c r="B778" s="64"/>
      <c r="C778" s="65"/>
      <c r="D778" s="65"/>
    </row>
    <row r="779" ht="14.25" customHeight="1">
      <c r="A779" s="63"/>
      <c r="B779" s="64"/>
      <c r="C779" s="65"/>
      <c r="D779" s="65"/>
    </row>
    <row r="780" ht="14.25" customHeight="1">
      <c r="A780" s="63"/>
      <c r="B780" s="64"/>
      <c r="C780" s="65"/>
      <c r="D780" s="65"/>
    </row>
    <row r="781" ht="14.25" customHeight="1">
      <c r="A781" s="63"/>
      <c r="B781" s="64"/>
      <c r="C781" s="65"/>
      <c r="D781" s="65"/>
    </row>
    <row r="782" ht="14.25" customHeight="1">
      <c r="A782" s="63"/>
      <c r="B782" s="64"/>
      <c r="C782" s="65"/>
      <c r="D782" s="65"/>
    </row>
    <row r="783" ht="14.25" customHeight="1">
      <c r="A783" s="63"/>
      <c r="B783" s="64"/>
      <c r="C783" s="65"/>
      <c r="D783" s="65"/>
    </row>
    <row r="784" ht="14.25" customHeight="1">
      <c r="A784" s="63"/>
      <c r="B784" s="64"/>
      <c r="C784" s="65"/>
      <c r="D784" s="65"/>
    </row>
    <row r="785" ht="14.25" customHeight="1">
      <c r="A785" s="63"/>
      <c r="B785" s="64"/>
      <c r="C785" s="65"/>
      <c r="D785" s="65"/>
    </row>
    <row r="786" ht="14.25" customHeight="1">
      <c r="A786" s="63"/>
      <c r="B786" s="64"/>
      <c r="C786" s="65"/>
      <c r="D786" s="65"/>
    </row>
    <row r="787" ht="14.25" customHeight="1">
      <c r="A787" s="63"/>
      <c r="B787" s="64"/>
      <c r="C787" s="65"/>
      <c r="D787" s="65"/>
    </row>
    <row r="788" ht="14.25" customHeight="1">
      <c r="A788" s="63"/>
      <c r="B788" s="64"/>
      <c r="C788" s="65"/>
      <c r="D788" s="65"/>
    </row>
    <row r="789" ht="14.25" customHeight="1">
      <c r="A789" s="63"/>
      <c r="B789" s="64"/>
      <c r="C789" s="65"/>
      <c r="D789" s="65"/>
    </row>
    <row r="790" ht="14.25" customHeight="1">
      <c r="A790" s="63"/>
      <c r="B790" s="64"/>
      <c r="C790" s="65"/>
      <c r="D790" s="65"/>
    </row>
    <row r="791" ht="14.25" customHeight="1">
      <c r="A791" s="63"/>
      <c r="B791" s="64"/>
      <c r="C791" s="65"/>
      <c r="D791" s="65"/>
    </row>
    <row r="792" ht="14.25" customHeight="1">
      <c r="A792" s="63"/>
      <c r="B792" s="64"/>
      <c r="C792" s="65"/>
      <c r="D792" s="65"/>
    </row>
    <row r="793" ht="14.25" customHeight="1">
      <c r="A793" s="63"/>
      <c r="B793" s="64"/>
      <c r="C793" s="65"/>
      <c r="D793" s="65"/>
    </row>
    <row r="794" ht="14.25" customHeight="1">
      <c r="A794" s="63"/>
      <c r="B794" s="64"/>
      <c r="C794" s="65"/>
      <c r="D794" s="65"/>
    </row>
    <row r="795" ht="14.25" customHeight="1">
      <c r="A795" s="63"/>
      <c r="B795" s="64"/>
      <c r="C795" s="65"/>
      <c r="D795" s="65"/>
    </row>
    <row r="796" ht="14.25" customHeight="1">
      <c r="A796" s="63"/>
      <c r="B796" s="64"/>
      <c r="C796" s="65"/>
      <c r="D796" s="65"/>
    </row>
    <row r="797" ht="14.25" customHeight="1">
      <c r="A797" s="63"/>
      <c r="B797" s="64"/>
      <c r="C797" s="65"/>
      <c r="D797" s="65"/>
    </row>
    <row r="798" ht="14.25" customHeight="1">
      <c r="A798" s="63"/>
      <c r="B798" s="64"/>
      <c r="C798" s="65"/>
      <c r="D798" s="65"/>
    </row>
    <row r="799" ht="14.25" customHeight="1">
      <c r="A799" s="63"/>
      <c r="B799" s="64"/>
      <c r="C799" s="65"/>
      <c r="D799" s="65"/>
    </row>
    <row r="800" ht="14.25" customHeight="1">
      <c r="A800" s="63"/>
      <c r="B800" s="64"/>
      <c r="C800" s="65"/>
      <c r="D800" s="65"/>
    </row>
    <row r="801" ht="14.25" customHeight="1">
      <c r="A801" s="63"/>
      <c r="B801" s="64"/>
      <c r="C801" s="65"/>
      <c r="D801" s="65"/>
    </row>
    <row r="802" ht="14.25" customHeight="1">
      <c r="A802" s="63"/>
      <c r="B802" s="64"/>
      <c r="C802" s="65"/>
      <c r="D802" s="65"/>
    </row>
    <row r="803" ht="14.25" customHeight="1">
      <c r="A803" s="63"/>
      <c r="B803" s="64"/>
      <c r="C803" s="65"/>
      <c r="D803" s="65"/>
    </row>
    <row r="804" ht="14.25" customHeight="1">
      <c r="A804" s="63"/>
      <c r="B804" s="64"/>
      <c r="C804" s="65"/>
      <c r="D804" s="65"/>
    </row>
    <row r="805" ht="14.25" customHeight="1">
      <c r="A805" s="63"/>
      <c r="B805" s="64"/>
      <c r="C805" s="65"/>
      <c r="D805" s="65"/>
    </row>
    <row r="806" ht="14.25" customHeight="1">
      <c r="A806" s="63"/>
      <c r="B806" s="64"/>
      <c r="C806" s="65"/>
      <c r="D806" s="65"/>
    </row>
    <row r="807" ht="14.25" customHeight="1">
      <c r="A807" s="63"/>
      <c r="B807" s="64"/>
      <c r="C807" s="65"/>
      <c r="D807" s="65"/>
    </row>
    <row r="808" ht="14.25" customHeight="1">
      <c r="A808" s="63"/>
      <c r="B808" s="64"/>
      <c r="C808" s="65"/>
      <c r="D808" s="65"/>
    </row>
    <row r="809" ht="14.25" customHeight="1">
      <c r="A809" s="63"/>
      <c r="B809" s="64"/>
      <c r="C809" s="65"/>
      <c r="D809" s="65"/>
    </row>
    <row r="810" ht="14.25" customHeight="1">
      <c r="A810" s="63"/>
      <c r="B810" s="64"/>
      <c r="C810" s="65"/>
      <c r="D810" s="65"/>
    </row>
    <row r="811" ht="14.25" customHeight="1">
      <c r="A811" s="63"/>
      <c r="B811" s="64"/>
      <c r="C811" s="65"/>
      <c r="D811" s="65"/>
    </row>
    <row r="812" ht="14.25" customHeight="1">
      <c r="A812" s="63"/>
      <c r="B812" s="64"/>
      <c r="C812" s="65"/>
      <c r="D812" s="65"/>
    </row>
    <row r="813" ht="14.25" customHeight="1">
      <c r="A813" s="63"/>
      <c r="B813" s="64"/>
      <c r="C813" s="65"/>
      <c r="D813" s="65"/>
    </row>
    <row r="814" ht="14.25" customHeight="1">
      <c r="A814" s="63"/>
      <c r="B814" s="64"/>
      <c r="C814" s="65"/>
      <c r="D814" s="65"/>
    </row>
    <row r="815" ht="14.25" customHeight="1">
      <c r="A815" s="63"/>
      <c r="B815" s="64"/>
      <c r="C815" s="65"/>
      <c r="D815" s="65"/>
    </row>
    <row r="816" ht="14.25" customHeight="1">
      <c r="A816" s="63"/>
      <c r="B816" s="64"/>
      <c r="C816" s="65"/>
      <c r="D816" s="65"/>
    </row>
    <row r="817" ht="14.25" customHeight="1">
      <c r="A817" s="63"/>
      <c r="B817" s="64"/>
      <c r="C817" s="65"/>
      <c r="D817" s="65"/>
    </row>
    <row r="818" ht="14.25" customHeight="1">
      <c r="A818" s="63"/>
      <c r="B818" s="64"/>
      <c r="C818" s="65"/>
      <c r="D818" s="65"/>
    </row>
    <row r="819" ht="14.25" customHeight="1">
      <c r="A819" s="63"/>
      <c r="B819" s="64"/>
      <c r="C819" s="65"/>
      <c r="D819" s="65"/>
    </row>
    <row r="820" ht="14.25" customHeight="1">
      <c r="A820" s="63"/>
      <c r="B820" s="64"/>
      <c r="C820" s="65"/>
      <c r="D820" s="65"/>
    </row>
    <row r="821" ht="14.25" customHeight="1">
      <c r="A821" s="63"/>
      <c r="B821" s="64"/>
      <c r="C821" s="65"/>
      <c r="D821" s="65"/>
    </row>
    <row r="822" ht="14.25" customHeight="1">
      <c r="A822" s="63"/>
      <c r="B822" s="64"/>
      <c r="C822" s="65"/>
      <c r="D822" s="65"/>
    </row>
    <row r="823" ht="14.25" customHeight="1">
      <c r="A823" s="63"/>
      <c r="B823" s="64"/>
      <c r="C823" s="65"/>
      <c r="D823" s="65"/>
    </row>
    <row r="824" ht="14.25" customHeight="1">
      <c r="A824" s="63"/>
      <c r="B824" s="64"/>
      <c r="C824" s="65"/>
      <c r="D824" s="65"/>
    </row>
    <row r="825" ht="14.25" customHeight="1">
      <c r="A825" s="63"/>
      <c r="B825" s="64"/>
      <c r="C825" s="65"/>
      <c r="D825" s="65"/>
    </row>
    <row r="826" ht="14.25" customHeight="1">
      <c r="A826" s="63"/>
      <c r="B826" s="64"/>
      <c r="C826" s="65"/>
      <c r="D826" s="65"/>
    </row>
    <row r="827" ht="14.25" customHeight="1">
      <c r="A827" s="63"/>
      <c r="B827" s="64"/>
      <c r="C827" s="65"/>
      <c r="D827" s="65"/>
    </row>
    <row r="828" ht="14.25" customHeight="1">
      <c r="A828" s="63"/>
      <c r="B828" s="64"/>
      <c r="C828" s="65"/>
      <c r="D828" s="65"/>
    </row>
    <row r="829" ht="14.25" customHeight="1">
      <c r="A829" s="63"/>
      <c r="B829" s="64"/>
      <c r="C829" s="65"/>
      <c r="D829" s="65"/>
    </row>
    <row r="830" ht="14.25" customHeight="1">
      <c r="A830" s="63"/>
      <c r="B830" s="64"/>
      <c r="C830" s="65"/>
      <c r="D830" s="65"/>
    </row>
    <row r="831" ht="14.25" customHeight="1">
      <c r="A831" s="63"/>
      <c r="B831" s="64"/>
      <c r="C831" s="65"/>
      <c r="D831" s="65"/>
    </row>
    <row r="832" ht="14.25" customHeight="1">
      <c r="A832" s="63"/>
      <c r="B832" s="64"/>
      <c r="C832" s="65"/>
      <c r="D832" s="65"/>
    </row>
    <row r="833" ht="14.25" customHeight="1">
      <c r="A833" s="63"/>
      <c r="B833" s="64"/>
      <c r="C833" s="65"/>
      <c r="D833" s="65"/>
    </row>
    <row r="834" ht="14.25" customHeight="1">
      <c r="A834" s="63"/>
      <c r="B834" s="64"/>
      <c r="C834" s="65"/>
      <c r="D834" s="65"/>
    </row>
    <row r="835" ht="14.25" customHeight="1">
      <c r="A835" s="63"/>
      <c r="B835" s="64"/>
      <c r="C835" s="65"/>
      <c r="D835" s="65"/>
    </row>
    <row r="836" ht="14.25" customHeight="1">
      <c r="A836" s="63"/>
      <c r="B836" s="64"/>
      <c r="C836" s="65"/>
      <c r="D836" s="65"/>
    </row>
    <row r="837" ht="14.25" customHeight="1">
      <c r="A837" s="63"/>
      <c r="B837" s="64"/>
      <c r="C837" s="65"/>
      <c r="D837" s="65"/>
    </row>
    <row r="838" ht="14.25" customHeight="1">
      <c r="A838" s="63"/>
      <c r="B838" s="64"/>
      <c r="C838" s="65"/>
      <c r="D838" s="65"/>
    </row>
    <row r="839" ht="14.25" customHeight="1">
      <c r="A839" s="63"/>
      <c r="B839" s="64"/>
      <c r="C839" s="65"/>
      <c r="D839" s="65"/>
    </row>
    <row r="840" ht="14.25" customHeight="1">
      <c r="A840" s="63"/>
      <c r="B840" s="64"/>
      <c r="C840" s="65"/>
      <c r="D840" s="65"/>
    </row>
    <row r="841" ht="14.25" customHeight="1">
      <c r="A841" s="63"/>
      <c r="B841" s="64"/>
      <c r="C841" s="65"/>
      <c r="D841" s="65"/>
    </row>
    <row r="842" ht="14.25" customHeight="1">
      <c r="A842" s="63"/>
      <c r="B842" s="64"/>
      <c r="C842" s="65"/>
      <c r="D842" s="65"/>
    </row>
    <row r="843" ht="14.25" customHeight="1">
      <c r="A843" s="63"/>
      <c r="B843" s="64"/>
      <c r="C843" s="65"/>
      <c r="D843" s="65"/>
    </row>
    <row r="844" ht="14.25" customHeight="1">
      <c r="A844" s="63"/>
      <c r="B844" s="64"/>
      <c r="C844" s="65"/>
      <c r="D844" s="65"/>
    </row>
    <row r="845" ht="14.25" customHeight="1">
      <c r="A845" s="63"/>
      <c r="B845" s="64"/>
      <c r="C845" s="65"/>
      <c r="D845" s="65"/>
    </row>
    <row r="846" ht="14.25" customHeight="1">
      <c r="A846" s="63"/>
      <c r="B846" s="64"/>
      <c r="C846" s="65"/>
      <c r="D846" s="65"/>
    </row>
    <row r="847" ht="14.25" customHeight="1">
      <c r="A847" s="63"/>
      <c r="B847" s="64"/>
      <c r="C847" s="65"/>
      <c r="D847" s="65"/>
    </row>
    <row r="848" ht="14.25" customHeight="1">
      <c r="A848" s="63"/>
      <c r="B848" s="64"/>
      <c r="C848" s="65"/>
      <c r="D848" s="65"/>
    </row>
    <row r="849" ht="14.25" customHeight="1">
      <c r="A849" s="63"/>
      <c r="B849" s="64"/>
      <c r="C849" s="65"/>
      <c r="D849" s="65"/>
    </row>
    <row r="850" ht="14.25" customHeight="1">
      <c r="A850" s="63"/>
      <c r="B850" s="64"/>
      <c r="C850" s="65"/>
      <c r="D850" s="65"/>
    </row>
    <row r="851" ht="14.25" customHeight="1">
      <c r="A851" s="63"/>
      <c r="B851" s="64"/>
      <c r="C851" s="65"/>
      <c r="D851" s="65"/>
    </row>
    <row r="852" ht="14.25" customHeight="1">
      <c r="A852" s="63"/>
      <c r="B852" s="64"/>
      <c r="C852" s="65"/>
      <c r="D852" s="65"/>
    </row>
    <row r="853" ht="14.25" customHeight="1">
      <c r="A853" s="63"/>
      <c r="B853" s="64"/>
      <c r="C853" s="65"/>
      <c r="D853" s="65"/>
    </row>
    <row r="854" ht="14.25" customHeight="1">
      <c r="A854" s="63"/>
      <c r="B854" s="64"/>
      <c r="C854" s="65"/>
      <c r="D854" s="65"/>
    </row>
    <row r="855" ht="14.25" customHeight="1">
      <c r="A855" s="63"/>
      <c r="B855" s="64"/>
      <c r="C855" s="65"/>
      <c r="D855" s="65"/>
    </row>
    <row r="856" ht="14.25" customHeight="1">
      <c r="A856" s="63"/>
      <c r="B856" s="64"/>
      <c r="C856" s="65"/>
      <c r="D856" s="65"/>
    </row>
    <row r="857" ht="14.25" customHeight="1">
      <c r="A857" s="63"/>
      <c r="B857" s="64"/>
      <c r="C857" s="65"/>
      <c r="D857" s="65"/>
    </row>
    <row r="858" ht="14.25" customHeight="1">
      <c r="A858" s="63"/>
      <c r="B858" s="64"/>
      <c r="C858" s="65"/>
      <c r="D858" s="65"/>
    </row>
    <row r="859" ht="14.25" customHeight="1">
      <c r="A859" s="63"/>
      <c r="B859" s="64"/>
      <c r="C859" s="65"/>
      <c r="D859" s="65"/>
    </row>
    <row r="860" ht="14.25" customHeight="1">
      <c r="A860" s="63"/>
      <c r="B860" s="64"/>
      <c r="C860" s="65"/>
      <c r="D860" s="65"/>
    </row>
    <row r="861" ht="14.25" customHeight="1">
      <c r="A861" s="63"/>
      <c r="B861" s="64"/>
      <c r="C861" s="65"/>
      <c r="D861" s="65"/>
    </row>
    <row r="862" ht="14.25" customHeight="1">
      <c r="A862" s="63"/>
      <c r="B862" s="64"/>
      <c r="C862" s="65"/>
      <c r="D862" s="65"/>
    </row>
    <row r="863" ht="14.25" customHeight="1">
      <c r="A863" s="63"/>
      <c r="B863" s="64"/>
      <c r="C863" s="65"/>
      <c r="D863" s="65"/>
    </row>
    <row r="864" ht="14.25" customHeight="1">
      <c r="A864" s="63"/>
      <c r="B864" s="64"/>
      <c r="C864" s="65"/>
      <c r="D864" s="65"/>
    </row>
    <row r="865" ht="14.25" customHeight="1">
      <c r="A865" s="63"/>
      <c r="B865" s="64"/>
      <c r="C865" s="65"/>
      <c r="D865" s="65"/>
    </row>
    <row r="866" ht="14.25" customHeight="1">
      <c r="A866" s="63"/>
      <c r="B866" s="64"/>
      <c r="C866" s="65"/>
      <c r="D866" s="65"/>
    </row>
    <row r="867" ht="14.25" customHeight="1">
      <c r="A867" s="63"/>
      <c r="B867" s="64"/>
      <c r="C867" s="65"/>
      <c r="D867" s="65"/>
    </row>
    <row r="868" ht="14.25" customHeight="1">
      <c r="A868" s="63"/>
      <c r="B868" s="64"/>
      <c r="C868" s="65"/>
      <c r="D868" s="65"/>
    </row>
    <row r="869" ht="14.25" customHeight="1">
      <c r="A869" s="63"/>
      <c r="B869" s="64"/>
      <c r="C869" s="65"/>
      <c r="D869" s="65"/>
    </row>
    <row r="870" ht="14.25" customHeight="1">
      <c r="A870" s="63"/>
      <c r="B870" s="64"/>
      <c r="C870" s="65"/>
      <c r="D870" s="65"/>
    </row>
    <row r="871" ht="14.25" customHeight="1">
      <c r="A871" s="63"/>
      <c r="B871" s="64"/>
      <c r="C871" s="65"/>
      <c r="D871" s="65"/>
    </row>
    <row r="872" ht="14.25" customHeight="1">
      <c r="A872" s="63"/>
      <c r="B872" s="64"/>
      <c r="C872" s="65"/>
      <c r="D872" s="65"/>
    </row>
    <row r="873" ht="14.25" customHeight="1">
      <c r="A873" s="63"/>
      <c r="B873" s="64"/>
      <c r="C873" s="65"/>
      <c r="D873" s="65"/>
    </row>
    <row r="874" ht="14.25" customHeight="1">
      <c r="A874" s="63"/>
      <c r="B874" s="64"/>
      <c r="C874" s="65"/>
      <c r="D874" s="65"/>
    </row>
    <row r="875" ht="14.25" customHeight="1">
      <c r="A875" s="63"/>
      <c r="B875" s="64"/>
      <c r="C875" s="65"/>
      <c r="D875" s="65"/>
    </row>
    <row r="876" ht="14.25" customHeight="1">
      <c r="A876" s="63"/>
      <c r="B876" s="64"/>
      <c r="C876" s="65"/>
      <c r="D876" s="65"/>
    </row>
    <row r="877" ht="14.25" customHeight="1">
      <c r="A877" s="63"/>
      <c r="B877" s="64"/>
      <c r="C877" s="65"/>
      <c r="D877" s="65"/>
    </row>
    <row r="878" ht="14.25" customHeight="1">
      <c r="A878" s="63"/>
      <c r="B878" s="64"/>
      <c r="C878" s="65"/>
      <c r="D878" s="65"/>
    </row>
    <row r="879" ht="14.25" customHeight="1">
      <c r="A879" s="63"/>
      <c r="B879" s="64"/>
      <c r="C879" s="65"/>
      <c r="D879" s="65"/>
    </row>
    <row r="880" ht="14.25" customHeight="1">
      <c r="A880" s="63"/>
      <c r="B880" s="64"/>
      <c r="C880" s="65"/>
      <c r="D880" s="65"/>
    </row>
    <row r="881" ht="14.25" customHeight="1">
      <c r="A881" s="63"/>
      <c r="B881" s="64"/>
      <c r="C881" s="65"/>
      <c r="D881" s="65"/>
    </row>
    <row r="882" ht="14.25" customHeight="1">
      <c r="A882" s="63"/>
      <c r="B882" s="64"/>
      <c r="C882" s="65"/>
      <c r="D882" s="65"/>
    </row>
    <row r="883" ht="14.25" customHeight="1">
      <c r="A883" s="63"/>
      <c r="B883" s="64"/>
      <c r="C883" s="65"/>
      <c r="D883" s="65"/>
    </row>
    <row r="884" ht="14.25" customHeight="1">
      <c r="A884" s="63"/>
      <c r="B884" s="64"/>
      <c r="C884" s="65"/>
      <c r="D884" s="65"/>
    </row>
    <row r="885" ht="14.25" customHeight="1">
      <c r="A885" s="63"/>
      <c r="B885" s="64"/>
      <c r="C885" s="65"/>
      <c r="D885" s="65"/>
    </row>
    <row r="886" ht="14.25" customHeight="1">
      <c r="A886" s="63"/>
      <c r="B886" s="64"/>
      <c r="C886" s="65"/>
      <c r="D886" s="65"/>
    </row>
    <row r="887" ht="14.25" customHeight="1">
      <c r="A887" s="63"/>
      <c r="B887" s="64"/>
      <c r="C887" s="65"/>
      <c r="D887" s="65"/>
    </row>
    <row r="888" ht="14.25" customHeight="1">
      <c r="A888" s="63"/>
      <c r="B888" s="64"/>
      <c r="C888" s="65"/>
      <c r="D888" s="65"/>
    </row>
    <row r="889" ht="14.25" customHeight="1">
      <c r="A889" s="63"/>
      <c r="B889" s="64"/>
      <c r="C889" s="65"/>
      <c r="D889" s="65"/>
    </row>
    <row r="890" ht="14.25" customHeight="1">
      <c r="A890" s="63"/>
      <c r="B890" s="64"/>
      <c r="C890" s="65"/>
      <c r="D890" s="65"/>
    </row>
    <row r="891" ht="14.25" customHeight="1">
      <c r="A891" s="63"/>
      <c r="B891" s="64"/>
      <c r="C891" s="65"/>
      <c r="D891" s="65"/>
    </row>
    <row r="892" ht="14.25" customHeight="1">
      <c r="A892" s="63"/>
      <c r="B892" s="64"/>
      <c r="C892" s="65"/>
      <c r="D892" s="65"/>
    </row>
    <row r="893" ht="14.25" customHeight="1">
      <c r="A893" s="63"/>
      <c r="B893" s="64"/>
      <c r="C893" s="65"/>
      <c r="D893" s="65"/>
    </row>
    <row r="894" ht="14.25" customHeight="1">
      <c r="A894" s="63"/>
      <c r="B894" s="64"/>
      <c r="C894" s="65"/>
      <c r="D894" s="65"/>
    </row>
    <row r="895" ht="14.25" customHeight="1">
      <c r="A895" s="63"/>
      <c r="B895" s="64"/>
      <c r="C895" s="65"/>
      <c r="D895" s="65"/>
    </row>
    <row r="896" ht="14.25" customHeight="1">
      <c r="A896" s="63"/>
      <c r="B896" s="64"/>
      <c r="C896" s="65"/>
      <c r="D896" s="65"/>
    </row>
    <row r="897" ht="14.25" customHeight="1">
      <c r="A897" s="63"/>
      <c r="B897" s="64"/>
      <c r="C897" s="65"/>
      <c r="D897" s="65"/>
    </row>
    <row r="898" ht="14.25" customHeight="1">
      <c r="A898" s="63"/>
      <c r="B898" s="64"/>
      <c r="C898" s="65"/>
      <c r="D898" s="65"/>
    </row>
    <row r="899" ht="14.25" customHeight="1">
      <c r="A899" s="63"/>
      <c r="B899" s="64"/>
      <c r="C899" s="65"/>
      <c r="D899" s="65"/>
    </row>
    <row r="900" ht="14.25" customHeight="1">
      <c r="A900" s="63"/>
      <c r="B900" s="64"/>
      <c r="C900" s="65"/>
      <c r="D900" s="65"/>
    </row>
    <row r="901" ht="14.25" customHeight="1">
      <c r="A901" s="63"/>
      <c r="B901" s="64"/>
      <c r="C901" s="65"/>
      <c r="D901" s="65"/>
    </row>
    <row r="902" ht="14.25" customHeight="1">
      <c r="A902" s="63"/>
      <c r="B902" s="64"/>
      <c r="C902" s="65"/>
      <c r="D902" s="65"/>
    </row>
    <row r="903" ht="14.25" customHeight="1">
      <c r="A903" s="63"/>
      <c r="B903" s="64"/>
      <c r="C903" s="65"/>
      <c r="D903" s="65"/>
    </row>
    <row r="904" ht="14.25" customHeight="1">
      <c r="A904" s="63"/>
      <c r="B904" s="64"/>
      <c r="C904" s="65"/>
      <c r="D904" s="65"/>
    </row>
    <row r="905" ht="14.25" customHeight="1">
      <c r="A905" s="63"/>
      <c r="B905" s="64"/>
      <c r="C905" s="65"/>
      <c r="D905" s="65"/>
    </row>
    <row r="906" ht="14.25" customHeight="1">
      <c r="A906" s="63"/>
      <c r="B906" s="64"/>
      <c r="C906" s="65"/>
      <c r="D906" s="65"/>
    </row>
    <row r="907" ht="14.25" customHeight="1">
      <c r="A907" s="63"/>
      <c r="B907" s="64"/>
      <c r="C907" s="65"/>
      <c r="D907" s="65"/>
    </row>
    <row r="908" ht="14.25" customHeight="1">
      <c r="A908" s="63"/>
      <c r="B908" s="64"/>
      <c r="C908" s="65"/>
      <c r="D908" s="65"/>
    </row>
    <row r="909" ht="14.25" customHeight="1">
      <c r="A909" s="63"/>
      <c r="B909" s="64"/>
      <c r="C909" s="65"/>
      <c r="D909" s="65"/>
    </row>
    <row r="910" ht="14.25" customHeight="1">
      <c r="A910" s="63"/>
      <c r="B910" s="64"/>
      <c r="C910" s="65"/>
      <c r="D910" s="65"/>
    </row>
    <row r="911" ht="14.25" customHeight="1">
      <c r="A911" s="63"/>
      <c r="B911" s="64"/>
      <c r="C911" s="65"/>
      <c r="D911" s="65"/>
    </row>
    <row r="912" ht="14.25" customHeight="1">
      <c r="A912" s="63"/>
      <c r="B912" s="64"/>
      <c r="C912" s="65"/>
      <c r="D912" s="65"/>
    </row>
    <row r="913" ht="14.25" customHeight="1">
      <c r="A913" s="63"/>
      <c r="B913" s="64"/>
      <c r="C913" s="65"/>
      <c r="D913" s="65"/>
    </row>
    <row r="914" ht="14.25" customHeight="1">
      <c r="A914" s="63"/>
      <c r="B914" s="64"/>
      <c r="C914" s="65"/>
      <c r="D914" s="65"/>
    </row>
    <row r="915" ht="14.25" customHeight="1">
      <c r="A915" s="63"/>
      <c r="B915" s="64"/>
      <c r="C915" s="65"/>
      <c r="D915" s="65"/>
    </row>
    <row r="916" ht="14.25" customHeight="1">
      <c r="A916" s="63"/>
      <c r="B916" s="64"/>
      <c r="C916" s="65"/>
      <c r="D916" s="65"/>
    </row>
    <row r="917" ht="14.25" customHeight="1">
      <c r="A917" s="63"/>
      <c r="B917" s="64"/>
      <c r="C917" s="65"/>
      <c r="D917" s="65"/>
    </row>
    <row r="918" ht="14.25" customHeight="1">
      <c r="A918" s="63"/>
      <c r="B918" s="64"/>
      <c r="C918" s="65"/>
      <c r="D918" s="65"/>
    </row>
    <row r="919" ht="14.25" customHeight="1">
      <c r="A919" s="63"/>
      <c r="B919" s="64"/>
      <c r="C919" s="65"/>
      <c r="D919" s="65"/>
    </row>
    <row r="920" ht="14.25" customHeight="1">
      <c r="A920" s="63"/>
      <c r="B920" s="64"/>
      <c r="C920" s="65"/>
      <c r="D920" s="65"/>
    </row>
    <row r="921" ht="14.25" customHeight="1">
      <c r="A921" s="63"/>
      <c r="B921" s="64"/>
      <c r="C921" s="65"/>
      <c r="D921" s="65"/>
    </row>
    <row r="922" ht="14.25" customHeight="1">
      <c r="A922" s="63"/>
      <c r="B922" s="64"/>
      <c r="C922" s="65"/>
      <c r="D922" s="65"/>
    </row>
    <row r="923" ht="14.25" customHeight="1">
      <c r="A923" s="63"/>
      <c r="B923" s="64"/>
      <c r="C923" s="65"/>
      <c r="D923" s="65"/>
    </row>
    <row r="924" ht="14.25" customHeight="1">
      <c r="A924" s="63"/>
      <c r="B924" s="64"/>
      <c r="C924" s="65"/>
      <c r="D924" s="65"/>
    </row>
    <row r="925" ht="14.25" customHeight="1">
      <c r="A925" s="63"/>
      <c r="B925" s="64"/>
      <c r="C925" s="65"/>
      <c r="D925" s="65"/>
    </row>
    <row r="926" ht="14.25" customHeight="1">
      <c r="A926" s="63"/>
      <c r="B926" s="64"/>
      <c r="C926" s="65"/>
      <c r="D926" s="65"/>
    </row>
    <row r="927" ht="14.25" customHeight="1">
      <c r="A927" s="63"/>
      <c r="B927" s="64"/>
      <c r="C927" s="65"/>
      <c r="D927" s="65"/>
    </row>
    <row r="928" ht="14.25" customHeight="1">
      <c r="A928" s="63"/>
      <c r="B928" s="64"/>
      <c r="C928" s="65"/>
      <c r="D928" s="65"/>
    </row>
    <row r="929" ht="14.25" customHeight="1">
      <c r="A929" s="63"/>
      <c r="B929" s="64"/>
      <c r="C929" s="65"/>
      <c r="D929" s="65"/>
    </row>
    <row r="930" ht="14.25" customHeight="1">
      <c r="A930" s="63"/>
      <c r="B930" s="64"/>
      <c r="C930" s="65"/>
      <c r="D930" s="65"/>
    </row>
    <row r="931" ht="14.25" customHeight="1">
      <c r="A931" s="63"/>
      <c r="B931" s="64"/>
      <c r="C931" s="65"/>
      <c r="D931" s="65"/>
    </row>
    <row r="932" ht="14.25" customHeight="1">
      <c r="A932" s="63"/>
      <c r="B932" s="64"/>
      <c r="C932" s="65"/>
      <c r="D932" s="65"/>
    </row>
    <row r="933" ht="14.25" customHeight="1">
      <c r="A933" s="63"/>
      <c r="B933" s="64"/>
      <c r="C933" s="65"/>
      <c r="D933" s="65"/>
    </row>
    <row r="934" ht="14.25" customHeight="1">
      <c r="A934" s="63"/>
      <c r="B934" s="64"/>
      <c r="C934" s="65"/>
      <c r="D934" s="65"/>
    </row>
    <row r="935" ht="14.25" customHeight="1">
      <c r="A935" s="63"/>
      <c r="B935" s="64"/>
      <c r="C935" s="65"/>
      <c r="D935" s="65"/>
    </row>
    <row r="936" ht="14.25" customHeight="1">
      <c r="A936" s="63"/>
      <c r="B936" s="64"/>
      <c r="C936" s="65"/>
      <c r="D936" s="65"/>
    </row>
    <row r="937" ht="14.25" customHeight="1">
      <c r="A937" s="63"/>
      <c r="B937" s="64"/>
      <c r="C937" s="65"/>
      <c r="D937" s="65"/>
    </row>
    <row r="938" ht="14.25" customHeight="1">
      <c r="A938" s="63"/>
      <c r="B938" s="64"/>
      <c r="C938" s="65"/>
      <c r="D938" s="65"/>
    </row>
    <row r="939" ht="14.25" customHeight="1">
      <c r="A939" s="63"/>
      <c r="B939" s="64"/>
      <c r="C939" s="65"/>
      <c r="D939" s="65"/>
    </row>
    <row r="940" ht="14.25" customHeight="1">
      <c r="A940" s="63"/>
      <c r="B940" s="64"/>
      <c r="C940" s="65"/>
      <c r="D940" s="65"/>
    </row>
    <row r="941" ht="14.25" customHeight="1">
      <c r="A941" s="63"/>
      <c r="B941" s="64"/>
      <c r="C941" s="65"/>
      <c r="D941" s="65"/>
    </row>
    <row r="942" ht="14.25" customHeight="1">
      <c r="A942" s="63"/>
      <c r="B942" s="64"/>
      <c r="C942" s="65"/>
      <c r="D942" s="65"/>
    </row>
    <row r="943" ht="14.25" customHeight="1">
      <c r="A943" s="63"/>
      <c r="B943" s="64"/>
      <c r="C943" s="65"/>
      <c r="D943" s="65"/>
    </row>
    <row r="944" ht="14.25" customHeight="1">
      <c r="A944" s="63"/>
      <c r="B944" s="64"/>
      <c r="C944" s="65"/>
      <c r="D944" s="65"/>
    </row>
    <row r="945" ht="14.25" customHeight="1">
      <c r="A945" s="63"/>
      <c r="B945" s="64"/>
      <c r="C945" s="65"/>
      <c r="D945" s="65"/>
    </row>
    <row r="946" ht="14.25" customHeight="1">
      <c r="A946" s="63"/>
      <c r="B946" s="64"/>
      <c r="C946" s="65"/>
      <c r="D946" s="65"/>
    </row>
    <row r="947" ht="14.25" customHeight="1">
      <c r="A947" s="63"/>
      <c r="B947" s="64"/>
      <c r="C947" s="65"/>
      <c r="D947" s="65"/>
    </row>
    <row r="948" ht="14.25" customHeight="1">
      <c r="A948" s="63"/>
      <c r="B948" s="64"/>
      <c r="C948" s="65"/>
      <c r="D948" s="65"/>
    </row>
    <row r="949" ht="14.25" customHeight="1">
      <c r="A949" s="63"/>
      <c r="B949" s="64"/>
      <c r="C949" s="65"/>
      <c r="D949" s="65"/>
    </row>
    <row r="950" ht="14.25" customHeight="1">
      <c r="A950" s="63"/>
      <c r="B950" s="64"/>
      <c r="C950" s="65"/>
      <c r="D950" s="65"/>
    </row>
    <row r="951" ht="14.25" customHeight="1">
      <c r="A951" s="63"/>
      <c r="B951" s="64"/>
      <c r="C951" s="65"/>
      <c r="D951" s="65"/>
    </row>
    <row r="952" ht="14.25" customHeight="1">
      <c r="A952" s="63"/>
      <c r="B952" s="64"/>
      <c r="C952" s="65"/>
      <c r="D952" s="65"/>
    </row>
    <row r="953" ht="14.25" customHeight="1">
      <c r="A953" s="63"/>
      <c r="B953" s="64"/>
      <c r="C953" s="65"/>
      <c r="D953" s="65"/>
    </row>
    <row r="954" ht="14.25" customHeight="1">
      <c r="A954" s="63"/>
      <c r="B954" s="64"/>
      <c r="C954" s="65"/>
      <c r="D954" s="65"/>
    </row>
    <row r="955" ht="14.25" customHeight="1">
      <c r="A955" s="63"/>
      <c r="B955" s="64"/>
      <c r="C955" s="65"/>
      <c r="D955" s="65"/>
    </row>
    <row r="956" ht="14.25" customHeight="1">
      <c r="A956" s="63"/>
      <c r="B956" s="64"/>
      <c r="C956" s="65"/>
      <c r="D956" s="65"/>
    </row>
    <row r="957" ht="14.25" customHeight="1">
      <c r="A957" s="63"/>
      <c r="B957" s="64"/>
      <c r="C957" s="65"/>
      <c r="D957" s="65"/>
    </row>
    <row r="958" ht="14.25" customHeight="1">
      <c r="A958" s="63"/>
      <c r="B958" s="64"/>
      <c r="C958" s="65"/>
      <c r="D958" s="65"/>
    </row>
    <row r="959" ht="14.25" customHeight="1">
      <c r="A959" s="63"/>
      <c r="B959" s="64"/>
      <c r="C959" s="65"/>
      <c r="D959" s="65"/>
    </row>
    <row r="960" ht="14.25" customHeight="1">
      <c r="A960" s="63"/>
      <c r="B960" s="64"/>
      <c r="C960" s="65"/>
      <c r="D960" s="65"/>
    </row>
    <row r="961" ht="14.25" customHeight="1">
      <c r="A961" s="63"/>
      <c r="B961" s="64"/>
      <c r="C961" s="65"/>
      <c r="D961" s="65"/>
    </row>
    <row r="962" ht="14.25" customHeight="1">
      <c r="A962" s="63"/>
      <c r="B962" s="64"/>
      <c r="C962" s="65"/>
      <c r="D962" s="65"/>
    </row>
    <row r="963" ht="14.25" customHeight="1">
      <c r="A963" s="63"/>
      <c r="B963" s="64"/>
      <c r="C963" s="65"/>
      <c r="D963" s="65"/>
    </row>
    <row r="964" ht="14.25" customHeight="1">
      <c r="A964" s="63"/>
      <c r="B964" s="64"/>
      <c r="C964" s="65"/>
      <c r="D964" s="65"/>
    </row>
    <row r="965" ht="14.25" customHeight="1">
      <c r="A965" s="63"/>
      <c r="B965" s="64"/>
      <c r="C965" s="65"/>
      <c r="D965" s="65"/>
    </row>
    <row r="966" ht="14.25" customHeight="1">
      <c r="A966" s="63"/>
      <c r="B966" s="64"/>
      <c r="C966" s="65"/>
      <c r="D966" s="65"/>
    </row>
    <row r="967" ht="14.25" customHeight="1">
      <c r="A967" s="63"/>
      <c r="B967" s="64"/>
      <c r="C967" s="65"/>
      <c r="D967" s="65"/>
    </row>
    <row r="968" ht="14.25" customHeight="1">
      <c r="A968" s="63"/>
      <c r="B968" s="64"/>
      <c r="C968" s="65"/>
      <c r="D968" s="65"/>
    </row>
    <row r="969" ht="14.25" customHeight="1">
      <c r="A969" s="63"/>
      <c r="B969" s="64"/>
      <c r="C969" s="65"/>
      <c r="D969" s="65"/>
    </row>
    <row r="970" ht="14.25" customHeight="1">
      <c r="A970" s="63"/>
      <c r="B970" s="64"/>
      <c r="C970" s="65"/>
      <c r="D970" s="65"/>
    </row>
    <row r="971" ht="14.25" customHeight="1">
      <c r="A971" s="63"/>
      <c r="B971" s="64"/>
      <c r="C971" s="65"/>
      <c r="D971" s="65"/>
    </row>
    <row r="972" ht="14.25" customHeight="1">
      <c r="A972" s="63"/>
      <c r="B972" s="64"/>
      <c r="C972" s="65"/>
      <c r="D972" s="65"/>
    </row>
    <row r="973" ht="14.25" customHeight="1">
      <c r="A973" s="63"/>
      <c r="B973" s="64"/>
      <c r="C973" s="65"/>
      <c r="D973" s="65"/>
    </row>
    <row r="974" ht="14.25" customHeight="1">
      <c r="A974" s="63"/>
      <c r="B974" s="64"/>
      <c r="C974" s="65"/>
      <c r="D974" s="65"/>
    </row>
    <row r="975" ht="14.25" customHeight="1">
      <c r="A975" s="63"/>
      <c r="B975" s="64"/>
      <c r="C975" s="65"/>
      <c r="D975" s="65"/>
    </row>
    <row r="976" ht="14.25" customHeight="1">
      <c r="A976" s="63"/>
      <c r="B976" s="64"/>
      <c r="C976" s="65"/>
      <c r="D976" s="65"/>
    </row>
    <row r="977" ht="14.25" customHeight="1">
      <c r="A977" s="63"/>
      <c r="B977" s="64"/>
      <c r="C977" s="65"/>
      <c r="D977" s="65"/>
    </row>
    <row r="978" ht="14.25" customHeight="1">
      <c r="A978" s="63"/>
      <c r="B978" s="64"/>
      <c r="C978" s="65"/>
      <c r="D978" s="65"/>
    </row>
    <row r="979" ht="14.25" customHeight="1">
      <c r="A979" s="63"/>
      <c r="B979" s="64"/>
      <c r="C979" s="65"/>
      <c r="D979" s="65"/>
    </row>
    <row r="980" ht="14.25" customHeight="1">
      <c r="A980" s="63"/>
      <c r="B980" s="64"/>
      <c r="C980" s="65"/>
      <c r="D980" s="65"/>
    </row>
    <row r="981" ht="14.25" customHeight="1">
      <c r="A981" s="63"/>
      <c r="B981" s="64"/>
      <c r="C981" s="65"/>
      <c r="D981" s="65"/>
    </row>
    <row r="982" ht="14.25" customHeight="1">
      <c r="A982" s="63"/>
      <c r="B982" s="64"/>
      <c r="C982" s="65"/>
      <c r="D982" s="65"/>
    </row>
    <row r="983" ht="14.25" customHeight="1">
      <c r="A983" s="63"/>
      <c r="B983" s="64"/>
      <c r="C983" s="65"/>
      <c r="D983" s="65"/>
    </row>
    <row r="984" ht="14.25" customHeight="1">
      <c r="A984" s="63"/>
      <c r="B984" s="64"/>
      <c r="C984" s="65"/>
      <c r="D984" s="65"/>
    </row>
    <row r="985" ht="14.25" customHeight="1">
      <c r="A985" s="63"/>
      <c r="B985" s="64"/>
      <c r="C985" s="65"/>
      <c r="D985" s="65"/>
    </row>
    <row r="986" ht="14.25" customHeight="1">
      <c r="A986" s="63"/>
      <c r="B986" s="64"/>
      <c r="C986" s="65"/>
      <c r="D986" s="65"/>
    </row>
    <row r="987" ht="14.25" customHeight="1">
      <c r="A987" s="63"/>
      <c r="B987" s="64"/>
      <c r="C987" s="65"/>
      <c r="D987" s="65"/>
    </row>
    <row r="988" ht="14.25" customHeight="1">
      <c r="A988" s="63"/>
      <c r="B988" s="64"/>
      <c r="C988" s="65"/>
      <c r="D988" s="65"/>
    </row>
    <row r="989" ht="14.25" customHeight="1">
      <c r="A989" s="63"/>
      <c r="B989" s="64"/>
      <c r="C989" s="65"/>
      <c r="D989" s="65"/>
    </row>
    <row r="990" ht="14.25" customHeight="1">
      <c r="A990" s="63"/>
      <c r="B990" s="64"/>
      <c r="C990" s="65"/>
      <c r="D990" s="65"/>
    </row>
    <row r="991" ht="14.25" customHeight="1">
      <c r="A991" s="63"/>
      <c r="B991" s="64"/>
      <c r="C991" s="65"/>
      <c r="D991" s="65"/>
    </row>
    <row r="992" ht="14.25" customHeight="1">
      <c r="A992" s="63"/>
      <c r="B992" s="64"/>
      <c r="C992" s="65"/>
      <c r="D992" s="65"/>
    </row>
    <row r="993" ht="14.25" customHeight="1">
      <c r="A993" s="63"/>
      <c r="B993" s="64"/>
      <c r="C993" s="65"/>
      <c r="D993" s="65"/>
    </row>
    <row r="994" ht="14.25" customHeight="1">
      <c r="A994" s="63"/>
      <c r="B994" s="64"/>
      <c r="C994" s="65"/>
      <c r="D994" s="65"/>
    </row>
    <row r="995" ht="14.25" customHeight="1">
      <c r="A995" s="63"/>
      <c r="B995" s="64"/>
      <c r="C995" s="65"/>
      <c r="D995" s="65"/>
    </row>
    <row r="996" ht="14.25" customHeight="1">
      <c r="A996" s="63"/>
      <c r="B996" s="64"/>
      <c r="C996" s="65"/>
      <c r="D996" s="65"/>
    </row>
    <row r="997" ht="14.25" customHeight="1">
      <c r="A997" s="63"/>
      <c r="B997" s="64"/>
      <c r="C997" s="65"/>
      <c r="D997" s="65"/>
    </row>
    <row r="998" ht="14.25" customHeight="1">
      <c r="A998" s="63"/>
      <c r="B998" s="64"/>
      <c r="C998" s="65"/>
      <c r="D998" s="65"/>
    </row>
    <row r="999" ht="14.25" customHeight="1">
      <c r="A999" s="63"/>
      <c r="B999" s="64"/>
      <c r="C999" s="65"/>
      <c r="D999" s="65"/>
    </row>
    <row r="1000" ht="14.25" customHeight="1">
      <c r="A1000" s="63"/>
      <c r="B1000" s="64"/>
      <c r="C1000" s="65"/>
      <c r="D1000" s="65"/>
    </row>
    <row r="1001" ht="14.25" customHeight="1">
      <c r="A1001" s="63"/>
      <c r="B1001" s="64"/>
      <c r="C1001" s="65"/>
      <c r="D1001" s="65"/>
    </row>
    <row r="1002" ht="14.25" customHeight="1">
      <c r="A1002" s="63"/>
      <c r="B1002" s="64"/>
      <c r="C1002" s="65"/>
      <c r="D1002" s="65"/>
    </row>
    <row r="1003" ht="14.25" customHeight="1">
      <c r="A1003" s="63"/>
      <c r="B1003" s="64"/>
      <c r="C1003" s="65"/>
      <c r="D1003" s="65"/>
    </row>
    <row r="1004" ht="14.25" customHeight="1">
      <c r="A1004" s="63"/>
      <c r="B1004" s="64"/>
      <c r="C1004" s="65"/>
      <c r="D1004" s="65"/>
    </row>
    <row r="1005" ht="14.25" customHeight="1">
      <c r="A1005" s="63"/>
      <c r="B1005" s="64"/>
      <c r="C1005" s="65"/>
      <c r="D1005" s="65"/>
    </row>
    <row r="1006" ht="14.25" customHeight="1">
      <c r="A1006" s="63"/>
      <c r="B1006" s="64"/>
      <c r="C1006" s="65"/>
      <c r="D1006" s="65"/>
    </row>
    <row r="1007" ht="14.25" customHeight="1">
      <c r="A1007" s="63"/>
      <c r="B1007" s="64"/>
      <c r="C1007" s="65"/>
      <c r="D1007" s="65"/>
    </row>
    <row r="1008" ht="14.25" customHeight="1">
      <c r="A1008" s="63"/>
      <c r="B1008" s="64"/>
      <c r="C1008" s="65"/>
      <c r="D1008" s="65"/>
    </row>
    <row r="1009" ht="14.25" customHeight="1">
      <c r="A1009" s="63"/>
      <c r="B1009" s="64"/>
      <c r="C1009" s="65"/>
      <c r="D1009" s="65"/>
    </row>
    <row r="1010" ht="14.25" customHeight="1">
      <c r="A1010" s="63"/>
      <c r="B1010" s="64"/>
      <c r="C1010" s="65"/>
      <c r="D1010" s="65"/>
    </row>
    <row r="1011" ht="14.25" customHeight="1">
      <c r="A1011" s="63"/>
      <c r="B1011" s="64"/>
      <c r="C1011" s="65"/>
      <c r="D1011" s="65"/>
    </row>
    <row r="1012" ht="14.25" customHeight="1">
      <c r="A1012" s="63"/>
      <c r="B1012" s="64"/>
      <c r="C1012" s="65"/>
      <c r="D1012" s="65"/>
    </row>
    <row r="1013" ht="14.25" customHeight="1">
      <c r="A1013" s="63"/>
      <c r="B1013" s="64"/>
      <c r="C1013" s="65"/>
      <c r="D1013" s="65"/>
    </row>
    <row r="1014" ht="14.25" customHeight="1">
      <c r="A1014" s="63"/>
      <c r="B1014" s="64"/>
      <c r="C1014" s="65"/>
      <c r="D1014" s="65"/>
    </row>
    <row r="1015" ht="14.25" customHeight="1">
      <c r="A1015" s="63"/>
      <c r="B1015" s="64"/>
      <c r="C1015" s="65"/>
      <c r="D1015" s="65"/>
    </row>
    <row r="1016" ht="14.25" customHeight="1">
      <c r="A1016" s="63"/>
      <c r="B1016" s="64"/>
      <c r="C1016" s="65"/>
      <c r="D1016" s="65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25.71"/>
    <col customWidth="1" min="3" max="3" width="12.14"/>
    <col customWidth="1" min="4" max="4" width="12.86"/>
    <col customWidth="1" min="5" max="20" width="8.86"/>
  </cols>
  <sheetData>
    <row r="1" ht="14.25" customHeight="1">
      <c r="A1" s="66" t="s">
        <v>0</v>
      </c>
      <c r="B1" s="67" t="s">
        <v>1</v>
      </c>
      <c r="C1" s="68" t="s">
        <v>371</v>
      </c>
      <c r="D1" s="68" t="s">
        <v>372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ht="14.25" customHeight="1">
      <c r="A2" s="46">
        <v>10101.0</v>
      </c>
      <c r="B2" s="47" t="s">
        <v>11</v>
      </c>
      <c r="C2" s="69">
        <v>40590.0</v>
      </c>
      <c r="D2" s="69">
        <v>10544.0</v>
      </c>
    </row>
    <row r="3" ht="14.25" customHeight="1">
      <c r="A3" s="46">
        <v>10102.0</v>
      </c>
      <c r="B3" s="47" t="s">
        <v>13</v>
      </c>
      <c r="C3" s="69">
        <v>2979.0</v>
      </c>
      <c r="D3" s="69">
        <v>702.0</v>
      </c>
    </row>
    <row r="4" ht="14.25" customHeight="1">
      <c r="A4" s="46">
        <v>10103.0</v>
      </c>
      <c r="B4" s="47" t="s">
        <v>15</v>
      </c>
      <c r="C4" s="69">
        <v>15252.0</v>
      </c>
      <c r="D4" s="69">
        <v>7304.0</v>
      </c>
    </row>
    <row r="5" ht="14.25" customHeight="1">
      <c r="A5" s="46">
        <v>10201.0</v>
      </c>
      <c r="B5" s="47" t="s">
        <v>17</v>
      </c>
      <c r="C5" s="69">
        <v>8894.0</v>
      </c>
      <c r="D5" s="69">
        <v>3490.0</v>
      </c>
    </row>
    <row r="6" ht="14.25" customHeight="1">
      <c r="A6" s="46">
        <v>10202.0</v>
      </c>
      <c r="B6" s="47" t="s">
        <v>19</v>
      </c>
      <c r="C6" s="69">
        <v>11385.0</v>
      </c>
      <c r="D6" s="69">
        <v>5476.0</v>
      </c>
    </row>
    <row r="7" ht="14.25" customHeight="1">
      <c r="A7" s="46">
        <v>10301.0</v>
      </c>
      <c r="B7" s="47" t="s">
        <v>21</v>
      </c>
      <c r="C7" s="69">
        <v>6652.0</v>
      </c>
      <c r="D7" s="69">
        <v>2898.0</v>
      </c>
    </row>
    <row r="8" ht="14.25" customHeight="1">
      <c r="A8" s="46">
        <v>10302.0</v>
      </c>
      <c r="B8" s="47" t="s">
        <v>23</v>
      </c>
      <c r="C8" s="69">
        <v>9286.0</v>
      </c>
      <c r="D8" s="69">
        <v>4027.0</v>
      </c>
    </row>
    <row r="9" ht="14.25" customHeight="1">
      <c r="A9" s="46">
        <v>10303.0</v>
      </c>
      <c r="B9" s="47" t="s">
        <v>25</v>
      </c>
      <c r="C9" s="69">
        <v>5285.0</v>
      </c>
      <c r="D9" s="69">
        <v>1743.0</v>
      </c>
    </row>
    <row r="10" ht="14.25" customHeight="1">
      <c r="A10" s="46">
        <v>10304.0</v>
      </c>
      <c r="B10" s="47" t="s">
        <v>27</v>
      </c>
      <c r="C10" s="69">
        <v>4566.0</v>
      </c>
      <c r="D10" s="69">
        <v>2488.0</v>
      </c>
    </row>
    <row r="11" ht="14.25" customHeight="1">
      <c r="A11" s="46">
        <v>10401.0</v>
      </c>
      <c r="B11" s="47" t="s">
        <v>29</v>
      </c>
      <c r="C11" s="69">
        <v>6078.0</v>
      </c>
      <c r="D11" s="69">
        <v>1573.0</v>
      </c>
    </row>
    <row r="12" ht="14.25" customHeight="1">
      <c r="A12" s="46">
        <v>10402.0</v>
      </c>
      <c r="B12" s="47" t="s">
        <v>31</v>
      </c>
      <c r="C12" s="69">
        <v>5435.0</v>
      </c>
      <c r="D12" s="69">
        <v>1413.0</v>
      </c>
    </row>
    <row r="13" ht="14.25" customHeight="1">
      <c r="A13" s="46">
        <v>10403.0</v>
      </c>
      <c r="B13" s="47" t="s">
        <v>33</v>
      </c>
      <c r="C13" s="69">
        <v>4974.0</v>
      </c>
      <c r="D13" s="69">
        <v>2510.0</v>
      </c>
    </row>
    <row r="14" ht="14.25" customHeight="1">
      <c r="A14" s="46">
        <v>10404.0</v>
      </c>
      <c r="B14" s="47" t="s">
        <v>34</v>
      </c>
      <c r="C14" s="69">
        <v>2793.0</v>
      </c>
      <c r="D14" s="69">
        <v>346.0</v>
      </c>
    </row>
    <row r="15" ht="14.25" customHeight="1">
      <c r="A15" s="46">
        <v>10405.0</v>
      </c>
      <c r="B15" s="47" t="s">
        <v>35</v>
      </c>
      <c r="C15" s="69">
        <v>2937.0</v>
      </c>
      <c r="D15" s="69">
        <v>1288.0</v>
      </c>
    </row>
    <row r="16" ht="14.25" customHeight="1">
      <c r="A16" s="46">
        <v>10501.0</v>
      </c>
      <c r="B16" s="47" t="s">
        <v>36</v>
      </c>
      <c r="C16" s="69">
        <v>10129.0</v>
      </c>
      <c r="D16" s="69">
        <v>2692.0</v>
      </c>
    </row>
    <row r="17" ht="14.25" customHeight="1">
      <c r="A17" s="46">
        <v>10502.0</v>
      </c>
      <c r="B17" s="47" t="s">
        <v>38</v>
      </c>
      <c r="C17" s="69">
        <v>5503.0</v>
      </c>
      <c r="D17" s="69">
        <v>1326.0</v>
      </c>
    </row>
    <row r="18" ht="14.25" customHeight="1">
      <c r="A18" s="46">
        <v>10601.0</v>
      </c>
      <c r="B18" s="47" t="s">
        <v>40</v>
      </c>
      <c r="C18" s="69">
        <v>11482.0</v>
      </c>
      <c r="D18" s="69">
        <v>3094.0</v>
      </c>
    </row>
    <row r="19" ht="14.25" customHeight="1">
      <c r="A19" s="46">
        <v>10602.0</v>
      </c>
      <c r="B19" s="47" t="s">
        <v>42</v>
      </c>
      <c r="C19" s="69">
        <v>6261.0</v>
      </c>
      <c r="D19" s="69">
        <v>1569.0</v>
      </c>
    </row>
    <row r="20" ht="14.25" customHeight="1">
      <c r="A20" s="46">
        <v>10701.0</v>
      </c>
      <c r="B20" s="47" t="s">
        <v>44</v>
      </c>
      <c r="C20" s="69">
        <v>6222.0</v>
      </c>
      <c r="D20" s="69">
        <v>1705.0</v>
      </c>
    </row>
    <row r="21" ht="14.25" customHeight="1">
      <c r="A21" s="46">
        <v>10702.0</v>
      </c>
      <c r="B21" s="47" t="s">
        <v>45</v>
      </c>
      <c r="C21" s="69">
        <v>23306.0</v>
      </c>
      <c r="D21" s="69">
        <v>8261.0</v>
      </c>
    </row>
    <row r="22" ht="14.25" customHeight="1">
      <c r="A22" s="46">
        <v>10703.0</v>
      </c>
      <c r="B22" s="47" t="s">
        <v>47</v>
      </c>
      <c r="C22" s="69">
        <v>10136.0</v>
      </c>
      <c r="D22" s="69">
        <v>7111.0</v>
      </c>
    </row>
    <row r="23" ht="14.25" customHeight="1">
      <c r="A23" s="46">
        <v>10704.0</v>
      </c>
      <c r="B23" s="47" t="s">
        <v>48</v>
      </c>
      <c r="C23" s="69">
        <v>11579.0</v>
      </c>
      <c r="D23" s="69">
        <v>4901.0</v>
      </c>
    </row>
    <row r="24" ht="14.25" customHeight="1">
      <c r="A24" s="46">
        <v>10801.0</v>
      </c>
      <c r="B24" s="47" t="s">
        <v>49</v>
      </c>
      <c r="C24" s="69">
        <v>5859.0</v>
      </c>
      <c r="D24" s="69">
        <v>1286.0</v>
      </c>
    </row>
    <row r="25" ht="14.25" customHeight="1">
      <c r="A25" s="46">
        <v>10901.0</v>
      </c>
      <c r="B25" s="47" t="s">
        <v>50</v>
      </c>
      <c r="C25" s="69">
        <v>2049.0</v>
      </c>
      <c r="D25" s="69">
        <v>716.0</v>
      </c>
    </row>
    <row r="26" ht="14.25" customHeight="1">
      <c r="A26" s="46">
        <v>10902.0</v>
      </c>
      <c r="B26" s="47" t="s">
        <v>51</v>
      </c>
      <c r="C26" s="69">
        <v>11694.0</v>
      </c>
      <c r="D26" s="69">
        <v>4396.0</v>
      </c>
    </row>
    <row r="27" ht="14.25" customHeight="1">
      <c r="A27" s="46">
        <v>10903.0</v>
      </c>
      <c r="B27" s="47" t="s">
        <v>52</v>
      </c>
      <c r="C27" s="69">
        <v>1908.0</v>
      </c>
      <c r="D27" s="69">
        <v>735.0</v>
      </c>
    </row>
    <row r="28" ht="14.25" customHeight="1">
      <c r="A28" s="46">
        <v>11001.0</v>
      </c>
      <c r="B28" s="47" t="s">
        <v>53</v>
      </c>
      <c r="C28" s="69">
        <v>4993.0</v>
      </c>
      <c r="D28" s="69">
        <v>2069.0</v>
      </c>
    </row>
    <row r="29" ht="14.25" customHeight="1">
      <c r="A29" s="46">
        <v>11002.0</v>
      </c>
      <c r="B29" s="47" t="s">
        <v>54</v>
      </c>
      <c r="C29" s="69">
        <v>1559.0</v>
      </c>
      <c r="D29" s="69">
        <v>200.0</v>
      </c>
    </row>
    <row r="30" ht="14.25" customHeight="1">
      <c r="A30" s="46">
        <v>11003.0</v>
      </c>
      <c r="B30" s="47" t="s">
        <v>55</v>
      </c>
      <c r="C30" s="69">
        <v>3312.0</v>
      </c>
      <c r="D30" s="69">
        <v>551.0</v>
      </c>
    </row>
    <row r="31" ht="14.25" customHeight="1">
      <c r="A31" s="46">
        <v>20101.0</v>
      </c>
      <c r="B31" s="47" t="s">
        <v>56</v>
      </c>
      <c r="C31" s="69">
        <v>33790.0</v>
      </c>
      <c r="D31" s="69">
        <v>5318.0</v>
      </c>
    </row>
    <row r="32" ht="14.25" customHeight="1">
      <c r="A32" s="46">
        <v>20102.0</v>
      </c>
      <c r="B32" s="47" t="s">
        <v>57</v>
      </c>
      <c r="C32" s="69">
        <v>8491.0</v>
      </c>
      <c r="D32" s="69">
        <v>3254.0</v>
      </c>
    </row>
    <row r="33" ht="14.25" customHeight="1">
      <c r="A33" s="46">
        <v>20103.0</v>
      </c>
      <c r="B33" s="47" t="s">
        <v>58</v>
      </c>
      <c r="C33" s="69">
        <v>6150.0</v>
      </c>
      <c r="D33" s="69">
        <v>1684.0</v>
      </c>
    </row>
    <row r="34" ht="14.25" customHeight="1">
      <c r="A34" s="46">
        <v>20104.0</v>
      </c>
      <c r="B34" s="47" t="s">
        <v>59</v>
      </c>
      <c r="C34" s="69">
        <v>10483.0</v>
      </c>
      <c r="D34" s="69">
        <v>5352.0</v>
      </c>
    </row>
    <row r="35" ht="14.25" customHeight="1">
      <c r="A35" s="46">
        <v>20105.0</v>
      </c>
      <c r="B35" s="47" t="s">
        <v>60</v>
      </c>
      <c r="C35" s="69">
        <v>113988.0</v>
      </c>
      <c r="D35" s="69">
        <v>13743.0</v>
      </c>
    </row>
    <row r="36" ht="14.25" customHeight="1">
      <c r="A36" s="46">
        <v>20201.0</v>
      </c>
      <c r="B36" s="47" t="s">
        <v>61</v>
      </c>
      <c r="C36" s="69">
        <v>17506.0</v>
      </c>
      <c r="D36" s="69">
        <v>4413.0</v>
      </c>
    </row>
    <row r="37" ht="14.25" customHeight="1">
      <c r="A37" s="46">
        <v>20202.0</v>
      </c>
      <c r="B37" s="47" t="s">
        <v>62</v>
      </c>
      <c r="C37" s="69">
        <v>7201.0</v>
      </c>
      <c r="D37" s="69">
        <v>2951.0</v>
      </c>
    </row>
    <row r="38" ht="14.25" customHeight="1">
      <c r="A38" s="46">
        <v>20203.0</v>
      </c>
      <c r="B38" s="47" t="s">
        <v>63</v>
      </c>
      <c r="C38" s="69">
        <v>3376.0</v>
      </c>
      <c r="D38" s="69">
        <v>673.0</v>
      </c>
    </row>
    <row r="39" ht="14.25" customHeight="1">
      <c r="A39" s="46">
        <v>20204.0</v>
      </c>
      <c r="B39" s="47" t="s">
        <v>64</v>
      </c>
      <c r="C39" s="69">
        <v>3237.0</v>
      </c>
      <c r="D39" s="69">
        <v>867.0</v>
      </c>
    </row>
    <row r="40" ht="14.25" customHeight="1">
      <c r="A40" s="46">
        <v>20205.0</v>
      </c>
      <c r="B40" s="47" t="s">
        <v>65</v>
      </c>
      <c r="C40" s="69">
        <v>808.0</v>
      </c>
      <c r="D40" s="69">
        <v>788.0</v>
      </c>
    </row>
    <row r="41" ht="14.25" customHeight="1">
      <c r="A41" s="46">
        <v>20206.0</v>
      </c>
      <c r="B41" s="47" t="s">
        <v>66</v>
      </c>
      <c r="C41" s="69">
        <v>1808.0</v>
      </c>
      <c r="D41" s="69">
        <v>289.0</v>
      </c>
    </row>
    <row r="42" ht="14.25" customHeight="1">
      <c r="A42" s="46">
        <v>20301.0</v>
      </c>
      <c r="B42" s="47" t="s">
        <v>67</v>
      </c>
      <c r="C42" s="69">
        <v>6585.0</v>
      </c>
      <c r="D42" s="69">
        <v>3138.0</v>
      </c>
    </row>
    <row r="43" ht="14.25" customHeight="1">
      <c r="A43" s="46">
        <v>20302.0</v>
      </c>
      <c r="B43" s="47" t="s">
        <v>68</v>
      </c>
      <c r="C43" s="69">
        <v>10351.0</v>
      </c>
      <c r="D43" s="69">
        <v>2287.0</v>
      </c>
    </row>
    <row r="44" ht="14.25" customHeight="1">
      <c r="A44" s="46">
        <v>20303.0</v>
      </c>
      <c r="B44" s="47" t="s">
        <v>69</v>
      </c>
      <c r="C44" s="69">
        <v>7839.0</v>
      </c>
      <c r="D44" s="69">
        <v>3179.0</v>
      </c>
    </row>
    <row r="45" ht="14.25" customHeight="1">
      <c r="A45" s="46">
        <v>20304.0</v>
      </c>
      <c r="B45" s="47" t="s">
        <v>70</v>
      </c>
      <c r="C45" s="69">
        <v>2416.0</v>
      </c>
      <c r="D45" s="69">
        <v>549.0</v>
      </c>
    </row>
    <row r="46" ht="14.25" customHeight="1">
      <c r="A46" s="46">
        <v>20305.0</v>
      </c>
      <c r="B46" s="47" t="s">
        <v>71</v>
      </c>
      <c r="C46" s="69">
        <v>2087.0</v>
      </c>
      <c r="D46" s="69">
        <v>1394.0</v>
      </c>
    </row>
    <row r="47" ht="14.25" customHeight="1">
      <c r="A47" s="46">
        <v>20306.0</v>
      </c>
      <c r="B47" s="47" t="s">
        <v>72</v>
      </c>
      <c r="C47" s="69">
        <v>3327.0</v>
      </c>
      <c r="D47" s="69">
        <v>1159.0</v>
      </c>
    </row>
    <row r="48" ht="14.25" customHeight="1">
      <c r="A48" s="46">
        <v>20307.0</v>
      </c>
      <c r="B48" s="47" t="s">
        <v>73</v>
      </c>
      <c r="C48" s="69">
        <v>386.0</v>
      </c>
      <c r="D48" s="69">
        <v>793.0</v>
      </c>
    </row>
    <row r="49" ht="14.25" customHeight="1">
      <c r="A49" s="46">
        <v>20308.0</v>
      </c>
      <c r="B49" s="47" t="s">
        <v>74</v>
      </c>
      <c r="C49" s="69">
        <v>6521.0</v>
      </c>
      <c r="D49" s="69">
        <v>2883.0</v>
      </c>
    </row>
    <row r="50" ht="14.25" customHeight="1">
      <c r="A50" s="46">
        <v>20401.0</v>
      </c>
      <c r="B50" s="47" t="s">
        <v>75</v>
      </c>
      <c r="C50" s="69">
        <v>7311.0</v>
      </c>
      <c r="D50" s="69">
        <v>3483.0</v>
      </c>
    </row>
    <row r="51" ht="14.25" customHeight="1">
      <c r="A51" s="46">
        <v>20402.0</v>
      </c>
      <c r="B51" s="47" t="s">
        <v>76</v>
      </c>
      <c r="C51" s="69">
        <v>9603.0</v>
      </c>
      <c r="D51" s="69">
        <v>3164.0</v>
      </c>
    </row>
    <row r="52" ht="14.25" customHeight="1">
      <c r="A52" s="46">
        <v>20403.0</v>
      </c>
      <c r="B52" s="47" t="s">
        <v>77</v>
      </c>
      <c r="C52" s="69">
        <v>8782.0</v>
      </c>
      <c r="D52" s="69">
        <v>3057.0</v>
      </c>
    </row>
    <row r="53" ht="14.25" customHeight="1">
      <c r="A53" s="46">
        <v>20404.0</v>
      </c>
      <c r="B53" s="47" t="s">
        <v>78</v>
      </c>
      <c r="C53" s="69">
        <v>3704.0</v>
      </c>
      <c r="D53" s="69">
        <v>1529.0</v>
      </c>
    </row>
    <row r="54" ht="14.25" customHeight="1">
      <c r="A54" s="46">
        <v>20405.0</v>
      </c>
      <c r="B54" s="47" t="s">
        <v>79</v>
      </c>
      <c r="C54" s="69">
        <v>3746.0</v>
      </c>
      <c r="D54" s="69">
        <v>1974.0</v>
      </c>
    </row>
    <row r="55" ht="14.25" customHeight="1">
      <c r="A55" s="46">
        <v>20501.0</v>
      </c>
      <c r="B55" s="47" t="s">
        <v>80</v>
      </c>
      <c r="C55" s="69">
        <v>6063.0</v>
      </c>
      <c r="D55" s="69">
        <v>2598.0</v>
      </c>
    </row>
    <row r="56" ht="14.25" customHeight="1">
      <c r="A56" s="46">
        <v>20502.0</v>
      </c>
      <c r="B56" s="47" t="s">
        <v>81</v>
      </c>
      <c r="C56" s="69">
        <v>5488.0</v>
      </c>
      <c r="D56" s="69">
        <v>1942.0</v>
      </c>
    </row>
    <row r="57" ht="14.25" customHeight="1">
      <c r="A57" s="46">
        <v>20503.0</v>
      </c>
      <c r="B57" s="47" t="s">
        <v>82</v>
      </c>
      <c r="C57" s="69">
        <v>3599.0</v>
      </c>
      <c r="D57" s="69">
        <v>1276.0</v>
      </c>
    </row>
    <row r="58" ht="14.25" customHeight="1">
      <c r="A58" s="46">
        <v>20601.0</v>
      </c>
      <c r="B58" s="47" t="s">
        <v>83</v>
      </c>
      <c r="C58" s="69">
        <v>12250.0</v>
      </c>
      <c r="D58" s="69">
        <v>4391.0</v>
      </c>
    </row>
    <row r="59" ht="14.25" customHeight="1">
      <c r="A59" s="46">
        <v>20602.0</v>
      </c>
      <c r="B59" s="47" t="s">
        <v>84</v>
      </c>
      <c r="C59" s="69">
        <v>6250.0</v>
      </c>
      <c r="D59" s="69">
        <v>1988.0</v>
      </c>
    </row>
    <row r="60" ht="14.25" customHeight="1">
      <c r="A60" s="46">
        <v>20603.0</v>
      </c>
      <c r="B60" s="47" t="s">
        <v>85</v>
      </c>
      <c r="C60" s="69">
        <v>4478.0</v>
      </c>
      <c r="D60" s="69">
        <v>1814.0</v>
      </c>
    </row>
    <row r="61" ht="14.25" customHeight="1">
      <c r="A61" s="46">
        <v>20604.0</v>
      </c>
      <c r="B61" s="47" t="s">
        <v>86</v>
      </c>
      <c r="C61" s="69">
        <v>1487.0</v>
      </c>
      <c r="D61" s="69">
        <v>982.0</v>
      </c>
    </row>
    <row r="62" ht="14.25" customHeight="1">
      <c r="A62" s="46">
        <v>20605.0</v>
      </c>
      <c r="B62" s="47" t="s">
        <v>87</v>
      </c>
      <c r="C62" s="69">
        <v>1788.0</v>
      </c>
      <c r="D62" s="69">
        <v>607.0</v>
      </c>
    </row>
    <row r="63" ht="14.25" customHeight="1">
      <c r="A63" s="46">
        <v>20606.0</v>
      </c>
      <c r="B63" s="47" t="s">
        <v>88</v>
      </c>
      <c r="C63" s="69">
        <v>2876.0</v>
      </c>
      <c r="D63" s="69">
        <v>603.0</v>
      </c>
    </row>
    <row r="64" ht="14.25" customHeight="1">
      <c r="A64" s="46">
        <v>20607.0</v>
      </c>
      <c r="B64" s="47" t="s">
        <v>89</v>
      </c>
      <c r="C64" s="69">
        <v>3799.0</v>
      </c>
      <c r="D64" s="69">
        <v>1190.0</v>
      </c>
    </row>
    <row r="65" ht="14.25" customHeight="1">
      <c r="A65" s="46">
        <v>20608.0</v>
      </c>
      <c r="B65" s="47" t="s">
        <v>90</v>
      </c>
      <c r="C65" s="69">
        <v>5236.0</v>
      </c>
      <c r="D65" s="69">
        <v>2849.0</v>
      </c>
    </row>
    <row r="66" ht="14.25" customHeight="1">
      <c r="A66" s="46">
        <v>20701.0</v>
      </c>
      <c r="B66" s="47" t="s">
        <v>91</v>
      </c>
      <c r="C66" s="69">
        <v>10021.0</v>
      </c>
      <c r="D66" s="69">
        <v>3942.0</v>
      </c>
    </row>
    <row r="67" ht="14.25" customHeight="1">
      <c r="A67" s="46">
        <v>20702.0</v>
      </c>
      <c r="B67" s="47" t="s">
        <v>92</v>
      </c>
      <c r="C67" s="69">
        <v>4294.0</v>
      </c>
      <c r="D67" s="69">
        <v>1210.0</v>
      </c>
    </row>
    <row r="68" ht="14.25" customHeight="1">
      <c r="A68" s="46">
        <v>20801.0</v>
      </c>
      <c r="B68" s="47" t="s">
        <v>93</v>
      </c>
      <c r="C68" s="69">
        <v>24036.0</v>
      </c>
      <c r="D68" s="69">
        <v>6649.0</v>
      </c>
    </row>
    <row r="69" ht="14.25" customHeight="1">
      <c r="A69" s="46">
        <v>20802.0</v>
      </c>
      <c r="B69" s="47" t="s">
        <v>94</v>
      </c>
      <c r="C69" s="69">
        <v>2607.0</v>
      </c>
      <c r="D69" s="69">
        <v>636.0</v>
      </c>
    </row>
    <row r="70" ht="14.25" customHeight="1">
      <c r="A70" s="46">
        <v>20803.0</v>
      </c>
      <c r="B70" s="47" t="s">
        <v>95</v>
      </c>
      <c r="C70" s="69">
        <v>5715.0</v>
      </c>
      <c r="D70" s="69">
        <v>2667.0</v>
      </c>
    </row>
    <row r="71" ht="14.25" customHeight="1">
      <c r="A71" s="46">
        <v>20804.0</v>
      </c>
      <c r="B71" s="47" t="s">
        <v>96</v>
      </c>
      <c r="C71" s="69">
        <v>1746.0</v>
      </c>
      <c r="D71" s="69">
        <v>294.0</v>
      </c>
    </row>
    <row r="72" ht="14.25" customHeight="1">
      <c r="A72" s="46">
        <v>20805.0</v>
      </c>
      <c r="B72" s="47" t="s">
        <v>97</v>
      </c>
      <c r="C72" s="69">
        <v>4104.0</v>
      </c>
      <c r="D72" s="69">
        <v>1221.0</v>
      </c>
    </row>
    <row r="73" ht="14.25" customHeight="1">
      <c r="A73" s="46">
        <v>20806.0</v>
      </c>
      <c r="B73" s="47" t="s">
        <v>98</v>
      </c>
      <c r="C73" s="69">
        <v>6887.0</v>
      </c>
      <c r="D73" s="69">
        <v>2091.0</v>
      </c>
    </row>
    <row r="74" ht="14.25" customHeight="1">
      <c r="A74" s="46">
        <v>20807.0</v>
      </c>
      <c r="B74" s="47" t="s">
        <v>99</v>
      </c>
      <c r="C74" s="69">
        <v>2699.0</v>
      </c>
      <c r="D74" s="69">
        <v>848.0</v>
      </c>
    </row>
    <row r="75" ht="14.25" customHeight="1">
      <c r="A75" s="46">
        <v>20901.0</v>
      </c>
      <c r="B75" s="47" t="s">
        <v>100</v>
      </c>
      <c r="C75" s="69">
        <v>4579.0</v>
      </c>
      <c r="D75" s="69">
        <v>1199.0</v>
      </c>
    </row>
    <row r="76" ht="14.25" customHeight="1">
      <c r="A76" s="46">
        <v>20902.0</v>
      </c>
      <c r="B76" s="47" t="s">
        <v>101</v>
      </c>
      <c r="C76" s="69">
        <v>8321.0</v>
      </c>
      <c r="D76" s="69">
        <v>2336.0</v>
      </c>
    </row>
    <row r="77" ht="14.25" customHeight="1">
      <c r="A77" s="46">
        <v>20903.0</v>
      </c>
      <c r="B77" s="47" t="s">
        <v>102</v>
      </c>
      <c r="C77" s="69">
        <v>4241.0</v>
      </c>
      <c r="D77" s="69">
        <v>2967.0</v>
      </c>
    </row>
    <row r="78" ht="14.25" customHeight="1">
      <c r="A78" s="46">
        <v>20904.0</v>
      </c>
      <c r="B78" s="47" t="s">
        <v>103</v>
      </c>
      <c r="C78" s="69">
        <v>2670.0</v>
      </c>
      <c r="D78" s="69">
        <v>1169.0</v>
      </c>
    </row>
    <row r="79" ht="14.25" customHeight="1">
      <c r="A79" s="46">
        <v>20905.0</v>
      </c>
      <c r="B79" s="47" t="s">
        <v>104</v>
      </c>
      <c r="C79" s="69">
        <v>5026.0</v>
      </c>
      <c r="D79" s="69">
        <v>2241.0</v>
      </c>
    </row>
    <row r="80" ht="14.25" customHeight="1">
      <c r="A80" s="46">
        <v>21001.0</v>
      </c>
      <c r="B80" s="47" t="s">
        <v>105</v>
      </c>
      <c r="C80" s="69">
        <v>11256.0</v>
      </c>
      <c r="D80" s="69">
        <v>5023.0</v>
      </c>
    </row>
    <row r="81" ht="14.25" customHeight="1">
      <c r="A81" s="46">
        <v>21002.0</v>
      </c>
      <c r="B81" s="47" t="s">
        <v>106</v>
      </c>
      <c r="C81" s="69">
        <v>3395.0</v>
      </c>
      <c r="D81" s="69">
        <v>1434.0</v>
      </c>
    </row>
    <row r="82" ht="14.25" customHeight="1">
      <c r="A82" s="46">
        <v>21003.0</v>
      </c>
      <c r="B82" s="47" t="s">
        <v>107</v>
      </c>
      <c r="C82" s="69">
        <v>3244.0</v>
      </c>
      <c r="D82" s="69">
        <v>1503.0</v>
      </c>
    </row>
    <row r="83" ht="14.25" customHeight="1">
      <c r="A83" s="46">
        <v>21004.0</v>
      </c>
      <c r="B83" s="47" t="s">
        <v>108</v>
      </c>
      <c r="C83" s="69">
        <v>9346.0</v>
      </c>
      <c r="D83" s="69">
        <v>3805.0</v>
      </c>
    </row>
    <row r="84" ht="14.25" customHeight="1">
      <c r="A84" s="46">
        <v>21005.0</v>
      </c>
      <c r="B84" s="47" t="s">
        <v>109</v>
      </c>
      <c r="C84" s="69">
        <v>5422.0</v>
      </c>
      <c r="D84" s="69">
        <v>3624.0</v>
      </c>
    </row>
    <row r="85" ht="14.25" customHeight="1">
      <c r="A85" s="46">
        <v>21006.0</v>
      </c>
      <c r="B85" s="47" t="s">
        <v>110</v>
      </c>
      <c r="C85" s="69">
        <v>2526.0</v>
      </c>
      <c r="D85" s="69">
        <v>1169.0</v>
      </c>
    </row>
    <row r="86" ht="14.25" customHeight="1">
      <c r="A86" s="46">
        <v>21101.0</v>
      </c>
      <c r="B86" s="47" t="s">
        <v>111</v>
      </c>
      <c r="C86" s="69">
        <v>4864.0</v>
      </c>
      <c r="D86" s="69">
        <v>973.0</v>
      </c>
    </row>
    <row r="87" ht="14.25" customHeight="1">
      <c r="A87" s="46">
        <v>21102.0</v>
      </c>
      <c r="B87" s="47" t="s">
        <v>112</v>
      </c>
      <c r="C87" s="69">
        <v>6794.0</v>
      </c>
      <c r="D87" s="69">
        <v>2678.0</v>
      </c>
    </row>
    <row r="88" ht="14.25" customHeight="1">
      <c r="A88" s="46">
        <v>21103.0</v>
      </c>
      <c r="B88" s="47" t="s">
        <v>113</v>
      </c>
      <c r="C88" s="69">
        <v>1554.0</v>
      </c>
      <c r="D88" s="69">
        <v>422.0</v>
      </c>
    </row>
    <row r="89" ht="14.25" customHeight="1">
      <c r="A89" s="46">
        <v>21104.0</v>
      </c>
      <c r="B89" s="47" t="s">
        <v>114</v>
      </c>
      <c r="C89" s="69">
        <v>11016.0</v>
      </c>
      <c r="D89" s="69">
        <v>5776.0</v>
      </c>
    </row>
    <row r="90" ht="14.25" customHeight="1">
      <c r="A90" s="46">
        <v>21105.0</v>
      </c>
      <c r="B90" s="47" t="s">
        <v>115</v>
      </c>
      <c r="C90" s="69">
        <v>30666.0</v>
      </c>
      <c r="D90" s="69">
        <v>8992.0</v>
      </c>
    </row>
    <row r="91" ht="14.25" customHeight="1">
      <c r="A91" s="46">
        <v>21201.0</v>
      </c>
      <c r="B91" s="47" t="s">
        <v>116</v>
      </c>
      <c r="C91" s="69">
        <v>15518.0</v>
      </c>
      <c r="D91" s="69">
        <v>7633.0</v>
      </c>
    </row>
    <row r="92" ht="14.25" customHeight="1">
      <c r="A92" s="46">
        <v>21202.0</v>
      </c>
      <c r="B92" s="47" t="s">
        <v>117</v>
      </c>
      <c r="C92" s="69">
        <v>12721.0</v>
      </c>
      <c r="D92" s="69">
        <v>4992.0</v>
      </c>
    </row>
    <row r="93" ht="14.25" customHeight="1">
      <c r="A93" s="46">
        <v>21203.0</v>
      </c>
      <c r="B93" s="47" t="s">
        <v>118</v>
      </c>
      <c r="C93" s="69">
        <v>6884.0</v>
      </c>
      <c r="D93" s="69">
        <v>2660.0</v>
      </c>
    </row>
    <row r="94" ht="14.25" customHeight="1">
      <c r="A94" s="46">
        <v>21204.0</v>
      </c>
      <c r="B94" s="47" t="s">
        <v>119</v>
      </c>
      <c r="C94" s="69">
        <v>2847.0</v>
      </c>
      <c r="D94" s="69">
        <v>1155.0</v>
      </c>
    </row>
    <row r="95" ht="14.25" customHeight="1">
      <c r="A95" s="46">
        <v>21301.0</v>
      </c>
      <c r="B95" s="47" t="s">
        <v>120</v>
      </c>
      <c r="C95" s="69">
        <v>16749.0</v>
      </c>
      <c r="D95" s="69">
        <v>6022.0</v>
      </c>
    </row>
    <row r="96" ht="14.25" customHeight="1">
      <c r="A96" s="46">
        <v>21302.0</v>
      </c>
      <c r="B96" s="47" t="s">
        <v>121</v>
      </c>
      <c r="C96" s="69">
        <v>4974.0</v>
      </c>
      <c r="D96" s="69">
        <v>1411.0</v>
      </c>
    </row>
    <row r="97" ht="14.25" customHeight="1">
      <c r="A97" s="46">
        <v>21303.0</v>
      </c>
      <c r="B97" s="47" t="s">
        <v>122</v>
      </c>
      <c r="C97" s="69">
        <v>4698.0</v>
      </c>
      <c r="D97" s="69">
        <v>2802.0</v>
      </c>
    </row>
    <row r="98" ht="14.25" customHeight="1">
      <c r="A98" s="46">
        <v>21304.0</v>
      </c>
      <c r="B98" s="47" t="s">
        <v>123</v>
      </c>
      <c r="C98" s="69">
        <v>6021.0</v>
      </c>
      <c r="D98" s="69">
        <v>1827.0</v>
      </c>
    </row>
    <row r="99" ht="14.25" customHeight="1">
      <c r="A99" s="46">
        <v>21305.0</v>
      </c>
      <c r="B99" s="47" t="s">
        <v>124</v>
      </c>
      <c r="C99" s="69">
        <v>7579.0</v>
      </c>
      <c r="D99" s="69">
        <v>2581.0</v>
      </c>
    </row>
    <row r="100" ht="14.25" customHeight="1">
      <c r="A100" s="46">
        <v>21306.0</v>
      </c>
      <c r="B100" s="47" t="s">
        <v>125</v>
      </c>
      <c r="C100" s="69">
        <v>4967.0</v>
      </c>
      <c r="D100" s="69">
        <v>1603.0</v>
      </c>
    </row>
    <row r="101" ht="14.25" customHeight="1">
      <c r="A101" s="46">
        <v>21307.0</v>
      </c>
      <c r="B101" s="47" t="s">
        <v>126</v>
      </c>
      <c r="C101" s="69">
        <v>1965.0</v>
      </c>
      <c r="D101" s="69">
        <v>573.0</v>
      </c>
    </row>
    <row r="102" ht="14.25" customHeight="1">
      <c r="A102" s="46">
        <v>21401.0</v>
      </c>
      <c r="B102" s="47" t="s">
        <v>127</v>
      </c>
      <c r="C102" s="69">
        <v>6636.0</v>
      </c>
      <c r="D102" s="69">
        <v>2962.0</v>
      </c>
    </row>
    <row r="103" ht="14.25" customHeight="1">
      <c r="A103" s="46">
        <v>21402.0</v>
      </c>
      <c r="B103" s="47" t="s">
        <v>128</v>
      </c>
      <c r="C103" s="69">
        <v>3583.0</v>
      </c>
      <c r="D103" s="69">
        <v>1271.0</v>
      </c>
    </row>
    <row r="104" ht="14.25" customHeight="1">
      <c r="A104" s="46">
        <v>21501.0</v>
      </c>
      <c r="B104" s="47" t="s">
        <v>129</v>
      </c>
      <c r="C104" s="69">
        <v>5038.0</v>
      </c>
      <c r="D104" s="69">
        <v>2673.0</v>
      </c>
    </row>
    <row r="105" ht="14.25" customHeight="1">
      <c r="A105" s="46">
        <v>21502.0</v>
      </c>
      <c r="B105" s="47" t="s">
        <v>130</v>
      </c>
      <c r="C105" s="69">
        <v>3092.0</v>
      </c>
      <c r="D105" s="69">
        <v>934.0</v>
      </c>
    </row>
    <row r="106" ht="14.25" customHeight="1">
      <c r="A106" s="46">
        <v>21601.0</v>
      </c>
      <c r="B106" s="47" t="s">
        <v>131</v>
      </c>
      <c r="C106" s="69">
        <v>9339.0</v>
      </c>
      <c r="D106" s="69">
        <v>3315.0</v>
      </c>
    </row>
    <row r="107" ht="14.25" customHeight="1">
      <c r="A107" s="46">
        <v>21602.0</v>
      </c>
      <c r="B107" s="47" t="s">
        <v>132</v>
      </c>
      <c r="C107" s="69">
        <v>2317.0</v>
      </c>
      <c r="D107" s="69">
        <v>1918.0</v>
      </c>
    </row>
    <row r="108" ht="14.25" customHeight="1">
      <c r="A108" s="46">
        <v>21701.0</v>
      </c>
      <c r="B108" s="47" t="s">
        <v>133</v>
      </c>
      <c r="C108" s="69">
        <v>4676.0</v>
      </c>
      <c r="D108" s="69">
        <v>2071.0</v>
      </c>
    </row>
    <row r="109" ht="14.25" customHeight="1">
      <c r="A109" s="46">
        <v>21702.0</v>
      </c>
      <c r="B109" s="47" t="s">
        <v>134</v>
      </c>
      <c r="C109" s="69">
        <v>2656.0</v>
      </c>
      <c r="D109" s="69">
        <v>921.0</v>
      </c>
    </row>
    <row r="110" ht="14.25" customHeight="1">
      <c r="A110" s="46">
        <v>21703.0</v>
      </c>
      <c r="B110" s="47" t="s">
        <v>135</v>
      </c>
      <c r="C110" s="69">
        <v>3726.0</v>
      </c>
      <c r="D110" s="69">
        <v>1749.0</v>
      </c>
    </row>
    <row r="111" ht="14.25" customHeight="1">
      <c r="A111" s="46">
        <v>21801.0</v>
      </c>
      <c r="B111" s="47" t="s">
        <v>136</v>
      </c>
      <c r="C111" s="69">
        <v>6104.0</v>
      </c>
      <c r="D111" s="69">
        <v>1864.0</v>
      </c>
    </row>
    <row r="112" ht="14.25" customHeight="1">
      <c r="A112" s="46">
        <v>21802.0</v>
      </c>
      <c r="B112" s="47" t="s">
        <v>137</v>
      </c>
      <c r="C112" s="69">
        <v>3630.0</v>
      </c>
      <c r="D112" s="69">
        <v>869.0</v>
      </c>
    </row>
    <row r="113" ht="14.25" customHeight="1">
      <c r="A113" s="46">
        <v>21803.0</v>
      </c>
      <c r="B113" s="47" t="s">
        <v>138</v>
      </c>
      <c r="C113" s="69">
        <v>1565.0</v>
      </c>
      <c r="D113" s="69">
        <v>509.0</v>
      </c>
    </row>
    <row r="114" ht="14.25" customHeight="1">
      <c r="A114" s="46">
        <v>21901.0</v>
      </c>
      <c r="B114" s="47" t="s">
        <v>139</v>
      </c>
      <c r="C114" s="69">
        <v>2408.0</v>
      </c>
      <c r="D114" s="69">
        <v>1080.0</v>
      </c>
    </row>
    <row r="115" ht="14.25" customHeight="1">
      <c r="A115" s="46">
        <v>21902.0</v>
      </c>
      <c r="B115" s="47" t="s">
        <v>140</v>
      </c>
      <c r="C115" s="69">
        <v>1549.0</v>
      </c>
      <c r="D115" s="69">
        <v>911.0</v>
      </c>
    </row>
    <row r="116" ht="14.25" customHeight="1">
      <c r="A116" s="46">
        <v>22001.0</v>
      </c>
      <c r="B116" s="47" t="s">
        <v>141</v>
      </c>
      <c r="C116" s="69">
        <v>23026.0</v>
      </c>
      <c r="D116" s="69">
        <v>6905.0</v>
      </c>
    </row>
    <row r="117" ht="14.25" customHeight="1">
      <c r="A117" s="46">
        <v>22002.0</v>
      </c>
      <c r="B117" s="47" t="s">
        <v>142</v>
      </c>
      <c r="C117" s="69">
        <v>6847.0</v>
      </c>
      <c r="D117" s="69">
        <v>2486.0</v>
      </c>
    </row>
    <row r="118" ht="14.25" customHeight="1">
      <c r="A118" s="46">
        <v>30101.0</v>
      </c>
      <c r="B118" s="47" t="s">
        <v>16</v>
      </c>
      <c r="C118" s="69">
        <v>136327.0</v>
      </c>
      <c r="D118" s="69">
        <v>39149.0</v>
      </c>
    </row>
    <row r="119" ht="14.25" customHeight="1">
      <c r="A119" s="46">
        <v>30201.0</v>
      </c>
      <c r="B119" s="47" t="s">
        <v>143</v>
      </c>
      <c r="C119" s="69">
        <v>11231.0</v>
      </c>
      <c r="D119" s="69">
        <v>4488.0</v>
      </c>
    </row>
    <row r="120" ht="14.25" customHeight="1">
      <c r="A120" s="46">
        <v>30202.0</v>
      </c>
      <c r="B120" s="47" t="s">
        <v>144</v>
      </c>
      <c r="C120" s="69">
        <v>3537.0</v>
      </c>
      <c r="D120" s="69">
        <v>969.0</v>
      </c>
    </row>
    <row r="121" ht="14.25" customHeight="1">
      <c r="A121" s="46">
        <v>30203.0</v>
      </c>
      <c r="B121" s="47" t="s">
        <v>145</v>
      </c>
      <c r="C121" s="69">
        <v>2196.0</v>
      </c>
      <c r="D121" s="69">
        <v>638.0</v>
      </c>
    </row>
    <row r="122" ht="14.25" customHeight="1">
      <c r="A122" s="46">
        <v>30301.0</v>
      </c>
      <c r="B122" s="47" t="s">
        <v>146</v>
      </c>
      <c r="C122" s="69">
        <v>16200.0</v>
      </c>
      <c r="D122" s="69">
        <v>5760.0</v>
      </c>
    </row>
    <row r="123" ht="14.25" customHeight="1">
      <c r="A123" s="46">
        <v>30302.0</v>
      </c>
      <c r="B123" s="47" t="s">
        <v>147</v>
      </c>
      <c r="C123" s="69">
        <v>9506.0</v>
      </c>
      <c r="D123" s="69">
        <v>3977.0</v>
      </c>
    </row>
    <row r="124" ht="14.25" customHeight="1">
      <c r="A124" s="46">
        <v>30303.0</v>
      </c>
      <c r="B124" s="47" t="s">
        <v>148</v>
      </c>
      <c r="C124" s="69">
        <v>14737.0</v>
      </c>
      <c r="D124" s="69">
        <v>7119.0</v>
      </c>
    </row>
    <row r="125" ht="14.25" customHeight="1">
      <c r="A125" s="46">
        <v>30401.0</v>
      </c>
      <c r="B125" s="47" t="s">
        <v>149</v>
      </c>
      <c r="C125" s="69">
        <v>2949.0</v>
      </c>
      <c r="D125" s="69">
        <v>1785.0</v>
      </c>
    </row>
    <row r="126" ht="14.25" customHeight="1">
      <c r="A126" s="46">
        <v>30402.0</v>
      </c>
      <c r="B126" s="47" t="s">
        <v>150</v>
      </c>
      <c r="C126" s="69">
        <v>5041.0</v>
      </c>
      <c r="D126" s="69">
        <v>1977.0</v>
      </c>
    </row>
    <row r="127" ht="14.25" customHeight="1">
      <c r="A127" s="46">
        <v>30403.0</v>
      </c>
      <c r="B127" s="47" t="s">
        <v>151</v>
      </c>
      <c r="C127" s="69">
        <v>6817.0</v>
      </c>
      <c r="D127" s="69">
        <v>9379.0</v>
      </c>
    </row>
    <row r="128" ht="14.25" customHeight="1">
      <c r="A128" s="46">
        <v>30404.0</v>
      </c>
      <c r="B128" s="47" t="s">
        <v>152</v>
      </c>
      <c r="C128" s="69">
        <v>2704.0</v>
      </c>
      <c r="D128" s="69">
        <v>1645.0</v>
      </c>
    </row>
    <row r="129" ht="14.25" customHeight="1">
      <c r="A129" s="46">
        <v>30501.0</v>
      </c>
      <c r="B129" s="47" t="s">
        <v>153</v>
      </c>
      <c r="C129" s="69">
        <v>2634.0</v>
      </c>
      <c r="D129" s="69">
        <v>768.0</v>
      </c>
    </row>
    <row r="130" ht="14.25" customHeight="1">
      <c r="A130" s="46">
        <v>30502.0</v>
      </c>
      <c r="B130" s="47" t="s">
        <v>154</v>
      </c>
      <c r="C130" s="69">
        <v>4741.0</v>
      </c>
      <c r="D130" s="69">
        <v>1453.0</v>
      </c>
    </row>
    <row r="131" ht="14.25" customHeight="1">
      <c r="A131" s="46">
        <v>30601.0</v>
      </c>
      <c r="B131" s="47" t="s">
        <v>155</v>
      </c>
      <c r="C131" s="69">
        <v>8464.0</v>
      </c>
      <c r="D131" s="69">
        <v>4162.0</v>
      </c>
    </row>
    <row r="132" ht="14.25" customHeight="1">
      <c r="A132" s="46">
        <v>30602.0</v>
      </c>
      <c r="B132" s="47" t="s">
        <v>156</v>
      </c>
      <c r="C132" s="69">
        <v>7105.0</v>
      </c>
      <c r="D132" s="69">
        <v>2396.0</v>
      </c>
    </row>
    <row r="133" ht="14.25" customHeight="1">
      <c r="A133" s="46">
        <v>30701.0</v>
      </c>
      <c r="B133" s="47" t="s">
        <v>157</v>
      </c>
      <c r="C133" s="69">
        <v>6591.0</v>
      </c>
      <c r="D133" s="69">
        <v>2399.0</v>
      </c>
    </row>
    <row r="134" ht="14.25" customHeight="1">
      <c r="A134" s="46">
        <v>30702.0</v>
      </c>
      <c r="B134" s="47" t="s">
        <v>158</v>
      </c>
      <c r="C134" s="69">
        <v>2110.0</v>
      </c>
      <c r="D134" s="69">
        <v>567.0</v>
      </c>
    </row>
    <row r="135" ht="14.25" customHeight="1">
      <c r="A135" s="46">
        <v>30703.0</v>
      </c>
      <c r="B135" s="47" t="s">
        <v>159</v>
      </c>
      <c r="C135" s="69">
        <v>2136.0</v>
      </c>
      <c r="D135" s="69">
        <v>560.0</v>
      </c>
    </row>
    <row r="136" ht="14.25" customHeight="1">
      <c r="A136" s="46">
        <v>30801.0</v>
      </c>
      <c r="B136" s="47" t="s">
        <v>160</v>
      </c>
      <c r="C136" s="69">
        <v>3361.0</v>
      </c>
      <c r="D136" s="69">
        <v>443.0</v>
      </c>
    </row>
    <row r="137" ht="14.25" customHeight="1">
      <c r="A137" s="46">
        <v>30802.0</v>
      </c>
      <c r="B137" s="47" t="s">
        <v>161</v>
      </c>
      <c r="C137" s="69">
        <v>1987.0</v>
      </c>
      <c r="D137" s="69">
        <v>636.0</v>
      </c>
    </row>
    <row r="138" ht="14.25" customHeight="1">
      <c r="A138" s="46">
        <v>30803.0</v>
      </c>
      <c r="B138" s="47" t="s">
        <v>162</v>
      </c>
      <c r="C138" s="69">
        <v>1227.0</v>
      </c>
      <c r="D138" s="69">
        <v>1324.0</v>
      </c>
    </row>
    <row r="139" ht="14.25" customHeight="1">
      <c r="A139" s="46">
        <v>30901.0</v>
      </c>
      <c r="B139" s="47" t="s">
        <v>163</v>
      </c>
      <c r="C139" s="69">
        <v>21689.0</v>
      </c>
      <c r="D139" s="69">
        <v>6591.0</v>
      </c>
    </row>
    <row r="140" ht="14.25" customHeight="1">
      <c r="A140" s="46">
        <v>30902.0</v>
      </c>
      <c r="B140" s="47" t="s">
        <v>164</v>
      </c>
      <c r="C140" s="69">
        <v>11065.0</v>
      </c>
      <c r="D140" s="69">
        <v>4541.0</v>
      </c>
    </row>
    <row r="141" ht="14.25" customHeight="1">
      <c r="A141" s="46">
        <v>30903.0</v>
      </c>
      <c r="B141" s="47" t="s">
        <v>165</v>
      </c>
      <c r="C141" s="69">
        <v>12908.0</v>
      </c>
      <c r="D141" s="69">
        <v>2530.0</v>
      </c>
    </row>
    <row r="142" ht="14.25" customHeight="1">
      <c r="A142" s="46">
        <v>30904.0</v>
      </c>
      <c r="B142" s="47" t="s">
        <v>166</v>
      </c>
      <c r="C142" s="69">
        <v>13762.0</v>
      </c>
      <c r="D142" s="69">
        <v>3268.0</v>
      </c>
    </row>
    <row r="143" ht="14.25" customHeight="1">
      <c r="A143" s="46">
        <v>30905.0</v>
      </c>
      <c r="B143" s="47" t="s">
        <v>167</v>
      </c>
      <c r="C143" s="69">
        <v>5378.0</v>
      </c>
      <c r="D143" s="69">
        <v>1014.0</v>
      </c>
    </row>
    <row r="144" ht="14.25" customHeight="1">
      <c r="A144" s="46">
        <v>31001.0</v>
      </c>
      <c r="B144" s="47" t="s">
        <v>168</v>
      </c>
      <c r="C144" s="69">
        <v>39722.0</v>
      </c>
      <c r="D144" s="69">
        <v>11780.0</v>
      </c>
    </row>
    <row r="145" ht="14.25" customHeight="1">
      <c r="A145" s="46">
        <v>31002.0</v>
      </c>
      <c r="B145" s="47" t="s">
        <v>169</v>
      </c>
      <c r="C145" s="69">
        <v>7826.0</v>
      </c>
      <c r="D145" s="69">
        <v>2853.0</v>
      </c>
    </row>
    <row r="146" ht="14.25" customHeight="1">
      <c r="A146" s="46">
        <v>31003.0</v>
      </c>
      <c r="B146" s="47" t="s">
        <v>170</v>
      </c>
      <c r="C146" s="69">
        <v>40884.0</v>
      </c>
      <c r="D146" s="69">
        <v>16980.0</v>
      </c>
    </row>
    <row r="147" ht="14.25" customHeight="1">
      <c r="A147" s="46">
        <v>31101.0</v>
      </c>
      <c r="B147" s="47" t="s">
        <v>171</v>
      </c>
      <c r="C147" s="69">
        <v>19681.0</v>
      </c>
      <c r="D147" s="69">
        <v>9329.0</v>
      </c>
    </row>
    <row r="148" ht="14.25" customHeight="1">
      <c r="A148" s="46">
        <v>31201.0</v>
      </c>
      <c r="B148" s="47" t="s">
        <v>172</v>
      </c>
      <c r="C148" s="69">
        <v>10333.0</v>
      </c>
      <c r="D148" s="69">
        <v>3968.0</v>
      </c>
    </row>
    <row r="149" ht="14.25" customHeight="1">
      <c r="A149" s="46">
        <v>31202.0</v>
      </c>
      <c r="B149" s="47" t="s">
        <v>173</v>
      </c>
      <c r="C149" s="69">
        <v>7177.0</v>
      </c>
      <c r="D149" s="69">
        <v>3451.0</v>
      </c>
    </row>
    <row r="150" ht="14.25" customHeight="1">
      <c r="A150" s="46">
        <v>31203.0</v>
      </c>
      <c r="B150" s="47" t="s">
        <v>174</v>
      </c>
      <c r="C150" s="69">
        <v>5443.0</v>
      </c>
      <c r="D150" s="69">
        <v>1760.0</v>
      </c>
    </row>
    <row r="151" ht="14.25" customHeight="1">
      <c r="A151" s="46">
        <v>31204.0</v>
      </c>
      <c r="B151" s="47" t="s">
        <v>175</v>
      </c>
      <c r="C151" s="69">
        <v>10998.0</v>
      </c>
      <c r="D151" s="69">
        <v>3913.0</v>
      </c>
    </row>
    <row r="152" ht="14.25" customHeight="1">
      <c r="A152" s="46">
        <v>31205.0</v>
      </c>
      <c r="B152" s="47" t="s">
        <v>176</v>
      </c>
      <c r="C152" s="69">
        <v>22345.0</v>
      </c>
      <c r="D152" s="69">
        <v>9220.0</v>
      </c>
    </row>
    <row r="153" ht="14.25" customHeight="1">
      <c r="A153" s="46">
        <v>31206.0</v>
      </c>
      <c r="B153" s="47" t="s">
        <v>177</v>
      </c>
      <c r="C153" s="69">
        <v>15079.0</v>
      </c>
      <c r="D153" s="69">
        <v>6780.0</v>
      </c>
    </row>
    <row r="154" ht="14.25" customHeight="1">
      <c r="A154" s="46">
        <v>31301.0</v>
      </c>
      <c r="B154" s="47" t="s">
        <v>178</v>
      </c>
      <c r="C154" s="69">
        <v>10767.0</v>
      </c>
      <c r="D154" s="69">
        <v>3519.0</v>
      </c>
    </row>
    <row r="155" ht="14.25" customHeight="1">
      <c r="A155" s="46">
        <v>31302.0</v>
      </c>
      <c r="B155" s="47" t="s">
        <v>179</v>
      </c>
      <c r="C155" s="69">
        <v>4545.0</v>
      </c>
      <c r="D155" s="69">
        <v>2534.0</v>
      </c>
    </row>
    <row r="156" ht="14.25" customHeight="1">
      <c r="A156" s="46">
        <v>31303.0</v>
      </c>
      <c r="B156" s="47" t="s">
        <v>180</v>
      </c>
      <c r="C156" s="69">
        <v>3068.0</v>
      </c>
      <c r="D156" s="69">
        <v>1361.0</v>
      </c>
    </row>
    <row r="157" ht="14.25" customHeight="1">
      <c r="A157" s="46">
        <v>31304.0</v>
      </c>
      <c r="B157" s="47" t="s">
        <v>181</v>
      </c>
      <c r="C157" s="69">
        <v>6625.0</v>
      </c>
      <c r="D157" s="69">
        <v>5312.0</v>
      </c>
    </row>
    <row r="158" ht="14.25" customHeight="1">
      <c r="A158" s="46">
        <v>31401.0</v>
      </c>
      <c r="B158" s="47" t="s">
        <v>182</v>
      </c>
      <c r="C158" s="69">
        <v>4381.0</v>
      </c>
      <c r="D158" s="69">
        <v>1820.0</v>
      </c>
    </row>
    <row r="159" ht="14.25" customHeight="1">
      <c r="A159" s="46">
        <v>31402.0</v>
      </c>
      <c r="B159" s="47" t="s">
        <v>183</v>
      </c>
      <c r="C159" s="69">
        <v>2389.0</v>
      </c>
      <c r="D159" s="69">
        <v>648.0</v>
      </c>
    </row>
    <row r="160" ht="14.25" customHeight="1">
      <c r="A160" s="46">
        <v>31403.0</v>
      </c>
      <c r="B160" s="47" t="s">
        <v>184</v>
      </c>
      <c r="C160" s="69">
        <v>3129.0</v>
      </c>
      <c r="D160" s="69">
        <v>637.0</v>
      </c>
    </row>
    <row r="161" ht="14.25" customHeight="1">
      <c r="A161" s="46">
        <v>31404.0</v>
      </c>
      <c r="B161" s="47" t="s">
        <v>185</v>
      </c>
      <c r="C161" s="69">
        <v>625.0</v>
      </c>
      <c r="D161" s="69">
        <v>71.0</v>
      </c>
    </row>
    <row r="162" ht="14.25" customHeight="1">
      <c r="A162" s="46">
        <v>31405.0</v>
      </c>
      <c r="B162" s="47" t="s">
        <v>186</v>
      </c>
      <c r="C162" s="69">
        <v>1453.0</v>
      </c>
      <c r="D162" s="69">
        <v>609.0</v>
      </c>
    </row>
    <row r="163" ht="14.25" customHeight="1">
      <c r="A163" s="46">
        <v>31501.0</v>
      </c>
      <c r="B163" s="47" t="s">
        <v>187</v>
      </c>
      <c r="C163" s="69">
        <v>5355.0</v>
      </c>
      <c r="D163" s="69">
        <v>2322.0</v>
      </c>
    </row>
    <row r="164" ht="14.25" customHeight="1">
      <c r="A164" s="46">
        <v>31601.0</v>
      </c>
      <c r="B164" s="47" t="s">
        <v>188</v>
      </c>
      <c r="C164" s="69">
        <v>9077.0</v>
      </c>
      <c r="D164" s="69">
        <v>2204.0</v>
      </c>
    </row>
    <row r="165" ht="14.25" customHeight="1">
      <c r="A165" s="46">
        <v>31602.0</v>
      </c>
      <c r="B165" s="47" t="s">
        <v>189</v>
      </c>
      <c r="C165" s="69">
        <v>8928.0</v>
      </c>
      <c r="D165" s="69">
        <v>2810.0</v>
      </c>
    </row>
    <row r="166" ht="14.25" customHeight="1">
      <c r="A166" s="46">
        <v>40101.0</v>
      </c>
      <c r="B166" s="47" t="s">
        <v>18</v>
      </c>
      <c r="C166" s="69">
        <v>30008.0</v>
      </c>
      <c r="D166" s="69">
        <v>5958.0</v>
      </c>
    </row>
    <row r="167" ht="14.25" customHeight="1">
      <c r="A167" s="46">
        <v>40102.0</v>
      </c>
      <c r="B167" s="47" t="s">
        <v>190</v>
      </c>
      <c r="C167" s="69">
        <v>11771.0</v>
      </c>
      <c r="D167" s="69">
        <v>3075.0</v>
      </c>
    </row>
    <row r="168" ht="14.25" customHeight="1">
      <c r="A168" s="46">
        <v>40103.0</v>
      </c>
      <c r="B168" s="47" t="s">
        <v>191</v>
      </c>
      <c r="C168" s="69">
        <v>7889.0</v>
      </c>
      <c r="D168" s="69">
        <v>5432.0</v>
      </c>
    </row>
    <row r="169" ht="14.25" customHeight="1">
      <c r="A169" s="46">
        <v>40104.0</v>
      </c>
      <c r="B169" s="47" t="s">
        <v>192</v>
      </c>
      <c r="C169" s="69">
        <v>6412.0</v>
      </c>
      <c r="D169" s="69">
        <v>1889.0</v>
      </c>
    </row>
    <row r="170" ht="14.25" customHeight="1">
      <c r="A170" s="46">
        <v>40201.0</v>
      </c>
      <c r="B170" s="47" t="s">
        <v>193</v>
      </c>
      <c r="C170" s="69">
        <v>13302.0</v>
      </c>
      <c r="D170" s="69">
        <v>6216.0</v>
      </c>
    </row>
    <row r="171" ht="14.25" customHeight="1">
      <c r="A171" s="46">
        <v>40202.0</v>
      </c>
      <c r="B171" s="47" t="s">
        <v>194</v>
      </c>
      <c r="C171" s="69">
        <v>1972.0</v>
      </c>
      <c r="D171" s="69">
        <v>1129.0</v>
      </c>
    </row>
    <row r="172" ht="14.25" customHeight="1">
      <c r="A172" s="46">
        <v>40301.0</v>
      </c>
      <c r="B172" s="47" t="s">
        <v>195</v>
      </c>
      <c r="C172" s="69">
        <v>6426.0</v>
      </c>
      <c r="D172" s="69">
        <v>5322.0</v>
      </c>
    </row>
    <row r="173" ht="14.25" customHeight="1">
      <c r="A173" s="46">
        <v>40302.0</v>
      </c>
      <c r="B173" s="47" t="s">
        <v>196</v>
      </c>
      <c r="C173" s="69">
        <v>1292.0</v>
      </c>
      <c r="D173" s="69">
        <v>673.0</v>
      </c>
    </row>
    <row r="174" ht="14.25" customHeight="1">
      <c r="A174" s="46">
        <v>40401.0</v>
      </c>
      <c r="B174" s="47" t="s">
        <v>197</v>
      </c>
      <c r="C174" s="69">
        <v>1808.0</v>
      </c>
      <c r="D174" s="69">
        <v>1218.0</v>
      </c>
    </row>
    <row r="175" ht="14.25" customHeight="1">
      <c r="A175" s="46">
        <v>40402.0</v>
      </c>
      <c r="B175" s="47" t="s">
        <v>198</v>
      </c>
      <c r="C175" s="69">
        <v>2830.0</v>
      </c>
      <c r="D175" s="69">
        <v>1831.0</v>
      </c>
    </row>
    <row r="176" ht="14.25" customHeight="1">
      <c r="A176" s="46">
        <v>40501.0</v>
      </c>
      <c r="B176" s="47" t="s">
        <v>199</v>
      </c>
      <c r="C176" s="69">
        <v>48.0</v>
      </c>
      <c r="D176" s="69">
        <v>92.0</v>
      </c>
    </row>
    <row r="177" ht="14.25" customHeight="1">
      <c r="A177" s="46">
        <v>40502.0</v>
      </c>
      <c r="B177" s="47" t="s">
        <v>200</v>
      </c>
      <c r="C177" s="69">
        <v>2928.0</v>
      </c>
      <c r="D177" s="69">
        <v>754.0</v>
      </c>
    </row>
    <row r="178" ht="14.25" customHeight="1">
      <c r="A178" s="46">
        <v>40503.0</v>
      </c>
      <c r="B178" s="47" t="s">
        <v>201</v>
      </c>
      <c r="C178" s="69">
        <v>1234.0</v>
      </c>
      <c r="D178" s="69">
        <v>132.0</v>
      </c>
    </row>
    <row r="179" ht="14.25" customHeight="1">
      <c r="A179" s="46">
        <v>40504.0</v>
      </c>
      <c r="B179" s="47" t="s">
        <v>202</v>
      </c>
      <c r="C179" s="69">
        <v>312.0</v>
      </c>
      <c r="D179" s="69">
        <v>28.0</v>
      </c>
    </row>
    <row r="180" ht="14.25" customHeight="1">
      <c r="A180" s="46">
        <v>40505.0</v>
      </c>
      <c r="B180" s="47" t="s">
        <v>203</v>
      </c>
      <c r="C180" s="69">
        <v>954.0</v>
      </c>
      <c r="D180" s="69">
        <v>349.0</v>
      </c>
    </row>
    <row r="181" ht="14.25" customHeight="1">
      <c r="A181" s="46">
        <v>40601.0</v>
      </c>
      <c r="B181" s="47" t="s">
        <v>204</v>
      </c>
      <c r="C181" s="69">
        <v>2634.0</v>
      </c>
      <c r="D181" s="69">
        <v>1019.0</v>
      </c>
    </row>
    <row r="182" ht="14.25" customHeight="1">
      <c r="A182" s="46">
        <v>40602.0</v>
      </c>
      <c r="B182" s="47" t="s">
        <v>205</v>
      </c>
      <c r="C182" s="69">
        <v>2080.0</v>
      </c>
      <c r="D182" s="69">
        <v>533.0</v>
      </c>
    </row>
    <row r="183" ht="14.25" customHeight="1">
      <c r="A183" s="46">
        <v>40603.0</v>
      </c>
      <c r="B183" s="47" t="s">
        <v>206</v>
      </c>
      <c r="C183" s="69">
        <v>933.0</v>
      </c>
      <c r="D183" s="69">
        <v>272.0</v>
      </c>
    </row>
    <row r="184" ht="14.25" customHeight="1">
      <c r="A184" s="46">
        <v>40701.0</v>
      </c>
      <c r="B184" s="47" t="s">
        <v>207</v>
      </c>
      <c r="C184" s="69">
        <v>4491.0</v>
      </c>
      <c r="D184" s="69">
        <v>633.0</v>
      </c>
    </row>
    <row r="185" ht="14.25" customHeight="1">
      <c r="A185" s="46">
        <v>40702.0</v>
      </c>
      <c r="B185" s="47" t="s">
        <v>208</v>
      </c>
      <c r="C185" s="69">
        <v>1138.0</v>
      </c>
      <c r="D185" s="69">
        <v>340.0</v>
      </c>
    </row>
    <row r="186" ht="14.25" customHeight="1">
      <c r="A186" s="46">
        <v>40801.0</v>
      </c>
      <c r="B186" s="47" t="s">
        <v>209</v>
      </c>
      <c r="C186" s="69">
        <v>6447.0</v>
      </c>
      <c r="D186" s="69">
        <v>2363.0</v>
      </c>
    </row>
    <row r="187" ht="14.25" customHeight="1">
      <c r="A187" s="46">
        <v>40802.0</v>
      </c>
      <c r="B187" s="47" t="s">
        <v>210</v>
      </c>
      <c r="C187" s="69">
        <v>1729.0</v>
      </c>
      <c r="D187" s="69">
        <v>625.0</v>
      </c>
    </row>
    <row r="188" ht="14.25" customHeight="1">
      <c r="A188" s="46">
        <v>40901.0</v>
      </c>
      <c r="B188" s="47" t="s">
        <v>211</v>
      </c>
      <c r="C188" s="69">
        <v>3601.0</v>
      </c>
      <c r="D188" s="69">
        <v>1381.0</v>
      </c>
    </row>
    <row r="189" ht="14.25" customHeight="1">
      <c r="A189" s="46">
        <v>40902.0</v>
      </c>
      <c r="B189" s="47" t="s">
        <v>212</v>
      </c>
      <c r="C189" s="69">
        <v>467.0</v>
      </c>
      <c r="D189" s="69">
        <v>151.0</v>
      </c>
    </row>
    <row r="190" ht="14.25" customHeight="1">
      <c r="A190" s="46">
        <v>40903.0</v>
      </c>
      <c r="B190" s="47" t="s">
        <v>213</v>
      </c>
      <c r="C190" s="69">
        <v>1036.0</v>
      </c>
      <c r="D190" s="69">
        <v>881.0</v>
      </c>
    </row>
    <row r="191" ht="14.25" customHeight="1">
      <c r="A191" s="46">
        <v>41001.0</v>
      </c>
      <c r="B191" s="47" t="s">
        <v>214</v>
      </c>
      <c r="C191" s="69">
        <v>7507.0</v>
      </c>
      <c r="D191" s="69">
        <v>3885.0</v>
      </c>
    </row>
    <row r="192" ht="14.25" customHeight="1">
      <c r="A192" s="46">
        <v>41101.0</v>
      </c>
      <c r="B192" s="47" t="s">
        <v>215</v>
      </c>
      <c r="C192" s="69">
        <v>2086.0</v>
      </c>
      <c r="D192" s="69">
        <v>637.0</v>
      </c>
    </row>
    <row r="193" ht="14.25" customHeight="1">
      <c r="A193" s="46">
        <v>41201.0</v>
      </c>
      <c r="B193" s="47" t="s">
        <v>216</v>
      </c>
      <c r="C193" s="69">
        <v>3648.0</v>
      </c>
      <c r="D193" s="69">
        <v>1948.0</v>
      </c>
    </row>
    <row r="194" ht="14.25" customHeight="1">
      <c r="A194" s="46">
        <v>41202.0</v>
      </c>
      <c r="B194" s="47" t="s">
        <v>217</v>
      </c>
      <c r="C194" s="69">
        <v>1234.0</v>
      </c>
      <c r="D194" s="69">
        <v>668.0</v>
      </c>
    </row>
    <row r="195" ht="14.25" customHeight="1">
      <c r="A195" s="46">
        <v>41301.0</v>
      </c>
      <c r="B195" s="47" t="s">
        <v>172</v>
      </c>
      <c r="C195" s="69">
        <v>3938.0</v>
      </c>
      <c r="D195" s="69">
        <v>2447.0</v>
      </c>
    </row>
    <row r="196" ht="14.25" customHeight="1">
      <c r="A196" s="46">
        <v>41401.0</v>
      </c>
      <c r="B196" s="47" t="s">
        <v>218</v>
      </c>
      <c r="C196" s="69">
        <v>6936.0</v>
      </c>
      <c r="D196" s="69">
        <v>2531.0</v>
      </c>
    </row>
    <row r="197" ht="14.25" customHeight="1">
      <c r="A197" s="46">
        <v>41501.0</v>
      </c>
      <c r="B197" s="47" t="s">
        <v>219</v>
      </c>
      <c r="C197" s="69">
        <v>348.0</v>
      </c>
      <c r="D197" s="69">
        <v>397.0</v>
      </c>
    </row>
    <row r="198" ht="14.25" customHeight="1">
      <c r="A198" s="46">
        <v>41502.0</v>
      </c>
      <c r="B198" s="47" t="s">
        <v>220</v>
      </c>
      <c r="C198" s="69">
        <v>470.0</v>
      </c>
      <c r="D198" s="69">
        <v>145.0</v>
      </c>
    </row>
    <row r="199" ht="14.25" customHeight="1">
      <c r="A199" s="46">
        <v>41503.0</v>
      </c>
      <c r="B199" s="47" t="s">
        <v>221</v>
      </c>
      <c r="C199" s="69">
        <v>639.0</v>
      </c>
      <c r="D199" s="69">
        <v>209.0</v>
      </c>
    </row>
    <row r="200" ht="14.25" customHeight="1">
      <c r="A200" s="46">
        <v>41601.0</v>
      </c>
      <c r="B200" s="47" t="s">
        <v>222</v>
      </c>
      <c r="C200" s="69">
        <v>4147.0</v>
      </c>
      <c r="D200" s="69">
        <v>1883.0</v>
      </c>
    </row>
    <row r="201" ht="14.25" customHeight="1">
      <c r="A201" s="46">
        <v>50101.0</v>
      </c>
      <c r="B201" s="47" t="s">
        <v>20</v>
      </c>
      <c r="C201" s="69">
        <v>23400.0</v>
      </c>
      <c r="D201" s="69">
        <v>7326.0</v>
      </c>
    </row>
    <row r="202" ht="14.25" customHeight="1">
      <c r="A202" s="46">
        <v>50102.0</v>
      </c>
      <c r="B202" s="47" t="s">
        <v>223</v>
      </c>
      <c r="C202" s="69">
        <v>23361.0</v>
      </c>
      <c r="D202" s="69">
        <v>9999.0</v>
      </c>
    </row>
    <row r="203" ht="14.25" customHeight="1">
      <c r="A203" s="46">
        <v>50103.0</v>
      </c>
      <c r="B203" s="47" t="s">
        <v>224</v>
      </c>
      <c r="C203" s="69">
        <v>3192.0</v>
      </c>
      <c r="D203" s="69">
        <v>1049.0</v>
      </c>
    </row>
    <row r="204" ht="14.25" customHeight="1">
      <c r="A204" s="46">
        <v>50104.0</v>
      </c>
      <c r="B204" s="47" t="s">
        <v>225</v>
      </c>
      <c r="C204" s="69">
        <v>1736.0</v>
      </c>
      <c r="D204" s="69">
        <v>1140.0</v>
      </c>
    </row>
    <row r="205" ht="14.25" customHeight="1">
      <c r="A205" s="46">
        <v>50201.0</v>
      </c>
      <c r="B205" s="47" t="s">
        <v>226</v>
      </c>
      <c r="C205" s="69">
        <v>10574.0</v>
      </c>
      <c r="D205" s="69">
        <v>3616.0</v>
      </c>
    </row>
    <row r="206" ht="14.25" customHeight="1">
      <c r="A206" s="46">
        <v>50202.0</v>
      </c>
      <c r="B206" s="47" t="s">
        <v>227</v>
      </c>
      <c r="C206" s="69">
        <v>9019.0</v>
      </c>
      <c r="D206" s="69">
        <v>2189.0</v>
      </c>
    </row>
    <row r="207" ht="14.25" customHeight="1">
      <c r="A207" s="46">
        <v>50203.0</v>
      </c>
      <c r="B207" s="47" t="s">
        <v>228</v>
      </c>
      <c r="C207" s="69">
        <v>11265.0</v>
      </c>
      <c r="D207" s="69">
        <v>2844.0</v>
      </c>
    </row>
    <row r="208" ht="14.25" customHeight="1">
      <c r="A208" s="46">
        <v>50204.0</v>
      </c>
      <c r="B208" s="47" t="s">
        <v>229</v>
      </c>
      <c r="C208" s="69">
        <v>5737.0</v>
      </c>
      <c r="D208" s="69">
        <v>2111.0</v>
      </c>
    </row>
    <row r="209" ht="14.25" customHeight="1">
      <c r="A209" s="46">
        <v>50301.0</v>
      </c>
      <c r="B209" s="47" t="s">
        <v>230</v>
      </c>
      <c r="C209" s="69">
        <v>20338.0</v>
      </c>
      <c r="D209" s="69">
        <v>6609.0</v>
      </c>
    </row>
    <row r="210" ht="14.25" customHeight="1">
      <c r="A210" s="46">
        <v>50302.0</v>
      </c>
      <c r="B210" s="47" t="s">
        <v>231</v>
      </c>
      <c r="C210" s="69">
        <v>5477.0</v>
      </c>
      <c r="D210" s="69">
        <v>1794.0</v>
      </c>
    </row>
    <row r="211" ht="14.25" customHeight="1">
      <c r="A211" s="46">
        <v>50303.0</v>
      </c>
      <c r="B211" s="47" t="s">
        <v>232</v>
      </c>
      <c r="C211" s="69">
        <v>10763.0</v>
      </c>
      <c r="D211" s="69">
        <v>6291.0</v>
      </c>
    </row>
    <row r="212" ht="14.25" customHeight="1">
      <c r="A212" s="46">
        <v>50401.0</v>
      </c>
      <c r="B212" s="47" t="s">
        <v>233</v>
      </c>
      <c r="C212" s="69">
        <v>11183.0</v>
      </c>
      <c r="D212" s="69">
        <v>5413.0</v>
      </c>
    </row>
    <row r="213" ht="14.25" customHeight="1">
      <c r="A213" s="46">
        <v>50402.0</v>
      </c>
      <c r="B213" s="47" t="s">
        <v>234</v>
      </c>
      <c r="C213" s="69">
        <v>17131.0</v>
      </c>
      <c r="D213" s="69">
        <v>6053.0</v>
      </c>
    </row>
    <row r="214" ht="14.25" customHeight="1">
      <c r="A214" s="46">
        <v>50403.0</v>
      </c>
      <c r="B214" s="47" t="s">
        <v>235</v>
      </c>
      <c r="C214" s="69">
        <v>19776.0</v>
      </c>
      <c r="D214" s="69">
        <v>9425.0</v>
      </c>
    </row>
    <row r="215" ht="14.25" customHeight="1">
      <c r="A215" s="46">
        <v>50404.0</v>
      </c>
      <c r="B215" s="47" t="s">
        <v>236</v>
      </c>
      <c r="C215" s="69">
        <v>13653.0</v>
      </c>
      <c r="D215" s="69">
        <v>5636.0</v>
      </c>
    </row>
    <row r="216" ht="14.25" customHeight="1">
      <c r="A216" s="46">
        <v>50405.0</v>
      </c>
      <c r="B216" s="47" t="s">
        <v>237</v>
      </c>
      <c r="C216" s="69">
        <v>16177.0</v>
      </c>
      <c r="D216" s="69">
        <v>6732.0</v>
      </c>
    </row>
    <row r="217" ht="14.25" customHeight="1">
      <c r="A217" s="46">
        <v>50501.0</v>
      </c>
      <c r="B217" s="47" t="s">
        <v>238</v>
      </c>
      <c r="C217" s="69">
        <v>26984.0</v>
      </c>
      <c r="D217" s="69">
        <v>14401.0</v>
      </c>
    </row>
    <row r="218" ht="14.25" customHeight="1">
      <c r="A218" s="46">
        <v>50502.0</v>
      </c>
      <c r="B218" s="47" t="s">
        <v>239</v>
      </c>
      <c r="C218" s="69">
        <v>8319.0</v>
      </c>
      <c r="D218" s="69">
        <v>4387.0</v>
      </c>
    </row>
    <row r="219" ht="14.25" customHeight="1">
      <c r="A219" s="46">
        <v>50601.0</v>
      </c>
      <c r="B219" s="47" t="s">
        <v>240</v>
      </c>
      <c r="C219" s="69">
        <v>18556.0</v>
      </c>
      <c r="D219" s="69">
        <v>5634.0</v>
      </c>
    </row>
    <row r="220" ht="14.25" customHeight="1">
      <c r="A220" s="46">
        <v>50602.0</v>
      </c>
      <c r="B220" s="47" t="s">
        <v>241</v>
      </c>
      <c r="C220" s="69">
        <v>5343.0</v>
      </c>
      <c r="D220" s="69">
        <v>1575.0</v>
      </c>
    </row>
    <row r="221" ht="14.25" customHeight="1">
      <c r="A221" s="46">
        <v>50701.0</v>
      </c>
      <c r="B221" s="47" t="s">
        <v>242</v>
      </c>
      <c r="C221" s="69">
        <v>14258.0</v>
      </c>
      <c r="D221" s="69">
        <v>4407.0</v>
      </c>
    </row>
    <row r="222" ht="14.25" customHeight="1">
      <c r="A222" s="46">
        <v>50702.0</v>
      </c>
      <c r="B222" s="47" t="s">
        <v>243</v>
      </c>
      <c r="C222" s="69">
        <v>6284.0</v>
      </c>
      <c r="D222" s="69">
        <v>2031.0</v>
      </c>
    </row>
    <row r="223" ht="14.25" customHeight="1">
      <c r="A223" s="46">
        <v>50801.0</v>
      </c>
      <c r="B223" s="47" t="s">
        <v>244</v>
      </c>
      <c r="C223" s="69">
        <v>13251.0</v>
      </c>
      <c r="D223" s="69">
        <v>2796.0</v>
      </c>
    </row>
    <row r="224" ht="14.25" customHeight="1">
      <c r="A224" s="46">
        <v>50802.0</v>
      </c>
      <c r="B224" s="47" t="s">
        <v>245</v>
      </c>
      <c r="C224" s="69">
        <v>2264.0</v>
      </c>
      <c r="D224" s="69">
        <v>451.0</v>
      </c>
    </row>
    <row r="225" ht="14.25" customHeight="1">
      <c r="A225" s="46">
        <v>50901.0</v>
      </c>
      <c r="B225" s="47" t="s">
        <v>246</v>
      </c>
      <c r="C225" s="69">
        <v>5378.0</v>
      </c>
      <c r="D225" s="69">
        <v>764.0</v>
      </c>
    </row>
    <row r="226" ht="14.25" customHeight="1">
      <c r="A226" s="46">
        <v>50902.0</v>
      </c>
      <c r="B226" s="47" t="s">
        <v>247</v>
      </c>
      <c r="C226" s="69">
        <v>441.0</v>
      </c>
      <c r="D226" s="69">
        <v>137.0</v>
      </c>
    </row>
    <row r="227" ht="14.25" customHeight="1">
      <c r="A227" s="46">
        <v>51001.0</v>
      </c>
      <c r="B227" s="47" t="s">
        <v>248</v>
      </c>
      <c r="C227" s="69">
        <v>1840.0</v>
      </c>
      <c r="D227" s="69">
        <v>575.0</v>
      </c>
    </row>
    <row r="228" ht="14.25" customHeight="1">
      <c r="A228" s="46">
        <v>51002.0</v>
      </c>
      <c r="B228" s="47" t="s">
        <v>249</v>
      </c>
      <c r="C228" s="69">
        <v>852.0</v>
      </c>
      <c r="D228" s="69">
        <v>347.0</v>
      </c>
    </row>
    <row r="229" ht="14.25" customHeight="1">
      <c r="A229" s="46">
        <v>51003.0</v>
      </c>
      <c r="B229" s="47" t="s">
        <v>250</v>
      </c>
      <c r="C229" s="69">
        <v>1276.0</v>
      </c>
      <c r="D229" s="69">
        <v>532.0</v>
      </c>
    </row>
    <row r="230" ht="14.25" customHeight="1">
      <c r="A230" s="46">
        <v>51101.0</v>
      </c>
      <c r="B230" s="47" t="s">
        <v>251</v>
      </c>
      <c r="C230" s="69">
        <v>11132.0</v>
      </c>
      <c r="D230" s="69">
        <v>2395.0</v>
      </c>
    </row>
    <row r="231" ht="14.25" customHeight="1">
      <c r="A231" s="46">
        <v>51102.0</v>
      </c>
      <c r="B231" s="47" t="s">
        <v>252</v>
      </c>
      <c r="C231" s="69">
        <v>5547.0</v>
      </c>
      <c r="D231" s="69">
        <v>2012.0</v>
      </c>
    </row>
    <row r="232" ht="14.25" customHeight="1">
      <c r="A232" s="46">
        <v>51103.0</v>
      </c>
      <c r="B232" s="47" t="s">
        <v>253</v>
      </c>
      <c r="C232" s="69">
        <v>13726.0</v>
      </c>
      <c r="D232" s="69">
        <v>6484.0</v>
      </c>
    </row>
    <row r="233" ht="14.25" customHeight="1">
      <c r="A233" s="46">
        <v>51201.0</v>
      </c>
      <c r="B233" s="47" t="s">
        <v>254</v>
      </c>
      <c r="C233" s="69">
        <v>10850.0</v>
      </c>
      <c r="D233" s="69">
        <v>2803.0</v>
      </c>
    </row>
    <row r="234" ht="14.25" customHeight="1">
      <c r="A234" s="46">
        <v>51202.0</v>
      </c>
      <c r="B234" s="47" t="s">
        <v>255</v>
      </c>
      <c r="C234" s="69">
        <v>5988.0</v>
      </c>
      <c r="D234" s="69">
        <v>1684.0</v>
      </c>
    </row>
    <row r="235" ht="14.25" customHeight="1">
      <c r="A235" s="46">
        <v>51203.0</v>
      </c>
      <c r="B235" s="47" t="s">
        <v>256</v>
      </c>
      <c r="C235" s="69">
        <v>3032.0</v>
      </c>
      <c r="D235" s="69">
        <v>955.0</v>
      </c>
    </row>
    <row r="236" ht="14.25" customHeight="1">
      <c r="A236" s="46">
        <v>51204.0</v>
      </c>
      <c r="B236" s="47" t="s">
        <v>257</v>
      </c>
      <c r="C236" s="69">
        <v>3905.0</v>
      </c>
      <c r="D236" s="69">
        <v>1389.0</v>
      </c>
    </row>
    <row r="237" ht="14.25" customHeight="1">
      <c r="A237" s="46">
        <v>51301.0</v>
      </c>
      <c r="B237" s="47" t="s">
        <v>258</v>
      </c>
      <c r="C237" s="69">
        <v>3073.0</v>
      </c>
      <c r="D237" s="69">
        <v>995.0</v>
      </c>
    </row>
    <row r="238" ht="14.25" customHeight="1">
      <c r="A238" s="46">
        <v>51302.0</v>
      </c>
      <c r="B238" s="47" t="s">
        <v>259</v>
      </c>
      <c r="C238" s="69">
        <v>4205.0</v>
      </c>
      <c r="D238" s="69">
        <v>1104.0</v>
      </c>
    </row>
    <row r="239" ht="14.25" customHeight="1">
      <c r="A239" s="46">
        <v>51401.0</v>
      </c>
      <c r="B239" s="47" t="s">
        <v>260</v>
      </c>
      <c r="C239" s="69">
        <v>2241.0</v>
      </c>
      <c r="D239" s="69">
        <v>192.0</v>
      </c>
    </row>
    <row r="240" ht="14.25" customHeight="1">
      <c r="A240" s="46">
        <v>51402.0</v>
      </c>
      <c r="B240" s="47" t="s">
        <v>261</v>
      </c>
      <c r="C240" s="69">
        <v>620.0</v>
      </c>
      <c r="D240" s="69">
        <v>250.0</v>
      </c>
    </row>
    <row r="241" ht="14.25" customHeight="1">
      <c r="A241" s="46">
        <v>51501.0</v>
      </c>
      <c r="B241" s="47" t="s">
        <v>262</v>
      </c>
      <c r="C241" s="69">
        <v>11219.0</v>
      </c>
      <c r="D241" s="69">
        <v>2696.0</v>
      </c>
    </row>
    <row r="242" ht="14.25" customHeight="1">
      <c r="A242" s="46">
        <v>51601.0</v>
      </c>
      <c r="B242" s="47" t="s">
        <v>263</v>
      </c>
      <c r="C242" s="69">
        <v>861.0</v>
      </c>
      <c r="D242" s="69">
        <v>139.0</v>
      </c>
    </row>
    <row r="243" ht="14.25" customHeight="1">
      <c r="A243" s="46">
        <v>60101.0</v>
      </c>
      <c r="B243" s="47" t="s">
        <v>22</v>
      </c>
      <c r="C243" s="69">
        <v>22131.0</v>
      </c>
      <c r="D243" s="69">
        <v>6560.0</v>
      </c>
    </row>
    <row r="244" ht="14.25" customHeight="1">
      <c r="A244" s="46">
        <v>60201.0</v>
      </c>
      <c r="B244" s="47" t="s">
        <v>264</v>
      </c>
      <c r="C244" s="69">
        <v>6896.0</v>
      </c>
      <c r="D244" s="69">
        <v>1816.0</v>
      </c>
    </row>
    <row r="245" ht="14.25" customHeight="1">
      <c r="A245" s="46">
        <v>60202.0</v>
      </c>
      <c r="B245" s="47" t="s">
        <v>265</v>
      </c>
      <c r="C245" s="69">
        <v>4390.0</v>
      </c>
      <c r="D245" s="69">
        <v>1077.0</v>
      </c>
    </row>
    <row r="246" ht="14.25" customHeight="1">
      <c r="A246" s="46">
        <v>60301.0</v>
      </c>
      <c r="B246" s="47" t="s">
        <v>266</v>
      </c>
      <c r="C246" s="69">
        <v>15220.0</v>
      </c>
      <c r="D246" s="69">
        <v>4484.0</v>
      </c>
    </row>
    <row r="247" ht="14.25" customHeight="1">
      <c r="A247" s="46">
        <v>60302.0</v>
      </c>
      <c r="B247" s="47" t="s">
        <v>267</v>
      </c>
      <c r="C247" s="69">
        <v>2394.0</v>
      </c>
      <c r="D247" s="69">
        <v>751.0</v>
      </c>
    </row>
    <row r="248" ht="14.25" customHeight="1">
      <c r="A248" s="46">
        <v>60303.0</v>
      </c>
      <c r="B248" s="47" t="s">
        <v>268</v>
      </c>
      <c r="C248" s="69">
        <v>9173.0</v>
      </c>
      <c r="D248" s="69">
        <v>2676.0</v>
      </c>
    </row>
    <row r="249" ht="14.25" customHeight="1">
      <c r="A249" s="46">
        <v>60401.0</v>
      </c>
      <c r="B249" s="47" t="s">
        <v>269</v>
      </c>
      <c r="C249" s="69">
        <v>4856.0</v>
      </c>
      <c r="D249" s="69">
        <v>1222.0</v>
      </c>
    </row>
    <row r="250" ht="14.25" customHeight="1">
      <c r="A250" s="46">
        <v>60402.0</v>
      </c>
      <c r="B250" s="47" t="s">
        <v>270</v>
      </c>
      <c r="C250" s="69">
        <v>1952.0</v>
      </c>
      <c r="D250" s="69">
        <v>533.0</v>
      </c>
    </row>
    <row r="251" ht="14.25" customHeight="1">
      <c r="A251" s="46">
        <v>60501.0</v>
      </c>
      <c r="B251" s="47" t="s">
        <v>271</v>
      </c>
      <c r="C251" s="69">
        <v>7013.0</v>
      </c>
      <c r="D251" s="69">
        <v>2815.0</v>
      </c>
    </row>
    <row r="252" ht="14.25" customHeight="1">
      <c r="A252" s="46">
        <v>60502.0</v>
      </c>
      <c r="B252" s="47" t="s">
        <v>272</v>
      </c>
      <c r="C252" s="69">
        <v>3567.0</v>
      </c>
      <c r="D252" s="69">
        <v>585.0</v>
      </c>
    </row>
    <row r="253" ht="14.25" customHeight="1">
      <c r="A253" s="46">
        <v>60601.0</v>
      </c>
      <c r="B253" s="47" t="s">
        <v>177</v>
      </c>
      <c r="C253" s="69">
        <v>8951.0</v>
      </c>
      <c r="D253" s="69">
        <v>2380.0</v>
      </c>
    </row>
    <row r="254" ht="14.25" customHeight="1">
      <c r="A254" s="46">
        <v>70101.0</v>
      </c>
      <c r="B254" s="47" t="s">
        <v>273</v>
      </c>
      <c r="C254" s="69">
        <v>193929.0</v>
      </c>
      <c r="D254" s="69">
        <v>26459.0</v>
      </c>
    </row>
    <row r="255" ht="14.25" customHeight="1">
      <c r="A255" s="46">
        <v>70102.0</v>
      </c>
      <c r="B255" s="47" t="s">
        <v>274</v>
      </c>
      <c r="C255" s="69">
        <v>14136.0</v>
      </c>
      <c r="D255" s="69">
        <v>6386.0</v>
      </c>
    </row>
    <row r="256" ht="14.25" customHeight="1">
      <c r="A256" s="46">
        <v>70103.0</v>
      </c>
      <c r="B256" s="47" t="s">
        <v>275</v>
      </c>
      <c r="C256" s="69">
        <v>4697.0</v>
      </c>
      <c r="D256" s="69">
        <v>831.0</v>
      </c>
    </row>
    <row r="257" ht="14.25" customHeight="1">
      <c r="A257" s="46">
        <v>70104.0</v>
      </c>
      <c r="B257" s="47" t="s">
        <v>276</v>
      </c>
      <c r="C257" s="69">
        <v>21328.0</v>
      </c>
      <c r="D257" s="69">
        <v>4774.0</v>
      </c>
    </row>
    <row r="258" ht="14.25" customHeight="1">
      <c r="A258" s="46">
        <v>70105.0</v>
      </c>
      <c r="B258" s="47" t="s">
        <v>277</v>
      </c>
      <c r="C258" s="69">
        <v>14749.0</v>
      </c>
      <c r="D258" s="69">
        <v>2787.0</v>
      </c>
    </row>
    <row r="259" ht="14.25" customHeight="1">
      <c r="A259" s="46">
        <v>70201.0</v>
      </c>
      <c r="B259" s="47" t="s">
        <v>278</v>
      </c>
      <c r="C259" s="69">
        <v>24694.0</v>
      </c>
      <c r="D259" s="69">
        <v>6997.0</v>
      </c>
    </row>
    <row r="260" ht="14.25" customHeight="1">
      <c r="A260" s="46">
        <v>70202.0</v>
      </c>
      <c r="B260" s="47" t="s">
        <v>279</v>
      </c>
      <c r="C260" s="69">
        <v>3284.0</v>
      </c>
      <c r="D260" s="69">
        <v>380.0</v>
      </c>
    </row>
    <row r="261" ht="14.25" customHeight="1">
      <c r="A261" s="46">
        <v>70301.0</v>
      </c>
      <c r="B261" s="47" t="s">
        <v>280</v>
      </c>
      <c r="C261" s="69">
        <v>23445.0</v>
      </c>
      <c r="D261" s="69">
        <v>8642.0</v>
      </c>
    </row>
    <row r="262" ht="14.25" customHeight="1">
      <c r="A262" s="46">
        <v>70302.0</v>
      </c>
      <c r="B262" s="47" t="s">
        <v>281</v>
      </c>
      <c r="C262" s="69">
        <v>6516.0</v>
      </c>
      <c r="D262" s="69">
        <v>2424.0</v>
      </c>
    </row>
    <row r="263" ht="14.25" customHeight="1">
      <c r="A263" s="46">
        <v>70303.0</v>
      </c>
      <c r="B263" s="47" t="s">
        <v>282</v>
      </c>
      <c r="C263" s="69">
        <v>3132.0</v>
      </c>
      <c r="D263" s="69">
        <v>1525.0</v>
      </c>
    </row>
    <row r="264" ht="14.25" customHeight="1">
      <c r="A264" s="46">
        <v>70401.0</v>
      </c>
      <c r="B264" s="47" t="s">
        <v>283</v>
      </c>
      <c r="C264" s="69">
        <v>3875.0</v>
      </c>
      <c r="D264" s="69">
        <v>738.0</v>
      </c>
    </row>
    <row r="265" ht="14.25" customHeight="1">
      <c r="A265" s="46">
        <v>70402.0</v>
      </c>
      <c r="B265" s="47" t="s">
        <v>284</v>
      </c>
      <c r="C265" s="69">
        <v>8307.0</v>
      </c>
      <c r="D265" s="69">
        <v>1373.0</v>
      </c>
    </row>
    <row r="266" ht="14.25" customHeight="1">
      <c r="A266" s="46">
        <v>70403.0</v>
      </c>
      <c r="B266" s="47" t="s">
        <v>285</v>
      </c>
      <c r="C266" s="69">
        <v>23589.0</v>
      </c>
      <c r="D266" s="69">
        <v>7813.0</v>
      </c>
    </row>
    <row r="267" ht="14.25" customHeight="1">
      <c r="A267" s="46">
        <v>70404.0</v>
      </c>
      <c r="B267" s="47" t="s">
        <v>286</v>
      </c>
      <c r="C267" s="69">
        <v>3556.0</v>
      </c>
      <c r="D267" s="69">
        <v>773.0</v>
      </c>
    </row>
    <row r="268" ht="14.25" customHeight="1">
      <c r="A268" s="46">
        <v>70501.0</v>
      </c>
      <c r="B268" s="47" t="s">
        <v>287</v>
      </c>
      <c r="C268" s="69">
        <v>7056.0</v>
      </c>
      <c r="D268" s="69">
        <v>6952.0</v>
      </c>
    </row>
    <row r="269" ht="14.25" customHeight="1">
      <c r="A269" s="46">
        <v>70502.0</v>
      </c>
      <c r="B269" s="47" t="s">
        <v>288</v>
      </c>
      <c r="C269" s="69">
        <v>12368.0</v>
      </c>
      <c r="D269" s="69">
        <v>5808.0</v>
      </c>
    </row>
    <row r="270" ht="14.25" customHeight="1">
      <c r="A270" s="46">
        <v>70503.0</v>
      </c>
      <c r="B270" s="47" t="s">
        <v>289</v>
      </c>
      <c r="C270" s="69">
        <v>3285.0</v>
      </c>
      <c r="D270" s="69">
        <v>1025.0</v>
      </c>
    </row>
    <row r="271" ht="14.25" customHeight="1">
      <c r="A271" s="46">
        <v>70601.0</v>
      </c>
      <c r="B271" s="47" t="s">
        <v>290</v>
      </c>
      <c r="C271" s="69">
        <v>3894.0</v>
      </c>
      <c r="D271" s="69">
        <v>719.0</v>
      </c>
    </row>
    <row r="272" ht="14.25" customHeight="1">
      <c r="A272" s="46">
        <v>70602.0</v>
      </c>
      <c r="B272" s="47" t="s">
        <v>291</v>
      </c>
      <c r="C272" s="69">
        <v>9769.0</v>
      </c>
      <c r="D272" s="69">
        <v>1410.0</v>
      </c>
    </row>
    <row r="273" ht="14.25" customHeight="1">
      <c r="A273" s="46">
        <v>70603.0</v>
      </c>
      <c r="B273" s="47" t="s">
        <v>292</v>
      </c>
      <c r="C273" s="69">
        <v>1932.0</v>
      </c>
      <c r="D273" s="69">
        <v>342.0</v>
      </c>
    </row>
    <row r="274" ht="14.25" customHeight="1">
      <c r="A274" s="46">
        <v>70701.0</v>
      </c>
      <c r="B274" s="47" t="s">
        <v>293</v>
      </c>
      <c r="C274" s="69">
        <v>2740.0</v>
      </c>
      <c r="D274" s="69">
        <v>352.0</v>
      </c>
    </row>
    <row r="275" ht="14.25" customHeight="1">
      <c r="A275" s="46">
        <v>70702.0</v>
      </c>
      <c r="B275" s="47" t="s">
        <v>294</v>
      </c>
      <c r="C275" s="69">
        <v>17343.0</v>
      </c>
      <c r="D275" s="69">
        <v>5717.0</v>
      </c>
    </row>
    <row r="276" ht="14.25" customHeight="1">
      <c r="A276" s="46">
        <v>70703.0</v>
      </c>
      <c r="B276" s="47" t="s">
        <v>295</v>
      </c>
      <c r="C276" s="69">
        <v>9573.0</v>
      </c>
      <c r="D276" s="69">
        <v>3729.0</v>
      </c>
    </row>
    <row r="277" ht="14.25" customHeight="1">
      <c r="A277" s="46">
        <v>70704.0</v>
      </c>
      <c r="B277" s="47" t="s">
        <v>296</v>
      </c>
      <c r="C277" s="69">
        <v>2355.0</v>
      </c>
      <c r="D277" s="69">
        <v>309.0</v>
      </c>
    </row>
    <row r="278" ht="14.25" customHeight="1">
      <c r="A278" s="46">
        <v>70705.0</v>
      </c>
      <c r="B278" s="47" t="s">
        <v>297</v>
      </c>
      <c r="C278" s="69">
        <v>8323.0</v>
      </c>
      <c r="D278" s="69">
        <v>1466.0</v>
      </c>
    </row>
    <row r="279" ht="14.25" customHeight="1">
      <c r="A279" s="46">
        <v>70706.0</v>
      </c>
      <c r="B279" s="47" t="s">
        <v>298</v>
      </c>
      <c r="C279" s="69">
        <v>5405.0</v>
      </c>
      <c r="D279" s="69">
        <v>1092.0</v>
      </c>
    </row>
    <row r="280" ht="14.25" customHeight="1">
      <c r="A280" s="46">
        <v>70707.0</v>
      </c>
      <c r="B280" s="47" t="s">
        <v>299</v>
      </c>
      <c r="C280" s="69">
        <v>2380.0</v>
      </c>
      <c r="D280" s="69">
        <v>538.0</v>
      </c>
    </row>
    <row r="281" ht="14.25" customHeight="1">
      <c r="A281" s="46">
        <v>70801.0</v>
      </c>
      <c r="B281" s="47" t="s">
        <v>300</v>
      </c>
      <c r="C281" s="69">
        <v>5329.0</v>
      </c>
      <c r="D281" s="69">
        <v>698.0</v>
      </c>
    </row>
    <row r="282" ht="14.25" customHeight="1">
      <c r="A282" s="46">
        <v>70802.0</v>
      </c>
      <c r="B282" s="47" t="s">
        <v>301</v>
      </c>
      <c r="C282" s="69">
        <v>480.0</v>
      </c>
      <c r="D282" s="69">
        <v>38.0</v>
      </c>
    </row>
    <row r="283" ht="14.25" customHeight="1">
      <c r="A283" s="46">
        <v>70803.0</v>
      </c>
      <c r="B283" s="47" t="s">
        <v>302</v>
      </c>
      <c r="C283" s="69">
        <v>1220.0</v>
      </c>
      <c r="D283" s="69">
        <v>214.0</v>
      </c>
    </row>
    <row r="284" ht="14.25" customHeight="1">
      <c r="A284" s="46">
        <v>70804.0</v>
      </c>
      <c r="B284" s="47" t="s">
        <v>303</v>
      </c>
      <c r="C284" s="69">
        <v>1165.0</v>
      </c>
      <c r="D284" s="69">
        <v>299.0</v>
      </c>
    </row>
    <row r="285" ht="14.25" customHeight="1">
      <c r="A285" s="46">
        <v>70805.0</v>
      </c>
      <c r="B285" s="47" t="s">
        <v>304</v>
      </c>
      <c r="C285" s="69">
        <v>1087.0</v>
      </c>
      <c r="D285" s="69">
        <v>157.0</v>
      </c>
    </row>
    <row r="286" ht="14.25" customHeight="1">
      <c r="A286" s="46">
        <v>70901.0</v>
      </c>
      <c r="B286" s="47" t="s">
        <v>305</v>
      </c>
      <c r="C286" s="69">
        <v>3532.0</v>
      </c>
      <c r="D286" s="69">
        <v>856.0</v>
      </c>
    </row>
    <row r="287" ht="14.25" customHeight="1">
      <c r="A287" s="46">
        <v>70902.0</v>
      </c>
      <c r="B287" s="47" t="s">
        <v>306</v>
      </c>
      <c r="C287" s="69">
        <v>3060.0</v>
      </c>
      <c r="D287" s="69">
        <v>695.0</v>
      </c>
    </row>
    <row r="288" ht="14.25" customHeight="1">
      <c r="A288" s="46">
        <v>70903.0</v>
      </c>
      <c r="B288" s="47" t="s">
        <v>307</v>
      </c>
      <c r="C288" s="69">
        <v>2664.0</v>
      </c>
      <c r="D288" s="69">
        <v>1385.0</v>
      </c>
    </row>
    <row r="289" ht="14.25" customHeight="1">
      <c r="A289" s="46">
        <v>70904.0</v>
      </c>
      <c r="B289" s="47" t="s">
        <v>308</v>
      </c>
      <c r="C289" s="69">
        <v>880.0</v>
      </c>
      <c r="D289" s="69">
        <v>229.0</v>
      </c>
    </row>
    <row r="290" ht="14.25" customHeight="1">
      <c r="A290" s="46">
        <v>71001.0</v>
      </c>
      <c r="B290" s="47" t="s">
        <v>309</v>
      </c>
      <c r="C290" s="69">
        <v>22454.0</v>
      </c>
      <c r="D290" s="69">
        <v>5252.0</v>
      </c>
    </row>
    <row r="291" ht="14.25" customHeight="1">
      <c r="A291" s="46">
        <v>71002.0</v>
      </c>
      <c r="B291" s="47" t="s">
        <v>310</v>
      </c>
      <c r="C291" s="69">
        <v>4676.0</v>
      </c>
      <c r="D291" s="69">
        <v>1247.0</v>
      </c>
    </row>
    <row r="292" ht="14.25" customHeight="1">
      <c r="A292" s="46">
        <v>71003.0</v>
      </c>
      <c r="B292" s="47" t="s">
        <v>311</v>
      </c>
      <c r="C292" s="69">
        <v>8477.0</v>
      </c>
      <c r="D292" s="69">
        <v>1261.0</v>
      </c>
    </row>
    <row r="293" ht="14.25" customHeight="1">
      <c r="A293" s="46">
        <v>71004.0</v>
      </c>
      <c r="B293" s="47" t="s">
        <v>312</v>
      </c>
      <c r="C293" s="69">
        <v>4593.0</v>
      </c>
      <c r="D293" s="69">
        <v>1011.0</v>
      </c>
    </row>
    <row r="294" ht="14.25" customHeight="1">
      <c r="A294" s="46">
        <v>71005.0</v>
      </c>
      <c r="B294" s="47" t="s">
        <v>238</v>
      </c>
      <c r="C294" s="69">
        <v>4680.0</v>
      </c>
      <c r="D294" s="69">
        <v>812.0</v>
      </c>
    </row>
    <row r="295" ht="14.25" customHeight="1">
      <c r="A295" s="46">
        <v>71101.0</v>
      </c>
      <c r="B295" s="47" t="s">
        <v>313</v>
      </c>
      <c r="C295" s="69">
        <v>9938.0</v>
      </c>
      <c r="D295" s="69">
        <v>4698.0</v>
      </c>
    </row>
    <row r="296" ht="14.25" customHeight="1">
      <c r="A296" s="46">
        <v>71102.0</v>
      </c>
      <c r="B296" s="47" t="s">
        <v>314</v>
      </c>
      <c r="C296" s="69">
        <v>6715.0</v>
      </c>
      <c r="D296" s="69">
        <v>1475.0</v>
      </c>
    </row>
    <row r="297" ht="14.25" customHeight="1">
      <c r="A297" s="46">
        <v>71103.0</v>
      </c>
      <c r="B297" s="47" t="s">
        <v>315</v>
      </c>
      <c r="C297" s="69">
        <v>18776.0</v>
      </c>
      <c r="D297" s="69">
        <v>855.0</v>
      </c>
    </row>
    <row r="298" ht="14.25" customHeight="1">
      <c r="A298" s="46">
        <v>71104.0</v>
      </c>
      <c r="B298" s="47" t="s">
        <v>316</v>
      </c>
      <c r="C298" s="69">
        <v>2299.0</v>
      </c>
      <c r="D298" s="69">
        <v>2513.0</v>
      </c>
    </row>
    <row r="299" ht="14.25" customHeight="1">
      <c r="A299" s="46">
        <v>71105.0</v>
      </c>
      <c r="B299" s="47" t="s">
        <v>317</v>
      </c>
      <c r="C299" s="69">
        <v>2949.0</v>
      </c>
      <c r="D299" s="69">
        <v>443.0</v>
      </c>
    </row>
    <row r="300" ht="14.25" customHeight="1">
      <c r="A300" s="46">
        <v>71106.0</v>
      </c>
      <c r="B300" s="47" t="s">
        <v>318</v>
      </c>
      <c r="C300" s="69">
        <v>6476.0</v>
      </c>
      <c r="D300" s="69">
        <v>1323.0</v>
      </c>
    </row>
    <row r="301" ht="14.25" customHeight="1">
      <c r="A301" s="46">
        <v>71201.0</v>
      </c>
      <c r="B301" s="47" t="s">
        <v>319</v>
      </c>
      <c r="C301" s="69">
        <v>7509.0</v>
      </c>
      <c r="D301" s="69">
        <v>2003.0</v>
      </c>
    </row>
    <row r="302" ht="14.25" customHeight="1">
      <c r="A302" s="46">
        <v>71301.0</v>
      </c>
      <c r="B302" s="47" t="s">
        <v>320</v>
      </c>
      <c r="C302" s="69">
        <v>5449.0</v>
      </c>
      <c r="D302" s="69">
        <v>1692.0</v>
      </c>
    </row>
    <row r="303" ht="14.25" customHeight="1">
      <c r="A303" s="46">
        <v>71302.0</v>
      </c>
      <c r="B303" s="47" t="s">
        <v>321</v>
      </c>
      <c r="C303" s="69">
        <v>2683.0</v>
      </c>
      <c r="D303" s="69">
        <v>414.0</v>
      </c>
    </row>
    <row r="304" ht="14.25" customHeight="1">
      <c r="A304" s="46">
        <v>71401.0</v>
      </c>
      <c r="B304" s="47" t="s">
        <v>322</v>
      </c>
      <c r="C304" s="69">
        <v>4290.0</v>
      </c>
      <c r="D304" s="69">
        <v>769.0</v>
      </c>
    </row>
    <row r="305" ht="14.25" customHeight="1">
      <c r="A305" s="46">
        <v>71402.0</v>
      </c>
      <c r="B305" s="47" t="s">
        <v>323</v>
      </c>
      <c r="C305" s="69">
        <v>4254.0</v>
      </c>
      <c r="D305" s="69">
        <v>939.0</v>
      </c>
    </row>
    <row r="306" ht="14.25" customHeight="1">
      <c r="A306" s="46">
        <v>71403.0</v>
      </c>
      <c r="B306" s="47" t="s">
        <v>324</v>
      </c>
      <c r="C306" s="69">
        <v>2836.0</v>
      </c>
      <c r="D306" s="69">
        <v>913.0</v>
      </c>
    </row>
    <row r="307" ht="14.25" customHeight="1">
      <c r="A307" s="46">
        <v>71501.0</v>
      </c>
      <c r="B307" s="47" t="s">
        <v>325</v>
      </c>
      <c r="C307" s="69">
        <v>16077.0</v>
      </c>
      <c r="D307" s="69">
        <v>6764.0</v>
      </c>
    </row>
    <row r="308" ht="14.25" customHeight="1">
      <c r="A308" s="46">
        <v>71502.0</v>
      </c>
      <c r="B308" s="47" t="s">
        <v>326</v>
      </c>
      <c r="C308" s="69">
        <v>3819.0</v>
      </c>
      <c r="D308" s="69">
        <v>887.0</v>
      </c>
    </row>
    <row r="309" ht="14.25" customHeight="1">
      <c r="A309" s="46">
        <v>71503.0</v>
      </c>
      <c r="B309" s="47" t="s">
        <v>272</v>
      </c>
      <c r="C309" s="69">
        <v>8967.0</v>
      </c>
      <c r="D309" s="69">
        <v>2413.0</v>
      </c>
    </row>
    <row r="310" ht="14.25" customHeight="1">
      <c r="A310" s="46">
        <v>80101.0</v>
      </c>
      <c r="B310" s="47" t="s">
        <v>327</v>
      </c>
      <c r="C310" s="69">
        <v>36684.0</v>
      </c>
      <c r="D310" s="69">
        <v>11923.0</v>
      </c>
    </row>
    <row r="311" ht="14.25" customHeight="1">
      <c r="A311" s="46">
        <v>80102.0</v>
      </c>
      <c r="B311" s="47" t="s">
        <v>314</v>
      </c>
      <c r="C311" s="69">
        <v>3034.0</v>
      </c>
      <c r="D311" s="69">
        <v>1569.0</v>
      </c>
    </row>
    <row r="312" ht="14.25" customHeight="1">
      <c r="A312" s="46">
        <v>80201.0</v>
      </c>
      <c r="B312" s="47" t="s">
        <v>328</v>
      </c>
      <c r="C312" s="69">
        <v>58348.0</v>
      </c>
      <c r="D312" s="69">
        <v>26834.0</v>
      </c>
    </row>
    <row r="313" ht="14.25" customHeight="1">
      <c r="A313" s="46">
        <v>80202.0</v>
      </c>
      <c r="B313" s="47" t="s">
        <v>329</v>
      </c>
      <c r="C313" s="69">
        <v>15090.0</v>
      </c>
      <c r="D313" s="69">
        <v>4189.0</v>
      </c>
    </row>
    <row r="314" ht="14.25" customHeight="1">
      <c r="A314" s="46">
        <v>80301.0</v>
      </c>
      <c r="B314" s="47" t="s">
        <v>330</v>
      </c>
      <c r="C314" s="69">
        <v>8324.0</v>
      </c>
      <c r="D314" s="69">
        <v>2475.0</v>
      </c>
    </row>
    <row r="315" ht="14.25" customHeight="1">
      <c r="A315" s="46">
        <v>80302.0</v>
      </c>
      <c r="B315" s="47" t="s">
        <v>331</v>
      </c>
      <c r="C315" s="69">
        <v>24411.0</v>
      </c>
      <c r="D315" s="69">
        <v>15965.0</v>
      </c>
    </row>
    <row r="316" ht="14.25" customHeight="1">
      <c r="A316" s="46">
        <v>80303.0</v>
      </c>
      <c r="B316" s="47" t="s">
        <v>291</v>
      </c>
      <c r="C316" s="69">
        <v>4309.0</v>
      </c>
      <c r="D316" s="69">
        <v>1236.0</v>
      </c>
    </row>
    <row r="317" ht="14.25" customHeight="1">
      <c r="A317" s="46">
        <v>80304.0</v>
      </c>
      <c r="B317" s="47" t="s">
        <v>332</v>
      </c>
      <c r="C317" s="69">
        <v>6562.0</v>
      </c>
      <c r="D317" s="69">
        <v>3004.0</v>
      </c>
    </row>
    <row r="318" ht="14.25" customHeight="1">
      <c r="A318" s="46">
        <v>80401.0</v>
      </c>
      <c r="B318" s="47" t="s">
        <v>333</v>
      </c>
      <c r="C318" s="69">
        <v>6824.0</v>
      </c>
      <c r="D318" s="69">
        <v>3720.0</v>
      </c>
    </row>
    <row r="319" ht="14.25" customHeight="1">
      <c r="A319" s="46">
        <v>80402.0</v>
      </c>
      <c r="B319" s="47" t="s">
        <v>334</v>
      </c>
      <c r="C319" s="69">
        <v>4360.0</v>
      </c>
      <c r="D319" s="69">
        <v>1894.0</v>
      </c>
    </row>
    <row r="320" ht="14.25" customHeight="1">
      <c r="A320" s="46">
        <v>80501.0</v>
      </c>
      <c r="B320" s="47" t="s">
        <v>280</v>
      </c>
      <c r="C320" s="69">
        <v>12624.0</v>
      </c>
      <c r="D320" s="69">
        <v>4077.0</v>
      </c>
    </row>
    <row r="321" ht="14.25" customHeight="1">
      <c r="A321" s="46">
        <v>80601.0</v>
      </c>
      <c r="B321" s="47" t="s">
        <v>335</v>
      </c>
      <c r="C321" s="69">
        <v>2484.0</v>
      </c>
      <c r="D321" s="69">
        <v>1092.0</v>
      </c>
    </row>
    <row r="322" ht="14.25" customHeight="1">
      <c r="A322" s="46">
        <v>80602.0</v>
      </c>
      <c r="B322" s="47" t="s">
        <v>336</v>
      </c>
      <c r="C322" s="69">
        <v>6123.0</v>
      </c>
      <c r="D322" s="69">
        <v>2349.0</v>
      </c>
    </row>
    <row r="323" ht="14.25" customHeight="1">
      <c r="A323" s="46">
        <v>80701.0</v>
      </c>
      <c r="B323" s="47" t="s">
        <v>337</v>
      </c>
      <c r="C323" s="69">
        <v>3501.0</v>
      </c>
      <c r="D323" s="69">
        <v>874.0</v>
      </c>
    </row>
    <row r="324" ht="14.25" customHeight="1">
      <c r="A324" s="46">
        <v>80702.0</v>
      </c>
      <c r="B324" s="47" t="s">
        <v>315</v>
      </c>
      <c r="C324" s="69">
        <v>2177.0</v>
      </c>
      <c r="D324" s="69">
        <v>734.0</v>
      </c>
    </row>
    <row r="325" ht="14.25" customHeight="1">
      <c r="A325" s="46">
        <v>80703.0</v>
      </c>
      <c r="B325" s="47" t="s">
        <v>338</v>
      </c>
      <c r="C325" s="69">
        <v>408.0</v>
      </c>
      <c r="D325" s="69">
        <v>103.0</v>
      </c>
    </row>
    <row r="326" ht="14.25" customHeight="1">
      <c r="A326" s="46">
        <v>80801.0</v>
      </c>
      <c r="B326" s="47" t="s">
        <v>339</v>
      </c>
      <c r="C326" s="69">
        <v>6473.0</v>
      </c>
      <c r="D326" s="69">
        <v>2083.0</v>
      </c>
    </row>
    <row r="327" ht="14.25" customHeight="1">
      <c r="A327" s="46">
        <v>80802.0</v>
      </c>
      <c r="B327" s="47" t="s">
        <v>340</v>
      </c>
      <c r="C327" s="69">
        <v>2704.0</v>
      </c>
      <c r="D327" s="69">
        <v>1217.0</v>
      </c>
    </row>
    <row r="328" ht="14.25" customHeight="1">
      <c r="A328" s="46">
        <v>80803.0</v>
      </c>
      <c r="B328" s="47" t="s">
        <v>341</v>
      </c>
      <c r="C328" s="69">
        <v>2091.0</v>
      </c>
      <c r="D328" s="69">
        <v>593.0</v>
      </c>
    </row>
    <row r="329" ht="14.25" customHeight="1">
      <c r="A329" s="46">
        <v>80901.0</v>
      </c>
      <c r="B329" s="47" t="s">
        <v>342</v>
      </c>
      <c r="C329" s="69">
        <v>2785.0</v>
      </c>
      <c r="D329" s="69">
        <v>1298.0</v>
      </c>
    </row>
    <row r="330" ht="14.25" customHeight="1">
      <c r="A330" s="46">
        <v>90101.0</v>
      </c>
      <c r="B330" s="47" t="s">
        <v>343</v>
      </c>
      <c r="C330" s="69">
        <v>11827.0</v>
      </c>
      <c r="D330" s="69">
        <v>2763.0</v>
      </c>
    </row>
    <row r="331" ht="14.25" customHeight="1">
      <c r="A331" s="46">
        <v>90102.0</v>
      </c>
      <c r="B331" s="47" t="s">
        <v>344</v>
      </c>
      <c r="C331" s="69">
        <v>3001.0</v>
      </c>
      <c r="D331" s="69">
        <v>876.0</v>
      </c>
    </row>
    <row r="332" ht="14.25" customHeight="1">
      <c r="A332" s="46">
        <v>90103.0</v>
      </c>
      <c r="B332" s="47" t="s">
        <v>345</v>
      </c>
      <c r="C332" s="69">
        <v>1573.0</v>
      </c>
      <c r="D332" s="69">
        <v>322.0</v>
      </c>
    </row>
    <row r="333" ht="14.25" customHeight="1">
      <c r="A333" s="46">
        <v>90104.0</v>
      </c>
      <c r="B333" s="47" t="s">
        <v>346</v>
      </c>
      <c r="C333" s="69">
        <v>2174.0</v>
      </c>
      <c r="D333" s="69">
        <v>471.0</v>
      </c>
    </row>
    <row r="334" ht="14.25" customHeight="1">
      <c r="A334" s="46">
        <v>90201.0</v>
      </c>
      <c r="B334" s="47" t="s">
        <v>347</v>
      </c>
      <c r="C334" s="69">
        <v>2816.0</v>
      </c>
      <c r="D334" s="69">
        <v>978.0</v>
      </c>
    </row>
    <row r="335" ht="14.25" customHeight="1">
      <c r="A335" s="46">
        <v>90202.0</v>
      </c>
      <c r="B335" s="47" t="s">
        <v>238</v>
      </c>
      <c r="C335" s="69">
        <v>2759.0</v>
      </c>
      <c r="D335" s="69">
        <v>1486.0</v>
      </c>
    </row>
    <row r="336" ht="14.25" customHeight="1">
      <c r="A336" s="46">
        <v>90203.0</v>
      </c>
      <c r="B336" s="47" t="s">
        <v>348</v>
      </c>
      <c r="C336" s="69">
        <v>3667.0</v>
      </c>
      <c r="D336" s="69">
        <v>1006.0</v>
      </c>
    </row>
    <row r="337" ht="14.25" customHeight="1">
      <c r="A337" s="46">
        <v>90301.0</v>
      </c>
      <c r="B337" s="47" t="s">
        <v>349</v>
      </c>
      <c r="C337" s="69">
        <v>5195.0</v>
      </c>
      <c r="D337" s="69">
        <v>2434.0</v>
      </c>
    </row>
    <row r="338" ht="14.25" customHeight="1">
      <c r="A338" s="46">
        <v>90302.0</v>
      </c>
      <c r="B338" s="47" t="s">
        <v>271</v>
      </c>
      <c r="C338" s="69">
        <v>5182.0</v>
      </c>
      <c r="D338" s="69">
        <v>1553.0</v>
      </c>
    </row>
    <row r="339" ht="14.25" customHeight="1">
      <c r="A339" s="46">
        <v>90303.0</v>
      </c>
      <c r="B339" s="47" t="s">
        <v>350</v>
      </c>
      <c r="C339" s="69">
        <v>7754.0</v>
      </c>
      <c r="D339" s="69">
        <v>2836.0</v>
      </c>
    </row>
    <row r="340" ht="14.25" customHeight="1">
      <c r="A340" s="46">
        <v>90401.0</v>
      </c>
      <c r="B340" s="47" t="s">
        <v>291</v>
      </c>
      <c r="C340" s="69">
        <v>1125.0</v>
      </c>
      <c r="D340" s="69">
        <v>304.0</v>
      </c>
    </row>
    <row r="341" ht="14.25" customHeight="1">
      <c r="A341" s="46">
        <v>90402.0</v>
      </c>
      <c r="B341" s="47" t="s">
        <v>351</v>
      </c>
      <c r="C341" s="69">
        <v>1107.0</v>
      </c>
      <c r="D341" s="69">
        <v>719.0</v>
      </c>
    </row>
    <row r="342" ht="14.25" customHeight="1">
      <c r="A342" s="46">
        <v>90501.0</v>
      </c>
      <c r="B342" s="47" t="s">
        <v>352</v>
      </c>
      <c r="C342" s="69">
        <v>1371.0</v>
      </c>
      <c r="D342" s="69">
        <v>272.0</v>
      </c>
    </row>
    <row r="343" ht="14.25" customHeight="1">
      <c r="A343" s="46">
        <v>90502.0</v>
      </c>
      <c r="B343" s="47" t="s">
        <v>353</v>
      </c>
      <c r="C343" s="69">
        <v>2195.0</v>
      </c>
      <c r="D343" s="69">
        <v>387.0</v>
      </c>
    </row>
    <row r="344" ht="14.25" customHeight="1">
      <c r="A344" s="46">
        <v>90503.0</v>
      </c>
      <c r="B344" s="47" t="s">
        <v>354</v>
      </c>
      <c r="C344" s="69">
        <v>1567.0</v>
      </c>
      <c r="D344" s="69">
        <v>465.0</v>
      </c>
    </row>
    <row r="345" ht="14.25" customHeight="1">
      <c r="A345" s="51"/>
      <c r="B345" s="52"/>
      <c r="C345" s="70"/>
      <c r="D345" s="70"/>
    </row>
    <row r="346" ht="14.25" customHeight="1">
      <c r="A346" s="51"/>
      <c r="B346" s="52"/>
      <c r="C346" s="70"/>
      <c r="D346" s="70"/>
    </row>
    <row r="347" ht="14.25" customHeight="1">
      <c r="A347" s="51"/>
      <c r="B347" s="52"/>
      <c r="C347" s="70"/>
      <c r="D347" s="70"/>
    </row>
    <row r="348" ht="14.25" customHeight="1">
      <c r="A348" s="51"/>
      <c r="B348" s="52"/>
      <c r="C348" s="70"/>
      <c r="D348" s="70"/>
    </row>
    <row r="349" ht="14.25" customHeight="1">
      <c r="A349" s="51"/>
      <c r="B349" s="52"/>
      <c r="C349" s="70"/>
      <c r="D349" s="70"/>
    </row>
    <row r="350" ht="14.25" customHeight="1">
      <c r="A350" s="51"/>
      <c r="B350" s="52"/>
      <c r="C350" s="70"/>
      <c r="D350" s="70"/>
    </row>
    <row r="351" ht="14.25" customHeight="1">
      <c r="A351" s="51"/>
      <c r="B351" s="52"/>
      <c r="C351" s="70"/>
      <c r="D351" s="70"/>
    </row>
    <row r="352" ht="14.25" customHeight="1">
      <c r="A352" s="51"/>
      <c r="B352" s="52"/>
      <c r="C352" s="70"/>
      <c r="D352" s="70"/>
    </row>
    <row r="353" ht="14.25" customHeight="1">
      <c r="A353" s="51"/>
      <c r="B353" s="52"/>
      <c r="C353" s="70"/>
      <c r="D353" s="70"/>
    </row>
    <row r="354" ht="14.25" customHeight="1">
      <c r="A354" s="51"/>
      <c r="B354" s="52"/>
      <c r="C354" s="70"/>
      <c r="D354" s="70"/>
    </row>
    <row r="355" ht="14.25" customHeight="1">
      <c r="A355" s="51"/>
      <c r="B355" s="52"/>
      <c r="C355" s="70"/>
      <c r="D355" s="70"/>
    </row>
    <row r="356" ht="14.25" customHeight="1">
      <c r="A356" s="51"/>
      <c r="B356" s="52"/>
      <c r="C356" s="70"/>
      <c r="D356" s="70"/>
    </row>
    <row r="357" ht="14.25" customHeight="1">
      <c r="A357" s="51"/>
      <c r="B357" s="52"/>
      <c r="C357" s="70"/>
      <c r="D357" s="70"/>
    </row>
    <row r="358" ht="14.25" customHeight="1">
      <c r="A358" s="51"/>
      <c r="B358" s="52"/>
      <c r="C358" s="70"/>
      <c r="D358" s="70"/>
    </row>
    <row r="359" ht="14.25" customHeight="1">
      <c r="A359" s="51"/>
      <c r="B359" s="52"/>
      <c r="C359" s="70"/>
      <c r="D359" s="70"/>
    </row>
    <row r="360" ht="14.25" customHeight="1">
      <c r="A360" s="51"/>
      <c r="B360" s="52"/>
      <c r="C360" s="70"/>
      <c r="D360" s="70"/>
    </row>
    <row r="361" ht="14.25" customHeight="1">
      <c r="A361" s="51"/>
      <c r="B361" s="52"/>
      <c r="C361" s="70"/>
      <c r="D361" s="70"/>
    </row>
    <row r="362" ht="14.25" customHeight="1">
      <c r="A362" s="51"/>
      <c r="B362" s="52"/>
      <c r="C362" s="70"/>
      <c r="D362" s="70"/>
    </row>
    <row r="363" ht="14.25" customHeight="1">
      <c r="A363" s="51"/>
      <c r="B363" s="52"/>
      <c r="C363" s="70"/>
      <c r="D363" s="70"/>
    </row>
    <row r="364" ht="14.25" customHeight="1">
      <c r="A364" s="51"/>
      <c r="B364" s="52"/>
      <c r="C364" s="70"/>
      <c r="D364" s="70"/>
    </row>
    <row r="365" ht="14.25" customHeight="1">
      <c r="A365" s="51"/>
      <c r="B365" s="52"/>
      <c r="C365" s="70"/>
      <c r="D365" s="70"/>
    </row>
    <row r="366" ht="14.25" customHeight="1">
      <c r="A366" s="51"/>
      <c r="B366" s="52"/>
      <c r="C366" s="70"/>
      <c r="D366" s="70"/>
    </row>
    <row r="367" ht="14.25" customHeight="1">
      <c r="A367" s="51"/>
      <c r="B367" s="52"/>
      <c r="C367" s="70"/>
      <c r="D367" s="70"/>
    </row>
    <row r="368" ht="14.25" customHeight="1">
      <c r="A368" s="51"/>
      <c r="B368" s="52"/>
      <c r="C368" s="70"/>
      <c r="D368" s="70"/>
    </row>
    <row r="369" ht="14.25" customHeight="1">
      <c r="A369" s="51"/>
      <c r="B369" s="52"/>
      <c r="C369" s="70"/>
      <c r="D369" s="70"/>
    </row>
    <row r="370" ht="14.25" customHeight="1">
      <c r="A370" s="51"/>
      <c r="B370" s="52"/>
      <c r="C370" s="70"/>
      <c r="D370" s="70"/>
    </row>
    <row r="371" ht="14.25" customHeight="1">
      <c r="A371" s="51"/>
      <c r="B371" s="52"/>
      <c r="C371" s="70"/>
      <c r="D371" s="70"/>
    </row>
    <row r="372" ht="14.25" customHeight="1">
      <c r="A372" s="51"/>
      <c r="B372" s="52"/>
      <c r="C372" s="70"/>
      <c r="D372" s="70"/>
    </row>
    <row r="373" ht="14.25" customHeight="1">
      <c r="A373" s="51"/>
      <c r="B373" s="52"/>
      <c r="C373" s="70"/>
      <c r="D373" s="70"/>
    </row>
    <row r="374" ht="14.25" customHeight="1">
      <c r="A374" s="51"/>
      <c r="B374" s="52"/>
      <c r="C374" s="70"/>
      <c r="D374" s="70"/>
    </row>
    <row r="375" ht="14.25" customHeight="1">
      <c r="A375" s="51"/>
      <c r="B375" s="52"/>
      <c r="C375" s="70"/>
      <c r="D375" s="70"/>
    </row>
    <row r="376" ht="14.25" customHeight="1">
      <c r="A376" s="51"/>
      <c r="B376" s="52"/>
      <c r="C376" s="70"/>
      <c r="D376" s="70"/>
    </row>
    <row r="377" ht="14.25" customHeight="1">
      <c r="A377" s="51"/>
      <c r="B377" s="52"/>
      <c r="C377" s="70"/>
      <c r="D377" s="70"/>
    </row>
    <row r="378" ht="14.25" customHeight="1">
      <c r="A378" s="51"/>
      <c r="B378" s="52"/>
      <c r="C378" s="70"/>
      <c r="D378" s="70"/>
    </row>
    <row r="379" ht="14.25" customHeight="1">
      <c r="A379" s="51"/>
      <c r="B379" s="52"/>
      <c r="C379" s="70"/>
      <c r="D379" s="70"/>
    </row>
    <row r="380" ht="14.25" customHeight="1">
      <c r="A380" s="51"/>
      <c r="B380" s="52"/>
      <c r="C380" s="70"/>
      <c r="D380" s="70"/>
    </row>
    <row r="381" ht="14.25" customHeight="1">
      <c r="A381" s="51"/>
      <c r="B381" s="52"/>
      <c r="C381" s="70"/>
      <c r="D381" s="70"/>
    </row>
    <row r="382" ht="14.25" customHeight="1">
      <c r="A382" s="51"/>
      <c r="B382" s="52"/>
      <c r="C382" s="70"/>
      <c r="D382" s="70"/>
    </row>
    <row r="383" ht="14.25" customHeight="1">
      <c r="A383" s="51"/>
      <c r="B383" s="52"/>
      <c r="C383" s="70"/>
      <c r="D383" s="70"/>
    </row>
    <row r="384" ht="14.25" customHeight="1">
      <c r="A384" s="51"/>
      <c r="B384" s="52"/>
      <c r="C384" s="70"/>
      <c r="D384" s="70"/>
    </row>
    <row r="385" ht="14.25" customHeight="1">
      <c r="A385" s="51"/>
      <c r="B385" s="52"/>
      <c r="C385" s="70"/>
      <c r="D385" s="70"/>
    </row>
    <row r="386" ht="14.25" customHeight="1">
      <c r="A386" s="51"/>
      <c r="B386" s="52"/>
      <c r="C386" s="70"/>
      <c r="D386" s="70"/>
    </row>
    <row r="387" ht="14.25" customHeight="1">
      <c r="A387" s="51"/>
      <c r="B387" s="52"/>
      <c r="C387" s="70"/>
      <c r="D387" s="70"/>
    </row>
    <row r="388" ht="14.25" customHeight="1">
      <c r="A388" s="51"/>
      <c r="B388" s="52"/>
      <c r="C388" s="70"/>
      <c r="D388" s="70"/>
    </row>
    <row r="389" ht="14.25" customHeight="1">
      <c r="A389" s="51"/>
      <c r="B389" s="52"/>
      <c r="C389" s="70"/>
      <c r="D389" s="70"/>
    </row>
    <row r="390" ht="14.25" customHeight="1">
      <c r="A390" s="51"/>
      <c r="B390" s="52"/>
      <c r="C390" s="70"/>
      <c r="D390" s="70"/>
    </row>
    <row r="391" ht="14.25" customHeight="1">
      <c r="A391" s="51"/>
      <c r="B391" s="52"/>
      <c r="C391" s="70"/>
      <c r="D391" s="70"/>
    </row>
    <row r="392" ht="14.25" customHeight="1">
      <c r="A392" s="51"/>
      <c r="B392" s="52"/>
      <c r="C392" s="70"/>
      <c r="D392" s="70"/>
    </row>
    <row r="393" ht="14.25" customHeight="1">
      <c r="A393" s="51"/>
      <c r="B393" s="52"/>
      <c r="C393" s="70"/>
      <c r="D393" s="70"/>
    </row>
    <row r="394" ht="14.25" customHeight="1">
      <c r="A394" s="51"/>
      <c r="B394" s="52"/>
      <c r="C394" s="70"/>
      <c r="D394" s="70"/>
    </row>
    <row r="395" ht="14.25" customHeight="1">
      <c r="A395" s="51"/>
      <c r="B395" s="52"/>
      <c r="C395" s="70"/>
      <c r="D395" s="70"/>
    </row>
    <row r="396" ht="14.25" customHeight="1">
      <c r="A396" s="51"/>
      <c r="B396" s="52"/>
      <c r="C396" s="70"/>
      <c r="D396" s="70"/>
    </row>
    <row r="397" ht="14.25" customHeight="1">
      <c r="A397" s="51"/>
      <c r="B397" s="52"/>
      <c r="C397" s="70"/>
      <c r="D397" s="70"/>
    </row>
    <row r="398" ht="14.25" customHeight="1">
      <c r="A398" s="51"/>
      <c r="B398" s="52"/>
      <c r="C398" s="70"/>
      <c r="D398" s="70"/>
    </row>
    <row r="399" ht="14.25" customHeight="1">
      <c r="A399" s="51"/>
      <c r="B399" s="52"/>
      <c r="C399" s="70"/>
      <c r="D399" s="70"/>
    </row>
    <row r="400" ht="14.25" customHeight="1">
      <c r="A400" s="51"/>
      <c r="B400" s="52"/>
      <c r="C400" s="70"/>
      <c r="D400" s="70"/>
    </row>
    <row r="401" ht="14.25" customHeight="1">
      <c r="A401" s="51"/>
      <c r="B401" s="52"/>
      <c r="C401" s="70"/>
      <c r="D401" s="70"/>
    </row>
    <row r="402" ht="14.25" customHeight="1">
      <c r="A402" s="51"/>
      <c r="B402" s="52"/>
      <c r="C402" s="70"/>
      <c r="D402" s="70"/>
    </row>
    <row r="403" ht="14.25" customHeight="1">
      <c r="A403" s="51"/>
      <c r="B403" s="52"/>
      <c r="C403" s="70"/>
      <c r="D403" s="70"/>
    </row>
    <row r="404" ht="14.25" customHeight="1">
      <c r="A404" s="51"/>
      <c r="B404" s="52"/>
      <c r="C404" s="70"/>
      <c r="D404" s="70"/>
    </row>
    <row r="405" ht="14.25" customHeight="1">
      <c r="A405" s="51"/>
      <c r="B405" s="52"/>
      <c r="C405" s="70"/>
      <c r="D405" s="70"/>
    </row>
    <row r="406" ht="14.25" customHeight="1">
      <c r="A406" s="51"/>
      <c r="B406" s="52"/>
      <c r="C406" s="70"/>
      <c r="D406" s="70"/>
    </row>
    <row r="407" ht="14.25" customHeight="1">
      <c r="A407" s="51"/>
      <c r="B407" s="52"/>
      <c r="C407" s="70"/>
      <c r="D407" s="70"/>
    </row>
    <row r="408" ht="14.25" customHeight="1">
      <c r="A408" s="51"/>
      <c r="B408" s="52"/>
      <c r="C408" s="70"/>
      <c r="D408" s="70"/>
    </row>
    <row r="409" ht="14.25" customHeight="1">
      <c r="A409" s="51"/>
      <c r="B409" s="52"/>
      <c r="C409" s="70"/>
      <c r="D409" s="70"/>
    </row>
    <row r="410" ht="14.25" customHeight="1">
      <c r="A410" s="51"/>
      <c r="B410" s="52"/>
      <c r="C410" s="70"/>
      <c r="D410" s="70"/>
    </row>
    <row r="411" ht="14.25" customHeight="1">
      <c r="A411" s="51"/>
      <c r="B411" s="52"/>
      <c r="C411" s="70"/>
      <c r="D411" s="70"/>
    </row>
    <row r="412" ht="14.25" customHeight="1">
      <c r="A412" s="51"/>
      <c r="B412" s="52"/>
      <c r="C412" s="70"/>
      <c r="D412" s="70"/>
    </row>
    <row r="413" ht="14.25" customHeight="1">
      <c r="A413" s="51"/>
      <c r="B413" s="52"/>
      <c r="C413" s="70"/>
      <c r="D413" s="70"/>
    </row>
    <row r="414" ht="14.25" customHeight="1">
      <c r="A414" s="51"/>
      <c r="B414" s="52"/>
      <c r="C414" s="70"/>
      <c r="D414" s="70"/>
    </row>
    <row r="415" ht="14.25" customHeight="1">
      <c r="A415" s="51"/>
      <c r="B415" s="52"/>
      <c r="C415" s="70"/>
      <c r="D415" s="70"/>
    </row>
    <row r="416" ht="14.25" customHeight="1">
      <c r="A416" s="51"/>
      <c r="B416" s="52"/>
      <c r="C416" s="70"/>
      <c r="D416" s="70"/>
    </row>
    <row r="417" ht="14.25" customHeight="1">
      <c r="A417" s="51"/>
      <c r="B417" s="52"/>
      <c r="C417" s="70"/>
      <c r="D417" s="70"/>
    </row>
    <row r="418" ht="14.25" customHeight="1">
      <c r="A418" s="51"/>
      <c r="B418" s="52"/>
      <c r="C418" s="70"/>
      <c r="D418" s="70"/>
    </row>
    <row r="419" ht="14.25" customHeight="1">
      <c r="A419" s="51"/>
      <c r="B419" s="52"/>
      <c r="C419" s="70"/>
      <c r="D419" s="70"/>
    </row>
    <row r="420" ht="14.25" customHeight="1">
      <c r="A420" s="51"/>
      <c r="B420" s="52"/>
      <c r="C420" s="70"/>
      <c r="D420" s="70"/>
    </row>
    <row r="421" ht="14.25" customHeight="1">
      <c r="A421" s="51"/>
      <c r="B421" s="52"/>
      <c r="C421" s="70"/>
      <c r="D421" s="70"/>
    </row>
    <row r="422" ht="14.25" customHeight="1">
      <c r="A422" s="51"/>
      <c r="B422" s="52"/>
      <c r="C422" s="70"/>
      <c r="D422" s="70"/>
    </row>
    <row r="423" ht="14.25" customHeight="1">
      <c r="A423" s="51"/>
      <c r="B423" s="52"/>
      <c r="C423" s="70"/>
      <c r="D423" s="70"/>
    </row>
    <row r="424" ht="14.25" customHeight="1">
      <c r="A424" s="51"/>
      <c r="B424" s="52"/>
      <c r="C424" s="70"/>
      <c r="D424" s="70"/>
    </row>
    <row r="425" ht="14.25" customHeight="1">
      <c r="A425" s="51"/>
      <c r="B425" s="52"/>
      <c r="C425" s="70"/>
      <c r="D425" s="70"/>
    </row>
    <row r="426" ht="14.25" customHeight="1">
      <c r="A426" s="51"/>
      <c r="B426" s="52"/>
      <c r="C426" s="70"/>
      <c r="D426" s="70"/>
    </row>
    <row r="427" ht="14.25" customHeight="1">
      <c r="A427" s="51"/>
      <c r="B427" s="52"/>
      <c r="C427" s="70"/>
      <c r="D427" s="70"/>
    </row>
    <row r="428" ht="14.25" customHeight="1">
      <c r="A428" s="51"/>
      <c r="B428" s="52"/>
      <c r="C428" s="70"/>
      <c r="D428" s="70"/>
    </row>
    <row r="429" ht="14.25" customHeight="1">
      <c r="A429" s="51"/>
      <c r="B429" s="52"/>
      <c r="C429" s="70"/>
      <c r="D429" s="70"/>
    </row>
    <row r="430" ht="14.25" customHeight="1">
      <c r="A430" s="51"/>
      <c r="B430" s="52"/>
      <c r="C430" s="70"/>
      <c r="D430" s="70"/>
    </row>
    <row r="431" ht="14.25" customHeight="1">
      <c r="A431" s="51"/>
      <c r="B431" s="52"/>
      <c r="C431" s="70"/>
      <c r="D431" s="70"/>
    </row>
    <row r="432" ht="14.25" customHeight="1">
      <c r="A432" s="51"/>
      <c r="B432" s="52"/>
      <c r="C432" s="70"/>
      <c r="D432" s="70"/>
    </row>
    <row r="433" ht="14.25" customHeight="1">
      <c r="A433" s="51"/>
      <c r="B433" s="52"/>
      <c r="C433" s="70"/>
      <c r="D433" s="70"/>
    </row>
    <row r="434" ht="14.25" customHeight="1">
      <c r="A434" s="51"/>
      <c r="B434" s="52"/>
      <c r="C434" s="70"/>
      <c r="D434" s="70"/>
    </row>
    <row r="435" ht="14.25" customHeight="1">
      <c r="A435" s="51"/>
      <c r="B435" s="52"/>
      <c r="C435" s="70"/>
      <c r="D435" s="70"/>
    </row>
    <row r="436" ht="14.25" customHeight="1">
      <c r="A436" s="51"/>
      <c r="B436" s="52"/>
      <c r="C436" s="70"/>
      <c r="D436" s="70"/>
    </row>
    <row r="437" ht="14.25" customHeight="1">
      <c r="A437" s="51"/>
      <c r="B437" s="52"/>
      <c r="C437" s="70"/>
      <c r="D437" s="70"/>
    </row>
    <row r="438" ht="14.25" customHeight="1">
      <c r="A438" s="51"/>
      <c r="B438" s="52"/>
      <c r="C438" s="70"/>
      <c r="D438" s="70"/>
    </row>
    <row r="439" ht="14.25" customHeight="1">
      <c r="A439" s="51"/>
      <c r="B439" s="52"/>
      <c r="C439" s="70"/>
      <c r="D439" s="70"/>
    </row>
    <row r="440" ht="14.25" customHeight="1">
      <c r="A440" s="51"/>
      <c r="B440" s="52"/>
      <c r="C440" s="70"/>
      <c r="D440" s="70"/>
    </row>
    <row r="441" ht="14.25" customHeight="1">
      <c r="A441" s="51"/>
      <c r="B441" s="52"/>
      <c r="C441" s="70"/>
      <c r="D441" s="70"/>
    </row>
    <row r="442" ht="14.25" customHeight="1">
      <c r="A442" s="51"/>
      <c r="B442" s="52"/>
      <c r="C442" s="70"/>
      <c r="D442" s="70"/>
    </row>
    <row r="443" ht="14.25" customHeight="1">
      <c r="A443" s="51"/>
      <c r="B443" s="52"/>
      <c r="C443" s="70"/>
      <c r="D443" s="70"/>
    </row>
    <row r="444" ht="14.25" customHeight="1">
      <c r="A444" s="51"/>
      <c r="B444" s="52"/>
      <c r="C444" s="70"/>
      <c r="D444" s="70"/>
    </row>
    <row r="445" ht="14.25" customHeight="1">
      <c r="A445" s="51"/>
      <c r="B445" s="52"/>
      <c r="C445" s="70"/>
      <c r="D445" s="70"/>
    </row>
    <row r="446" ht="14.25" customHeight="1">
      <c r="A446" s="51"/>
      <c r="B446" s="52"/>
      <c r="C446" s="70"/>
      <c r="D446" s="70"/>
    </row>
    <row r="447" ht="14.25" customHeight="1">
      <c r="A447" s="51"/>
      <c r="B447" s="52"/>
      <c r="C447" s="70"/>
      <c r="D447" s="70"/>
    </row>
    <row r="448" ht="14.25" customHeight="1">
      <c r="A448" s="51"/>
      <c r="B448" s="52"/>
      <c r="C448" s="70"/>
      <c r="D448" s="70"/>
    </row>
    <row r="449" ht="14.25" customHeight="1">
      <c r="A449" s="51"/>
      <c r="B449" s="52"/>
      <c r="C449" s="70"/>
      <c r="D449" s="70"/>
    </row>
    <row r="450" ht="14.25" customHeight="1">
      <c r="A450" s="51"/>
      <c r="B450" s="52"/>
      <c r="C450" s="70"/>
      <c r="D450" s="70"/>
    </row>
    <row r="451" ht="14.25" customHeight="1">
      <c r="A451" s="51"/>
      <c r="B451" s="52"/>
      <c r="C451" s="70"/>
      <c r="D451" s="70"/>
    </row>
    <row r="452" ht="14.25" customHeight="1">
      <c r="A452" s="51"/>
      <c r="B452" s="52"/>
      <c r="C452" s="70"/>
      <c r="D452" s="70"/>
    </row>
    <row r="453" ht="14.25" customHeight="1">
      <c r="A453" s="51"/>
      <c r="B453" s="52"/>
      <c r="C453" s="70"/>
      <c r="D453" s="70"/>
    </row>
    <row r="454" ht="14.25" customHeight="1">
      <c r="A454" s="51"/>
      <c r="B454" s="52"/>
      <c r="C454" s="70"/>
      <c r="D454" s="70"/>
    </row>
    <row r="455" ht="14.25" customHeight="1">
      <c r="A455" s="51"/>
      <c r="B455" s="52"/>
      <c r="C455" s="70"/>
      <c r="D455" s="70"/>
    </row>
    <row r="456" ht="14.25" customHeight="1">
      <c r="A456" s="51"/>
      <c r="B456" s="52"/>
      <c r="C456" s="70"/>
      <c r="D456" s="70"/>
    </row>
    <row r="457" ht="14.25" customHeight="1">
      <c r="A457" s="51"/>
      <c r="B457" s="52"/>
      <c r="C457" s="70"/>
      <c r="D457" s="70"/>
    </row>
    <row r="458" ht="14.25" customHeight="1">
      <c r="A458" s="51"/>
      <c r="B458" s="52"/>
      <c r="C458" s="70"/>
      <c r="D458" s="70"/>
    </row>
    <row r="459" ht="14.25" customHeight="1">
      <c r="A459" s="51"/>
      <c r="B459" s="52"/>
      <c r="C459" s="70"/>
      <c r="D459" s="70"/>
    </row>
    <row r="460" ht="14.25" customHeight="1">
      <c r="A460" s="51"/>
      <c r="B460" s="52"/>
      <c r="C460" s="70"/>
      <c r="D460" s="70"/>
    </row>
    <row r="461" ht="14.25" customHeight="1">
      <c r="A461" s="51"/>
      <c r="B461" s="52"/>
      <c r="C461" s="70"/>
      <c r="D461" s="70"/>
    </row>
    <row r="462" ht="14.25" customHeight="1">
      <c r="A462" s="51"/>
      <c r="B462" s="52"/>
      <c r="C462" s="70"/>
      <c r="D462" s="70"/>
    </row>
    <row r="463" ht="14.25" customHeight="1">
      <c r="A463" s="51"/>
      <c r="B463" s="52"/>
      <c r="C463" s="70"/>
      <c r="D463" s="70"/>
    </row>
    <row r="464" ht="14.25" customHeight="1">
      <c r="A464" s="51"/>
      <c r="B464" s="52"/>
      <c r="C464" s="70"/>
      <c r="D464" s="70"/>
    </row>
    <row r="465" ht="14.25" customHeight="1">
      <c r="A465" s="51"/>
      <c r="B465" s="52"/>
      <c r="C465" s="70"/>
      <c r="D465" s="70"/>
    </row>
    <row r="466" ht="14.25" customHeight="1">
      <c r="A466" s="51"/>
      <c r="B466" s="52"/>
      <c r="C466" s="70"/>
      <c r="D466" s="70"/>
    </row>
    <row r="467" ht="14.25" customHeight="1">
      <c r="A467" s="51"/>
      <c r="B467" s="52"/>
      <c r="C467" s="70"/>
      <c r="D467" s="70"/>
    </row>
    <row r="468" ht="14.25" customHeight="1">
      <c r="A468" s="51"/>
      <c r="B468" s="52"/>
      <c r="C468" s="70"/>
      <c r="D468" s="70"/>
    </row>
    <row r="469" ht="14.25" customHeight="1">
      <c r="A469" s="51"/>
      <c r="B469" s="52"/>
      <c r="C469" s="70"/>
      <c r="D469" s="70"/>
    </row>
    <row r="470" ht="14.25" customHeight="1">
      <c r="A470" s="51"/>
      <c r="B470" s="52"/>
      <c r="C470" s="70"/>
      <c r="D470" s="70"/>
    </row>
    <row r="471" ht="14.25" customHeight="1">
      <c r="A471" s="51"/>
      <c r="B471" s="52"/>
      <c r="C471" s="70"/>
      <c r="D471" s="70"/>
    </row>
    <row r="472" ht="14.25" customHeight="1">
      <c r="A472" s="51"/>
      <c r="B472" s="52"/>
      <c r="C472" s="70"/>
      <c r="D472" s="70"/>
    </row>
    <row r="473" ht="14.25" customHeight="1">
      <c r="A473" s="51"/>
      <c r="B473" s="52"/>
      <c r="C473" s="70"/>
      <c r="D473" s="70"/>
    </row>
    <row r="474" ht="14.25" customHeight="1">
      <c r="A474" s="51"/>
      <c r="B474" s="52"/>
      <c r="C474" s="70"/>
      <c r="D474" s="70"/>
    </row>
    <row r="475" ht="14.25" customHeight="1">
      <c r="A475" s="51"/>
      <c r="B475" s="52"/>
      <c r="C475" s="70"/>
      <c r="D475" s="70"/>
    </row>
    <row r="476" ht="14.25" customHeight="1">
      <c r="A476" s="51"/>
      <c r="B476" s="52"/>
      <c r="C476" s="70"/>
      <c r="D476" s="70"/>
    </row>
    <row r="477" ht="14.25" customHeight="1">
      <c r="A477" s="51"/>
      <c r="B477" s="52"/>
      <c r="C477" s="70"/>
      <c r="D477" s="70"/>
    </row>
    <row r="478" ht="14.25" customHeight="1">
      <c r="A478" s="51"/>
      <c r="B478" s="52"/>
      <c r="C478" s="70"/>
      <c r="D478" s="70"/>
    </row>
    <row r="479" ht="14.25" customHeight="1">
      <c r="A479" s="51"/>
      <c r="B479" s="52"/>
      <c r="C479" s="70"/>
      <c r="D479" s="70"/>
    </row>
    <row r="480" ht="14.25" customHeight="1">
      <c r="A480" s="51"/>
      <c r="B480" s="52"/>
      <c r="C480" s="70"/>
      <c r="D480" s="70"/>
    </row>
    <row r="481" ht="14.25" customHeight="1">
      <c r="A481" s="51"/>
      <c r="B481" s="52"/>
      <c r="C481" s="70"/>
      <c r="D481" s="70"/>
    </row>
    <row r="482" ht="14.25" customHeight="1">
      <c r="A482" s="51"/>
      <c r="B482" s="52"/>
      <c r="C482" s="70"/>
      <c r="D482" s="70"/>
    </row>
    <row r="483" ht="14.25" customHeight="1">
      <c r="A483" s="51"/>
      <c r="B483" s="52"/>
      <c r="C483" s="70"/>
      <c r="D483" s="70"/>
    </row>
    <row r="484" ht="14.25" customHeight="1">
      <c r="A484" s="51"/>
      <c r="B484" s="52"/>
      <c r="C484" s="70"/>
      <c r="D484" s="70"/>
    </row>
    <row r="485" ht="14.25" customHeight="1">
      <c r="A485" s="51"/>
      <c r="B485" s="52"/>
      <c r="C485" s="70"/>
      <c r="D485" s="70"/>
    </row>
    <row r="486" ht="14.25" customHeight="1">
      <c r="A486" s="51"/>
      <c r="B486" s="52"/>
      <c r="C486" s="70"/>
      <c r="D486" s="70"/>
    </row>
    <row r="487" ht="14.25" customHeight="1">
      <c r="A487" s="51"/>
      <c r="B487" s="52"/>
      <c r="C487" s="70"/>
      <c r="D487" s="70"/>
    </row>
    <row r="488" ht="14.25" customHeight="1">
      <c r="A488" s="51"/>
      <c r="B488" s="52"/>
      <c r="C488" s="70"/>
      <c r="D488" s="70"/>
    </row>
    <row r="489" ht="14.25" customHeight="1">
      <c r="A489" s="51"/>
      <c r="B489" s="52"/>
      <c r="C489" s="70"/>
      <c r="D489" s="70"/>
    </row>
    <row r="490" ht="14.25" customHeight="1">
      <c r="A490" s="51"/>
      <c r="B490" s="52"/>
      <c r="C490" s="70"/>
      <c r="D490" s="70"/>
    </row>
    <row r="491" ht="14.25" customHeight="1">
      <c r="A491" s="51"/>
      <c r="B491" s="52"/>
      <c r="C491" s="70"/>
      <c r="D491" s="70"/>
    </row>
    <row r="492" ht="14.25" customHeight="1">
      <c r="A492" s="51"/>
      <c r="B492" s="52"/>
      <c r="C492" s="70"/>
      <c r="D492" s="70"/>
    </row>
    <row r="493" ht="14.25" customHeight="1">
      <c r="A493" s="51"/>
      <c r="B493" s="52"/>
      <c r="C493" s="70"/>
      <c r="D493" s="70"/>
    </row>
    <row r="494" ht="14.25" customHeight="1">
      <c r="A494" s="51"/>
      <c r="B494" s="52"/>
      <c r="C494" s="70"/>
      <c r="D494" s="70"/>
    </row>
    <row r="495" ht="14.25" customHeight="1">
      <c r="A495" s="51"/>
      <c r="B495" s="52"/>
      <c r="C495" s="70"/>
      <c r="D495" s="70"/>
    </row>
    <row r="496" ht="14.25" customHeight="1">
      <c r="A496" s="51"/>
      <c r="B496" s="52"/>
      <c r="C496" s="70"/>
      <c r="D496" s="70"/>
    </row>
    <row r="497" ht="14.25" customHeight="1">
      <c r="A497" s="51"/>
      <c r="B497" s="52"/>
      <c r="C497" s="70"/>
      <c r="D497" s="70"/>
    </row>
    <row r="498" ht="14.25" customHeight="1">
      <c r="A498" s="51"/>
      <c r="B498" s="52"/>
      <c r="C498" s="70"/>
      <c r="D498" s="70"/>
    </row>
    <row r="499" ht="14.25" customHeight="1">
      <c r="A499" s="51"/>
      <c r="B499" s="52"/>
      <c r="C499" s="70"/>
      <c r="D499" s="70"/>
    </row>
    <row r="500" ht="14.25" customHeight="1">
      <c r="A500" s="51"/>
      <c r="B500" s="52"/>
      <c r="C500" s="70"/>
      <c r="D500" s="70"/>
    </row>
    <row r="501" ht="14.25" customHeight="1">
      <c r="A501" s="51"/>
      <c r="B501" s="52"/>
      <c r="C501" s="70"/>
      <c r="D501" s="70"/>
    </row>
    <row r="502" ht="14.25" customHeight="1">
      <c r="A502" s="51"/>
      <c r="B502" s="52"/>
      <c r="C502" s="70"/>
      <c r="D502" s="70"/>
    </row>
    <row r="503" ht="14.25" customHeight="1">
      <c r="A503" s="51"/>
      <c r="B503" s="52"/>
      <c r="C503" s="70"/>
      <c r="D503" s="70"/>
    </row>
    <row r="504" ht="14.25" customHeight="1">
      <c r="A504" s="51"/>
      <c r="B504" s="52"/>
      <c r="C504" s="70"/>
      <c r="D504" s="70"/>
    </row>
    <row r="505" ht="14.25" customHeight="1">
      <c r="A505" s="51"/>
      <c r="B505" s="52"/>
      <c r="C505" s="70"/>
      <c r="D505" s="70"/>
    </row>
    <row r="506" ht="14.25" customHeight="1">
      <c r="A506" s="51"/>
      <c r="B506" s="52"/>
      <c r="C506" s="70"/>
      <c r="D506" s="70"/>
    </row>
    <row r="507" ht="14.25" customHeight="1">
      <c r="A507" s="51"/>
      <c r="B507" s="52"/>
      <c r="C507" s="70"/>
      <c r="D507" s="70"/>
    </row>
    <row r="508" ht="14.25" customHeight="1">
      <c r="A508" s="51"/>
      <c r="B508" s="52"/>
      <c r="C508" s="70"/>
      <c r="D508" s="70"/>
    </row>
    <row r="509" ht="14.25" customHeight="1">
      <c r="A509" s="51"/>
      <c r="B509" s="52"/>
      <c r="C509" s="70"/>
      <c r="D509" s="70"/>
    </row>
    <row r="510" ht="14.25" customHeight="1">
      <c r="A510" s="51"/>
      <c r="B510" s="52"/>
      <c r="C510" s="70"/>
      <c r="D510" s="70"/>
    </row>
    <row r="511" ht="14.25" customHeight="1">
      <c r="A511" s="51"/>
      <c r="B511" s="52"/>
      <c r="C511" s="70"/>
      <c r="D511" s="70"/>
    </row>
    <row r="512" ht="14.25" customHeight="1">
      <c r="A512" s="51"/>
      <c r="B512" s="52"/>
      <c r="C512" s="70"/>
      <c r="D512" s="70"/>
    </row>
    <row r="513" ht="14.25" customHeight="1">
      <c r="A513" s="51"/>
      <c r="B513" s="52"/>
      <c r="C513" s="70"/>
      <c r="D513" s="70"/>
    </row>
    <row r="514" ht="14.25" customHeight="1">
      <c r="A514" s="51"/>
      <c r="B514" s="52"/>
      <c r="C514" s="70"/>
      <c r="D514" s="70"/>
    </row>
    <row r="515" ht="14.25" customHeight="1">
      <c r="A515" s="51"/>
      <c r="B515" s="52"/>
      <c r="C515" s="70"/>
      <c r="D515" s="70"/>
    </row>
    <row r="516" ht="14.25" customHeight="1">
      <c r="A516" s="51"/>
      <c r="B516" s="52"/>
      <c r="C516" s="70"/>
      <c r="D516" s="70"/>
    </row>
    <row r="517" ht="14.25" customHeight="1">
      <c r="A517" s="51"/>
      <c r="B517" s="52"/>
      <c r="C517" s="70"/>
      <c r="D517" s="70"/>
    </row>
    <row r="518" ht="14.25" customHeight="1">
      <c r="A518" s="51"/>
      <c r="B518" s="52"/>
      <c r="C518" s="70"/>
      <c r="D518" s="70"/>
    </row>
    <row r="519" ht="14.25" customHeight="1">
      <c r="A519" s="51"/>
      <c r="B519" s="52"/>
      <c r="C519" s="70"/>
      <c r="D519" s="70"/>
    </row>
    <row r="520" ht="14.25" customHeight="1">
      <c r="A520" s="51"/>
      <c r="B520" s="52"/>
      <c r="C520" s="70"/>
      <c r="D520" s="70"/>
    </row>
    <row r="521" ht="14.25" customHeight="1">
      <c r="A521" s="51"/>
      <c r="B521" s="52"/>
      <c r="C521" s="70"/>
      <c r="D521" s="70"/>
    </row>
    <row r="522" ht="14.25" customHeight="1">
      <c r="A522" s="51"/>
      <c r="B522" s="52"/>
      <c r="C522" s="70"/>
      <c r="D522" s="70"/>
    </row>
    <row r="523" ht="14.25" customHeight="1">
      <c r="A523" s="51"/>
      <c r="B523" s="52"/>
      <c r="C523" s="70"/>
      <c r="D523" s="70"/>
    </row>
    <row r="524" ht="14.25" customHeight="1">
      <c r="A524" s="51"/>
      <c r="B524" s="52"/>
      <c r="C524" s="70"/>
      <c r="D524" s="70"/>
    </row>
    <row r="525" ht="14.25" customHeight="1">
      <c r="A525" s="51"/>
      <c r="B525" s="52"/>
      <c r="C525" s="70"/>
      <c r="D525" s="70"/>
    </row>
    <row r="526" ht="14.25" customHeight="1">
      <c r="A526" s="51"/>
      <c r="B526" s="52"/>
      <c r="C526" s="70"/>
      <c r="D526" s="70"/>
    </row>
    <row r="527" ht="14.25" customHeight="1">
      <c r="A527" s="51"/>
      <c r="B527" s="52"/>
      <c r="C527" s="70"/>
      <c r="D527" s="70"/>
    </row>
    <row r="528" ht="14.25" customHeight="1">
      <c r="A528" s="51"/>
      <c r="B528" s="52"/>
      <c r="C528" s="70"/>
      <c r="D528" s="70"/>
    </row>
    <row r="529" ht="14.25" customHeight="1">
      <c r="A529" s="51"/>
      <c r="B529" s="52"/>
      <c r="C529" s="70"/>
      <c r="D529" s="70"/>
    </row>
    <row r="530" ht="14.25" customHeight="1">
      <c r="A530" s="51"/>
      <c r="B530" s="52"/>
      <c r="C530" s="70"/>
      <c r="D530" s="70"/>
    </row>
    <row r="531" ht="14.25" customHeight="1">
      <c r="A531" s="51"/>
      <c r="B531" s="52"/>
      <c r="C531" s="70"/>
      <c r="D531" s="70"/>
    </row>
    <row r="532" ht="14.25" customHeight="1">
      <c r="A532" s="51"/>
      <c r="B532" s="52"/>
      <c r="C532" s="70"/>
      <c r="D532" s="70"/>
    </row>
    <row r="533" ht="14.25" customHeight="1">
      <c r="A533" s="51"/>
      <c r="B533" s="52"/>
      <c r="C533" s="70"/>
      <c r="D533" s="70"/>
    </row>
    <row r="534" ht="14.25" customHeight="1">
      <c r="A534" s="51"/>
      <c r="B534" s="52"/>
      <c r="C534" s="70"/>
      <c r="D534" s="70"/>
    </row>
    <row r="535" ht="14.25" customHeight="1">
      <c r="A535" s="51"/>
      <c r="B535" s="52"/>
      <c r="C535" s="70"/>
      <c r="D535" s="70"/>
    </row>
    <row r="536" ht="14.25" customHeight="1">
      <c r="A536" s="51"/>
      <c r="B536" s="52"/>
      <c r="C536" s="70"/>
      <c r="D536" s="70"/>
    </row>
    <row r="537" ht="14.25" customHeight="1">
      <c r="A537" s="51"/>
      <c r="B537" s="52"/>
      <c r="C537" s="70"/>
      <c r="D537" s="70"/>
    </row>
    <row r="538" ht="14.25" customHeight="1">
      <c r="A538" s="51"/>
      <c r="B538" s="52"/>
      <c r="C538" s="70"/>
      <c r="D538" s="70"/>
    </row>
    <row r="539" ht="14.25" customHeight="1">
      <c r="A539" s="51"/>
      <c r="B539" s="52"/>
      <c r="C539" s="70"/>
      <c r="D539" s="70"/>
    </row>
    <row r="540" ht="14.25" customHeight="1">
      <c r="A540" s="51"/>
      <c r="B540" s="52"/>
      <c r="C540" s="70"/>
      <c r="D540" s="70"/>
    </row>
    <row r="541" ht="14.25" customHeight="1">
      <c r="A541" s="51"/>
      <c r="B541" s="52"/>
      <c r="C541" s="70"/>
      <c r="D541" s="70"/>
    </row>
    <row r="542" ht="14.25" customHeight="1">
      <c r="A542" s="51"/>
      <c r="B542" s="52"/>
      <c r="C542" s="70"/>
      <c r="D542" s="70"/>
    </row>
    <row r="543" ht="14.25" customHeight="1">
      <c r="A543" s="51"/>
      <c r="B543" s="52"/>
      <c r="C543" s="70"/>
      <c r="D543" s="70"/>
    </row>
    <row r="544" ht="14.25" customHeight="1">
      <c r="A544" s="51"/>
      <c r="B544" s="52"/>
      <c r="C544" s="70"/>
      <c r="D544" s="70"/>
    </row>
    <row r="545" ht="14.25" customHeight="1">
      <c r="A545" s="51"/>
      <c r="B545" s="52"/>
      <c r="C545" s="70"/>
      <c r="D545" s="70"/>
    </row>
    <row r="546" ht="14.25" customHeight="1">
      <c r="A546" s="51"/>
      <c r="B546" s="52"/>
      <c r="C546" s="70"/>
      <c r="D546" s="70"/>
    </row>
    <row r="547" ht="14.25" customHeight="1">
      <c r="A547" s="51"/>
      <c r="B547" s="52"/>
      <c r="C547" s="70"/>
      <c r="D547" s="70"/>
    </row>
    <row r="548" ht="14.25" customHeight="1">
      <c r="A548" s="51"/>
      <c r="B548" s="52"/>
      <c r="C548" s="70"/>
      <c r="D548" s="70"/>
    </row>
    <row r="549" ht="14.25" customHeight="1">
      <c r="A549" s="51"/>
      <c r="B549" s="52"/>
      <c r="C549" s="70"/>
      <c r="D549" s="70"/>
    </row>
    <row r="550" ht="14.25" customHeight="1">
      <c r="A550" s="51"/>
      <c r="B550" s="52"/>
      <c r="C550" s="70"/>
      <c r="D550" s="70"/>
    </row>
    <row r="551" ht="14.25" customHeight="1">
      <c r="A551" s="51"/>
      <c r="B551" s="52"/>
      <c r="C551" s="70"/>
      <c r="D551" s="70"/>
    </row>
    <row r="552" ht="14.25" customHeight="1">
      <c r="A552" s="51"/>
      <c r="B552" s="52"/>
      <c r="C552" s="70"/>
      <c r="D552" s="70"/>
    </row>
    <row r="553" ht="14.25" customHeight="1">
      <c r="A553" s="51"/>
      <c r="B553" s="52"/>
      <c r="C553" s="70"/>
      <c r="D553" s="70"/>
    </row>
    <row r="554" ht="14.25" customHeight="1">
      <c r="A554" s="51"/>
      <c r="B554" s="52"/>
      <c r="C554" s="70"/>
      <c r="D554" s="70"/>
    </row>
    <row r="555" ht="14.25" customHeight="1">
      <c r="A555" s="51"/>
      <c r="B555" s="52"/>
      <c r="C555" s="70"/>
      <c r="D555" s="70"/>
    </row>
    <row r="556" ht="14.25" customHeight="1">
      <c r="A556" s="51"/>
      <c r="B556" s="52"/>
      <c r="C556" s="70"/>
      <c r="D556" s="70"/>
    </row>
    <row r="557" ht="14.25" customHeight="1">
      <c r="A557" s="51"/>
      <c r="B557" s="52"/>
      <c r="C557" s="70"/>
      <c r="D557" s="70"/>
    </row>
    <row r="558" ht="14.25" customHeight="1">
      <c r="A558" s="51"/>
      <c r="B558" s="52"/>
      <c r="C558" s="70"/>
      <c r="D558" s="70"/>
    </row>
    <row r="559" ht="14.25" customHeight="1">
      <c r="A559" s="51"/>
      <c r="B559" s="52"/>
      <c r="C559" s="70"/>
      <c r="D559" s="70"/>
    </row>
    <row r="560" ht="14.25" customHeight="1">
      <c r="A560" s="51"/>
      <c r="B560" s="52"/>
      <c r="C560" s="70"/>
      <c r="D560" s="70"/>
    </row>
    <row r="561" ht="14.25" customHeight="1">
      <c r="A561" s="51"/>
      <c r="B561" s="52"/>
      <c r="C561" s="70"/>
      <c r="D561" s="70"/>
    </row>
    <row r="562" ht="14.25" customHeight="1">
      <c r="A562" s="51"/>
      <c r="B562" s="52"/>
      <c r="C562" s="70"/>
      <c r="D562" s="70"/>
    </row>
    <row r="563" ht="14.25" customHeight="1">
      <c r="A563" s="51"/>
      <c r="B563" s="52"/>
      <c r="C563" s="70"/>
      <c r="D563" s="70"/>
    </row>
    <row r="564" ht="14.25" customHeight="1">
      <c r="A564" s="51"/>
      <c r="B564" s="52"/>
      <c r="C564" s="70"/>
      <c r="D564" s="70"/>
    </row>
    <row r="565" ht="14.25" customHeight="1">
      <c r="A565" s="51"/>
      <c r="B565" s="52"/>
      <c r="C565" s="70"/>
      <c r="D565" s="70"/>
    </row>
    <row r="566" ht="14.25" customHeight="1">
      <c r="A566" s="51"/>
      <c r="B566" s="52"/>
      <c r="C566" s="70"/>
      <c r="D566" s="70"/>
    </row>
    <row r="567" ht="14.25" customHeight="1">
      <c r="A567" s="51"/>
      <c r="B567" s="52"/>
      <c r="C567" s="70"/>
      <c r="D567" s="70"/>
    </row>
    <row r="568" ht="14.25" customHeight="1">
      <c r="A568" s="51"/>
      <c r="B568" s="52"/>
      <c r="C568" s="70"/>
      <c r="D568" s="70"/>
    </row>
    <row r="569" ht="14.25" customHeight="1">
      <c r="A569" s="51"/>
      <c r="B569" s="52"/>
      <c r="C569" s="70"/>
      <c r="D569" s="70"/>
    </row>
    <row r="570" ht="14.25" customHeight="1">
      <c r="A570" s="51"/>
      <c r="B570" s="52"/>
      <c r="C570" s="70"/>
      <c r="D570" s="70"/>
    </row>
    <row r="571" ht="14.25" customHeight="1">
      <c r="A571" s="51"/>
      <c r="B571" s="52"/>
      <c r="C571" s="70"/>
      <c r="D571" s="70"/>
    </row>
    <row r="572" ht="14.25" customHeight="1">
      <c r="A572" s="51"/>
      <c r="B572" s="52"/>
      <c r="C572" s="70"/>
      <c r="D572" s="70"/>
    </row>
    <row r="573" ht="14.25" customHeight="1">
      <c r="A573" s="51"/>
      <c r="B573" s="52"/>
      <c r="C573" s="70"/>
      <c r="D573" s="70"/>
    </row>
    <row r="574" ht="14.25" customHeight="1">
      <c r="A574" s="51"/>
      <c r="B574" s="52"/>
      <c r="C574" s="70"/>
      <c r="D574" s="70"/>
    </row>
    <row r="575" ht="14.25" customHeight="1">
      <c r="A575" s="51"/>
      <c r="B575" s="52"/>
      <c r="C575" s="70"/>
      <c r="D575" s="70"/>
    </row>
    <row r="576" ht="14.25" customHeight="1">
      <c r="A576" s="51"/>
      <c r="B576" s="52"/>
      <c r="C576" s="70"/>
      <c r="D576" s="70"/>
    </row>
    <row r="577" ht="14.25" customHeight="1">
      <c r="A577" s="51"/>
      <c r="B577" s="52"/>
      <c r="C577" s="70"/>
      <c r="D577" s="70"/>
    </row>
    <row r="578" ht="14.25" customHeight="1">
      <c r="A578" s="51"/>
      <c r="B578" s="52"/>
      <c r="C578" s="70"/>
      <c r="D578" s="70"/>
    </row>
    <row r="579" ht="14.25" customHeight="1">
      <c r="A579" s="51"/>
      <c r="B579" s="52"/>
      <c r="C579" s="70"/>
      <c r="D579" s="70"/>
    </row>
    <row r="580" ht="14.25" customHeight="1">
      <c r="A580" s="51"/>
      <c r="B580" s="52"/>
      <c r="C580" s="70"/>
      <c r="D580" s="70"/>
    </row>
    <row r="581" ht="14.25" customHeight="1">
      <c r="A581" s="51"/>
      <c r="B581" s="52"/>
      <c r="C581" s="70"/>
      <c r="D581" s="70"/>
    </row>
    <row r="582" ht="14.25" customHeight="1">
      <c r="A582" s="51"/>
      <c r="B582" s="52"/>
      <c r="C582" s="70"/>
      <c r="D582" s="70"/>
    </row>
    <row r="583" ht="14.25" customHeight="1">
      <c r="A583" s="51"/>
      <c r="B583" s="52"/>
      <c r="C583" s="70"/>
      <c r="D583" s="70"/>
    </row>
    <row r="584" ht="14.25" customHeight="1">
      <c r="A584" s="51"/>
      <c r="B584" s="52"/>
      <c r="C584" s="70"/>
      <c r="D584" s="70"/>
    </row>
    <row r="585" ht="14.25" customHeight="1">
      <c r="A585" s="51"/>
      <c r="B585" s="52"/>
      <c r="C585" s="70"/>
      <c r="D585" s="70"/>
    </row>
    <row r="586" ht="14.25" customHeight="1">
      <c r="A586" s="51"/>
      <c r="B586" s="52"/>
      <c r="C586" s="70"/>
      <c r="D586" s="70"/>
    </row>
    <row r="587" ht="14.25" customHeight="1">
      <c r="A587" s="51"/>
      <c r="B587" s="52"/>
      <c r="C587" s="70"/>
      <c r="D587" s="70"/>
    </row>
    <row r="588" ht="14.25" customHeight="1">
      <c r="A588" s="51"/>
      <c r="B588" s="52"/>
      <c r="C588" s="70"/>
      <c r="D588" s="70"/>
    </row>
    <row r="589" ht="14.25" customHeight="1">
      <c r="A589" s="51"/>
      <c r="B589" s="52"/>
      <c r="C589" s="70"/>
      <c r="D589" s="70"/>
    </row>
    <row r="590" ht="14.25" customHeight="1">
      <c r="A590" s="51"/>
      <c r="B590" s="52"/>
      <c r="C590" s="70"/>
      <c r="D590" s="70"/>
    </row>
    <row r="591" ht="14.25" customHeight="1">
      <c r="A591" s="51"/>
      <c r="B591" s="52"/>
      <c r="C591" s="70"/>
      <c r="D591" s="70"/>
    </row>
    <row r="592" ht="14.25" customHeight="1">
      <c r="A592" s="51"/>
      <c r="B592" s="52"/>
      <c r="C592" s="70"/>
      <c r="D592" s="70"/>
    </row>
    <row r="593" ht="14.25" customHeight="1">
      <c r="A593" s="51"/>
      <c r="B593" s="52"/>
      <c r="C593" s="70"/>
      <c r="D593" s="70"/>
    </row>
    <row r="594" ht="14.25" customHeight="1">
      <c r="A594" s="51"/>
      <c r="B594" s="52"/>
      <c r="C594" s="70"/>
      <c r="D594" s="70"/>
    </row>
    <row r="595" ht="14.25" customHeight="1">
      <c r="A595" s="51"/>
      <c r="B595" s="52"/>
      <c r="C595" s="70"/>
      <c r="D595" s="70"/>
    </row>
    <row r="596" ht="14.25" customHeight="1">
      <c r="A596" s="51"/>
      <c r="B596" s="52"/>
      <c r="C596" s="70"/>
      <c r="D596" s="70"/>
    </row>
    <row r="597" ht="14.25" customHeight="1">
      <c r="A597" s="51"/>
      <c r="B597" s="52"/>
      <c r="C597" s="70"/>
      <c r="D597" s="70"/>
    </row>
    <row r="598" ht="14.25" customHeight="1">
      <c r="A598" s="51"/>
      <c r="B598" s="52"/>
      <c r="C598" s="70"/>
      <c r="D598" s="70"/>
    </row>
    <row r="599" ht="14.25" customHeight="1">
      <c r="A599" s="51"/>
      <c r="B599" s="52"/>
      <c r="C599" s="70"/>
      <c r="D599" s="70"/>
    </row>
    <row r="600" ht="14.25" customHeight="1">
      <c r="A600" s="51"/>
      <c r="B600" s="52"/>
      <c r="C600" s="70"/>
      <c r="D600" s="70"/>
    </row>
    <row r="601" ht="14.25" customHeight="1">
      <c r="A601" s="51"/>
      <c r="B601" s="52"/>
      <c r="C601" s="70"/>
      <c r="D601" s="70"/>
    </row>
    <row r="602" ht="14.25" customHeight="1">
      <c r="A602" s="51"/>
      <c r="B602" s="52"/>
      <c r="C602" s="70"/>
      <c r="D602" s="70"/>
    </row>
    <row r="603" ht="14.25" customHeight="1">
      <c r="A603" s="51"/>
      <c r="B603" s="52"/>
      <c r="C603" s="70"/>
      <c r="D603" s="70"/>
    </row>
    <row r="604" ht="14.25" customHeight="1">
      <c r="A604" s="51"/>
      <c r="B604" s="52"/>
      <c r="C604" s="70"/>
      <c r="D604" s="70"/>
    </row>
    <row r="605" ht="14.25" customHeight="1">
      <c r="A605" s="51"/>
      <c r="B605" s="52"/>
      <c r="C605" s="70"/>
      <c r="D605" s="70"/>
    </row>
    <row r="606" ht="14.25" customHeight="1">
      <c r="A606" s="51"/>
      <c r="B606" s="52"/>
      <c r="C606" s="70"/>
      <c r="D606" s="70"/>
    </row>
    <row r="607" ht="14.25" customHeight="1">
      <c r="A607" s="51"/>
      <c r="B607" s="52"/>
      <c r="C607" s="70"/>
      <c r="D607" s="70"/>
    </row>
    <row r="608" ht="14.25" customHeight="1">
      <c r="A608" s="51"/>
      <c r="B608" s="52"/>
      <c r="C608" s="70"/>
      <c r="D608" s="70"/>
    </row>
    <row r="609" ht="14.25" customHeight="1">
      <c r="A609" s="51"/>
      <c r="B609" s="52"/>
      <c r="C609" s="70"/>
      <c r="D609" s="70"/>
    </row>
    <row r="610" ht="14.25" customHeight="1">
      <c r="A610" s="51"/>
      <c r="B610" s="52"/>
      <c r="C610" s="70"/>
      <c r="D610" s="70"/>
    </row>
    <row r="611" ht="14.25" customHeight="1">
      <c r="A611" s="51"/>
      <c r="B611" s="52"/>
      <c r="C611" s="70"/>
      <c r="D611" s="70"/>
    </row>
    <row r="612" ht="14.25" customHeight="1">
      <c r="A612" s="51"/>
      <c r="B612" s="52"/>
      <c r="C612" s="70"/>
      <c r="D612" s="70"/>
    </row>
    <row r="613" ht="14.25" customHeight="1">
      <c r="A613" s="51"/>
      <c r="B613" s="52"/>
      <c r="C613" s="70"/>
      <c r="D613" s="70"/>
    </row>
    <row r="614" ht="14.25" customHeight="1">
      <c r="A614" s="51"/>
      <c r="B614" s="52"/>
      <c r="C614" s="70"/>
      <c r="D614" s="70"/>
    </row>
    <row r="615" ht="14.25" customHeight="1">
      <c r="A615" s="51"/>
      <c r="B615" s="52"/>
      <c r="C615" s="70"/>
      <c r="D615" s="70"/>
    </row>
    <row r="616" ht="14.25" customHeight="1">
      <c r="A616" s="51"/>
      <c r="B616" s="52"/>
      <c r="C616" s="70"/>
      <c r="D616" s="70"/>
    </row>
    <row r="617" ht="14.25" customHeight="1">
      <c r="A617" s="51"/>
      <c r="B617" s="52"/>
      <c r="C617" s="70"/>
      <c r="D617" s="70"/>
    </row>
    <row r="618" ht="14.25" customHeight="1">
      <c r="A618" s="51"/>
      <c r="B618" s="52"/>
      <c r="C618" s="70"/>
      <c r="D618" s="70"/>
    </row>
    <row r="619" ht="14.25" customHeight="1">
      <c r="A619" s="51"/>
      <c r="B619" s="52"/>
      <c r="C619" s="70"/>
      <c r="D619" s="70"/>
    </row>
    <row r="620" ht="14.25" customHeight="1">
      <c r="A620" s="51"/>
      <c r="B620" s="52"/>
      <c r="C620" s="70"/>
      <c r="D620" s="70"/>
    </row>
    <row r="621" ht="14.25" customHeight="1">
      <c r="A621" s="51"/>
      <c r="B621" s="52"/>
      <c r="C621" s="70"/>
      <c r="D621" s="70"/>
    </row>
    <row r="622" ht="14.25" customHeight="1">
      <c r="A622" s="51"/>
      <c r="B622" s="52"/>
      <c r="C622" s="70"/>
      <c r="D622" s="70"/>
    </row>
    <row r="623" ht="14.25" customHeight="1">
      <c r="A623" s="51"/>
      <c r="B623" s="52"/>
      <c r="C623" s="70"/>
      <c r="D623" s="70"/>
    </row>
    <row r="624" ht="14.25" customHeight="1">
      <c r="A624" s="51"/>
      <c r="B624" s="52"/>
      <c r="C624" s="70"/>
      <c r="D624" s="70"/>
    </row>
    <row r="625" ht="14.25" customHeight="1">
      <c r="A625" s="51"/>
      <c r="B625" s="52"/>
      <c r="C625" s="70"/>
      <c r="D625" s="70"/>
    </row>
    <row r="626" ht="14.25" customHeight="1">
      <c r="A626" s="51"/>
      <c r="B626" s="52"/>
      <c r="C626" s="70"/>
      <c r="D626" s="70"/>
    </row>
    <row r="627" ht="14.25" customHeight="1">
      <c r="A627" s="51"/>
      <c r="B627" s="52"/>
      <c r="C627" s="70"/>
      <c r="D627" s="70"/>
    </row>
    <row r="628" ht="14.25" customHeight="1">
      <c r="A628" s="51"/>
      <c r="B628" s="52"/>
      <c r="C628" s="70"/>
      <c r="D628" s="70"/>
    </row>
    <row r="629" ht="14.25" customHeight="1">
      <c r="A629" s="51"/>
      <c r="B629" s="52"/>
      <c r="C629" s="70"/>
      <c r="D629" s="70"/>
    </row>
    <row r="630" ht="14.25" customHeight="1">
      <c r="A630" s="51"/>
      <c r="B630" s="52"/>
      <c r="C630" s="70"/>
      <c r="D630" s="70"/>
    </row>
    <row r="631" ht="14.25" customHeight="1">
      <c r="A631" s="51"/>
      <c r="B631" s="52"/>
      <c r="C631" s="70"/>
      <c r="D631" s="70"/>
    </row>
    <row r="632" ht="14.25" customHeight="1">
      <c r="A632" s="51"/>
      <c r="B632" s="52"/>
      <c r="C632" s="70"/>
      <c r="D632" s="70"/>
    </row>
    <row r="633" ht="14.25" customHeight="1">
      <c r="A633" s="51"/>
      <c r="B633" s="52"/>
      <c r="C633" s="70"/>
      <c r="D633" s="70"/>
    </row>
    <row r="634" ht="14.25" customHeight="1">
      <c r="A634" s="51"/>
      <c r="B634" s="52"/>
      <c r="C634" s="70"/>
      <c r="D634" s="70"/>
    </row>
    <row r="635" ht="14.25" customHeight="1">
      <c r="A635" s="51"/>
      <c r="B635" s="52"/>
      <c r="C635" s="70"/>
      <c r="D635" s="70"/>
    </row>
    <row r="636" ht="14.25" customHeight="1">
      <c r="A636" s="51"/>
      <c r="B636" s="52"/>
      <c r="C636" s="70"/>
      <c r="D636" s="70"/>
    </row>
    <row r="637" ht="14.25" customHeight="1">
      <c r="A637" s="51"/>
      <c r="B637" s="52"/>
      <c r="C637" s="70"/>
      <c r="D637" s="70"/>
    </row>
    <row r="638" ht="14.25" customHeight="1">
      <c r="A638" s="51"/>
      <c r="B638" s="52"/>
      <c r="C638" s="70"/>
      <c r="D638" s="70"/>
    </row>
    <row r="639" ht="14.25" customHeight="1">
      <c r="A639" s="51"/>
      <c r="B639" s="52"/>
      <c r="C639" s="70"/>
      <c r="D639" s="70"/>
    </row>
    <row r="640" ht="14.25" customHeight="1">
      <c r="A640" s="51"/>
      <c r="B640" s="52"/>
      <c r="C640" s="70"/>
      <c r="D640" s="70"/>
    </row>
    <row r="641" ht="14.25" customHeight="1">
      <c r="A641" s="51"/>
      <c r="B641" s="52"/>
      <c r="C641" s="70"/>
      <c r="D641" s="70"/>
    </row>
    <row r="642" ht="14.25" customHeight="1">
      <c r="A642" s="51"/>
      <c r="B642" s="52"/>
      <c r="C642" s="70"/>
      <c r="D642" s="70"/>
    </row>
    <row r="643" ht="14.25" customHeight="1">
      <c r="A643" s="51"/>
      <c r="B643" s="52"/>
      <c r="C643" s="70"/>
      <c r="D643" s="70"/>
    </row>
    <row r="644" ht="14.25" customHeight="1">
      <c r="A644" s="51"/>
      <c r="B644" s="52"/>
      <c r="C644" s="70"/>
      <c r="D644" s="70"/>
    </row>
    <row r="645" ht="14.25" customHeight="1">
      <c r="A645" s="51"/>
      <c r="B645" s="52"/>
      <c r="C645" s="70"/>
      <c r="D645" s="70"/>
    </row>
    <row r="646" ht="14.25" customHeight="1">
      <c r="A646" s="51"/>
      <c r="B646" s="52"/>
      <c r="C646" s="70"/>
      <c r="D646" s="70"/>
    </row>
    <row r="647" ht="14.25" customHeight="1">
      <c r="A647" s="51"/>
      <c r="B647" s="52"/>
      <c r="C647" s="70"/>
      <c r="D647" s="70"/>
    </row>
    <row r="648" ht="14.25" customHeight="1">
      <c r="A648" s="51"/>
      <c r="B648" s="52"/>
      <c r="C648" s="70"/>
      <c r="D648" s="70"/>
    </row>
    <row r="649" ht="14.25" customHeight="1">
      <c r="A649" s="51"/>
      <c r="B649" s="52"/>
      <c r="C649" s="70"/>
      <c r="D649" s="70"/>
    </row>
    <row r="650" ht="14.25" customHeight="1">
      <c r="A650" s="51"/>
      <c r="B650" s="52"/>
      <c r="C650" s="70"/>
      <c r="D650" s="70"/>
    </row>
    <row r="651" ht="14.25" customHeight="1">
      <c r="A651" s="51"/>
      <c r="B651" s="52"/>
      <c r="C651" s="70"/>
      <c r="D651" s="70"/>
    </row>
    <row r="652" ht="14.25" customHeight="1">
      <c r="A652" s="51"/>
      <c r="B652" s="52"/>
      <c r="C652" s="70"/>
      <c r="D652" s="70"/>
    </row>
    <row r="653" ht="14.25" customHeight="1">
      <c r="A653" s="51"/>
      <c r="B653" s="52"/>
      <c r="C653" s="70"/>
      <c r="D653" s="70"/>
    </row>
    <row r="654" ht="14.25" customHeight="1">
      <c r="A654" s="51"/>
      <c r="B654" s="52"/>
      <c r="C654" s="70"/>
      <c r="D654" s="70"/>
    </row>
    <row r="655" ht="14.25" customHeight="1">
      <c r="A655" s="51"/>
      <c r="B655" s="52"/>
      <c r="C655" s="70"/>
      <c r="D655" s="70"/>
    </row>
    <row r="656" ht="14.25" customHeight="1">
      <c r="A656" s="51"/>
      <c r="B656" s="52"/>
      <c r="C656" s="70"/>
      <c r="D656" s="70"/>
    </row>
    <row r="657" ht="14.25" customHeight="1">
      <c r="A657" s="51"/>
      <c r="B657" s="52"/>
      <c r="C657" s="70"/>
      <c r="D657" s="70"/>
    </row>
    <row r="658" ht="14.25" customHeight="1">
      <c r="A658" s="51"/>
      <c r="B658" s="52"/>
      <c r="C658" s="70"/>
      <c r="D658" s="70"/>
    </row>
    <row r="659" ht="14.25" customHeight="1">
      <c r="A659" s="51"/>
      <c r="B659" s="52"/>
      <c r="C659" s="70"/>
      <c r="D659" s="70"/>
    </row>
    <row r="660" ht="14.25" customHeight="1">
      <c r="A660" s="51"/>
      <c r="B660" s="52"/>
      <c r="C660" s="70"/>
      <c r="D660" s="70"/>
    </row>
    <row r="661" ht="14.25" customHeight="1">
      <c r="A661" s="51"/>
      <c r="B661" s="52"/>
      <c r="C661" s="70"/>
      <c r="D661" s="70"/>
    </row>
    <row r="662" ht="14.25" customHeight="1">
      <c r="A662" s="51"/>
      <c r="B662" s="52"/>
      <c r="C662" s="70"/>
      <c r="D662" s="70"/>
    </row>
    <row r="663" ht="14.25" customHeight="1">
      <c r="A663" s="51"/>
      <c r="B663" s="52"/>
      <c r="C663" s="70"/>
      <c r="D663" s="70"/>
    </row>
    <row r="664" ht="14.25" customHeight="1">
      <c r="A664" s="51"/>
      <c r="B664" s="52"/>
      <c r="C664" s="70"/>
      <c r="D664" s="70"/>
    </row>
    <row r="665" ht="14.25" customHeight="1">
      <c r="A665" s="51"/>
      <c r="B665" s="52"/>
      <c r="C665" s="70"/>
      <c r="D665" s="70"/>
    </row>
    <row r="666" ht="14.25" customHeight="1">
      <c r="A666" s="51"/>
      <c r="B666" s="52"/>
      <c r="C666" s="70"/>
      <c r="D666" s="70"/>
    </row>
    <row r="667" ht="14.25" customHeight="1">
      <c r="A667" s="51"/>
      <c r="B667" s="52"/>
      <c r="C667" s="70"/>
      <c r="D667" s="70"/>
    </row>
    <row r="668" ht="14.25" customHeight="1">
      <c r="A668" s="51"/>
      <c r="B668" s="52"/>
      <c r="C668" s="70"/>
      <c r="D668" s="70"/>
    </row>
    <row r="669" ht="14.25" customHeight="1">
      <c r="A669" s="51"/>
      <c r="B669" s="52"/>
      <c r="C669" s="70"/>
      <c r="D669" s="70"/>
    </row>
    <row r="670" ht="14.25" customHeight="1">
      <c r="A670" s="51"/>
      <c r="B670" s="52"/>
      <c r="C670" s="70"/>
      <c r="D670" s="70"/>
    </row>
    <row r="671" ht="14.25" customHeight="1">
      <c r="A671" s="51"/>
      <c r="B671" s="52"/>
      <c r="C671" s="70"/>
      <c r="D671" s="70"/>
    </row>
    <row r="672" ht="14.25" customHeight="1">
      <c r="A672" s="51"/>
      <c r="B672" s="52"/>
      <c r="C672" s="70"/>
      <c r="D672" s="70"/>
    </row>
    <row r="673" ht="14.25" customHeight="1">
      <c r="A673" s="51"/>
      <c r="B673" s="52"/>
      <c r="C673" s="70"/>
      <c r="D673" s="70"/>
    </row>
    <row r="674" ht="14.25" customHeight="1">
      <c r="A674" s="51"/>
      <c r="B674" s="52"/>
      <c r="C674" s="70"/>
      <c r="D674" s="70"/>
    </row>
    <row r="675" ht="14.25" customHeight="1">
      <c r="A675" s="51"/>
      <c r="B675" s="52"/>
      <c r="C675" s="70"/>
      <c r="D675" s="70"/>
    </row>
    <row r="676" ht="14.25" customHeight="1">
      <c r="A676" s="51"/>
      <c r="B676" s="52"/>
      <c r="C676" s="70"/>
      <c r="D676" s="70"/>
    </row>
    <row r="677" ht="14.25" customHeight="1">
      <c r="A677" s="51"/>
      <c r="B677" s="52"/>
      <c r="C677" s="70"/>
      <c r="D677" s="70"/>
    </row>
    <row r="678" ht="14.25" customHeight="1">
      <c r="A678" s="51"/>
      <c r="B678" s="52"/>
      <c r="C678" s="70"/>
      <c r="D678" s="70"/>
    </row>
    <row r="679" ht="14.25" customHeight="1">
      <c r="A679" s="51"/>
      <c r="B679" s="52"/>
      <c r="C679" s="70"/>
      <c r="D679" s="70"/>
    </row>
    <row r="680" ht="14.25" customHeight="1">
      <c r="A680" s="51"/>
      <c r="B680" s="52"/>
      <c r="C680" s="70"/>
      <c r="D680" s="70"/>
    </row>
    <row r="681" ht="14.25" customHeight="1">
      <c r="A681" s="51"/>
      <c r="B681" s="52"/>
      <c r="C681" s="70"/>
      <c r="D681" s="70"/>
    </row>
    <row r="682" ht="14.25" customHeight="1">
      <c r="A682" s="51"/>
      <c r="B682" s="52"/>
      <c r="C682" s="70"/>
      <c r="D682" s="70"/>
    </row>
    <row r="683" ht="14.25" customHeight="1">
      <c r="A683" s="51"/>
      <c r="B683" s="52"/>
      <c r="C683" s="70"/>
      <c r="D683" s="70"/>
    </row>
    <row r="684" ht="14.25" customHeight="1">
      <c r="A684" s="51"/>
      <c r="B684" s="52"/>
      <c r="C684" s="70"/>
      <c r="D684" s="70"/>
    </row>
    <row r="685" ht="14.25" customHeight="1">
      <c r="A685" s="51"/>
      <c r="B685" s="52"/>
      <c r="C685" s="70"/>
      <c r="D685" s="70"/>
    </row>
    <row r="686" ht="14.25" customHeight="1">
      <c r="A686" s="51"/>
      <c r="B686" s="52"/>
      <c r="C686" s="70"/>
      <c r="D686" s="70"/>
    </row>
    <row r="687" ht="14.25" customHeight="1">
      <c r="A687" s="51"/>
      <c r="B687" s="52"/>
      <c r="C687" s="70"/>
      <c r="D687" s="70"/>
    </row>
    <row r="688" ht="14.25" customHeight="1">
      <c r="A688" s="51"/>
      <c r="B688" s="52"/>
      <c r="C688" s="70"/>
      <c r="D688" s="70"/>
    </row>
    <row r="689" ht="14.25" customHeight="1">
      <c r="A689" s="51"/>
      <c r="B689" s="52"/>
      <c r="C689" s="70"/>
      <c r="D689" s="70"/>
    </row>
    <row r="690" ht="14.25" customHeight="1">
      <c r="A690" s="51"/>
      <c r="B690" s="52"/>
      <c r="C690" s="70"/>
      <c r="D690" s="70"/>
    </row>
    <row r="691" ht="14.25" customHeight="1">
      <c r="A691" s="51"/>
      <c r="B691" s="52"/>
      <c r="C691" s="70"/>
      <c r="D691" s="70"/>
    </row>
    <row r="692" ht="14.25" customHeight="1">
      <c r="A692" s="51"/>
      <c r="B692" s="52"/>
      <c r="C692" s="70"/>
      <c r="D692" s="70"/>
    </row>
    <row r="693" ht="14.25" customHeight="1">
      <c r="A693" s="51"/>
      <c r="B693" s="52"/>
      <c r="C693" s="70"/>
      <c r="D693" s="70"/>
    </row>
    <row r="694" ht="14.25" customHeight="1">
      <c r="A694" s="51"/>
      <c r="B694" s="52"/>
      <c r="C694" s="70"/>
      <c r="D694" s="70"/>
    </row>
    <row r="695" ht="14.25" customHeight="1">
      <c r="A695" s="51"/>
      <c r="B695" s="52"/>
      <c r="C695" s="70"/>
      <c r="D695" s="70"/>
    </row>
    <row r="696" ht="14.25" customHeight="1">
      <c r="A696" s="51"/>
      <c r="B696" s="52"/>
      <c r="C696" s="70"/>
      <c r="D696" s="70"/>
    </row>
    <row r="697" ht="14.25" customHeight="1">
      <c r="A697" s="51"/>
      <c r="B697" s="52"/>
      <c r="C697" s="70"/>
      <c r="D697" s="70"/>
    </row>
    <row r="698" ht="14.25" customHeight="1">
      <c r="A698" s="51"/>
      <c r="B698" s="52"/>
      <c r="C698" s="70"/>
      <c r="D698" s="70"/>
    </row>
    <row r="699" ht="14.25" customHeight="1">
      <c r="A699" s="51"/>
      <c r="B699" s="52"/>
      <c r="C699" s="70"/>
      <c r="D699" s="70"/>
    </row>
    <row r="700" ht="14.25" customHeight="1">
      <c r="A700" s="51"/>
      <c r="B700" s="52"/>
      <c r="C700" s="70"/>
      <c r="D700" s="70"/>
    </row>
    <row r="701" ht="14.25" customHeight="1">
      <c r="A701" s="51"/>
      <c r="B701" s="52"/>
      <c r="C701" s="70"/>
      <c r="D701" s="70"/>
    </row>
    <row r="702" ht="14.25" customHeight="1">
      <c r="A702" s="51"/>
      <c r="B702" s="52"/>
      <c r="C702" s="70"/>
      <c r="D702" s="70"/>
    </row>
    <row r="703" ht="14.25" customHeight="1">
      <c r="A703" s="51"/>
      <c r="B703" s="52"/>
      <c r="C703" s="70"/>
      <c r="D703" s="70"/>
    </row>
    <row r="704" ht="14.25" customHeight="1">
      <c r="A704" s="51"/>
      <c r="B704" s="52"/>
      <c r="C704" s="70"/>
      <c r="D704" s="70"/>
    </row>
    <row r="705" ht="14.25" customHeight="1">
      <c r="A705" s="51"/>
      <c r="B705" s="52"/>
      <c r="C705" s="70"/>
      <c r="D705" s="70"/>
    </row>
    <row r="706" ht="14.25" customHeight="1">
      <c r="A706" s="51"/>
      <c r="B706" s="52"/>
      <c r="C706" s="70"/>
      <c r="D706" s="70"/>
    </row>
    <row r="707" ht="14.25" customHeight="1">
      <c r="A707" s="51"/>
      <c r="B707" s="52"/>
      <c r="C707" s="70"/>
      <c r="D707" s="70"/>
    </row>
    <row r="708" ht="14.25" customHeight="1">
      <c r="A708" s="51"/>
      <c r="B708" s="52"/>
      <c r="C708" s="70"/>
      <c r="D708" s="70"/>
    </row>
    <row r="709" ht="14.25" customHeight="1">
      <c r="A709" s="51"/>
      <c r="B709" s="52"/>
      <c r="C709" s="70"/>
      <c r="D709" s="70"/>
    </row>
    <row r="710" ht="14.25" customHeight="1">
      <c r="A710" s="51"/>
      <c r="B710" s="52"/>
      <c r="C710" s="70"/>
      <c r="D710" s="70"/>
    </row>
    <row r="711" ht="14.25" customHeight="1">
      <c r="A711" s="51"/>
      <c r="B711" s="52"/>
      <c r="C711" s="70"/>
      <c r="D711" s="70"/>
    </row>
    <row r="712" ht="14.25" customHeight="1">
      <c r="A712" s="51"/>
      <c r="B712" s="52"/>
      <c r="C712" s="70"/>
      <c r="D712" s="70"/>
    </row>
    <row r="713" ht="14.25" customHeight="1">
      <c r="A713" s="51"/>
      <c r="B713" s="52"/>
      <c r="C713" s="70"/>
      <c r="D713" s="70"/>
    </row>
    <row r="714" ht="14.25" customHeight="1">
      <c r="A714" s="51"/>
      <c r="B714" s="52"/>
      <c r="C714" s="70"/>
      <c r="D714" s="70"/>
    </row>
    <row r="715" ht="14.25" customHeight="1">
      <c r="A715" s="51"/>
      <c r="B715" s="52"/>
      <c r="C715" s="70"/>
      <c r="D715" s="70"/>
    </row>
    <row r="716" ht="14.25" customHeight="1">
      <c r="A716" s="51"/>
      <c r="B716" s="52"/>
      <c r="C716" s="70"/>
      <c r="D716" s="70"/>
    </row>
    <row r="717" ht="14.25" customHeight="1">
      <c r="A717" s="51"/>
      <c r="B717" s="52"/>
      <c r="C717" s="70"/>
      <c r="D717" s="70"/>
    </row>
    <row r="718" ht="14.25" customHeight="1">
      <c r="A718" s="51"/>
      <c r="B718" s="52"/>
      <c r="C718" s="70"/>
      <c r="D718" s="70"/>
    </row>
    <row r="719" ht="14.25" customHeight="1">
      <c r="A719" s="51"/>
      <c r="B719" s="52"/>
      <c r="C719" s="70"/>
      <c r="D719" s="70"/>
    </row>
    <row r="720" ht="14.25" customHeight="1">
      <c r="A720" s="51"/>
      <c r="B720" s="52"/>
      <c r="C720" s="70"/>
      <c r="D720" s="70"/>
    </row>
    <row r="721" ht="14.25" customHeight="1">
      <c r="A721" s="51"/>
      <c r="B721" s="52"/>
      <c r="C721" s="70"/>
      <c r="D721" s="70"/>
    </row>
    <row r="722" ht="14.25" customHeight="1">
      <c r="A722" s="51"/>
      <c r="B722" s="52"/>
      <c r="C722" s="70"/>
      <c r="D722" s="70"/>
    </row>
    <row r="723" ht="14.25" customHeight="1">
      <c r="A723" s="51"/>
      <c r="B723" s="52"/>
      <c r="C723" s="70"/>
      <c r="D723" s="70"/>
    </row>
    <row r="724" ht="14.25" customHeight="1">
      <c r="A724" s="51"/>
      <c r="B724" s="52"/>
      <c r="C724" s="70"/>
      <c r="D724" s="70"/>
    </row>
    <row r="725" ht="14.25" customHeight="1">
      <c r="A725" s="51"/>
      <c r="B725" s="52"/>
      <c r="C725" s="70"/>
      <c r="D725" s="70"/>
    </row>
    <row r="726" ht="14.25" customHeight="1">
      <c r="A726" s="51"/>
      <c r="B726" s="52"/>
      <c r="C726" s="70"/>
      <c r="D726" s="70"/>
    </row>
    <row r="727" ht="14.25" customHeight="1">
      <c r="A727" s="51"/>
      <c r="B727" s="52"/>
      <c r="C727" s="70"/>
      <c r="D727" s="70"/>
    </row>
    <row r="728" ht="14.25" customHeight="1">
      <c r="A728" s="51"/>
      <c r="B728" s="52"/>
      <c r="C728" s="70"/>
      <c r="D728" s="70"/>
    </row>
    <row r="729" ht="14.25" customHeight="1">
      <c r="A729" s="51"/>
      <c r="B729" s="52"/>
      <c r="C729" s="70"/>
      <c r="D729" s="70"/>
    </row>
    <row r="730" ht="14.25" customHeight="1">
      <c r="A730" s="51"/>
      <c r="B730" s="52"/>
      <c r="C730" s="70"/>
      <c r="D730" s="70"/>
    </row>
    <row r="731" ht="14.25" customHeight="1">
      <c r="A731" s="51"/>
      <c r="B731" s="52"/>
      <c r="C731" s="70"/>
      <c r="D731" s="70"/>
    </row>
    <row r="732" ht="14.25" customHeight="1">
      <c r="A732" s="51"/>
      <c r="B732" s="52"/>
      <c r="C732" s="70"/>
      <c r="D732" s="70"/>
    </row>
    <row r="733" ht="14.25" customHeight="1">
      <c r="A733" s="51"/>
      <c r="B733" s="52"/>
      <c r="C733" s="70"/>
      <c r="D733" s="70"/>
    </row>
    <row r="734" ht="14.25" customHeight="1">
      <c r="A734" s="51"/>
      <c r="B734" s="52"/>
      <c r="C734" s="70"/>
      <c r="D734" s="70"/>
    </row>
    <row r="735" ht="14.25" customHeight="1">
      <c r="A735" s="51"/>
      <c r="B735" s="52"/>
      <c r="C735" s="70"/>
      <c r="D735" s="70"/>
    </row>
    <row r="736" ht="14.25" customHeight="1">
      <c r="A736" s="51"/>
      <c r="B736" s="52"/>
      <c r="C736" s="70"/>
      <c r="D736" s="70"/>
    </row>
    <row r="737" ht="14.25" customHeight="1">
      <c r="A737" s="51"/>
      <c r="B737" s="52"/>
      <c r="C737" s="70"/>
      <c r="D737" s="70"/>
    </row>
    <row r="738" ht="14.25" customHeight="1">
      <c r="A738" s="51"/>
      <c r="B738" s="52"/>
      <c r="C738" s="70"/>
      <c r="D738" s="70"/>
    </row>
    <row r="739" ht="14.25" customHeight="1">
      <c r="A739" s="51"/>
      <c r="B739" s="52"/>
      <c r="C739" s="70"/>
      <c r="D739" s="70"/>
    </row>
    <row r="740" ht="14.25" customHeight="1">
      <c r="A740" s="51"/>
      <c r="B740" s="52"/>
      <c r="C740" s="70"/>
      <c r="D740" s="70"/>
    </row>
    <row r="741" ht="14.25" customHeight="1">
      <c r="A741" s="51"/>
      <c r="B741" s="52"/>
      <c r="C741" s="70"/>
      <c r="D741" s="70"/>
    </row>
    <row r="742" ht="14.25" customHeight="1">
      <c r="A742" s="51"/>
      <c r="B742" s="52"/>
      <c r="C742" s="70"/>
      <c r="D742" s="70"/>
    </row>
    <row r="743" ht="14.25" customHeight="1">
      <c r="A743" s="51"/>
      <c r="B743" s="52"/>
      <c r="C743" s="70"/>
      <c r="D743" s="70"/>
    </row>
    <row r="744" ht="14.25" customHeight="1">
      <c r="A744" s="51"/>
      <c r="B744" s="52"/>
      <c r="C744" s="70"/>
      <c r="D744" s="70"/>
    </row>
    <row r="745" ht="14.25" customHeight="1">
      <c r="A745" s="51"/>
      <c r="B745" s="52"/>
      <c r="C745" s="70"/>
      <c r="D745" s="70"/>
    </row>
    <row r="746" ht="14.25" customHeight="1">
      <c r="A746" s="51"/>
      <c r="B746" s="52"/>
      <c r="C746" s="70"/>
      <c r="D746" s="70"/>
    </row>
    <row r="747" ht="14.25" customHeight="1">
      <c r="A747" s="51"/>
      <c r="B747" s="52"/>
      <c r="C747" s="70"/>
      <c r="D747" s="70"/>
    </row>
    <row r="748" ht="14.25" customHeight="1">
      <c r="A748" s="51"/>
      <c r="B748" s="52"/>
      <c r="C748" s="70"/>
      <c r="D748" s="70"/>
    </row>
    <row r="749" ht="14.25" customHeight="1">
      <c r="A749" s="51"/>
      <c r="B749" s="52"/>
      <c r="C749" s="70"/>
      <c r="D749" s="70"/>
    </row>
    <row r="750" ht="14.25" customHeight="1">
      <c r="A750" s="51"/>
      <c r="B750" s="52"/>
      <c r="C750" s="70"/>
      <c r="D750" s="70"/>
    </row>
    <row r="751" ht="14.25" customHeight="1">
      <c r="A751" s="51"/>
      <c r="B751" s="52"/>
      <c r="C751" s="70"/>
      <c r="D751" s="70"/>
    </row>
    <row r="752" ht="14.25" customHeight="1">
      <c r="A752" s="51"/>
      <c r="B752" s="52"/>
      <c r="C752" s="70"/>
      <c r="D752" s="70"/>
    </row>
    <row r="753" ht="14.25" customHeight="1">
      <c r="A753" s="51"/>
      <c r="B753" s="52"/>
      <c r="C753" s="70"/>
      <c r="D753" s="70"/>
    </row>
    <row r="754" ht="14.25" customHeight="1">
      <c r="A754" s="51"/>
      <c r="B754" s="52"/>
      <c r="C754" s="70"/>
      <c r="D754" s="70"/>
    </row>
    <row r="755" ht="14.25" customHeight="1">
      <c r="A755" s="51"/>
      <c r="B755" s="52"/>
      <c r="C755" s="70"/>
      <c r="D755" s="70"/>
    </row>
    <row r="756" ht="14.25" customHeight="1">
      <c r="A756" s="51"/>
      <c r="B756" s="52"/>
      <c r="C756" s="70"/>
      <c r="D756" s="70"/>
    </row>
    <row r="757" ht="14.25" customHeight="1">
      <c r="A757" s="51"/>
      <c r="B757" s="52"/>
      <c r="C757" s="70"/>
      <c r="D757" s="70"/>
    </row>
    <row r="758" ht="14.25" customHeight="1">
      <c r="A758" s="51"/>
      <c r="B758" s="52"/>
      <c r="C758" s="70"/>
      <c r="D758" s="70"/>
    </row>
    <row r="759" ht="14.25" customHeight="1">
      <c r="A759" s="51"/>
      <c r="B759" s="52"/>
      <c r="C759" s="70"/>
      <c r="D759" s="70"/>
    </row>
    <row r="760" ht="14.25" customHeight="1">
      <c r="A760" s="51"/>
      <c r="B760" s="52"/>
      <c r="C760" s="70"/>
      <c r="D760" s="70"/>
    </row>
    <row r="761" ht="14.25" customHeight="1">
      <c r="A761" s="51"/>
      <c r="B761" s="52"/>
      <c r="C761" s="70"/>
      <c r="D761" s="70"/>
    </row>
    <row r="762" ht="14.25" customHeight="1">
      <c r="A762" s="51"/>
      <c r="B762" s="52"/>
      <c r="C762" s="70"/>
      <c r="D762" s="70"/>
    </row>
    <row r="763" ht="14.25" customHeight="1">
      <c r="A763" s="51"/>
      <c r="B763" s="52"/>
      <c r="C763" s="70"/>
      <c r="D763" s="70"/>
    </row>
    <row r="764" ht="14.25" customHeight="1">
      <c r="A764" s="51"/>
      <c r="B764" s="52"/>
      <c r="C764" s="70"/>
      <c r="D764" s="70"/>
    </row>
    <row r="765" ht="14.25" customHeight="1">
      <c r="A765" s="51"/>
      <c r="B765" s="52"/>
      <c r="C765" s="70"/>
      <c r="D765" s="70"/>
    </row>
    <row r="766" ht="14.25" customHeight="1">
      <c r="A766" s="51"/>
      <c r="B766" s="52"/>
      <c r="C766" s="70"/>
      <c r="D766" s="70"/>
    </row>
    <row r="767" ht="14.25" customHeight="1">
      <c r="A767" s="51"/>
      <c r="B767" s="52"/>
      <c r="C767" s="70"/>
      <c r="D767" s="70"/>
    </row>
    <row r="768" ht="14.25" customHeight="1">
      <c r="A768" s="51"/>
      <c r="B768" s="52"/>
      <c r="C768" s="70"/>
      <c r="D768" s="70"/>
    </row>
    <row r="769" ht="14.25" customHeight="1">
      <c r="A769" s="51"/>
      <c r="B769" s="52"/>
      <c r="C769" s="70"/>
      <c r="D769" s="70"/>
    </row>
    <row r="770" ht="14.25" customHeight="1">
      <c r="A770" s="51"/>
      <c r="B770" s="52"/>
      <c r="C770" s="70"/>
      <c r="D770" s="70"/>
    </row>
    <row r="771" ht="14.25" customHeight="1">
      <c r="A771" s="51"/>
      <c r="B771" s="52"/>
      <c r="C771" s="70"/>
      <c r="D771" s="70"/>
    </row>
    <row r="772" ht="14.25" customHeight="1">
      <c r="A772" s="51"/>
      <c r="B772" s="52"/>
      <c r="C772" s="70"/>
      <c r="D772" s="70"/>
    </row>
    <row r="773" ht="14.25" customHeight="1">
      <c r="A773" s="51"/>
      <c r="B773" s="52"/>
      <c r="C773" s="70"/>
      <c r="D773" s="70"/>
    </row>
    <row r="774" ht="14.25" customHeight="1">
      <c r="A774" s="51"/>
      <c r="B774" s="52"/>
      <c r="C774" s="70"/>
      <c r="D774" s="70"/>
    </row>
    <row r="775" ht="14.25" customHeight="1">
      <c r="A775" s="51"/>
      <c r="B775" s="52"/>
      <c r="C775" s="70"/>
      <c r="D775" s="70"/>
    </row>
    <row r="776" ht="14.25" customHeight="1">
      <c r="A776" s="51"/>
      <c r="B776" s="52"/>
      <c r="C776" s="70"/>
      <c r="D776" s="70"/>
    </row>
    <row r="777" ht="14.25" customHeight="1">
      <c r="A777" s="51"/>
      <c r="B777" s="52"/>
      <c r="C777" s="70"/>
      <c r="D777" s="70"/>
    </row>
    <row r="778" ht="14.25" customHeight="1">
      <c r="A778" s="51"/>
      <c r="B778" s="52"/>
      <c r="C778" s="70"/>
      <c r="D778" s="70"/>
    </row>
    <row r="779" ht="14.25" customHeight="1">
      <c r="A779" s="51"/>
      <c r="B779" s="52"/>
      <c r="C779" s="70"/>
      <c r="D779" s="70"/>
    </row>
    <row r="780" ht="14.25" customHeight="1">
      <c r="A780" s="51"/>
      <c r="B780" s="52"/>
      <c r="C780" s="70"/>
      <c r="D780" s="70"/>
    </row>
    <row r="781" ht="14.25" customHeight="1">
      <c r="A781" s="51"/>
      <c r="B781" s="52"/>
      <c r="C781" s="70"/>
      <c r="D781" s="70"/>
    </row>
    <row r="782" ht="14.25" customHeight="1">
      <c r="A782" s="51"/>
      <c r="B782" s="52"/>
      <c r="C782" s="70"/>
      <c r="D782" s="70"/>
    </row>
    <row r="783" ht="14.25" customHeight="1">
      <c r="A783" s="51"/>
      <c r="B783" s="52"/>
      <c r="C783" s="70"/>
      <c r="D783" s="70"/>
    </row>
    <row r="784" ht="14.25" customHeight="1">
      <c r="A784" s="51"/>
      <c r="B784" s="52"/>
      <c r="C784" s="70"/>
      <c r="D784" s="70"/>
    </row>
    <row r="785" ht="14.25" customHeight="1">
      <c r="A785" s="51"/>
      <c r="B785" s="52"/>
      <c r="C785" s="70"/>
      <c r="D785" s="70"/>
    </row>
    <row r="786" ht="14.25" customHeight="1">
      <c r="A786" s="51"/>
      <c r="B786" s="52"/>
      <c r="C786" s="70"/>
      <c r="D786" s="70"/>
    </row>
    <row r="787" ht="14.25" customHeight="1">
      <c r="A787" s="51"/>
      <c r="B787" s="52"/>
      <c r="C787" s="70"/>
      <c r="D787" s="70"/>
    </row>
    <row r="788" ht="14.25" customHeight="1">
      <c r="A788" s="51"/>
      <c r="B788" s="52"/>
      <c r="C788" s="70"/>
      <c r="D788" s="70"/>
    </row>
    <row r="789" ht="14.25" customHeight="1">
      <c r="A789" s="51"/>
      <c r="B789" s="52"/>
      <c r="C789" s="70"/>
      <c r="D789" s="70"/>
    </row>
    <row r="790" ht="14.25" customHeight="1">
      <c r="A790" s="51"/>
      <c r="B790" s="52"/>
      <c r="C790" s="70"/>
      <c r="D790" s="70"/>
    </row>
    <row r="791" ht="14.25" customHeight="1">
      <c r="A791" s="51"/>
      <c r="B791" s="52"/>
      <c r="C791" s="70"/>
      <c r="D791" s="70"/>
    </row>
    <row r="792" ht="14.25" customHeight="1">
      <c r="A792" s="51"/>
      <c r="B792" s="52"/>
      <c r="C792" s="70"/>
      <c r="D792" s="70"/>
    </row>
    <row r="793" ht="14.25" customHeight="1">
      <c r="A793" s="51"/>
      <c r="B793" s="52"/>
      <c r="C793" s="70"/>
      <c r="D793" s="70"/>
    </row>
    <row r="794" ht="14.25" customHeight="1">
      <c r="A794" s="51"/>
      <c r="B794" s="52"/>
      <c r="C794" s="70"/>
      <c r="D794" s="70"/>
    </row>
    <row r="795" ht="14.25" customHeight="1">
      <c r="A795" s="51"/>
      <c r="B795" s="52"/>
      <c r="C795" s="70"/>
      <c r="D795" s="70"/>
    </row>
    <row r="796" ht="14.25" customHeight="1">
      <c r="A796" s="51"/>
      <c r="B796" s="52"/>
      <c r="C796" s="70"/>
      <c r="D796" s="70"/>
    </row>
    <row r="797" ht="14.25" customHeight="1">
      <c r="A797" s="51"/>
      <c r="B797" s="52"/>
      <c r="C797" s="70"/>
      <c r="D797" s="70"/>
    </row>
    <row r="798" ht="14.25" customHeight="1">
      <c r="A798" s="51"/>
      <c r="B798" s="52"/>
      <c r="C798" s="70"/>
      <c r="D798" s="70"/>
    </row>
    <row r="799" ht="14.25" customHeight="1">
      <c r="A799" s="51"/>
      <c r="B799" s="52"/>
      <c r="C799" s="70"/>
      <c r="D799" s="70"/>
    </row>
    <row r="800" ht="14.25" customHeight="1">
      <c r="A800" s="51"/>
      <c r="B800" s="52"/>
      <c r="C800" s="70"/>
      <c r="D800" s="70"/>
    </row>
    <row r="801" ht="14.25" customHeight="1">
      <c r="A801" s="51"/>
      <c r="B801" s="52"/>
      <c r="C801" s="70"/>
      <c r="D801" s="70"/>
    </row>
    <row r="802" ht="14.25" customHeight="1">
      <c r="A802" s="51"/>
      <c r="B802" s="52"/>
      <c r="C802" s="70"/>
      <c r="D802" s="70"/>
    </row>
    <row r="803" ht="14.25" customHeight="1">
      <c r="A803" s="51"/>
      <c r="B803" s="52"/>
      <c r="C803" s="70"/>
      <c r="D803" s="70"/>
    </row>
    <row r="804" ht="14.25" customHeight="1">
      <c r="A804" s="51"/>
      <c r="B804" s="52"/>
      <c r="C804" s="70"/>
      <c r="D804" s="70"/>
    </row>
    <row r="805" ht="14.25" customHeight="1">
      <c r="A805" s="51"/>
      <c r="B805" s="52"/>
      <c r="C805" s="70"/>
      <c r="D805" s="70"/>
    </row>
    <row r="806" ht="14.25" customHeight="1">
      <c r="A806" s="51"/>
      <c r="B806" s="52"/>
      <c r="C806" s="70"/>
      <c r="D806" s="70"/>
    </row>
    <row r="807" ht="14.25" customHeight="1">
      <c r="A807" s="51"/>
      <c r="B807" s="52"/>
      <c r="C807" s="70"/>
      <c r="D807" s="70"/>
    </row>
    <row r="808" ht="14.25" customHeight="1">
      <c r="A808" s="51"/>
      <c r="B808" s="52"/>
      <c r="C808" s="70"/>
      <c r="D808" s="70"/>
    </row>
    <row r="809" ht="14.25" customHeight="1">
      <c r="A809" s="51"/>
      <c r="B809" s="52"/>
      <c r="C809" s="70"/>
      <c r="D809" s="70"/>
    </row>
    <row r="810" ht="14.25" customHeight="1">
      <c r="A810" s="51"/>
      <c r="B810" s="52"/>
      <c r="C810" s="70"/>
      <c r="D810" s="70"/>
    </row>
    <row r="811" ht="14.25" customHeight="1">
      <c r="A811" s="51"/>
      <c r="B811" s="52"/>
      <c r="C811" s="70"/>
      <c r="D811" s="70"/>
    </row>
    <row r="812" ht="14.25" customHeight="1">
      <c r="A812" s="51"/>
      <c r="B812" s="52"/>
      <c r="C812" s="70"/>
      <c r="D812" s="70"/>
    </row>
    <row r="813" ht="14.25" customHeight="1">
      <c r="A813" s="51"/>
      <c r="B813" s="52"/>
      <c r="C813" s="70"/>
      <c r="D813" s="70"/>
    </row>
    <row r="814" ht="14.25" customHeight="1">
      <c r="A814" s="51"/>
      <c r="B814" s="52"/>
      <c r="C814" s="70"/>
      <c r="D814" s="70"/>
    </row>
    <row r="815" ht="14.25" customHeight="1">
      <c r="A815" s="51"/>
      <c r="B815" s="52"/>
      <c r="C815" s="70"/>
      <c r="D815" s="70"/>
    </row>
    <row r="816" ht="14.25" customHeight="1">
      <c r="A816" s="51"/>
      <c r="B816" s="52"/>
      <c r="C816" s="70"/>
      <c r="D816" s="70"/>
    </row>
    <row r="817" ht="14.25" customHeight="1">
      <c r="A817" s="51"/>
      <c r="B817" s="52"/>
      <c r="C817" s="70"/>
      <c r="D817" s="70"/>
    </row>
    <row r="818" ht="14.25" customHeight="1">
      <c r="A818" s="51"/>
      <c r="B818" s="52"/>
      <c r="C818" s="70"/>
      <c r="D818" s="70"/>
    </row>
    <row r="819" ht="14.25" customHeight="1">
      <c r="A819" s="51"/>
      <c r="B819" s="52"/>
      <c r="C819" s="70"/>
      <c r="D819" s="70"/>
    </row>
    <row r="820" ht="14.25" customHeight="1">
      <c r="A820" s="51"/>
      <c r="B820" s="52"/>
      <c r="C820" s="70"/>
      <c r="D820" s="70"/>
    </row>
    <row r="821" ht="14.25" customHeight="1">
      <c r="A821" s="51"/>
      <c r="B821" s="52"/>
      <c r="C821" s="70"/>
      <c r="D821" s="70"/>
    </row>
    <row r="822" ht="14.25" customHeight="1">
      <c r="A822" s="51"/>
      <c r="B822" s="52"/>
      <c r="C822" s="70"/>
      <c r="D822" s="70"/>
    </row>
    <row r="823" ht="14.25" customHeight="1">
      <c r="A823" s="51"/>
      <c r="B823" s="52"/>
      <c r="C823" s="70"/>
      <c r="D823" s="70"/>
    </row>
    <row r="824" ht="14.25" customHeight="1">
      <c r="A824" s="51"/>
      <c r="B824" s="52"/>
      <c r="C824" s="70"/>
      <c r="D824" s="70"/>
    </row>
    <row r="825" ht="14.25" customHeight="1">
      <c r="A825" s="51"/>
      <c r="B825" s="52"/>
      <c r="C825" s="70"/>
      <c r="D825" s="70"/>
    </row>
    <row r="826" ht="14.25" customHeight="1">
      <c r="A826" s="51"/>
      <c r="B826" s="52"/>
      <c r="C826" s="70"/>
      <c r="D826" s="70"/>
    </row>
    <row r="827" ht="14.25" customHeight="1">
      <c r="A827" s="51"/>
      <c r="B827" s="52"/>
      <c r="C827" s="70"/>
      <c r="D827" s="70"/>
    </row>
    <row r="828" ht="14.25" customHeight="1">
      <c r="A828" s="51"/>
      <c r="B828" s="52"/>
      <c r="C828" s="70"/>
      <c r="D828" s="70"/>
    </row>
    <row r="829" ht="14.25" customHeight="1">
      <c r="A829" s="51"/>
      <c r="B829" s="52"/>
      <c r="C829" s="70"/>
      <c r="D829" s="70"/>
    </row>
    <row r="830" ht="14.25" customHeight="1">
      <c r="A830" s="51"/>
      <c r="B830" s="52"/>
      <c r="C830" s="70"/>
      <c r="D830" s="70"/>
    </row>
    <row r="831" ht="14.25" customHeight="1">
      <c r="A831" s="51"/>
      <c r="B831" s="52"/>
      <c r="C831" s="70"/>
      <c r="D831" s="70"/>
    </row>
    <row r="832" ht="14.25" customHeight="1">
      <c r="A832" s="51"/>
      <c r="B832" s="52"/>
      <c r="C832" s="70"/>
      <c r="D832" s="70"/>
    </row>
    <row r="833" ht="14.25" customHeight="1">
      <c r="A833" s="51"/>
      <c r="B833" s="52"/>
      <c r="C833" s="70"/>
      <c r="D833" s="70"/>
    </row>
    <row r="834" ht="14.25" customHeight="1">
      <c r="A834" s="51"/>
      <c r="B834" s="52"/>
      <c r="C834" s="70"/>
      <c r="D834" s="70"/>
    </row>
    <row r="835" ht="14.25" customHeight="1">
      <c r="A835" s="51"/>
      <c r="B835" s="52"/>
      <c r="C835" s="70"/>
      <c r="D835" s="70"/>
    </row>
    <row r="836" ht="14.25" customHeight="1">
      <c r="A836" s="51"/>
      <c r="B836" s="52"/>
      <c r="C836" s="70"/>
      <c r="D836" s="70"/>
    </row>
    <row r="837" ht="14.25" customHeight="1">
      <c r="A837" s="51"/>
      <c r="B837" s="52"/>
      <c r="C837" s="70"/>
      <c r="D837" s="70"/>
    </row>
    <row r="838" ht="14.25" customHeight="1">
      <c r="A838" s="51"/>
      <c r="B838" s="52"/>
      <c r="C838" s="70"/>
      <c r="D838" s="70"/>
    </row>
    <row r="839" ht="14.25" customHeight="1">
      <c r="A839" s="51"/>
      <c r="B839" s="52"/>
      <c r="C839" s="70"/>
      <c r="D839" s="70"/>
    </row>
    <row r="840" ht="14.25" customHeight="1">
      <c r="A840" s="51"/>
      <c r="B840" s="52"/>
      <c r="C840" s="70"/>
      <c r="D840" s="70"/>
    </row>
    <row r="841" ht="14.25" customHeight="1">
      <c r="A841" s="51"/>
      <c r="B841" s="52"/>
      <c r="C841" s="70"/>
      <c r="D841" s="70"/>
    </row>
    <row r="842" ht="14.25" customHeight="1">
      <c r="A842" s="51"/>
      <c r="B842" s="52"/>
      <c r="C842" s="70"/>
      <c r="D842" s="70"/>
    </row>
    <row r="843" ht="14.25" customHeight="1">
      <c r="A843" s="51"/>
      <c r="B843" s="52"/>
      <c r="C843" s="70"/>
      <c r="D843" s="70"/>
    </row>
    <row r="844" ht="14.25" customHeight="1">
      <c r="A844" s="51"/>
      <c r="B844" s="52"/>
      <c r="C844" s="70"/>
      <c r="D844" s="70"/>
    </row>
    <row r="845" ht="14.25" customHeight="1">
      <c r="A845" s="51"/>
      <c r="B845" s="52"/>
      <c r="C845" s="70"/>
      <c r="D845" s="70"/>
    </row>
    <row r="846" ht="14.25" customHeight="1">
      <c r="A846" s="51"/>
      <c r="B846" s="52"/>
      <c r="C846" s="70"/>
      <c r="D846" s="70"/>
    </row>
    <row r="847" ht="14.25" customHeight="1">
      <c r="A847" s="51"/>
      <c r="B847" s="52"/>
      <c r="C847" s="70"/>
      <c r="D847" s="70"/>
    </row>
    <row r="848" ht="14.25" customHeight="1">
      <c r="A848" s="51"/>
      <c r="B848" s="52"/>
      <c r="C848" s="70"/>
      <c r="D848" s="70"/>
    </row>
    <row r="849" ht="14.25" customHeight="1">
      <c r="A849" s="51"/>
      <c r="B849" s="52"/>
      <c r="C849" s="70"/>
      <c r="D849" s="70"/>
    </row>
    <row r="850" ht="14.25" customHeight="1">
      <c r="A850" s="51"/>
      <c r="B850" s="52"/>
      <c r="C850" s="70"/>
      <c r="D850" s="70"/>
    </row>
    <row r="851" ht="14.25" customHeight="1">
      <c r="A851" s="51"/>
      <c r="B851" s="52"/>
      <c r="C851" s="70"/>
      <c r="D851" s="70"/>
    </row>
    <row r="852" ht="14.25" customHeight="1">
      <c r="A852" s="51"/>
      <c r="B852" s="52"/>
      <c r="C852" s="70"/>
      <c r="D852" s="70"/>
    </row>
    <row r="853" ht="14.25" customHeight="1">
      <c r="A853" s="51"/>
      <c r="B853" s="52"/>
      <c r="C853" s="70"/>
      <c r="D853" s="70"/>
    </row>
    <row r="854" ht="14.25" customHeight="1">
      <c r="A854" s="51"/>
      <c r="B854" s="52"/>
      <c r="C854" s="70"/>
      <c r="D854" s="70"/>
    </row>
    <row r="855" ht="14.25" customHeight="1">
      <c r="A855" s="51"/>
      <c r="B855" s="52"/>
      <c r="C855" s="70"/>
      <c r="D855" s="70"/>
    </row>
    <row r="856" ht="14.25" customHeight="1">
      <c r="A856" s="51"/>
      <c r="B856" s="52"/>
      <c r="C856" s="70"/>
      <c r="D856" s="70"/>
    </row>
    <row r="857" ht="14.25" customHeight="1">
      <c r="A857" s="51"/>
      <c r="B857" s="52"/>
      <c r="C857" s="70"/>
      <c r="D857" s="70"/>
    </row>
    <row r="858" ht="14.25" customHeight="1">
      <c r="A858" s="51"/>
      <c r="B858" s="52"/>
      <c r="C858" s="70"/>
      <c r="D858" s="70"/>
    </row>
    <row r="859" ht="14.25" customHeight="1">
      <c r="A859" s="51"/>
      <c r="B859" s="52"/>
      <c r="C859" s="70"/>
      <c r="D859" s="70"/>
    </row>
    <row r="860" ht="14.25" customHeight="1">
      <c r="A860" s="51"/>
      <c r="B860" s="52"/>
      <c r="C860" s="70"/>
      <c r="D860" s="70"/>
    </row>
    <row r="861" ht="14.25" customHeight="1">
      <c r="A861" s="51"/>
      <c r="B861" s="52"/>
      <c r="C861" s="70"/>
      <c r="D861" s="70"/>
    </row>
    <row r="862" ht="14.25" customHeight="1">
      <c r="A862" s="51"/>
      <c r="B862" s="52"/>
      <c r="C862" s="70"/>
      <c r="D862" s="70"/>
    </row>
    <row r="863" ht="14.25" customHeight="1">
      <c r="A863" s="51"/>
      <c r="B863" s="52"/>
      <c r="C863" s="70"/>
      <c r="D863" s="70"/>
    </row>
    <row r="864" ht="14.25" customHeight="1">
      <c r="A864" s="51"/>
      <c r="B864" s="52"/>
      <c r="C864" s="70"/>
      <c r="D864" s="70"/>
    </row>
    <row r="865" ht="14.25" customHeight="1">
      <c r="A865" s="51"/>
      <c r="B865" s="52"/>
      <c r="C865" s="70"/>
      <c r="D865" s="70"/>
    </row>
    <row r="866" ht="14.25" customHeight="1">
      <c r="A866" s="51"/>
      <c r="B866" s="52"/>
      <c r="C866" s="70"/>
      <c r="D866" s="70"/>
    </row>
    <row r="867" ht="14.25" customHeight="1">
      <c r="A867" s="51"/>
      <c r="B867" s="52"/>
      <c r="C867" s="70"/>
      <c r="D867" s="70"/>
    </row>
    <row r="868" ht="14.25" customHeight="1">
      <c r="A868" s="51"/>
      <c r="B868" s="52"/>
      <c r="C868" s="70"/>
      <c r="D868" s="70"/>
    </row>
    <row r="869" ht="14.25" customHeight="1">
      <c r="A869" s="51"/>
      <c r="B869" s="52"/>
      <c r="C869" s="70"/>
      <c r="D869" s="70"/>
    </row>
    <row r="870" ht="14.25" customHeight="1">
      <c r="A870" s="51"/>
      <c r="B870" s="52"/>
      <c r="C870" s="70"/>
      <c r="D870" s="70"/>
    </row>
    <row r="871" ht="14.25" customHeight="1">
      <c r="A871" s="51"/>
      <c r="B871" s="52"/>
      <c r="C871" s="70"/>
      <c r="D871" s="70"/>
    </row>
    <row r="872" ht="14.25" customHeight="1">
      <c r="A872" s="51"/>
      <c r="B872" s="52"/>
      <c r="C872" s="70"/>
      <c r="D872" s="70"/>
    </row>
    <row r="873" ht="14.25" customHeight="1">
      <c r="A873" s="51"/>
      <c r="B873" s="52"/>
      <c r="C873" s="70"/>
      <c r="D873" s="70"/>
    </row>
    <row r="874" ht="14.25" customHeight="1">
      <c r="A874" s="51"/>
      <c r="B874" s="52"/>
      <c r="C874" s="70"/>
      <c r="D874" s="70"/>
    </row>
    <row r="875" ht="14.25" customHeight="1">
      <c r="A875" s="51"/>
      <c r="B875" s="52"/>
      <c r="C875" s="70"/>
      <c r="D875" s="70"/>
    </row>
    <row r="876" ht="14.25" customHeight="1">
      <c r="A876" s="51"/>
      <c r="B876" s="52"/>
      <c r="C876" s="70"/>
      <c r="D876" s="70"/>
    </row>
    <row r="877" ht="14.25" customHeight="1">
      <c r="A877" s="51"/>
      <c r="B877" s="52"/>
      <c r="C877" s="70"/>
      <c r="D877" s="70"/>
    </row>
    <row r="878" ht="14.25" customHeight="1">
      <c r="A878" s="51"/>
      <c r="B878" s="52"/>
      <c r="C878" s="70"/>
      <c r="D878" s="70"/>
    </row>
    <row r="879" ht="14.25" customHeight="1">
      <c r="A879" s="51"/>
      <c r="B879" s="52"/>
      <c r="C879" s="70"/>
      <c r="D879" s="70"/>
    </row>
    <row r="880" ht="14.25" customHeight="1">
      <c r="A880" s="51"/>
      <c r="B880" s="52"/>
      <c r="C880" s="70"/>
      <c r="D880" s="70"/>
    </row>
    <row r="881" ht="14.25" customHeight="1">
      <c r="A881" s="51"/>
      <c r="B881" s="52"/>
      <c r="C881" s="70"/>
      <c r="D881" s="70"/>
    </row>
    <row r="882" ht="14.25" customHeight="1">
      <c r="A882" s="51"/>
      <c r="B882" s="52"/>
      <c r="C882" s="70"/>
      <c r="D882" s="70"/>
    </row>
    <row r="883" ht="14.25" customHeight="1">
      <c r="A883" s="51"/>
      <c r="B883" s="52"/>
      <c r="C883" s="70"/>
      <c r="D883" s="70"/>
    </row>
    <row r="884" ht="14.25" customHeight="1">
      <c r="A884" s="51"/>
      <c r="B884" s="52"/>
      <c r="C884" s="70"/>
      <c r="D884" s="70"/>
    </row>
    <row r="885" ht="14.25" customHeight="1">
      <c r="A885" s="51"/>
      <c r="B885" s="52"/>
      <c r="C885" s="70"/>
      <c r="D885" s="70"/>
    </row>
    <row r="886" ht="14.25" customHeight="1">
      <c r="A886" s="51"/>
      <c r="B886" s="52"/>
      <c r="C886" s="70"/>
      <c r="D886" s="70"/>
    </row>
    <row r="887" ht="14.25" customHeight="1">
      <c r="A887" s="51"/>
      <c r="B887" s="52"/>
      <c r="C887" s="70"/>
      <c r="D887" s="70"/>
    </row>
    <row r="888" ht="14.25" customHeight="1">
      <c r="A888" s="51"/>
      <c r="B888" s="52"/>
      <c r="C888" s="70"/>
      <c r="D888" s="70"/>
    </row>
    <row r="889" ht="14.25" customHeight="1">
      <c r="A889" s="51"/>
      <c r="B889" s="52"/>
      <c r="C889" s="70"/>
      <c r="D889" s="70"/>
    </row>
    <row r="890" ht="14.25" customHeight="1">
      <c r="A890" s="51"/>
      <c r="B890" s="52"/>
      <c r="C890" s="70"/>
      <c r="D890" s="70"/>
    </row>
    <row r="891" ht="14.25" customHeight="1">
      <c r="A891" s="51"/>
      <c r="B891" s="52"/>
      <c r="C891" s="70"/>
      <c r="D891" s="70"/>
    </row>
    <row r="892" ht="14.25" customHeight="1">
      <c r="A892" s="51"/>
      <c r="B892" s="52"/>
      <c r="C892" s="70"/>
      <c r="D892" s="70"/>
    </row>
    <row r="893" ht="14.25" customHeight="1">
      <c r="A893" s="51"/>
      <c r="B893" s="52"/>
      <c r="C893" s="70"/>
      <c r="D893" s="70"/>
    </row>
    <row r="894" ht="14.25" customHeight="1">
      <c r="A894" s="51"/>
      <c r="B894" s="52"/>
      <c r="C894" s="70"/>
      <c r="D894" s="70"/>
    </row>
    <row r="895" ht="14.25" customHeight="1">
      <c r="A895" s="51"/>
      <c r="B895" s="52"/>
      <c r="C895" s="70"/>
      <c r="D895" s="70"/>
    </row>
    <row r="896" ht="14.25" customHeight="1">
      <c r="A896" s="51"/>
      <c r="B896" s="52"/>
      <c r="C896" s="70"/>
      <c r="D896" s="70"/>
    </row>
    <row r="897" ht="14.25" customHeight="1">
      <c r="A897" s="51"/>
      <c r="B897" s="52"/>
      <c r="C897" s="70"/>
      <c r="D897" s="70"/>
    </row>
    <row r="898" ht="14.25" customHeight="1">
      <c r="A898" s="51"/>
      <c r="B898" s="52"/>
      <c r="C898" s="70"/>
      <c r="D898" s="70"/>
    </row>
    <row r="899" ht="14.25" customHeight="1">
      <c r="A899" s="51"/>
      <c r="B899" s="52"/>
      <c r="C899" s="70"/>
      <c r="D899" s="70"/>
    </row>
    <row r="900" ht="14.25" customHeight="1">
      <c r="A900" s="51"/>
      <c r="B900" s="52"/>
      <c r="C900" s="70"/>
      <c r="D900" s="70"/>
    </row>
    <row r="901" ht="14.25" customHeight="1">
      <c r="A901" s="51"/>
      <c r="B901" s="52"/>
      <c r="C901" s="70"/>
      <c r="D901" s="70"/>
    </row>
    <row r="902" ht="14.25" customHeight="1">
      <c r="A902" s="51"/>
      <c r="B902" s="52"/>
      <c r="C902" s="70"/>
      <c r="D902" s="70"/>
    </row>
    <row r="903" ht="14.25" customHeight="1">
      <c r="A903" s="51"/>
      <c r="B903" s="52"/>
      <c r="C903" s="70"/>
      <c r="D903" s="70"/>
    </row>
    <row r="904" ht="14.25" customHeight="1">
      <c r="A904" s="51"/>
      <c r="B904" s="52"/>
      <c r="C904" s="70"/>
      <c r="D904" s="70"/>
    </row>
    <row r="905" ht="14.25" customHeight="1">
      <c r="A905" s="51"/>
      <c r="B905" s="52"/>
      <c r="C905" s="70"/>
      <c r="D905" s="70"/>
    </row>
    <row r="906" ht="14.25" customHeight="1">
      <c r="A906" s="51"/>
      <c r="B906" s="52"/>
      <c r="C906" s="70"/>
      <c r="D906" s="70"/>
    </row>
    <row r="907" ht="14.25" customHeight="1">
      <c r="A907" s="51"/>
      <c r="B907" s="52"/>
      <c r="C907" s="70"/>
      <c r="D907" s="70"/>
    </row>
    <row r="908" ht="14.25" customHeight="1">
      <c r="A908" s="51"/>
      <c r="B908" s="52"/>
      <c r="C908" s="70"/>
      <c r="D908" s="70"/>
    </row>
    <row r="909" ht="14.25" customHeight="1">
      <c r="A909" s="51"/>
      <c r="B909" s="52"/>
      <c r="C909" s="70"/>
      <c r="D909" s="70"/>
    </row>
    <row r="910" ht="14.25" customHeight="1">
      <c r="A910" s="51"/>
      <c r="B910" s="52"/>
      <c r="C910" s="70"/>
      <c r="D910" s="70"/>
    </row>
    <row r="911" ht="14.25" customHeight="1">
      <c r="A911" s="51"/>
      <c r="B911" s="52"/>
      <c r="C911" s="70"/>
      <c r="D911" s="70"/>
    </row>
    <row r="912" ht="14.25" customHeight="1">
      <c r="A912" s="51"/>
      <c r="B912" s="52"/>
      <c r="C912" s="70"/>
      <c r="D912" s="70"/>
    </row>
    <row r="913" ht="14.25" customHeight="1">
      <c r="A913" s="51"/>
      <c r="B913" s="52"/>
      <c r="C913" s="70"/>
      <c r="D913" s="70"/>
    </row>
    <row r="914" ht="14.25" customHeight="1">
      <c r="A914" s="51"/>
      <c r="B914" s="52"/>
      <c r="C914" s="70"/>
      <c r="D914" s="70"/>
    </row>
    <row r="915" ht="14.25" customHeight="1">
      <c r="A915" s="51"/>
      <c r="B915" s="52"/>
      <c r="C915" s="70"/>
      <c r="D915" s="70"/>
    </row>
    <row r="916" ht="14.25" customHeight="1">
      <c r="A916" s="51"/>
      <c r="B916" s="52"/>
      <c r="C916" s="70"/>
      <c r="D916" s="70"/>
    </row>
    <row r="917" ht="14.25" customHeight="1">
      <c r="A917" s="51"/>
      <c r="B917" s="52"/>
      <c r="C917" s="70"/>
      <c r="D917" s="70"/>
    </row>
    <row r="918" ht="14.25" customHeight="1">
      <c r="A918" s="51"/>
      <c r="B918" s="52"/>
      <c r="C918" s="70"/>
      <c r="D918" s="70"/>
    </row>
    <row r="919" ht="14.25" customHeight="1">
      <c r="A919" s="51"/>
      <c r="B919" s="52"/>
      <c r="C919" s="70"/>
      <c r="D919" s="70"/>
    </row>
    <row r="920" ht="14.25" customHeight="1">
      <c r="A920" s="51"/>
      <c r="B920" s="52"/>
      <c r="C920" s="70"/>
      <c r="D920" s="70"/>
    </row>
    <row r="921" ht="14.25" customHeight="1">
      <c r="A921" s="51"/>
      <c r="B921" s="52"/>
      <c r="C921" s="70"/>
      <c r="D921" s="70"/>
    </row>
    <row r="922" ht="14.25" customHeight="1">
      <c r="A922" s="51"/>
      <c r="B922" s="52"/>
      <c r="C922" s="70"/>
      <c r="D922" s="70"/>
    </row>
    <row r="923" ht="14.25" customHeight="1">
      <c r="A923" s="51"/>
      <c r="B923" s="52"/>
      <c r="C923" s="70"/>
      <c r="D923" s="70"/>
    </row>
    <row r="924" ht="14.25" customHeight="1">
      <c r="A924" s="51"/>
      <c r="B924" s="52"/>
      <c r="C924" s="70"/>
      <c r="D924" s="70"/>
    </row>
    <row r="925" ht="14.25" customHeight="1">
      <c r="A925" s="51"/>
      <c r="B925" s="52"/>
      <c r="C925" s="70"/>
      <c r="D925" s="70"/>
    </row>
    <row r="926" ht="14.25" customHeight="1">
      <c r="A926" s="51"/>
      <c r="B926" s="52"/>
      <c r="C926" s="70"/>
      <c r="D926" s="70"/>
    </row>
    <row r="927" ht="14.25" customHeight="1">
      <c r="A927" s="51"/>
      <c r="B927" s="52"/>
      <c r="C927" s="70"/>
      <c r="D927" s="70"/>
    </row>
    <row r="928" ht="14.25" customHeight="1">
      <c r="A928" s="51"/>
      <c r="B928" s="52"/>
      <c r="C928" s="70"/>
      <c r="D928" s="70"/>
    </row>
    <row r="929" ht="14.25" customHeight="1">
      <c r="A929" s="51"/>
      <c r="B929" s="52"/>
      <c r="C929" s="70"/>
      <c r="D929" s="70"/>
    </row>
    <row r="930" ht="14.25" customHeight="1">
      <c r="A930" s="51"/>
      <c r="B930" s="52"/>
      <c r="C930" s="70"/>
      <c r="D930" s="70"/>
    </row>
    <row r="931" ht="14.25" customHeight="1">
      <c r="A931" s="51"/>
      <c r="B931" s="52"/>
      <c r="C931" s="70"/>
      <c r="D931" s="70"/>
    </row>
    <row r="932" ht="14.25" customHeight="1">
      <c r="A932" s="51"/>
      <c r="B932" s="52"/>
      <c r="C932" s="70"/>
      <c r="D932" s="70"/>
    </row>
    <row r="933" ht="14.25" customHeight="1">
      <c r="A933" s="51"/>
      <c r="B933" s="52"/>
      <c r="C933" s="70"/>
      <c r="D933" s="70"/>
    </row>
    <row r="934" ht="14.25" customHeight="1">
      <c r="A934" s="51"/>
      <c r="B934" s="52"/>
      <c r="C934" s="70"/>
      <c r="D934" s="70"/>
    </row>
    <row r="935" ht="14.25" customHeight="1">
      <c r="A935" s="51"/>
      <c r="B935" s="52"/>
      <c r="C935" s="70"/>
      <c r="D935" s="70"/>
    </row>
    <row r="936" ht="14.25" customHeight="1">
      <c r="A936" s="51"/>
      <c r="B936" s="52"/>
      <c r="C936" s="70"/>
      <c r="D936" s="70"/>
    </row>
    <row r="937" ht="14.25" customHeight="1">
      <c r="A937" s="51"/>
      <c r="B937" s="52"/>
      <c r="C937" s="70"/>
      <c r="D937" s="70"/>
    </row>
    <row r="938" ht="14.25" customHeight="1">
      <c r="A938" s="51"/>
      <c r="B938" s="52"/>
      <c r="C938" s="70"/>
      <c r="D938" s="70"/>
    </row>
    <row r="939" ht="14.25" customHeight="1">
      <c r="A939" s="51"/>
      <c r="B939" s="52"/>
      <c r="C939" s="70"/>
      <c r="D939" s="70"/>
    </row>
    <row r="940" ht="14.25" customHeight="1">
      <c r="A940" s="51"/>
      <c r="B940" s="52"/>
      <c r="C940" s="70"/>
      <c r="D940" s="70"/>
    </row>
    <row r="941" ht="14.25" customHeight="1">
      <c r="A941" s="51"/>
      <c r="B941" s="52"/>
      <c r="C941" s="70"/>
      <c r="D941" s="70"/>
    </row>
    <row r="942" ht="14.25" customHeight="1">
      <c r="A942" s="51"/>
      <c r="B942" s="52"/>
      <c r="C942" s="70"/>
      <c r="D942" s="70"/>
    </row>
    <row r="943" ht="14.25" customHeight="1">
      <c r="A943" s="51"/>
      <c r="B943" s="52"/>
      <c r="C943" s="70"/>
      <c r="D943" s="70"/>
    </row>
    <row r="944" ht="14.25" customHeight="1">
      <c r="A944" s="51"/>
      <c r="B944" s="52"/>
      <c r="C944" s="70"/>
      <c r="D944" s="70"/>
    </row>
    <row r="945" ht="14.25" customHeight="1">
      <c r="A945" s="51"/>
      <c r="B945" s="52"/>
      <c r="C945" s="70"/>
      <c r="D945" s="70"/>
    </row>
    <row r="946" ht="14.25" customHeight="1">
      <c r="A946" s="51"/>
      <c r="B946" s="52"/>
      <c r="C946" s="70"/>
      <c r="D946" s="70"/>
    </row>
    <row r="947" ht="14.25" customHeight="1">
      <c r="A947" s="51"/>
      <c r="B947" s="52"/>
      <c r="C947" s="70"/>
      <c r="D947" s="70"/>
    </row>
    <row r="948" ht="14.25" customHeight="1">
      <c r="A948" s="51"/>
      <c r="B948" s="52"/>
      <c r="C948" s="70"/>
      <c r="D948" s="70"/>
    </row>
    <row r="949" ht="14.25" customHeight="1">
      <c r="A949" s="51"/>
      <c r="B949" s="52"/>
      <c r="C949" s="70"/>
      <c r="D949" s="70"/>
    </row>
    <row r="950" ht="14.25" customHeight="1">
      <c r="A950" s="51"/>
      <c r="B950" s="52"/>
      <c r="C950" s="70"/>
      <c r="D950" s="70"/>
    </row>
    <row r="951" ht="14.25" customHeight="1">
      <c r="A951" s="51"/>
      <c r="B951" s="52"/>
      <c r="C951" s="70"/>
      <c r="D951" s="70"/>
    </row>
    <row r="952" ht="14.25" customHeight="1">
      <c r="A952" s="51"/>
      <c r="B952" s="52"/>
      <c r="C952" s="70"/>
      <c r="D952" s="70"/>
    </row>
    <row r="953" ht="14.25" customHeight="1">
      <c r="A953" s="51"/>
      <c r="B953" s="52"/>
      <c r="C953" s="70"/>
      <c r="D953" s="70"/>
    </row>
    <row r="954" ht="14.25" customHeight="1">
      <c r="A954" s="51"/>
      <c r="B954" s="52"/>
      <c r="C954" s="70"/>
      <c r="D954" s="70"/>
    </row>
    <row r="955" ht="14.25" customHeight="1">
      <c r="A955" s="51"/>
      <c r="B955" s="52"/>
      <c r="C955" s="70"/>
      <c r="D955" s="70"/>
    </row>
    <row r="956" ht="14.25" customHeight="1">
      <c r="A956" s="51"/>
      <c r="B956" s="52"/>
      <c r="C956" s="70"/>
      <c r="D956" s="70"/>
    </row>
    <row r="957" ht="14.25" customHeight="1">
      <c r="A957" s="51"/>
      <c r="B957" s="52"/>
      <c r="C957" s="70"/>
      <c r="D957" s="70"/>
    </row>
    <row r="958" ht="14.25" customHeight="1">
      <c r="A958" s="51"/>
      <c r="B958" s="52"/>
      <c r="C958" s="70"/>
      <c r="D958" s="70"/>
    </row>
    <row r="959" ht="14.25" customHeight="1">
      <c r="A959" s="51"/>
      <c r="B959" s="52"/>
      <c r="C959" s="70"/>
      <c r="D959" s="70"/>
    </row>
    <row r="960" ht="14.25" customHeight="1">
      <c r="A960" s="51"/>
      <c r="B960" s="52"/>
      <c r="C960" s="70"/>
      <c r="D960" s="70"/>
    </row>
    <row r="961" ht="14.25" customHeight="1">
      <c r="A961" s="51"/>
      <c r="B961" s="52"/>
      <c r="C961" s="70"/>
      <c r="D961" s="70"/>
    </row>
    <row r="962" ht="14.25" customHeight="1">
      <c r="A962" s="51"/>
      <c r="B962" s="52"/>
      <c r="C962" s="70"/>
      <c r="D962" s="70"/>
    </row>
    <row r="963" ht="14.25" customHeight="1">
      <c r="A963" s="51"/>
      <c r="B963" s="52"/>
      <c r="C963" s="70"/>
      <c r="D963" s="70"/>
    </row>
    <row r="964" ht="14.25" customHeight="1">
      <c r="A964" s="51"/>
      <c r="B964" s="52"/>
      <c r="C964" s="70"/>
      <c r="D964" s="70"/>
    </row>
    <row r="965" ht="14.25" customHeight="1">
      <c r="A965" s="51"/>
      <c r="B965" s="52"/>
      <c r="C965" s="70"/>
      <c r="D965" s="70"/>
    </row>
    <row r="966" ht="14.25" customHeight="1">
      <c r="A966" s="51"/>
      <c r="B966" s="52"/>
      <c r="C966" s="70"/>
      <c r="D966" s="70"/>
    </row>
    <row r="967" ht="14.25" customHeight="1">
      <c r="A967" s="51"/>
      <c r="B967" s="52"/>
      <c r="C967" s="70"/>
      <c r="D967" s="70"/>
    </row>
    <row r="968" ht="14.25" customHeight="1">
      <c r="A968" s="51"/>
      <c r="B968" s="52"/>
      <c r="C968" s="70"/>
      <c r="D968" s="70"/>
    </row>
    <row r="969" ht="14.25" customHeight="1">
      <c r="A969" s="51"/>
      <c r="B969" s="52"/>
      <c r="C969" s="70"/>
      <c r="D969" s="70"/>
    </row>
    <row r="970" ht="14.25" customHeight="1">
      <c r="A970" s="51"/>
      <c r="B970" s="52"/>
      <c r="C970" s="70"/>
      <c r="D970" s="70"/>
    </row>
    <row r="971" ht="14.25" customHeight="1">
      <c r="A971" s="51"/>
      <c r="B971" s="52"/>
      <c r="C971" s="70"/>
      <c r="D971" s="70"/>
    </row>
    <row r="972" ht="14.25" customHeight="1">
      <c r="A972" s="51"/>
      <c r="B972" s="52"/>
      <c r="C972" s="70"/>
      <c r="D972" s="70"/>
    </row>
    <row r="973" ht="14.25" customHeight="1">
      <c r="A973" s="51"/>
      <c r="B973" s="52"/>
      <c r="C973" s="70"/>
      <c r="D973" s="70"/>
    </row>
    <row r="974" ht="14.25" customHeight="1">
      <c r="A974" s="51"/>
      <c r="B974" s="52"/>
      <c r="C974" s="70"/>
      <c r="D974" s="70"/>
    </row>
    <row r="975" ht="14.25" customHeight="1">
      <c r="A975" s="51"/>
      <c r="B975" s="52"/>
      <c r="C975" s="70"/>
      <c r="D975" s="70"/>
    </row>
    <row r="976" ht="14.25" customHeight="1">
      <c r="A976" s="51"/>
      <c r="B976" s="52"/>
      <c r="C976" s="70"/>
      <c r="D976" s="70"/>
    </row>
    <row r="977" ht="14.25" customHeight="1">
      <c r="A977" s="51"/>
      <c r="B977" s="52"/>
      <c r="C977" s="70"/>
      <c r="D977" s="70"/>
    </row>
    <row r="978" ht="14.25" customHeight="1">
      <c r="A978" s="51"/>
      <c r="B978" s="52"/>
      <c r="C978" s="70"/>
      <c r="D978" s="70"/>
    </row>
    <row r="979" ht="14.25" customHeight="1">
      <c r="A979" s="51"/>
      <c r="B979" s="52"/>
      <c r="C979" s="70"/>
      <c r="D979" s="70"/>
    </row>
    <row r="980" ht="14.25" customHeight="1">
      <c r="A980" s="51"/>
      <c r="B980" s="52"/>
      <c r="C980" s="70"/>
      <c r="D980" s="70"/>
    </row>
    <row r="981" ht="14.25" customHeight="1">
      <c r="A981" s="51"/>
      <c r="B981" s="52"/>
      <c r="C981" s="70"/>
      <c r="D981" s="70"/>
    </row>
    <row r="982" ht="14.25" customHeight="1">
      <c r="A982" s="51"/>
      <c r="B982" s="52"/>
      <c r="C982" s="70"/>
      <c r="D982" s="70"/>
    </row>
    <row r="983" ht="14.25" customHeight="1">
      <c r="A983" s="51"/>
      <c r="B983" s="52"/>
      <c r="C983" s="70"/>
      <c r="D983" s="70"/>
    </row>
    <row r="984" ht="14.25" customHeight="1">
      <c r="A984" s="51"/>
      <c r="B984" s="52"/>
      <c r="C984" s="70"/>
      <c r="D984" s="70"/>
    </row>
    <row r="985" ht="14.25" customHeight="1">
      <c r="A985" s="51"/>
      <c r="B985" s="52"/>
      <c r="C985" s="70"/>
      <c r="D985" s="70"/>
    </row>
    <row r="986" ht="14.25" customHeight="1">
      <c r="A986" s="51"/>
      <c r="B986" s="52"/>
      <c r="C986" s="70"/>
      <c r="D986" s="70"/>
    </row>
    <row r="987" ht="14.25" customHeight="1">
      <c r="A987" s="51"/>
      <c r="B987" s="52"/>
      <c r="C987" s="70"/>
      <c r="D987" s="70"/>
    </row>
    <row r="988" ht="14.25" customHeight="1">
      <c r="A988" s="51"/>
      <c r="B988" s="52"/>
      <c r="C988" s="70"/>
      <c r="D988" s="70"/>
    </row>
    <row r="989" ht="14.25" customHeight="1">
      <c r="A989" s="51"/>
      <c r="B989" s="52"/>
      <c r="C989" s="70"/>
      <c r="D989" s="70"/>
    </row>
    <row r="990" ht="14.25" customHeight="1">
      <c r="A990" s="51"/>
      <c r="B990" s="52"/>
      <c r="C990" s="70"/>
      <c r="D990" s="70"/>
    </row>
    <row r="991" ht="14.25" customHeight="1">
      <c r="A991" s="51"/>
      <c r="B991" s="52"/>
      <c r="C991" s="70"/>
      <c r="D991" s="70"/>
    </row>
    <row r="992" ht="14.25" customHeight="1">
      <c r="A992" s="51"/>
      <c r="B992" s="52"/>
      <c r="C992" s="70"/>
      <c r="D992" s="70"/>
    </row>
    <row r="993" ht="14.25" customHeight="1">
      <c r="A993" s="51"/>
      <c r="B993" s="52"/>
      <c r="C993" s="70"/>
      <c r="D993" s="70"/>
    </row>
    <row r="994" ht="14.25" customHeight="1">
      <c r="A994" s="51"/>
      <c r="B994" s="52"/>
      <c r="C994" s="70"/>
      <c r="D994" s="70"/>
    </row>
    <row r="995" ht="14.25" customHeight="1">
      <c r="A995" s="51"/>
      <c r="B995" s="52"/>
      <c r="C995" s="70"/>
      <c r="D995" s="70"/>
    </row>
    <row r="996" ht="14.25" customHeight="1">
      <c r="A996" s="51"/>
      <c r="B996" s="52"/>
      <c r="C996" s="70"/>
      <c r="D996" s="70"/>
    </row>
    <row r="997" ht="14.25" customHeight="1">
      <c r="A997" s="51"/>
      <c r="B997" s="52"/>
      <c r="C997" s="70"/>
      <c r="D997" s="70"/>
    </row>
    <row r="998" ht="14.25" customHeight="1">
      <c r="A998" s="51"/>
      <c r="B998" s="52"/>
      <c r="C998" s="70"/>
      <c r="D998" s="70"/>
    </row>
    <row r="999" ht="14.25" customHeight="1">
      <c r="A999" s="51"/>
      <c r="B999" s="52"/>
      <c r="C999" s="70"/>
      <c r="D999" s="70"/>
    </row>
    <row r="1000" ht="14.25" customHeight="1">
      <c r="A1000" s="51"/>
      <c r="B1000" s="52"/>
      <c r="C1000" s="70"/>
      <c r="D1000" s="70"/>
    </row>
    <row r="1001" ht="14.25" customHeight="1">
      <c r="A1001" s="51"/>
      <c r="B1001" s="52"/>
      <c r="C1001" s="70"/>
      <c r="D1001" s="70"/>
    </row>
    <row r="1002" ht="14.25" customHeight="1">
      <c r="A1002" s="51"/>
      <c r="B1002" s="52"/>
      <c r="C1002" s="70"/>
      <c r="D1002" s="70"/>
    </row>
    <row r="1003" ht="14.25" customHeight="1">
      <c r="A1003" s="51"/>
      <c r="B1003" s="52"/>
      <c r="C1003" s="70"/>
      <c r="D1003" s="70"/>
    </row>
    <row r="1004" ht="14.25" customHeight="1">
      <c r="A1004" s="51"/>
      <c r="B1004" s="52"/>
      <c r="C1004" s="70"/>
      <c r="D1004" s="70"/>
    </row>
    <row r="1005" ht="14.25" customHeight="1">
      <c r="A1005" s="51"/>
      <c r="B1005" s="52"/>
      <c r="C1005" s="70"/>
      <c r="D1005" s="70"/>
    </row>
    <row r="1006" ht="14.25" customHeight="1">
      <c r="A1006" s="51"/>
      <c r="B1006" s="52"/>
      <c r="C1006" s="70"/>
      <c r="D1006" s="70"/>
    </row>
    <row r="1007" ht="14.25" customHeight="1">
      <c r="A1007" s="51"/>
      <c r="B1007" s="52"/>
      <c r="C1007" s="70"/>
      <c r="D1007" s="70"/>
    </row>
    <row r="1008" ht="14.25" customHeight="1">
      <c r="A1008" s="51"/>
      <c r="B1008" s="52"/>
      <c r="C1008" s="70"/>
      <c r="D1008" s="70"/>
    </row>
    <row r="1009" ht="14.25" customHeight="1">
      <c r="A1009" s="51"/>
      <c r="B1009" s="52"/>
      <c r="C1009" s="70"/>
      <c r="D1009" s="70"/>
    </row>
    <row r="1010" ht="14.25" customHeight="1">
      <c r="A1010" s="51"/>
      <c r="B1010" s="52"/>
      <c r="C1010" s="70"/>
      <c r="D1010" s="70"/>
    </row>
    <row r="1011" ht="14.25" customHeight="1">
      <c r="A1011" s="51"/>
      <c r="B1011" s="52"/>
      <c r="C1011" s="70"/>
      <c r="D1011" s="70"/>
    </row>
    <row r="1012" ht="14.25" customHeight="1">
      <c r="A1012" s="51"/>
      <c r="B1012" s="52"/>
      <c r="C1012" s="70"/>
      <c r="D1012" s="70"/>
    </row>
    <row r="1013" ht="14.25" customHeight="1">
      <c r="A1013" s="51"/>
      <c r="B1013" s="52"/>
      <c r="C1013" s="70"/>
      <c r="D1013" s="70"/>
    </row>
    <row r="1014" ht="14.25" customHeight="1">
      <c r="A1014" s="51"/>
      <c r="B1014" s="52"/>
      <c r="C1014" s="70"/>
      <c r="D1014" s="70"/>
    </row>
    <row r="1015" ht="14.25" customHeight="1">
      <c r="A1015" s="51"/>
      <c r="B1015" s="52"/>
      <c r="C1015" s="70"/>
      <c r="D1015" s="70"/>
    </row>
    <row r="1016" ht="14.25" customHeight="1">
      <c r="A1016" s="51"/>
      <c r="B1016" s="52"/>
      <c r="C1016" s="70"/>
      <c r="D1016" s="70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2" width="15.14"/>
    <col customWidth="1" min="3" max="3" width="24.0"/>
    <col customWidth="1" min="4" max="4" width="18.57"/>
    <col customWidth="1" min="5" max="19" width="8.86"/>
  </cols>
  <sheetData>
    <row r="1" ht="14.25" customHeight="1">
      <c r="A1" s="71" t="s">
        <v>8</v>
      </c>
      <c r="B1" s="67" t="s">
        <v>9</v>
      </c>
      <c r="C1" s="71" t="s">
        <v>371</v>
      </c>
      <c r="D1" s="71" t="s">
        <v>372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ht="14.25" customHeight="1">
      <c r="A2" s="46">
        <v>1.0</v>
      </c>
      <c r="B2" s="47" t="s">
        <v>12</v>
      </c>
      <c r="C2" s="72">
        <v>243098.0</v>
      </c>
      <c r="D2" s="46">
        <v>86414.0</v>
      </c>
    </row>
    <row r="3" ht="14.25" customHeight="1">
      <c r="A3" s="46">
        <v>2.0</v>
      </c>
      <c r="B3" s="47" t="s">
        <v>14</v>
      </c>
      <c r="C3" s="72">
        <v>680954.0</v>
      </c>
      <c r="D3" s="72">
        <v>218727.0</v>
      </c>
    </row>
    <row r="4" ht="14.25" customHeight="1">
      <c r="A4" s="46">
        <v>3.0</v>
      </c>
      <c r="B4" s="47" t="s">
        <v>16</v>
      </c>
      <c r="C4" s="72">
        <v>556233.0</v>
      </c>
      <c r="D4" s="46">
        <v>203419.0</v>
      </c>
    </row>
    <row r="5" ht="14.25" customHeight="1">
      <c r="A5" s="46">
        <v>4.0</v>
      </c>
      <c r="B5" s="47" t="s">
        <v>18</v>
      </c>
      <c r="C5" s="72">
        <v>144695.0</v>
      </c>
      <c r="D5" s="72">
        <v>57046.0</v>
      </c>
    </row>
    <row r="6" ht="14.25" customHeight="1">
      <c r="A6" s="46">
        <v>5.0</v>
      </c>
      <c r="B6" s="47" t="s">
        <v>20</v>
      </c>
      <c r="C6" s="72">
        <v>384227.0</v>
      </c>
      <c r="D6" s="46">
        <v>139362.0</v>
      </c>
    </row>
    <row r="7" ht="14.25" customHeight="1">
      <c r="A7" s="46">
        <v>6.0</v>
      </c>
      <c r="B7" s="47" t="s">
        <v>22</v>
      </c>
      <c r="C7" s="72">
        <v>86543.0</v>
      </c>
      <c r="D7" s="72">
        <v>24899.0</v>
      </c>
    </row>
    <row r="8" ht="14.25" customHeight="1">
      <c r="A8" s="46">
        <v>7.0</v>
      </c>
      <c r="B8" s="47" t="s">
        <v>24</v>
      </c>
      <c r="C8" s="72">
        <v>602994.0</v>
      </c>
      <c r="D8" s="46">
        <v>143616.0</v>
      </c>
    </row>
    <row r="9" ht="14.25" customHeight="1">
      <c r="A9" s="46">
        <v>8.0</v>
      </c>
      <c r="B9" s="47" t="s">
        <v>26</v>
      </c>
      <c r="C9" s="72">
        <v>209316.0</v>
      </c>
      <c r="D9" s="72">
        <v>87229.0</v>
      </c>
    </row>
    <row r="10" ht="14.25" customHeight="1">
      <c r="A10" s="46">
        <v>9.0</v>
      </c>
      <c r="B10" s="47" t="s">
        <v>28</v>
      </c>
      <c r="C10" s="72">
        <v>53313.0</v>
      </c>
      <c r="D10" s="46">
        <v>16872.0</v>
      </c>
    </row>
    <row r="11" ht="14.25" customHeight="1">
      <c r="A11" s="73">
        <v>10.0</v>
      </c>
      <c r="B11" s="74" t="s">
        <v>30</v>
      </c>
      <c r="C11" s="46">
        <v>26787.0</v>
      </c>
      <c r="D11" s="46">
        <v>7911.0</v>
      </c>
    </row>
    <row r="12" ht="14.25" customHeight="1">
      <c r="A12" s="73">
        <v>11.0</v>
      </c>
      <c r="B12" s="74" t="s">
        <v>32</v>
      </c>
      <c r="C12" s="75">
        <v>2961373.0</v>
      </c>
      <c r="D12" s="75">
        <v>977584.0</v>
      </c>
    </row>
    <row r="13" ht="14.25" customHeight="1">
      <c r="A13" s="76"/>
      <c r="B13" s="77"/>
      <c r="C13" s="76"/>
      <c r="D13" s="76"/>
    </row>
    <row r="14" ht="14.25" customHeight="1">
      <c r="A14" s="76"/>
      <c r="B14" s="77"/>
      <c r="C14" s="76"/>
      <c r="D14" s="76"/>
    </row>
    <row r="15" ht="14.25" customHeight="1">
      <c r="A15" s="76"/>
      <c r="B15" s="77"/>
      <c r="C15" s="76"/>
      <c r="D15" s="76"/>
    </row>
    <row r="16" ht="14.25" customHeight="1">
      <c r="A16" s="76"/>
      <c r="B16" s="77"/>
      <c r="C16" s="76"/>
      <c r="D16" s="76"/>
    </row>
    <row r="17" ht="14.25" customHeight="1">
      <c r="A17" s="76"/>
      <c r="B17" s="77"/>
      <c r="C17" s="76"/>
      <c r="D17" s="76"/>
    </row>
    <row r="18" ht="14.25" customHeight="1">
      <c r="A18" s="76"/>
      <c r="B18" s="77"/>
      <c r="C18" s="76"/>
      <c r="D18" s="76"/>
    </row>
    <row r="19" ht="14.25" customHeight="1">
      <c r="A19" s="76"/>
      <c r="B19" s="77"/>
      <c r="C19" s="76"/>
      <c r="D19" s="76"/>
    </row>
    <row r="20" ht="14.25" customHeight="1">
      <c r="A20" s="76"/>
      <c r="B20" s="77"/>
      <c r="C20" s="76"/>
      <c r="D20" s="76"/>
    </row>
    <row r="21" ht="14.25" customHeight="1">
      <c r="A21" s="76"/>
      <c r="B21" s="77"/>
      <c r="C21" s="76"/>
      <c r="D21" s="76"/>
    </row>
    <row r="22" ht="14.25" customHeight="1">
      <c r="A22" s="76"/>
      <c r="B22" s="77"/>
      <c r="C22" s="76"/>
      <c r="D22" s="76"/>
    </row>
    <row r="23" ht="14.25" customHeight="1">
      <c r="A23" s="76"/>
      <c r="B23" s="77"/>
      <c r="C23" s="76"/>
      <c r="D23" s="76"/>
    </row>
    <row r="24" ht="14.25" customHeight="1">
      <c r="A24" s="76"/>
      <c r="B24" s="77"/>
      <c r="C24" s="76"/>
      <c r="D24" s="76"/>
    </row>
    <row r="25" ht="14.25" customHeight="1">
      <c r="A25" s="76"/>
      <c r="B25" s="77"/>
      <c r="C25" s="76"/>
      <c r="D25" s="76"/>
    </row>
    <row r="26" ht="14.25" customHeight="1">
      <c r="A26" s="76"/>
      <c r="B26" s="77"/>
      <c r="C26" s="76"/>
      <c r="D26" s="76"/>
    </row>
    <row r="27" ht="14.25" customHeight="1">
      <c r="A27" s="76"/>
      <c r="B27" s="77"/>
      <c r="C27" s="76"/>
      <c r="D27" s="76"/>
    </row>
    <row r="28" ht="14.25" customHeight="1">
      <c r="A28" s="76"/>
      <c r="B28" s="77"/>
      <c r="C28" s="76"/>
      <c r="D28" s="76"/>
    </row>
    <row r="29" ht="14.25" customHeight="1">
      <c r="A29" s="76"/>
      <c r="B29" s="77"/>
      <c r="C29" s="76"/>
      <c r="D29" s="76"/>
    </row>
    <row r="30" ht="14.25" customHeight="1">
      <c r="A30" s="76"/>
      <c r="B30" s="77"/>
      <c r="C30" s="76"/>
      <c r="D30" s="76"/>
    </row>
    <row r="31" ht="14.25" customHeight="1">
      <c r="A31" s="76"/>
      <c r="B31" s="77"/>
      <c r="C31" s="76"/>
      <c r="D31" s="76"/>
    </row>
    <row r="32" ht="14.25" customHeight="1">
      <c r="A32" s="76"/>
      <c r="B32" s="77"/>
      <c r="C32" s="76"/>
      <c r="D32" s="76"/>
    </row>
    <row r="33" ht="14.25" customHeight="1">
      <c r="A33" s="76"/>
      <c r="B33" s="77"/>
      <c r="C33" s="76"/>
      <c r="D33" s="76"/>
    </row>
    <row r="34" ht="14.25" customHeight="1">
      <c r="A34" s="76"/>
      <c r="B34" s="77"/>
      <c r="C34" s="76"/>
      <c r="D34" s="76"/>
    </row>
    <row r="35" ht="14.25" customHeight="1">
      <c r="A35" s="76"/>
      <c r="B35" s="77"/>
      <c r="C35" s="76"/>
      <c r="D35" s="76"/>
    </row>
    <row r="36" ht="14.25" customHeight="1">
      <c r="A36" s="76"/>
      <c r="B36" s="77"/>
      <c r="C36" s="76"/>
      <c r="D36" s="76"/>
    </row>
    <row r="37" ht="14.25" customHeight="1">
      <c r="A37" s="76"/>
      <c r="B37" s="77"/>
      <c r="C37" s="76"/>
      <c r="D37" s="76"/>
    </row>
    <row r="38" ht="14.25" customHeight="1">
      <c r="A38" s="76"/>
      <c r="B38" s="77"/>
      <c r="C38" s="76"/>
      <c r="D38" s="76"/>
    </row>
    <row r="39" ht="14.25" customHeight="1">
      <c r="A39" s="76"/>
      <c r="B39" s="77"/>
      <c r="C39" s="76"/>
      <c r="D39" s="76"/>
    </row>
    <row r="40" ht="14.25" customHeight="1">
      <c r="A40" s="76"/>
      <c r="B40" s="77"/>
      <c r="C40" s="76"/>
      <c r="D40" s="76"/>
    </row>
    <row r="41" ht="14.25" customHeight="1">
      <c r="A41" s="76"/>
      <c r="B41" s="77"/>
      <c r="C41" s="76"/>
      <c r="D41" s="76"/>
    </row>
    <row r="42" ht="14.25" customHeight="1">
      <c r="A42" s="76"/>
      <c r="B42" s="77"/>
      <c r="C42" s="76"/>
      <c r="D42" s="76"/>
    </row>
    <row r="43" ht="14.25" customHeight="1">
      <c r="A43" s="76"/>
      <c r="B43" s="77"/>
      <c r="C43" s="76"/>
      <c r="D43" s="76"/>
    </row>
    <row r="44" ht="14.25" customHeight="1">
      <c r="A44" s="76"/>
      <c r="B44" s="77"/>
      <c r="C44" s="76"/>
      <c r="D44" s="76"/>
    </row>
    <row r="45" ht="14.25" customHeight="1">
      <c r="A45" s="76"/>
      <c r="B45" s="77"/>
      <c r="C45" s="76"/>
      <c r="D45" s="76"/>
    </row>
    <row r="46" ht="14.25" customHeight="1">
      <c r="A46" s="76"/>
      <c r="B46" s="77"/>
      <c r="C46" s="76"/>
      <c r="D46" s="76"/>
    </row>
    <row r="47" ht="14.25" customHeight="1">
      <c r="A47" s="76"/>
      <c r="B47" s="77"/>
      <c r="C47" s="76"/>
      <c r="D47" s="76"/>
    </row>
    <row r="48" ht="14.25" customHeight="1">
      <c r="A48" s="76"/>
      <c r="B48" s="77"/>
      <c r="C48" s="76"/>
      <c r="D48" s="76"/>
    </row>
    <row r="49" ht="14.25" customHeight="1">
      <c r="A49" s="76"/>
      <c r="B49" s="77"/>
      <c r="C49" s="76"/>
      <c r="D49" s="76"/>
    </row>
    <row r="50" ht="14.25" customHeight="1">
      <c r="A50" s="76"/>
      <c r="B50" s="77"/>
      <c r="C50" s="76"/>
      <c r="D50" s="76"/>
    </row>
    <row r="51" ht="14.25" customHeight="1">
      <c r="A51" s="76"/>
      <c r="B51" s="77"/>
      <c r="C51" s="76"/>
      <c r="D51" s="76"/>
    </row>
    <row r="52" ht="14.25" customHeight="1">
      <c r="A52" s="76"/>
      <c r="B52" s="77"/>
      <c r="C52" s="76"/>
      <c r="D52" s="76"/>
    </row>
    <row r="53" ht="14.25" customHeight="1">
      <c r="A53" s="76"/>
      <c r="B53" s="77"/>
      <c r="C53" s="76"/>
      <c r="D53" s="76"/>
    </row>
    <row r="54" ht="14.25" customHeight="1">
      <c r="A54" s="76"/>
      <c r="B54" s="77"/>
      <c r="C54" s="76"/>
      <c r="D54" s="76"/>
    </row>
    <row r="55" ht="14.25" customHeight="1">
      <c r="A55" s="76"/>
      <c r="B55" s="77"/>
      <c r="C55" s="76"/>
      <c r="D55" s="76"/>
    </row>
    <row r="56" ht="14.25" customHeight="1">
      <c r="A56" s="76"/>
      <c r="B56" s="77"/>
      <c r="C56" s="76"/>
      <c r="D56" s="76"/>
    </row>
    <row r="57" ht="14.25" customHeight="1">
      <c r="A57" s="76"/>
      <c r="B57" s="77"/>
      <c r="C57" s="76"/>
      <c r="D57" s="76"/>
    </row>
    <row r="58" ht="14.25" customHeight="1">
      <c r="A58" s="76"/>
      <c r="B58" s="77"/>
      <c r="C58" s="76"/>
      <c r="D58" s="76"/>
    </row>
    <row r="59" ht="14.25" customHeight="1">
      <c r="A59" s="76"/>
      <c r="B59" s="77"/>
      <c r="C59" s="76"/>
      <c r="D59" s="76"/>
    </row>
    <row r="60" ht="14.25" customHeight="1">
      <c r="A60" s="76"/>
      <c r="B60" s="77"/>
      <c r="C60" s="76"/>
      <c r="D60" s="76"/>
    </row>
    <row r="61" ht="14.25" customHeight="1">
      <c r="A61" s="76"/>
      <c r="B61" s="77"/>
      <c r="C61" s="76"/>
      <c r="D61" s="76"/>
    </row>
    <row r="62" ht="14.25" customHeight="1">
      <c r="A62" s="76"/>
      <c r="B62" s="77"/>
      <c r="C62" s="76"/>
      <c r="D62" s="76"/>
    </row>
    <row r="63" ht="14.25" customHeight="1">
      <c r="A63" s="76"/>
      <c r="B63" s="77"/>
      <c r="C63" s="76"/>
      <c r="D63" s="76"/>
    </row>
    <row r="64" ht="14.25" customHeight="1">
      <c r="A64" s="76"/>
      <c r="B64" s="77"/>
      <c r="C64" s="76"/>
      <c r="D64" s="76"/>
    </row>
    <row r="65" ht="14.25" customHeight="1">
      <c r="A65" s="76"/>
      <c r="B65" s="77"/>
      <c r="C65" s="76"/>
      <c r="D65" s="76"/>
    </row>
    <row r="66" ht="14.25" customHeight="1">
      <c r="A66" s="76"/>
      <c r="B66" s="77"/>
      <c r="C66" s="76"/>
      <c r="D66" s="76"/>
    </row>
    <row r="67" ht="14.25" customHeight="1">
      <c r="A67" s="76"/>
      <c r="B67" s="77"/>
      <c r="C67" s="76"/>
      <c r="D67" s="76"/>
    </row>
    <row r="68" ht="14.25" customHeight="1">
      <c r="A68" s="76"/>
      <c r="B68" s="77"/>
      <c r="C68" s="76"/>
      <c r="D68" s="76"/>
    </row>
    <row r="69" ht="14.25" customHeight="1">
      <c r="A69" s="76"/>
      <c r="B69" s="77"/>
      <c r="C69" s="76"/>
      <c r="D69" s="76"/>
    </row>
    <row r="70" ht="14.25" customHeight="1">
      <c r="A70" s="76"/>
      <c r="B70" s="77"/>
      <c r="C70" s="76"/>
      <c r="D70" s="76"/>
    </row>
    <row r="71" ht="14.25" customHeight="1">
      <c r="A71" s="76"/>
      <c r="B71" s="77"/>
      <c r="C71" s="76"/>
      <c r="D71" s="76"/>
    </row>
    <row r="72" ht="14.25" customHeight="1">
      <c r="A72" s="76"/>
      <c r="B72" s="77"/>
      <c r="C72" s="76"/>
      <c r="D72" s="76"/>
    </row>
    <row r="73" ht="14.25" customHeight="1">
      <c r="A73" s="76"/>
      <c r="B73" s="77"/>
      <c r="C73" s="76"/>
      <c r="D73" s="76"/>
    </row>
    <row r="74" ht="14.25" customHeight="1">
      <c r="A74" s="76"/>
      <c r="B74" s="77"/>
      <c r="C74" s="76"/>
      <c r="D74" s="76"/>
    </row>
    <row r="75" ht="14.25" customHeight="1">
      <c r="A75" s="76"/>
      <c r="B75" s="77"/>
      <c r="C75" s="76"/>
      <c r="D75" s="76"/>
    </row>
    <row r="76" ht="14.25" customHeight="1">
      <c r="A76" s="76"/>
      <c r="B76" s="77"/>
      <c r="C76" s="76"/>
      <c r="D76" s="76"/>
    </row>
    <row r="77" ht="14.25" customHeight="1">
      <c r="A77" s="76"/>
      <c r="B77" s="77"/>
      <c r="C77" s="76"/>
      <c r="D77" s="76"/>
    </row>
    <row r="78" ht="14.25" customHeight="1">
      <c r="A78" s="76"/>
      <c r="B78" s="77"/>
      <c r="C78" s="76"/>
      <c r="D78" s="76"/>
    </row>
    <row r="79" ht="14.25" customHeight="1">
      <c r="A79" s="76"/>
      <c r="B79" s="77"/>
      <c r="C79" s="76"/>
      <c r="D79" s="76"/>
    </row>
    <row r="80" ht="14.25" customHeight="1">
      <c r="A80" s="76"/>
      <c r="B80" s="77"/>
      <c r="C80" s="76"/>
      <c r="D80" s="76"/>
    </row>
    <row r="81" ht="14.25" customHeight="1">
      <c r="A81" s="76"/>
      <c r="B81" s="77"/>
      <c r="C81" s="76"/>
      <c r="D81" s="76"/>
    </row>
    <row r="82" ht="14.25" customHeight="1">
      <c r="A82" s="76"/>
      <c r="B82" s="77"/>
      <c r="C82" s="76"/>
      <c r="D82" s="76"/>
    </row>
    <row r="83" ht="14.25" customHeight="1">
      <c r="A83" s="76"/>
      <c r="B83" s="77"/>
      <c r="C83" s="76"/>
      <c r="D83" s="76"/>
    </row>
    <row r="84" ht="14.25" customHeight="1">
      <c r="A84" s="76"/>
      <c r="B84" s="77"/>
      <c r="C84" s="76"/>
      <c r="D84" s="76"/>
    </row>
    <row r="85" ht="14.25" customHeight="1">
      <c r="A85" s="76"/>
      <c r="B85" s="77"/>
      <c r="C85" s="76"/>
      <c r="D85" s="76"/>
    </row>
    <row r="86" ht="14.25" customHeight="1">
      <c r="A86" s="76"/>
      <c r="B86" s="77"/>
      <c r="C86" s="76"/>
      <c r="D86" s="76"/>
    </row>
    <row r="87" ht="14.25" customHeight="1">
      <c r="A87" s="76"/>
      <c r="B87" s="77"/>
      <c r="C87" s="76"/>
      <c r="D87" s="76"/>
    </row>
    <row r="88" ht="14.25" customHeight="1">
      <c r="A88" s="76"/>
      <c r="B88" s="77"/>
      <c r="C88" s="76"/>
      <c r="D88" s="76"/>
    </row>
    <row r="89" ht="14.25" customHeight="1">
      <c r="A89" s="76"/>
      <c r="B89" s="77"/>
      <c r="C89" s="76"/>
      <c r="D89" s="76"/>
    </row>
    <row r="90" ht="14.25" customHeight="1">
      <c r="A90" s="76"/>
      <c r="B90" s="77"/>
      <c r="C90" s="76"/>
      <c r="D90" s="76"/>
    </row>
    <row r="91" ht="14.25" customHeight="1">
      <c r="A91" s="76"/>
      <c r="B91" s="77"/>
      <c r="C91" s="76"/>
      <c r="D91" s="76"/>
    </row>
    <row r="92" ht="14.25" customHeight="1">
      <c r="A92" s="76"/>
      <c r="B92" s="77"/>
      <c r="C92" s="76"/>
      <c r="D92" s="76"/>
    </row>
    <row r="93" ht="14.25" customHeight="1">
      <c r="A93" s="76"/>
      <c r="B93" s="77"/>
      <c r="C93" s="76"/>
      <c r="D93" s="76"/>
    </row>
    <row r="94" ht="14.25" customHeight="1">
      <c r="A94" s="76"/>
      <c r="B94" s="77"/>
      <c r="C94" s="76"/>
      <c r="D94" s="76"/>
    </row>
    <row r="95" ht="14.25" customHeight="1">
      <c r="A95" s="76"/>
      <c r="B95" s="77"/>
      <c r="C95" s="76"/>
      <c r="D95" s="76"/>
    </row>
    <row r="96" ht="14.25" customHeight="1">
      <c r="A96" s="76"/>
      <c r="B96" s="77"/>
      <c r="C96" s="76"/>
      <c r="D96" s="76"/>
    </row>
    <row r="97" ht="14.25" customHeight="1">
      <c r="A97" s="76"/>
      <c r="B97" s="77"/>
      <c r="C97" s="76"/>
      <c r="D97" s="76"/>
    </row>
    <row r="98" ht="14.25" customHeight="1">
      <c r="A98" s="76"/>
      <c r="B98" s="77"/>
      <c r="C98" s="76"/>
      <c r="D98" s="76"/>
    </row>
    <row r="99" ht="14.25" customHeight="1">
      <c r="A99" s="76"/>
      <c r="B99" s="77"/>
      <c r="C99" s="76"/>
      <c r="D99" s="76"/>
    </row>
    <row r="100" ht="14.25" customHeight="1">
      <c r="A100" s="76"/>
      <c r="B100" s="77"/>
      <c r="C100" s="76"/>
      <c r="D100" s="76"/>
    </row>
    <row r="101" ht="14.25" customHeight="1">
      <c r="A101" s="76"/>
      <c r="B101" s="77"/>
      <c r="C101" s="76"/>
      <c r="D101" s="76"/>
    </row>
    <row r="102" ht="14.25" customHeight="1">
      <c r="A102" s="76"/>
      <c r="B102" s="77"/>
      <c r="C102" s="76"/>
      <c r="D102" s="76"/>
    </row>
    <row r="103" ht="14.25" customHeight="1">
      <c r="A103" s="76"/>
      <c r="B103" s="77"/>
      <c r="C103" s="76"/>
      <c r="D103" s="76"/>
    </row>
    <row r="104" ht="14.25" customHeight="1">
      <c r="A104" s="76"/>
      <c r="B104" s="77"/>
      <c r="C104" s="76"/>
      <c r="D104" s="76"/>
    </row>
    <row r="105" ht="14.25" customHeight="1">
      <c r="A105" s="76"/>
      <c r="B105" s="77"/>
      <c r="C105" s="76"/>
      <c r="D105" s="76"/>
    </row>
    <row r="106" ht="14.25" customHeight="1">
      <c r="A106" s="76"/>
      <c r="B106" s="77"/>
      <c r="C106" s="76"/>
      <c r="D106" s="76"/>
    </row>
    <row r="107" ht="14.25" customHeight="1">
      <c r="A107" s="76"/>
      <c r="B107" s="77"/>
      <c r="C107" s="76"/>
      <c r="D107" s="76"/>
    </row>
    <row r="108" ht="14.25" customHeight="1">
      <c r="A108" s="76"/>
      <c r="B108" s="77"/>
      <c r="C108" s="76"/>
      <c r="D108" s="76"/>
    </row>
    <row r="109" ht="14.25" customHeight="1">
      <c r="A109" s="76"/>
      <c r="B109" s="77"/>
      <c r="C109" s="76"/>
      <c r="D109" s="76"/>
    </row>
    <row r="110" ht="14.25" customHeight="1">
      <c r="A110" s="76"/>
      <c r="B110" s="77"/>
      <c r="C110" s="76"/>
      <c r="D110" s="76"/>
    </row>
    <row r="111" ht="14.25" customHeight="1">
      <c r="A111" s="76"/>
      <c r="B111" s="77"/>
      <c r="C111" s="76"/>
      <c r="D111" s="76"/>
    </row>
    <row r="112" ht="14.25" customHeight="1">
      <c r="A112" s="76"/>
      <c r="B112" s="77"/>
      <c r="C112" s="76"/>
      <c r="D112" s="76"/>
    </row>
    <row r="113" ht="14.25" customHeight="1">
      <c r="A113" s="76"/>
      <c r="B113" s="77"/>
      <c r="C113" s="76"/>
      <c r="D113" s="76"/>
    </row>
    <row r="114" ht="14.25" customHeight="1">
      <c r="A114" s="76"/>
      <c r="B114" s="77"/>
      <c r="C114" s="76"/>
      <c r="D114" s="76"/>
    </row>
    <row r="115" ht="14.25" customHeight="1">
      <c r="A115" s="76"/>
      <c r="B115" s="77"/>
      <c r="C115" s="76"/>
      <c r="D115" s="76"/>
    </row>
    <row r="116" ht="14.25" customHeight="1">
      <c r="A116" s="76"/>
      <c r="B116" s="77"/>
      <c r="C116" s="76"/>
      <c r="D116" s="76"/>
    </row>
    <row r="117" ht="14.25" customHeight="1">
      <c r="A117" s="76"/>
      <c r="B117" s="77"/>
      <c r="C117" s="76"/>
      <c r="D117" s="76"/>
    </row>
    <row r="118" ht="14.25" customHeight="1">
      <c r="A118" s="76"/>
      <c r="B118" s="77"/>
      <c r="C118" s="76"/>
      <c r="D118" s="76"/>
    </row>
    <row r="119" ht="14.25" customHeight="1">
      <c r="A119" s="76"/>
      <c r="B119" s="77"/>
      <c r="C119" s="76"/>
      <c r="D119" s="76"/>
    </row>
    <row r="120" ht="14.25" customHeight="1">
      <c r="A120" s="76"/>
      <c r="B120" s="77"/>
      <c r="C120" s="76"/>
      <c r="D120" s="76"/>
    </row>
    <row r="121" ht="14.25" customHeight="1">
      <c r="A121" s="76"/>
      <c r="B121" s="77"/>
      <c r="C121" s="76"/>
      <c r="D121" s="76"/>
    </row>
    <row r="122" ht="14.25" customHeight="1">
      <c r="A122" s="76"/>
      <c r="B122" s="77"/>
      <c r="C122" s="76"/>
      <c r="D122" s="76"/>
    </row>
    <row r="123" ht="14.25" customHeight="1">
      <c r="A123" s="76"/>
      <c r="B123" s="77"/>
      <c r="C123" s="76"/>
      <c r="D123" s="76"/>
    </row>
    <row r="124" ht="14.25" customHeight="1">
      <c r="A124" s="76"/>
      <c r="B124" s="77"/>
      <c r="C124" s="76"/>
      <c r="D124" s="76"/>
    </row>
    <row r="125" ht="14.25" customHeight="1">
      <c r="A125" s="76"/>
      <c r="B125" s="77"/>
      <c r="C125" s="76"/>
      <c r="D125" s="76"/>
    </row>
    <row r="126" ht="14.25" customHeight="1">
      <c r="A126" s="76"/>
      <c r="B126" s="77"/>
      <c r="C126" s="76"/>
      <c r="D126" s="76"/>
    </row>
    <row r="127" ht="14.25" customHeight="1">
      <c r="A127" s="76"/>
      <c r="B127" s="77"/>
      <c r="C127" s="76"/>
      <c r="D127" s="76"/>
    </row>
    <row r="128" ht="14.25" customHeight="1">
      <c r="A128" s="76"/>
      <c r="B128" s="77"/>
      <c r="C128" s="76"/>
      <c r="D128" s="76"/>
    </row>
    <row r="129" ht="14.25" customHeight="1">
      <c r="A129" s="76"/>
      <c r="B129" s="77"/>
      <c r="C129" s="76"/>
      <c r="D129" s="76"/>
    </row>
    <row r="130" ht="14.25" customHeight="1">
      <c r="A130" s="76"/>
      <c r="B130" s="77"/>
      <c r="C130" s="76"/>
      <c r="D130" s="76"/>
    </row>
    <row r="131" ht="14.25" customHeight="1">
      <c r="A131" s="76"/>
      <c r="B131" s="77"/>
      <c r="C131" s="76"/>
      <c r="D131" s="76"/>
    </row>
    <row r="132" ht="14.25" customHeight="1">
      <c r="A132" s="76"/>
      <c r="B132" s="77"/>
      <c r="C132" s="76"/>
      <c r="D132" s="76"/>
    </row>
    <row r="133" ht="14.25" customHeight="1">
      <c r="A133" s="76"/>
      <c r="B133" s="77"/>
      <c r="C133" s="76"/>
      <c r="D133" s="76"/>
    </row>
    <row r="134" ht="14.25" customHeight="1">
      <c r="A134" s="76"/>
      <c r="B134" s="77"/>
      <c r="C134" s="76"/>
      <c r="D134" s="76"/>
    </row>
    <row r="135" ht="14.25" customHeight="1">
      <c r="A135" s="76"/>
      <c r="B135" s="77"/>
      <c r="C135" s="76"/>
      <c r="D135" s="76"/>
    </row>
    <row r="136" ht="14.25" customHeight="1">
      <c r="A136" s="76"/>
      <c r="B136" s="77"/>
      <c r="C136" s="76"/>
      <c r="D136" s="76"/>
    </row>
    <row r="137" ht="14.25" customHeight="1">
      <c r="A137" s="76"/>
      <c r="B137" s="77"/>
      <c r="C137" s="76"/>
      <c r="D137" s="76"/>
    </row>
    <row r="138" ht="14.25" customHeight="1">
      <c r="A138" s="76"/>
      <c r="B138" s="77"/>
      <c r="C138" s="76"/>
      <c r="D138" s="76"/>
    </row>
    <row r="139" ht="14.25" customHeight="1">
      <c r="A139" s="76"/>
      <c r="B139" s="77"/>
      <c r="C139" s="76"/>
      <c r="D139" s="76"/>
    </row>
    <row r="140" ht="14.25" customHeight="1">
      <c r="A140" s="76"/>
      <c r="B140" s="77"/>
      <c r="C140" s="76"/>
      <c r="D140" s="76"/>
    </row>
    <row r="141" ht="14.25" customHeight="1">
      <c r="A141" s="76"/>
      <c r="B141" s="77"/>
      <c r="C141" s="76"/>
      <c r="D141" s="76"/>
    </row>
    <row r="142" ht="14.25" customHeight="1">
      <c r="A142" s="76"/>
      <c r="B142" s="77"/>
      <c r="C142" s="76"/>
      <c r="D142" s="76"/>
    </row>
    <row r="143" ht="14.25" customHeight="1">
      <c r="A143" s="76"/>
      <c r="B143" s="77"/>
      <c r="C143" s="76"/>
      <c r="D143" s="76"/>
    </row>
    <row r="144" ht="14.25" customHeight="1">
      <c r="A144" s="76"/>
      <c r="B144" s="77"/>
      <c r="C144" s="76"/>
      <c r="D144" s="76"/>
    </row>
    <row r="145" ht="14.25" customHeight="1">
      <c r="A145" s="76"/>
      <c r="B145" s="77"/>
      <c r="C145" s="76"/>
      <c r="D145" s="76"/>
    </row>
    <row r="146" ht="14.25" customHeight="1">
      <c r="A146" s="76"/>
      <c r="B146" s="77"/>
      <c r="C146" s="76"/>
      <c r="D146" s="76"/>
    </row>
    <row r="147" ht="14.25" customHeight="1">
      <c r="A147" s="76"/>
      <c r="B147" s="77"/>
      <c r="C147" s="76"/>
      <c r="D147" s="76"/>
    </row>
    <row r="148" ht="14.25" customHeight="1">
      <c r="A148" s="76"/>
      <c r="B148" s="77"/>
      <c r="C148" s="76"/>
      <c r="D148" s="76"/>
    </row>
    <row r="149" ht="14.25" customHeight="1">
      <c r="A149" s="76"/>
      <c r="B149" s="77"/>
      <c r="C149" s="76"/>
      <c r="D149" s="76"/>
    </row>
    <row r="150" ht="14.25" customHeight="1">
      <c r="A150" s="76"/>
      <c r="B150" s="77"/>
      <c r="C150" s="76"/>
      <c r="D150" s="76"/>
    </row>
    <row r="151" ht="14.25" customHeight="1">
      <c r="A151" s="76"/>
      <c r="B151" s="77"/>
      <c r="C151" s="76"/>
      <c r="D151" s="76"/>
    </row>
    <row r="152" ht="14.25" customHeight="1">
      <c r="A152" s="76"/>
      <c r="B152" s="77"/>
      <c r="C152" s="76"/>
      <c r="D152" s="76"/>
    </row>
    <row r="153" ht="14.25" customHeight="1">
      <c r="A153" s="76"/>
      <c r="B153" s="77"/>
      <c r="C153" s="76"/>
      <c r="D153" s="76"/>
    </row>
    <row r="154" ht="14.25" customHeight="1">
      <c r="A154" s="76"/>
      <c r="B154" s="77"/>
      <c r="C154" s="76"/>
      <c r="D154" s="76"/>
    </row>
    <row r="155" ht="14.25" customHeight="1">
      <c r="A155" s="76"/>
      <c r="B155" s="77"/>
      <c r="C155" s="76"/>
      <c r="D155" s="76"/>
    </row>
    <row r="156" ht="14.25" customHeight="1">
      <c r="A156" s="76"/>
      <c r="B156" s="77"/>
      <c r="C156" s="76"/>
      <c r="D156" s="76"/>
    </row>
    <row r="157" ht="14.25" customHeight="1">
      <c r="A157" s="76"/>
      <c r="B157" s="77"/>
      <c r="C157" s="76"/>
      <c r="D157" s="76"/>
    </row>
    <row r="158" ht="14.25" customHeight="1">
      <c r="A158" s="76"/>
      <c r="B158" s="77"/>
      <c r="C158" s="76"/>
      <c r="D158" s="76"/>
    </row>
    <row r="159" ht="14.25" customHeight="1">
      <c r="A159" s="76"/>
      <c r="B159" s="77"/>
      <c r="C159" s="76"/>
      <c r="D159" s="76"/>
    </row>
    <row r="160" ht="14.25" customHeight="1">
      <c r="A160" s="76"/>
      <c r="B160" s="77"/>
      <c r="C160" s="76"/>
      <c r="D160" s="76"/>
    </row>
    <row r="161" ht="14.25" customHeight="1">
      <c r="A161" s="76"/>
      <c r="B161" s="77"/>
      <c r="C161" s="76"/>
      <c r="D161" s="76"/>
    </row>
    <row r="162" ht="14.25" customHeight="1">
      <c r="A162" s="76"/>
      <c r="B162" s="77"/>
      <c r="C162" s="76"/>
      <c r="D162" s="76"/>
    </row>
    <row r="163" ht="14.25" customHeight="1">
      <c r="A163" s="76"/>
      <c r="B163" s="77"/>
      <c r="C163" s="76"/>
      <c r="D163" s="76"/>
    </row>
    <row r="164" ht="14.25" customHeight="1">
      <c r="A164" s="76"/>
      <c r="B164" s="77"/>
      <c r="C164" s="76"/>
      <c r="D164" s="76"/>
    </row>
    <row r="165" ht="14.25" customHeight="1">
      <c r="A165" s="76"/>
      <c r="B165" s="77"/>
      <c r="C165" s="76"/>
      <c r="D165" s="76"/>
    </row>
    <row r="166" ht="14.25" customHeight="1">
      <c r="A166" s="76"/>
      <c r="B166" s="77"/>
      <c r="C166" s="76"/>
      <c r="D166" s="76"/>
    </row>
    <row r="167" ht="14.25" customHeight="1">
      <c r="A167" s="76"/>
      <c r="B167" s="77"/>
      <c r="C167" s="76"/>
      <c r="D167" s="76"/>
    </row>
    <row r="168" ht="14.25" customHeight="1">
      <c r="A168" s="76"/>
      <c r="B168" s="77"/>
      <c r="C168" s="76"/>
      <c r="D168" s="76"/>
    </row>
    <row r="169" ht="14.25" customHeight="1">
      <c r="A169" s="76"/>
      <c r="B169" s="77"/>
      <c r="C169" s="76"/>
      <c r="D169" s="76"/>
    </row>
    <row r="170" ht="14.25" customHeight="1">
      <c r="A170" s="76"/>
      <c r="B170" s="77"/>
      <c r="C170" s="76"/>
      <c r="D170" s="76"/>
    </row>
    <row r="171" ht="14.25" customHeight="1">
      <c r="A171" s="76"/>
      <c r="B171" s="77"/>
      <c r="C171" s="76"/>
      <c r="D171" s="76"/>
    </row>
    <row r="172" ht="14.25" customHeight="1">
      <c r="A172" s="76"/>
      <c r="B172" s="77"/>
      <c r="C172" s="76"/>
      <c r="D172" s="76"/>
    </row>
    <row r="173" ht="14.25" customHeight="1">
      <c r="A173" s="76"/>
      <c r="B173" s="77"/>
      <c r="C173" s="76"/>
      <c r="D173" s="76"/>
    </row>
    <row r="174" ht="14.25" customHeight="1">
      <c r="A174" s="76"/>
      <c r="B174" s="77"/>
      <c r="C174" s="76"/>
      <c r="D174" s="76"/>
    </row>
    <row r="175" ht="14.25" customHeight="1">
      <c r="A175" s="76"/>
      <c r="B175" s="77"/>
      <c r="C175" s="76"/>
      <c r="D175" s="76"/>
    </row>
    <row r="176" ht="14.25" customHeight="1">
      <c r="A176" s="76"/>
      <c r="B176" s="77"/>
      <c r="C176" s="76"/>
      <c r="D176" s="76"/>
    </row>
    <row r="177" ht="14.25" customHeight="1">
      <c r="A177" s="76"/>
      <c r="B177" s="77"/>
      <c r="C177" s="76"/>
      <c r="D177" s="76"/>
    </row>
    <row r="178" ht="14.25" customHeight="1">
      <c r="A178" s="76"/>
      <c r="B178" s="77"/>
      <c r="C178" s="76"/>
      <c r="D178" s="76"/>
    </row>
    <row r="179" ht="14.25" customHeight="1">
      <c r="A179" s="76"/>
      <c r="B179" s="77"/>
      <c r="C179" s="76"/>
      <c r="D179" s="76"/>
    </row>
    <row r="180" ht="14.25" customHeight="1">
      <c r="A180" s="76"/>
      <c r="B180" s="77"/>
      <c r="C180" s="76"/>
      <c r="D180" s="76"/>
    </row>
    <row r="181" ht="14.25" customHeight="1">
      <c r="A181" s="76"/>
      <c r="B181" s="77"/>
      <c r="C181" s="76"/>
      <c r="D181" s="76"/>
    </row>
    <row r="182" ht="14.25" customHeight="1">
      <c r="A182" s="76"/>
      <c r="B182" s="77"/>
      <c r="C182" s="76"/>
      <c r="D182" s="76"/>
    </row>
    <row r="183" ht="14.25" customHeight="1">
      <c r="A183" s="76"/>
      <c r="B183" s="77"/>
      <c r="C183" s="76"/>
      <c r="D183" s="76"/>
    </row>
    <row r="184" ht="14.25" customHeight="1">
      <c r="A184" s="76"/>
      <c r="B184" s="77"/>
      <c r="C184" s="76"/>
      <c r="D184" s="76"/>
    </row>
    <row r="185" ht="14.25" customHeight="1">
      <c r="A185" s="76"/>
      <c r="B185" s="77"/>
      <c r="C185" s="76"/>
      <c r="D185" s="76"/>
    </row>
    <row r="186" ht="14.25" customHeight="1">
      <c r="A186" s="76"/>
      <c r="B186" s="77"/>
      <c r="C186" s="76"/>
      <c r="D186" s="76"/>
    </row>
    <row r="187" ht="14.25" customHeight="1">
      <c r="A187" s="76"/>
      <c r="B187" s="77"/>
      <c r="C187" s="76"/>
      <c r="D187" s="76"/>
    </row>
    <row r="188" ht="14.25" customHeight="1">
      <c r="A188" s="76"/>
      <c r="B188" s="77"/>
      <c r="C188" s="76"/>
      <c r="D188" s="76"/>
    </row>
    <row r="189" ht="14.25" customHeight="1">
      <c r="A189" s="76"/>
      <c r="B189" s="77"/>
      <c r="C189" s="76"/>
      <c r="D189" s="76"/>
    </row>
    <row r="190" ht="14.25" customHeight="1">
      <c r="A190" s="76"/>
      <c r="B190" s="77"/>
      <c r="C190" s="76"/>
      <c r="D190" s="76"/>
    </row>
    <row r="191" ht="14.25" customHeight="1">
      <c r="A191" s="76"/>
      <c r="B191" s="77"/>
      <c r="C191" s="76"/>
      <c r="D191" s="76"/>
    </row>
    <row r="192" ht="14.25" customHeight="1">
      <c r="A192" s="76"/>
      <c r="B192" s="77"/>
      <c r="C192" s="76"/>
      <c r="D192" s="76"/>
    </row>
    <row r="193" ht="14.25" customHeight="1">
      <c r="A193" s="76"/>
      <c r="B193" s="77"/>
      <c r="C193" s="76"/>
      <c r="D193" s="76"/>
    </row>
    <row r="194" ht="14.25" customHeight="1">
      <c r="A194" s="76"/>
      <c r="B194" s="77"/>
      <c r="C194" s="76"/>
      <c r="D194" s="76"/>
    </row>
    <row r="195" ht="14.25" customHeight="1">
      <c r="A195" s="76"/>
      <c r="B195" s="77"/>
      <c r="C195" s="76"/>
      <c r="D195" s="76"/>
    </row>
    <row r="196" ht="14.25" customHeight="1">
      <c r="A196" s="76"/>
      <c r="B196" s="77"/>
      <c r="C196" s="76"/>
      <c r="D196" s="76"/>
    </row>
    <row r="197" ht="14.25" customHeight="1">
      <c r="A197" s="76"/>
      <c r="B197" s="77"/>
      <c r="C197" s="76"/>
      <c r="D197" s="76"/>
    </row>
    <row r="198" ht="14.25" customHeight="1">
      <c r="A198" s="76"/>
      <c r="B198" s="77"/>
      <c r="C198" s="76"/>
      <c r="D198" s="76"/>
    </row>
    <row r="199" ht="14.25" customHeight="1">
      <c r="A199" s="76"/>
      <c r="B199" s="77"/>
      <c r="C199" s="76"/>
      <c r="D199" s="76"/>
    </row>
    <row r="200" ht="14.25" customHeight="1">
      <c r="A200" s="76"/>
      <c r="B200" s="77"/>
      <c r="C200" s="76"/>
      <c r="D200" s="76"/>
    </row>
    <row r="201" ht="14.25" customHeight="1">
      <c r="A201" s="76"/>
      <c r="B201" s="77"/>
      <c r="C201" s="76"/>
      <c r="D201" s="76"/>
    </row>
    <row r="202" ht="14.25" customHeight="1">
      <c r="A202" s="76"/>
      <c r="B202" s="77"/>
      <c r="C202" s="76"/>
      <c r="D202" s="76"/>
    </row>
    <row r="203" ht="14.25" customHeight="1">
      <c r="A203" s="76"/>
      <c r="B203" s="77"/>
      <c r="C203" s="76"/>
      <c r="D203" s="76"/>
    </row>
    <row r="204" ht="14.25" customHeight="1">
      <c r="A204" s="76"/>
      <c r="B204" s="77"/>
      <c r="C204" s="76"/>
      <c r="D204" s="76"/>
    </row>
    <row r="205" ht="14.25" customHeight="1">
      <c r="A205" s="76"/>
      <c r="B205" s="77"/>
      <c r="C205" s="76"/>
      <c r="D205" s="76"/>
    </row>
    <row r="206" ht="14.25" customHeight="1">
      <c r="A206" s="76"/>
      <c r="B206" s="77"/>
      <c r="C206" s="76"/>
      <c r="D206" s="76"/>
    </row>
    <row r="207" ht="14.25" customHeight="1">
      <c r="A207" s="76"/>
      <c r="B207" s="77"/>
      <c r="C207" s="76"/>
      <c r="D207" s="76"/>
    </row>
    <row r="208" ht="14.25" customHeight="1">
      <c r="A208" s="76"/>
      <c r="B208" s="77"/>
      <c r="C208" s="76"/>
      <c r="D208" s="76"/>
    </row>
    <row r="209" ht="14.25" customHeight="1">
      <c r="A209" s="76"/>
      <c r="B209" s="77"/>
      <c r="C209" s="76"/>
      <c r="D209" s="76"/>
    </row>
    <row r="210" ht="14.25" customHeight="1">
      <c r="A210" s="76"/>
      <c r="B210" s="77"/>
      <c r="C210" s="76"/>
      <c r="D210" s="76"/>
    </row>
    <row r="211" ht="14.25" customHeight="1">
      <c r="A211" s="76"/>
      <c r="B211" s="77"/>
      <c r="C211" s="76"/>
      <c r="D211" s="76"/>
    </row>
    <row r="212" ht="14.25" customHeight="1">
      <c r="A212" s="76"/>
      <c r="B212" s="77"/>
      <c r="C212" s="76"/>
      <c r="D212" s="76"/>
    </row>
    <row r="213" ht="14.25" customHeight="1">
      <c r="A213" s="76"/>
      <c r="B213" s="77"/>
      <c r="C213" s="76"/>
      <c r="D213" s="76"/>
    </row>
    <row r="214" ht="14.25" customHeight="1">
      <c r="A214" s="76"/>
      <c r="B214" s="77"/>
      <c r="C214" s="76"/>
      <c r="D214" s="76"/>
    </row>
    <row r="215" ht="14.25" customHeight="1">
      <c r="A215" s="76"/>
      <c r="B215" s="77"/>
      <c r="C215" s="76"/>
      <c r="D215" s="76"/>
    </row>
    <row r="216" ht="14.25" customHeight="1">
      <c r="A216" s="76"/>
      <c r="B216" s="77"/>
      <c r="C216" s="76"/>
      <c r="D216" s="76"/>
    </row>
    <row r="217" ht="14.25" customHeight="1">
      <c r="A217" s="76"/>
      <c r="B217" s="77"/>
      <c r="C217" s="76"/>
      <c r="D217" s="76"/>
    </row>
    <row r="218" ht="14.25" customHeight="1">
      <c r="A218" s="76"/>
      <c r="B218" s="77"/>
      <c r="C218" s="76"/>
      <c r="D218" s="76"/>
    </row>
    <row r="219" ht="14.25" customHeight="1">
      <c r="A219" s="76"/>
      <c r="B219" s="77"/>
      <c r="C219" s="76"/>
      <c r="D219" s="76"/>
    </row>
    <row r="220" ht="14.25" customHeight="1">
      <c r="A220" s="76"/>
      <c r="B220" s="77"/>
      <c r="C220" s="76"/>
      <c r="D220" s="76"/>
    </row>
    <row r="221" ht="14.25" customHeight="1">
      <c r="A221" s="76"/>
      <c r="B221" s="77"/>
      <c r="C221" s="76"/>
      <c r="D221" s="76"/>
    </row>
    <row r="222" ht="14.25" customHeight="1">
      <c r="A222" s="76"/>
      <c r="B222" s="77"/>
      <c r="C222" s="76"/>
      <c r="D222" s="76"/>
    </row>
    <row r="223" ht="14.25" customHeight="1">
      <c r="A223" s="76"/>
      <c r="B223" s="77"/>
      <c r="C223" s="76"/>
      <c r="D223" s="76"/>
    </row>
    <row r="224" ht="14.25" customHeight="1">
      <c r="A224" s="76"/>
      <c r="B224" s="77"/>
      <c r="C224" s="76"/>
      <c r="D224" s="76"/>
    </row>
    <row r="225" ht="14.25" customHeight="1">
      <c r="A225" s="76"/>
      <c r="B225" s="77"/>
      <c r="C225" s="76"/>
      <c r="D225" s="76"/>
    </row>
    <row r="226" ht="14.25" customHeight="1">
      <c r="A226" s="76"/>
      <c r="B226" s="77"/>
      <c r="C226" s="76"/>
      <c r="D226" s="76"/>
    </row>
    <row r="227" ht="14.25" customHeight="1">
      <c r="A227" s="76"/>
      <c r="B227" s="77"/>
      <c r="C227" s="76"/>
      <c r="D227" s="76"/>
    </row>
    <row r="228" ht="14.25" customHeight="1">
      <c r="A228" s="76"/>
      <c r="B228" s="77"/>
      <c r="C228" s="76"/>
      <c r="D228" s="76"/>
    </row>
    <row r="229" ht="14.25" customHeight="1">
      <c r="A229" s="76"/>
      <c r="B229" s="77"/>
      <c r="C229" s="76"/>
      <c r="D229" s="76"/>
    </row>
    <row r="230" ht="14.25" customHeight="1">
      <c r="A230" s="76"/>
      <c r="B230" s="77"/>
      <c r="C230" s="76"/>
      <c r="D230" s="76"/>
    </row>
    <row r="231" ht="14.25" customHeight="1">
      <c r="A231" s="76"/>
      <c r="B231" s="77"/>
      <c r="C231" s="76"/>
      <c r="D231" s="76"/>
    </row>
    <row r="232" ht="14.25" customHeight="1">
      <c r="A232" s="76"/>
      <c r="B232" s="77"/>
      <c r="C232" s="76"/>
      <c r="D232" s="76"/>
    </row>
    <row r="233" ht="14.25" customHeight="1">
      <c r="A233" s="76"/>
      <c r="B233" s="77"/>
      <c r="C233" s="76"/>
      <c r="D233" s="76"/>
    </row>
    <row r="234" ht="14.25" customHeight="1">
      <c r="A234" s="76"/>
      <c r="B234" s="77"/>
      <c r="C234" s="76"/>
      <c r="D234" s="76"/>
    </row>
    <row r="235" ht="14.25" customHeight="1">
      <c r="A235" s="76"/>
      <c r="B235" s="77"/>
      <c r="C235" s="76"/>
      <c r="D235" s="76"/>
    </row>
    <row r="236" ht="14.25" customHeight="1">
      <c r="A236" s="76"/>
      <c r="B236" s="77"/>
      <c r="C236" s="76"/>
      <c r="D236" s="76"/>
    </row>
    <row r="237" ht="14.25" customHeight="1">
      <c r="A237" s="76"/>
      <c r="B237" s="77"/>
      <c r="C237" s="76"/>
      <c r="D237" s="76"/>
    </row>
    <row r="238" ht="14.25" customHeight="1">
      <c r="A238" s="76"/>
      <c r="B238" s="77"/>
      <c r="C238" s="76"/>
      <c r="D238" s="76"/>
    </row>
    <row r="239" ht="14.25" customHeight="1">
      <c r="A239" s="76"/>
      <c r="B239" s="77"/>
      <c r="C239" s="76"/>
      <c r="D239" s="76"/>
    </row>
    <row r="240" ht="14.25" customHeight="1">
      <c r="A240" s="76"/>
      <c r="B240" s="77"/>
      <c r="C240" s="76"/>
      <c r="D240" s="76"/>
    </row>
    <row r="241" ht="14.25" customHeight="1">
      <c r="A241" s="76"/>
      <c r="B241" s="77"/>
      <c r="C241" s="76"/>
      <c r="D241" s="76"/>
    </row>
    <row r="242" ht="14.25" customHeight="1">
      <c r="A242" s="76"/>
      <c r="B242" s="77"/>
      <c r="C242" s="76"/>
      <c r="D242" s="76"/>
    </row>
    <row r="243" ht="14.25" customHeight="1">
      <c r="A243" s="76"/>
      <c r="B243" s="77"/>
      <c r="C243" s="76"/>
      <c r="D243" s="76"/>
    </row>
    <row r="244" ht="14.25" customHeight="1">
      <c r="A244" s="76"/>
      <c r="B244" s="77"/>
      <c r="C244" s="76"/>
      <c r="D244" s="76"/>
    </row>
    <row r="245" ht="14.25" customHeight="1">
      <c r="A245" s="76"/>
      <c r="B245" s="77"/>
      <c r="C245" s="76"/>
      <c r="D245" s="76"/>
    </row>
    <row r="246" ht="14.25" customHeight="1">
      <c r="A246" s="76"/>
      <c r="B246" s="77"/>
      <c r="C246" s="76"/>
      <c r="D246" s="76"/>
    </row>
    <row r="247" ht="14.25" customHeight="1">
      <c r="A247" s="76"/>
      <c r="B247" s="77"/>
      <c r="C247" s="76"/>
      <c r="D247" s="76"/>
    </row>
    <row r="248" ht="14.25" customHeight="1">
      <c r="A248" s="76"/>
      <c r="B248" s="77"/>
      <c r="C248" s="76"/>
      <c r="D248" s="76"/>
    </row>
    <row r="249" ht="14.25" customHeight="1">
      <c r="A249" s="76"/>
      <c r="B249" s="77"/>
      <c r="C249" s="76"/>
      <c r="D249" s="76"/>
    </row>
    <row r="250" ht="14.25" customHeight="1">
      <c r="A250" s="76"/>
      <c r="B250" s="77"/>
      <c r="C250" s="76"/>
      <c r="D250" s="76"/>
    </row>
    <row r="251" ht="14.25" customHeight="1">
      <c r="A251" s="76"/>
      <c r="B251" s="77"/>
      <c r="C251" s="76"/>
      <c r="D251" s="76"/>
    </row>
    <row r="252" ht="14.25" customHeight="1">
      <c r="A252" s="76"/>
      <c r="B252" s="77"/>
      <c r="C252" s="76"/>
      <c r="D252" s="76"/>
    </row>
    <row r="253" ht="14.25" customHeight="1">
      <c r="A253" s="76"/>
      <c r="B253" s="77"/>
      <c r="C253" s="76"/>
      <c r="D253" s="76"/>
    </row>
    <row r="254" ht="14.25" customHeight="1">
      <c r="A254" s="76"/>
      <c r="B254" s="77"/>
      <c r="C254" s="76"/>
      <c r="D254" s="76"/>
    </row>
    <row r="255" ht="14.25" customHeight="1">
      <c r="A255" s="76"/>
      <c r="B255" s="77"/>
      <c r="C255" s="76"/>
      <c r="D255" s="76"/>
    </row>
    <row r="256" ht="14.25" customHeight="1">
      <c r="A256" s="76"/>
      <c r="B256" s="77"/>
      <c r="C256" s="76"/>
      <c r="D256" s="76"/>
    </row>
    <row r="257" ht="14.25" customHeight="1">
      <c r="A257" s="76"/>
      <c r="B257" s="77"/>
      <c r="C257" s="76"/>
      <c r="D257" s="76"/>
    </row>
    <row r="258" ht="14.25" customHeight="1">
      <c r="A258" s="76"/>
      <c r="B258" s="77"/>
      <c r="C258" s="76"/>
      <c r="D258" s="76"/>
    </row>
    <row r="259" ht="14.25" customHeight="1">
      <c r="A259" s="76"/>
      <c r="B259" s="77"/>
      <c r="C259" s="76"/>
      <c r="D259" s="76"/>
    </row>
    <row r="260" ht="14.25" customHeight="1">
      <c r="A260" s="76"/>
      <c r="B260" s="77"/>
      <c r="C260" s="76"/>
      <c r="D260" s="76"/>
    </row>
    <row r="261" ht="14.25" customHeight="1">
      <c r="A261" s="76"/>
      <c r="B261" s="77"/>
      <c r="C261" s="76"/>
      <c r="D261" s="76"/>
    </row>
    <row r="262" ht="14.25" customHeight="1">
      <c r="A262" s="76"/>
      <c r="B262" s="77"/>
      <c r="C262" s="76"/>
      <c r="D262" s="76"/>
    </row>
    <row r="263" ht="14.25" customHeight="1">
      <c r="A263" s="76"/>
      <c r="B263" s="77"/>
      <c r="C263" s="76"/>
      <c r="D263" s="76"/>
    </row>
    <row r="264" ht="14.25" customHeight="1">
      <c r="A264" s="76"/>
      <c r="B264" s="77"/>
      <c r="C264" s="76"/>
      <c r="D264" s="76"/>
    </row>
    <row r="265" ht="14.25" customHeight="1">
      <c r="A265" s="76"/>
      <c r="B265" s="77"/>
      <c r="C265" s="76"/>
      <c r="D265" s="76"/>
    </row>
    <row r="266" ht="14.25" customHeight="1">
      <c r="A266" s="76"/>
      <c r="B266" s="77"/>
      <c r="C266" s="76"/>
      <c r="D266" s="76"/>
    </row>
    <row r="267" ht="14.25" customHeight="1">
      <c r="A267" s="76"/>
      <c r="B267" s="77"/>
      <c r="C267" s="76"/>
      <c r="D267" s="76"/>
    </row>
    <row r="268" ht="14.25" customHeight="1">
      <c r="A268" s="76"/>
      <c r="B268" s="77"/>
      <c r="C268" s="76"/>
      <c r="D268" s="76"/>
    </row>
    <row r="269" ht="14.25" customHeight="1">
      <c r="A269" s="76"/>
      <c r="B269" s="77"/>
      <c r="C269" s="76"/>
      <c r="D269" s="76"/>
    </row>
    <row r="270" ht="14.25" customHeight="1">
      <c r="A270" s="76"/>
      <c r="B270" s="77"/>
      <c r="C270" s="76"/>
      <c r="D270" s="76"/>
    </row>
    <row r="271" ht="14.25" customHeight="1">
      <c r="A271" s="76"/>
      <c r="B271" s="77"/>
      <c r="C271" s="76"/>
      <c r="D271" s="76"/>
    </row>
    <row r="272" ht="14.25" customHeight="1">
      <c r="A272" s="76"/>
      <c r="B272" s="77"/>
      <c r="C272" s="76"/>
      <c r="D272" s="76"/>
    </row>
    <row r="273" ht="14.25" customHeight="1">
      <c r="A273" s="76"/>
      <c r="B273" s="77"/>
      <c r="C273" s="76"/>
      <c r="D273" s="76"/>
    </row>
    <row r="274" ht="14.25" customHeight="1">
      <c r="A274" s="76"/>
      <c r="B274" s="77"/>
      <c r="C274" s="76"/>
      <c r="D274" s="76"/>
    </row>
    <row r="275" ht="14.25" customHeight="1">
      <c r="A275" s="76"/>
      <c r="B275" s="77"/>
      <c r="C275" s="76"/>
      <c r="D275" s="76"/>
    </row>
    <row r="276" ht="14.25" customHeight="1">
      <c r="A276" s="76"/>
      <c r="B276" s="77"/>
      <c r="C276" s="76"/>
      <c r="D276" s="76"/>
    </row>
    <row r="277" ht="14.25" customHeight="1">
      <c r="A277" s="76"/>
      <c r="B277" s="77"/>
      <c r="C277" s="76"/>
      <c r="D277" s="76"/>
    </row>
    <row r="278" ht="14.25" customHeight="1">
      <c r="A278" s="76"/>
      <c r="B278" s="77"/>
      <c r="C278" s="76"/>
      <c r="D278" s="76"/>
    </row>
    <row r="279" ht="14.25" customHeight="1">
      <c r="A279" s="76"/>
      <c r="B279" s="77"/>
      <c r="C279" s="76"/>
      <c r="D279" s="76"/>
    </row>
    <row r="280" ht="14.25" customHeight="1">
      <c r="A280" s="76"/>
      <c r="B280" s="77"/>
      <c r="C280" s="76"/>
      <c r="D280" s="76"/>
    </row>
    <row r="281" ht="14.25" customHeight="1">
      <c r="A281" s="76"/>
      <c r="B281" s="77"/>
      <c r="C281" s="76"/>
      <c r="D281" s="76"/>
    </row>
    <row r="282" ht="14.25" customHeight="1">
      <c r="A282" s="76"/>
      <c r="B282" s="77"/>
      <c r="C282" s="76"/>
      <c r="D282" s="76"/>
    </row>
    <row r="283" ht="14.25" customHeight="1">
      <c r="A283" s="76"/>
      <c r="B283" s="77"/>
      <c r="C283" s="76"/>
      <c r="D283" s="76"/>
    </row>
    <row r="284" ht="14.25" customHeight="1">
      <c r="A284" s="76"/>
      <c r="B284" s="77"/>
      <c r="C284" s="76"/>
      <c r="D284" s="76"/>
    </row>
    <row r="285" ht="14.25" customHeight="1">
      <c r="A285" s="76"/>
      <c r="B285" s="77"/>
      <c r="C285" s="76"/>
      <c r="D285" s="76"/>
    </row>
    <row r="286" ht="14.25" customHeight="1">
      <c r="A286" s="76"/>
      <c r="B286" s="77"/>
      <c r="C286" s="76"/>
      <c r="D286" s="76"/>
    </row>
    <row r="287" ht="14.25" customHeight="1">
      <c r="A287" s="76"/>
      <c r="B287" s="77"/>
      <c r="C287" s="76"/>
      <c r="D287" s="76"/>
    </row>
    <row r="288" ht="14.25" customHeight="1">
      <c r="A288" s="76"/>
      <c r="B288" s="77"/>
      <c r="C288" s="76"/>
      <c r="D288" s="76"/>
    </row>
    <row r="289" ht="14.25" customHeight="1">
      <c r="A289" s="76"/>
      <c r="B289" s="77"/>
      <c r="C289" s="76"/>
      <c r="D289" s="76"/>
    </row>
    <row r="290" ht="14.25" customHeight="1">
      <c r="A290" s="76"/>
      <c r="B290" s="77"/>
      <c r="C290" s="76"/>
      <c r="D290" s="76"/>
    </row>
    <row r="291" ht="14.25" customHeight="1">
      <c r="A291" s="76"/>
      <c r="B291" s="77"/>
      <c r="C291" s="76"/>
      <c r="D291" s="76"/>
    </row>
    <row r="292" ht="14.25" customHeight="1">
      <c r="A292" s="76"/>
      <c r="B292" s="77"/>
      <c r="C292" s="76"/>
      <c r="D292" s="76"/>
    </row>
    <row r="293" ht="14.25" customHeight="1">
      <c r="A293" s="76"/>
      <c r="B293" s="77"/>
      <c r="C293" s="76"/>
      <c r="D293" s="76"/>
    </row>
    <row r="294" ht="14.25" customHeight="1">
      <c r="A294" s="76"/>
      <c r="B294" s="77"/>
      <c r="C294" s="76"/>
      <c r="D294" s="76"/>
    </row>
    <row r="295" ht="14.25" customHeight="1">
      <c r="A295" s="76"/>
      <c r="B295" s="77"/>
      <c r="C295" s="76"/>
      <c r="D295" s="76"/>
    </row>
    <row r="296" ht="14.25" customHeight="1">
      <c r="A296" s="76"/>
      <c r="B296" s="77"/>
      <c r="C296" s="76"/>
      <c r="D296" s="76"/>
    </row>
    <row r="297" ht="14.25" customHeight="1">
      <c r="A297" s="76"/>
      <c r="B297" s="77"/>
      <c r="C297" s="76"/>
      <c r="D297" s="76"/>
    </row>
    <row r="298" ht="14.25" customHeight="1">
      <c r="A298" s="76"/>
      <c r="B298" s="77"/>
      <c r="C298" s="76"/>
      <c r="D298" s="76"/>
    </row>
    <row r="299" ht="14.25" customHeight="1">
      <c r="A299" s="76"/>
      <c r="B299" s="77"/>
      <c r="C299" s="76"/>
      <c r="D299" s="76"/>
    </row>
    <row r="300" ht="14.25" customHeight="1">
      <c r="A300" s="76"/>
      <c r="B300" s="77"/>
      <c r="C300" s="76"/>
      <c r="D300" s="76"/>
    </row>
    <row r="301" ht="14.25" customHeight="1">
      <c r="A301" s="76"/>
      <c r="B301" s="77"/>
      <c r="C301" s="76"/>
      <c r="D301" s="76"/>
    </row>
    <row r="302" ht="14.25" customHeight="1">
      <c r="A302" s="76"/>
      <c r="B302" s="77"/>
      <c r="C302" s="76"/>
      <c r="D302" s="76"/>
    </row>
    <row r="303" ht="14.25" customHeight="1">
      <c r="A303" s="76"/>
      <c r="B303" s="77"/>
      <c r="C303" s="76"/>
      <c r="D303" s="76"/>
    </row>
    <row r="304" ht="14.25" customHeight="1">
      <c r="A304" s="76"/>
      <c r="B304" s="77"/>
      <c r="C304" s="76"/>
      <c r="D304" s="76"/>
    </row>
    <row r="305" ht="14.25" customHeight="1">
      <c r="A305" s="76"/>
      <c r="B305" s="77"/>
      <c r="C305" s="76"/>
      <c r="D305" s="76"/>
    </row>
    <row r="306" ht="14.25" customHeight="1">
      <c r="A306" s="76"/>
      <c r="B306" s="77"/>
      <c r="C306" s="76"/>
      <c r="D306" s="76"/>
    </row>
    <row r="307" ht="14.25" customHeight="1">
      <c r="A307" s="76"/>
      <c r="B307" s="77"/>
      <c r="C307" s="76"/>
      <c r="D307" s="76"/>
    </row>
    <row r="308" ht="14.25" customHeight="1">
      <c r="A308" s="76"/>
      <c r="B308" s="77"/>
      <c r="C308" s="76"/>
      <c r="D308" s="76"/>
    </row>
    <row r="309" ht="14.25" customHeight="1">
      <c r="A309" s="76"/>
      <c r="B309" s="77"/>
      <c r="C309" s="76"/>
      <c r="D309" s="76"/>
    </row>
    <row r="310" ht="14.25" customHeight="1">
      <c r="A310" s="76"/>
      <c r="B310" s="77"/>
      <c r="C310" s="76"/>
      <c r="D310" s="76"/>
    </row>
    <row r="311" ht="14.25" customHeight="1">
      <c r="A311" s="76"/>
      <c r="B311" s="77"/>
      <c r="C311" s="76"/>
      <c r="D311" s="76"/>
    </row>
    <row r="312" ht="14.25" customHeight="1">
      <c r="A312" s="76"/>
      <c r="B312" s="77"/>
      <c r="C312" s="76"/>
      <c r="D312" s="76"/>
    </row>
    <row r="313" ht="14.25" customHeight="1">
      <c r="A313" s="76"/>
      <c r="B313" s="77"/>
      <c r="C313" s="76"/>
      <c r="D313" s="76"/>
    </row>
    <row r="314" ht="14.25" customHeight="1">
      <c r="A314" s="76"/>
      <c r="B314" s="77"/>
      <c r="C314" s="76"/>
      <c r="D314" s="76"/>
    </row>
    <row r="315" ht="14.25" customHeight="1">
      <c r="A315" s="76"/>
      <c r="B315" s="77"/>
      <c r="C315" s="76"/>
      <c r="D315" s="76"/>
    </row>
    <row r="316" ht="14.25" customHeight="1">
      <c r="A316" s="76"/>
      <c r="B316" s="77"/>
      <c r="C316" s="76"/>
      <c r="D316" s="76"/>
    </row>
    <row r="317" ht="14.25" customHeight="1">
      <c r="A317" s="76"/>
      <c r="B317" s="77"/>
      <c r="C317" s="76"/>
      <c r="D317" s="76"/>
    </row>
    <row r="318" ht="14.25" customHeight="1">
      <c r="A318" s="76"/>
      <c r="B318" s="77"/>
      <c r="C318" s="76"/>
      <c r="D318" s="76"/>
    </row>
    <row r="319" ht="14.25" customHeight="1">
      <c r="A319" s="76"/>
      <c r="B319" s="77"/>
      <c r="C319" s="76"/>
      <c r="D319" s="76"/>
    </row>
    <row r="320" ht="14.25" customHeight="1">
      <c r="A320" s="76"/>
      <c r="B320" s="77"/>
      <c r="C320" s="76"/>
      <c r="D320" s="76"/>
    </row>
    <row r="321" ht="14.25" customHeight="1">
      <c r="A321" s="76"/>
      <c r="B321" s="77"/>
      <c r="C321" s="76"/>
      <c r="D321" s="76"/>
    </row>
    <row r="322" ht="14.25" customHeight="1">
      <c r="A322" s="76"/>
      <c r="B322" s="77"/>
      <c r="C322" s="76"/>
      <c r="D322" s="76"/>
    </row>
    <row r="323" ht="14.25" customHeight="1">
      <c r="A323" s="76"/>
      <c r="B323" s="77"/>
      <c r="C323" s="76"/>
      <c r="D323" s="76"/>
    </row>
    <row r="324" ht="14.25" customHeight="1">
      <c r="A324" s="76"/>
      <c r="B324" s="77"/>
      <c r="C324" s="76"/>
      <c r="D324" s="76"/>
    </row>
    <row r="325" ht="14.25" customHeight="1">
      <c r="A325" s="76"/>
      <c r="B325" s="77"/>
      <c r="C325" s="76"/>
      <c r="D325" s="76"/>
    </row>
    <row r="326" ht="14.25" customHeight="1">
      <c r="A326" s="76"/>
      <c r="B326" s="77"/>
      <c r="C326" s="76"/>
      <c r="D326" s="76"/>
    </row>
    <row r="327" ht="14.25" customHeight="1">
      <c r="A327" s="76"/>
      <c r="B327" s="77"/>
      <c r="C327" s="76"/>
      <c r="D327" s="76"/>
    </row>
    <row r="328" ht="14.25" customHeight="1">
      <c r="A328" s="76"/>
      <c r="B328" s="77"/>
      <c r="C328" s="76"/>
      <c r="D328" s="76"/>
    </row>
    <row r="329" ht="14.25" customHeight="1">
      <c r="A329" s="76"/>
      <c r="B329" s="77"/>
      <c r="C329" s="76"/>
      <c r="D329" s="76"/>
    </row>
    <row r="330" ht="14.25" customHeight="1">
      <c r="A330" s="76"/>
      <c r="B330" s="77"/>
      <c r="C330" s="76"/>
      <c r="D330" s="76"/>
    </row>
    <row r="331" ht="14.25" customHeight="1">
      <c r="A331" s="76"/>
      <c r="B331" s="77"/>
      <c r="C331" s="76"/>
      <c r="D331" s="76"/>
    </row>
    <row r="332" ht="14.25" customHeight="1">
      <c r="A332" s="76"/>
      <c r="B332" s="77"/>
      <c r="C332" s="76"/>
      <c r="D332" s="76"/>
    </row>
    <row r="333" ht="14.25" customHeight="1">
      <c r="A333" s="76"/>
      <c r="B333" s="77"/>
      <c r="C333" s="76"/>
      <c r="D333" s="76"/>
    </row>
    <row r="334" ht="14.25" customHeight="1">
      <c r="A334" s="76"/>
      <c r="B334" s="77"/>
      <c r="C334" s="76"/>
      <c r="D334" s="76"/>
    </row>
    <row r="335" ht="14.25" customHeight="1">
      <c r="A335" s="76"/>
      <c r="B335" s="77"/>
      <c r="C335" s="76"/>
      <c r="D335" s="76"/>
    </row>
    <row r="336" ht="14.25" customHeight="1">
      <c r="A336" s="76"/>
      <c r="B336" s="77"/>
      <c r="C336" s="76"/>
      <c r="D336" s="76"/>
    </row>
    <row r="337" ht="14.25" customHeight="1">
      <c r="A337" s="76"/>
      <c r="B337" s="77"/>
      <c r="C337" s="76"/>
      <c r="D337" s="76"/>
    </row>
    <row r="338" ht="14.25" customHeight="1">
      <c r="A338" s="76"/>
      <c r="B338" s="77"/>
      <c r="C338" s="76"/>
      <c r="D338" s="76"/>
    </row>
    <row r="339" ht="14.25" customHeight="1">
      <c r="A339" s="76"/>
      <c r="B339" s="77"/>
      <c r="C339" s="76"/>
      <c r="D339" s="76"/>
    </row>
    <row r="340" ht="14.25" customHeight="1">
      <c r="A340" s="76"/>
      <c r="B340" s="77"/>
      <c r="C340" s="76"/>
      <c r="D340" s="76"/>
    </row>
    <row r="341" ht="14.25" customHeight="1">
      <c r="A341" s="76"/>
      <c r="B341" s="77"/>
      <c r="C341" s="76"/>
      <c r="D341" s="76"/>
    </row>
    <row r="342" ht="14.25" customHeight="1">
      <c r="A342" s="76"/>
      <c r="B342" s="77"/>
      <c r="C342" s="76"/>
      <c r="D342" s="76"/>
    </row>
    <row r="343" ht="14.25" customHeight="1">
      <c r="A343" s="76"/>
      <c r="B343" s="77"/>
      <c r="C343" s="76"/>
      <c r="D343" s="76"/>
    </row>
    <row r="344" ht="14.25" customHeight="1">
      <c r="A344" s="76"/>
      <c r="B344" s="77"/>
      <c r="C344" s="76"/>
      <c r="D344" s="76"/>
    </row>
    <row r="345" ht="14.25" customHeight="1">
      <c r="A345" s="76"/>
      <c r="B345" s="77"/>
      <c r="C345" s="76"/>
      <c r="D345" s="76"/>
    </row>
    <row r="346" ht="14.25" customHeight="1">
      <c r="A346" s="76"/>
      <c r="B346" s="77"/>
      <c r="C346" s="76"/>
      <c r="D346" s="76"/>
    </row>
    <row r="347" ht="14.25" customHeight="1">
      <c r="A347" s="76"/>
      <c r="B347" s="77"/>
      <c r="C347" s="76"/>
      <c r="D347" s="76"/>
    </row>
    <row r="348" ht="14.25" customHeight="1">
      <c r="A348" s="76"/>
      <c r="B348" s="77"/>
      <c r="C348" s="76"/>
      <c r="D348" s="76"/>
    </row>
    <row r="349" ht="14.25" customHeight="1">
      <c r="A349" s="76"/>
      <c r="B349" s="77"/>
      <c r="C349" s="76"/>
      <c r="D349" s="76"/>
    </row>
    <row r="350" ht="14.25" customHeight="1">
      <c r="A350" s="76"/>
      <c r="B350" s="77"/>
      <c r="C350" s="76"/>
      <c r="D350" s="76"/>
    </row>
    <row r="351" ht="14.25" customHeight="1">
      <c r="A351" s="76"/>
      <c r="B351" s="77"/>
      <c r="C351" s="76"/>
      <c r="D351" s="76"/>
    </row>
    <row r="352" ht="14.25" customHeight="1">
      <c r="A352" s="76"/>
      <c r="B352" s="77"/>
      <c r="C352" s="76"/>
      <c r="D352" s="76"/>
    </row>
    <row r="353" ht="14.25" customHeight="1">
      <c r="A353" s="76"/>
      <c r="B353" s="77"/>
      <c r="C353" s="76"/>
      <c r="D353" s="76"/>
    </row>
    <row r="354" ht="14.25" customHeight="1">
      <c r="A354" s="76"/>
      <c r="B354" s="77"/>
      <c r="C354" s="76"/>
      <c r="D354" s="76"/>
    </row>
    <row r="355" ht="14.25" customHeight="1">
      <c r="A355" s="76"/>
      <c r="B355" s="77"/>
      <c r="C355" s="76"/>
      <c r="D355" s="76"/>
    </row>
    <row r="356" ht="14.25" customHeight="1">
      <c r="A356" s="76"/>
      <c r="B356" s="77"/>
      <c r="C356" s="76"/>
      <c r="D356" s="76"/>
    </row>
    <row r="357" ht="14.25" customHeight="1">
      <c r="A357" s="76"/>
      <c r="B357" s="77"/>
      <c r="C357" s="76"/>
      <c r="D357" s="76"/>
    </row>
    <row r="358" ht="14.25" customHeight="1">
      <c r="A358" s="76"/>
      <c r="B358" s="77"/>
      <c r="C358" s="76"/>
      <c r="D358" s="76"/>
    </row>
    <row r="359" ht="14.25" customHeight="1">
      <c r="A359" s="76"/>
      <c r="B359" s="77"/>
      <c r="C359" s="76"/>
      <c r="D359" s="76"/>
    </row>
    <row r="360" ht="14.25" customHeight="1">
      <c r="A360" s="76"/>
      <c r="B360" s="77"/>
      <c r="C360" s="76"/>
      <c r="D360" s="76"/>
    </row>
    <row r="361" ht="14.25" customHeight="1">
      <c r="A361" s="76"/>
      <c r="B361" s="77"/>
      <c r="C361" s="76"/>
      <c r="D361" s="76"/>
    </row>
    <row r="362" ht="14.25" customHeight="1">
      <c r="A362" s="76"/>
      <c r="B362" s="77"/>
      <c r="C362" s="76"/>
      <c r="D362" s="76"/>
    </row>
    <row r="363" ht="14.25" customHeight="1">
      <c r="A363" s="76"/>
      <c r="B363" s="77"/>
      <c r="C363" s="76"/>
      <c r="D363" s="76"/>
    </row>
    <row r="364" ht="14.25" customHeight="1">
      <c r="A364" s="76"/>
      <c r="B364" s="77"/>
      <c r="C364" s="76"/>
      <c r="D364" s="76"/>
    </row>
    <row r="365" ht="14.25" customHeight="1">
      <c r="A365" s="76"/>
      <c r="B365" s="77"/>
      <c r="C365" s="76"/>
      <c r="D365" s="76"/>
    </row>
    <row r="366" ht="14.25" customHeight="1">
      <c r="A366" s="76"/>
      <c r="B366" s="77"/>
      <c r="C366" s="76"/>
      <c r="D366" s="76"/>
    </row>
    <row r="367" ht="14.25" customHeight="1">
      <c r="A367" s="76"/>
      <c r="B367" s="77"/>
      <c r="C367" s="76"/>
      <c r="D367" s="76"/>
    </row>
    <row r="368" ht="14.25" customHeight="1">
      <c r="A368" s="76"/>
      <c r="B368" s="77"/>
      <c r="C368" s="76"/>
      <c r="D368" s="76"/>
    </row>
    <row r="369" ht="14.25" customHeight="1">
      <c r="A369" s="76"/>
      <c r="B369" s="77"/>
      <c r="C369" s="76"/>
      <c r="D369" s="76"/>
    </row>
    <row r="370" ht="14.25" customHeight="1">
      <c r="A370" s="76"/>
      <c r="B370" s="77"/>
      <c r="C370" s="76"/>
      <c r="D370" s="76"/>
    </row>
    <row r="371" ht="14.25" customHeight="1">
      <c r="A371" s="76"/>
      <c r="B371" s="77"/>
      <c r="C371" s="76"/>
      <c r="D371" s="76"/>
    </row>
    <row r="372" ht="14.25" customHeight="1">
      <c r="A372" s="76"/>
      <c r="B372" s="77"/>
      <c r="C372" s="76"/>
      <c r="D372" s="76"/>
    </row>
    <row r="373" ht="14.25" customHeight="1">
      <c r="A373" s="76"/>
      <c r="B373" s="77"/>
      <c r="C373" s="76"/>
      <c r="D373" s="76"/>
    </row>
    <row r="374" ht="14.25" customHeight="1">
      <c r="A374" s="76"/>
      <c r="B374" s="77"/>
      <c r="C374" s="76"/>
      <c r="D374" s="76"/>
    </row>
    <row r="375" ht="14.25" customHeight="1">
      <c r="A375" s="76"/>
      <c r="B375" s="77"/>
      <c r="C375" s="76"/>
      <c r="D375" s="76"/>
    </row>
    <row r="376" ht="14.25" customHeight="1">
      <c r="A376" s="76"/>
      <c r="B376" s="77"/>
      <c r="C376" s="76"/>
      <c r="D376" s="76"/>
    </row>
    <row r="377" ht="14.25" customHeight="1">
      <c r="A377" s="76"/>
      <c r="B377" s="77"/>
      <c r="C377" s="76"/>
      <c r="D377" s="76"/>
    </row>
    <row r="378" ht="14.25" customHeight="1">
      <c r="A378" s="76"/>
      <c r="B378" s="77"/>
      <c r="C378" s="76"/>
      <c r="D378" s="76"/>
    </row>
    <row r="379" ht="14.25" customHeight="1">
      <c r="A379" s="76"/>
      <c r="B379" s="77"/>
      <c r="C379" s="76"/>
      <c r="D379" s="76"/>
    </row>
    <row r="380" ht="14.25" customHeight="1">
      <c r="A380" s="76"/>
      <c r="B380" s="77"/>
      <c r="C380" s="76"/>
      <c r="D380" s="76"/>
    </row>
    <row r="381" ht="14.25" customHeight="1">
      <c r="A381" s="76"/>
      <c r="B381" s="77"/>
      <c r="C381" s="76"/>
      <c r="D381" s="76"/>
    </row>
    <row r="382" ht="14.25" customHeight="1">
      <c r="A382" s="76"/>
      <c r="B382" s="77"/>
      <c r="C382" s="76"/>
      <c r="D382" s="76"/>
    </row>
    <row r="383" ht="14.25" customHeight="1">
      <c r="A383" s="76"/>
      <c r="B383" s="77"/>
      <c r="C383" s="76"/>
      <c r="D383" s="76"/>
    </row>
    <row r="384" ht="14.25" customHeight="1">
      <c r="A384" s="76"/>
      <c r="B384" s="77"/>
      <c r="C384" s="76"/>
      <c r="D384" s="76"/>
    </row>
    <row r="385" ht="14.25" customHeight="1">
      <c r="A385" s="76"/>
      <c r="B385" s="77"/>
      <c r="C385" s="76"/>
      <c r="D385" s="76"/>
    </row>
    <row r="386" ht="14.25" customHeight="1">
      <c r="A386" s="76"/>
      <c r="B386" s="77"/>
      <c r="C386" s="76"/>
      <c r="D386" s="76"/>
    </row>
    <row r="387" ht="14.25" customHeight="1">
      <c r="A387" s="76"/>
      <c r="B387" s="77"/>
      <c r="C387" s="76"/>
      <c r="D387" s="76"/>
    </row>
    <row r="388" ht="14.25" customHeight="1">
      <c r="A388" s="76"/>
      <c r="B388" s="77"/>
      <c r="C388" s="76"/>
      <c r="D388" s="76"/>
    </row>
    <row r="389" ht="14.25" customHeight="1">
      <c r="A389" s="76"/>
      <c r="B389" s="77"/>
      <c r="C389" s="76"/>
      <c r="D389" s="76"/>
    </row>
    <row r="390" ht="14.25" customHeight="1">
      <c r="A390" s="76"/>
      <c r="B390" s="77"/>
      <c r="C390" s="76"/>
      <c r="D390" s="76"/>
    </row>
    <row r="391" ht="14.25" customHeight="1">
      <c r="A391" s="76"/>
      <c r="B391" s="77"/>
      <c r="C391" s="76"/>
      <c r="D391" s="76"/>
    </row>
    <row r="392" ht="14.25" customHeight="1">
      <c r="A392" s="76"/>
      <c r="B392" s="77"/>
      <c r="C392" s="76"/>
      <c r="D392" s="76"/>
    </row>
    <row r="393" ht="14.25" customHeight="1">
      <c r="A393" s="76"/>
      <c r="B393" s="77"/>
      <c r="C393" s="76"/>
      <c r="D393" s="76"/>
    </row>
    <row r="394" ht="14.25" customHeight="1">
      <c r="A394" s="76"/>
      <c r="B394" s="77"/>
      <c r="C394" s="76"/>
      <c r="D394" s="76"/>
    </row>
    <row r="395" ht="14.25" customHeight="1">
      <c r="A395" s="76"/>
      <c r="B395" s="77"/>
      <c r="C395" s="76"/>
      <c r="D395" s="76"/>
    </row>
    <row r="396" ht="14.25" customHeight="1">
      <c r="A396" s="76"/>
      <c r="B396" s="77"/>
      <c r="C396" s="76"/>
      <c r="D396" s="76"/>
    </row>
    <row r="397" ht="14.25" customHeight="1">
      <c r="A397" s="76"/>
      <c r="B397" s="77"/>
      <c r="C397" s="76"/>
      <c r="D397" s="76"/>
    </row>
    <row r="398" ht="14.25" customHeight="1">
      <c r="A398" s="76"/>
      <c r="B398" s="77"/>
      <c r="C398" s="76"/>
      <c r="D398" s="76"/>
    </row>
    <row r="399" ht="14.25" customHeight="1">
      <c r="A399" s="76"/>
      <c r="B399" s="77"/>
      <c r="C399" s="76"/>
      <c r="D399" s="76"/>
    </row>
    <row r="400" ht="14.25" customHeight="1">
      <c r="A400" s="76"/>
      <c r="B400" s="77"/>
      <c r="C400" s="76"/>
      <c r="D400" s="76"/>
    </row>
    <row r="401" ht="14.25" customHeight="1">
      <c r="A401" s="76"/>
      <c r="B401" s="77"/>
      <c r="C401" s="76"/>
      <c r="D401" s="76"/>
    </row>
    <row r="402" ht="14.25" customHeight="1">
      <c r="A402" s="76"/>
      <c r="B402" s="77"/>
      <c r="C402" s="76"/>
      <c r="D402" s="76"/>
    </row>
    <row r="403" ht="14.25" customHeight="1">
      <c r="A403" s="76"/>
      <c r="B403" s="77"/>
      <c r="C403" s="76"/>
      <c r="D403" s="76"/>
    </row>
    <row r="404" ht="14.25" customHeight="1">
      <c r="A404" s="76"/>
      <c r="B404" s="77"/>
      <c r="C404" s="76"/>
      <c r="D404" s="76"/>
    </row>
    <row r="405" ht="14.25" customHeight="1">
      <c r="A405" s="76"/>
      <c r="B405" s="77"/>
      <c r="C405" s="76"/>
      <c r="D405" s="76"/>
    </row>
    <row r="406" ht="14.25" customHeight="1">
      <c r="A406" s="76"/>
      <c r="B406" s="77"/>
      <c r="C406" s="76"/>
      <c r="D406" s="76"/>
    </row>
    <row r="407" ht="14.25" customHeight="1">
      <c r="A407" s="76"/>
      <c r="B407" s="77"/>
      <c r="C407" s="76"/>
      <c r="D407" s="76"/>
    </row>
    <row r="408" ht="14.25" customHeight="1">
      <c r="A408" s="76"/>
      <c r="B408" s="77"/>
      <c r="C408" s="76"/>
      <c r="D408" s="76"/>
    </row>
    <row r="409" ht="14.25" customHeight="1">
      <c r="A409" s="76"/>
      <c r="B409" s="77"/>
      <c r="C409" s="76"/>
      <c r="D409" s="76"/>
    </row>
    <row r="410" ht="14.25" customHeight="1">
      <c r="A410" s="76"/>
      <c r="B410" s="77"/>
      <c r="C410" s="76"/>
      <c r="D410" s="76"/>
    </row>
    <row r="411" ht="14.25" customHeight="1">
      <c r="A411" s="76"/>
      <c r="B411" s="77"/>
      <c r="C411" s="76"/>
      <c r="D411" s="76"/>
    </row>
    <row r="412" ht="14.25" customHeight="1">
      <c r="A412" s="76"/>
      <c r="B412" s="77"/>
      <c r="C412" s="76"/>
      <c r="D412" s="76"/>
    </row>
    <row r="413" ht="14.25" customHeight="1">
      <c r="A413" s="76"/>
      <c r="B413" s="77"/>
      <c r="C413" s="76"/>
      <c r="D413" s="76"/>
    </row>
    <row r="414" ht="14.25" customHeight="1">
      <c r="A414" s="76"/>
      <c r="B414" s="77"/>
      <c r="C414" s="76"/>
      <c r="D414" s="76"/>
    </row>
    <row r="415" ht="14.25" customHeight="1">
      <c r="A415" s="76"/>
      <c r="B415" s="77"/>
      <c r="C415" s="76"/>
      <c r="D415" s="76"/>
    </row>
    <row r="416" ht="14.25" customHeight="1">
      <c r="A416" s="76"/>
      <c r="B416" s="77"/>
      <c r="C416" s="76"/>
      <c r="D416" s="76"/>
    </row>
    <row r="417" ht="14.25" customHeight="1">
      <c r="A417" s="76"/>
      <c r="B417" s="77"/>
      <c r="C417" s="76"/>
      <c r="D417" s="76"/>
    </row>
    <row r="418" ht="14.25" customHeight="1">
      <c r="A418" s="76"/>
      <c r="B418" s="77"/>
      <c r="C418" s="76"/>
      <c r="D418" s="76"/>
    </row>
    <row r="419" ht="14.25" customHeight="1">
      <c r="A419" s="76"/>
      <c r="B419" s="77"/>
      <c r="C419" s="76"/>
      <c r="D419" s="76"/>
    </row>
    <row r="420" ht="14.25" customHeight="1">
      <c r="A420" s="76"/>
      <c r="B420" s="77"/>
      <c r="C420" s="76"/>
      <c r="D420" s="76"/>
    </row>
    <row r="421" ht="14.25" customHeight="1">
      <c r="A421" s="76"/>
      <c r="B421" s="77"/>
      <c r="C421" s="76"/>
      <c r="D421" s="76"/>
    </row>
    <row r="422" ht="14.25" customHeight="1">
      <c r="A422" s="76"/>
      <c r="B422" s="77"/>
      <c r="C422" s="76"/>
      <c r="D422" s="76"/>
    </row>
    <row r="423" ht="14.25" customHeight="1">
      <c r="A423" s="76"/>
      <c r="B423" s="77"/>
      <c r="C423" s="76"/>
      <c r="D423" s="76"/>
    </row>
    <row r="424" ht="14.25" customHeight="1">
      <c r="A424" s="76"/>
      <c r="B424" s="77"/>
      <c r="C424" s="76"/>
      <c r="D424" s="76"/>
    </row>
    <row r="425" ht="14.25" customHeight="1">
      <c r="A425" s="76"/>
      <c r="B425" s="77"/>
      <c r="C425" s="76"/>
      <c r="D425" s="76"/>
    </row>
    <row r="426" ht="14.25" customHeight="1">
      <c r="A426" s="76"/>
      <c r="B426" s="77"/>
      <c r="C426" s="76"/>
      <c r="D426" s="76"/>
    </row>
    <row r="427" ht="14.25" customHeight="1">
      <c r="A427" s="76"/>
      <c r="B427" s="77"/>
      <c r="C427" s="76"/>
      <c r="D427" s="76"/>
    </row>
    <row r="428" ht="14.25" customHeight="1">
      <c r="A428" s="76"/>
      <c r="B428" s="77"/>
      <c r="C428" s="76"/>
      <c r="D428" s="76"/>
    </row>
    <row r="429" ht="14.25" customHeight="1">
      <c r="A429" s="76"/>
      <c r="B429" s="77"/>
      <c r="C429" s="76"/>
      <c r="D429" s="76"/>
    </row>
    <row r="430" ht="14.25" customHeight="1">
      <c r="A430" s="76"/>
      <c r="B430" s="77"/>
      <c r="C430" s="76"/>
      <c r="D430" s="76"/>
    </row>
    <row r="431" ht="14.25" customHeight="1">
      <c r="A431" s="76"/>
      <c r="B431" s="77"/>
      <c r="C431" s="76"/>
      <c r="D431" s="76"/>
    </row>
    <row r="432" ht="14.25" customHeight="1">
      <c r="A432" s="76"/>
      <c r="B432" s="77"/>
      <c r="C432" s="76"/>
      <c r="D432" s="76"/>
    </row>
    <row r="433" ht="14.25" customHeight="1">
      <c r="A433" s="76"/>
      <c r="B433" s="77"/>
      <c r="C433" s="76"/>
      <c r="D433" s="76"/>
    </row>
    <row r="434" ht="14.25" customHeight="1">
      <c r="A434" s="76"/>
      <c r="B434" s="77"/>
      <c r="C434" s="76"/>
      <c r="D434" s="76"/>
    </row>
    <row r="435" ht="14.25" customHeight="1">
      <c r="A435" s="76"/>
      <c r="B435" s="77"/>
      <c r="C435" s="76"/>
      <c r="D435" s="76"/>
    </row>
    <row r="436" ht="14.25" customHeight="1">
      <c r="A436" s="76"/>
      <c r="B436" s="77"/>
      <c r="C436" s="76"/>
      <c r="D436" s="76"/>
    </row>
    <row r="437" ht="14.25" customHeight="1">
      <c r="A437" s="76"/>
      <c r="B437" s="77"/>
      <c r="C437" s="76"/>
      <c r="D437" s="76"/>
    </row>
    <row r="438" ht="14.25" customHeight="1">
      <c r="A438" s="76"/>
      <c r="B438" s="77"/>
      <c r="C438" s="76"/>
      <c r="D438" s="76"/>
    </row>
    <row r="439" ht="14.25" customHeight="1">
      <c r="A439" s="76"/>
      <c r="B439" s="77"/>
      <c r="C439" s="76"/>
      <c r="D439" s="76"/>
    </row>
    <row r="440" ht="14.25" customHeight="1">
      <c r="A440" s="76"/>
      <c r="B440" s="77"/>
      <c r="C440" s="76"/>
      <c r="D440" s="76"/>
    </row>
    <row r="441" ht="14.25" customHeight="1">
      <c r="A441" s="76"/>
      <c r="B441" s="77"/>
      <c r="C441" s="76"/>
      <c r="D441" s="76"/>
    </row>
    <row r="442" ht="14.25" customHeight="1">
      <c r="A442" s="76"/>
      <c r="B442" s="77"/>
      <c r="C442" s="76"/>
      <c r="D442" s="76"/>
    </row>
    <row r="443" ht="14.25" customHeight="1">
      <c r="A443" s="76"/>
      <c r="B443" s="77"/>
      <c r="C443" s="76"/>
      <c r="D443" s="76"/>
    </row>
    <row r="444" ht="14.25" customHeight="1">
      <c r="A444" s="76"/>
      <c r="B444" s="77"/>
      <c r="C444" s="76"/>
      <c r="D444" s="76"/>
    </row>
    <row r="445" ht="14.25" customHeight="1">
      <c r="A445" s="76"/>
      <c r="B445" s="77"/>
      <c r="C445" s="76"/>
      <c r="D445" s="76"/>
    </row>
    <row r="446" ht="14.25" customHeight="1">
      <c r="A446" s="76"/>
      <c r="B446" s="77"/>
      <c r="C446" s="76"/>
      <c r="D446" s="76"/>
    </row>
    <row r="447" ht="14.25" customHeight="1">
      <c r="A447" s="76"/>
      <c r="B447" s="77"/>
      <c r="C447" s="76"/>
      <c r="D447" s="76"/>
    </row>
    <row r="448" ht="14.25" customHeight="1">
      <c r="A448" s="76"/>
      <c r="B448" s="77"/>
      <c r="C448" s="76"/>
      <c r="D448" s="76"/>
    </row>
    <row r="449" ht="14.25" customHeight="1">
      <c r="A449" s="76"/>
      <c r="B449" s="77"/>
      <c r="C449" s="76"/>
      <c r="D449" s="76"/>
    </row>
    <row r="450" ht="14.25" customHeight="1">
      <c r="A450" s="76"/>
      <c r="B450" s="77"/>
      <c r="C450" s="76"/>
      <c r="D450" s="76"/>
    </row>
    <row r="451" ht="14.25" customHeight="1">
      <c r="A451" s="76"/>
      <c r="B451" s="77"/>
      <c r="C451" s="76"/>
      <c r="D451" s="76"/>
    </row>
    <row r="452" ht="14.25" customHeight="1">
      <c r="A452" s="76"/>
      <c r="B452" s="77"/>
      <c r="C452" s="76"/>
      <c r="D452" s="76"/>
    </row>
    <row r="453" ht="14.25" customHeight="1">
      <c r="A453" s="76"/>
      <c r="B453" s="77"/>
      <c r="C453" s="76"/>
      <c r="D453" s="76"/>
    </row>
    <row r="454" ht="14.25" customHeight="1">
      <c r="A454" s="76"/>
      <c r="B454" s="77"/>
      <c r="C454" s="76"/>
      <c r="D454" s="76"/>
    </row>
    <row r="455" ht="14.25" customHeight="1">
      <c r="A455" s="76"/>
      <c r="B455" s="77"/>
      <c r="C455" s="76"/>
      <c r="D455" s="76"/>
    </row>
    <row r="456" ht="14.25" customHeight="1">
      <c r="A456" s="76"/>
      <c r="B456" s="77"/>
      <c r="C456" s="76"/>
      <c r="D456" s="76"/>
    </row>
    <row r="457" ht="14.25" customHeight="1">
      <c r="A457" s="76"/>
      <c r="B457" s="77"/>
      <c r="C457" s="76"/>
      <c r="D457" s="76"/>
    </row>
    <row r="458" ht="14.25" customHeight="1">
      <c r="A458" s="76"/>
      <c r="B458" s="77"/>
      <c r="C458" s="76"/>
      <c r="D458" s="76"/>
    </row>
    <row r="459" ht="14.25" customHeight="1">
      <c r="A459" s="76"/>
      <c r="B459" s="77"/>
      <c r="C459" s="76"/>
      <c r="D459" s="76"/>
    </row>
    <row r="460" ht="14.25" customHeight="1">
      <c r="A460" s="76"/>
      <c r="B460" s="77"/>
      <c r="C460" s="76"/>
      <c r="D460" s="76"/>
    </row>
    <row r="461" ht="14.25" customHeight="1">
      <c r="A461" s="76"/>
      <c r="B461" s="77"/>
      <c r="C461" s="76"/>
      <c r="D461" s="76"/>
    </row>
    <row r="462" ht="14.25" customHeight="1">
      <c r="A462" s="76"/>
      <c r="B462" s="77"/>
      <c r="C462" s="76"/>
      <c r="D462" s="76"/>
    </row>
    <row r="463" ht="14.25" customHeight="1">
      <c r="A463" s="76"/>
      <c r="B463" s="77"/>
      <c r="C463" s="76"/>
      <c r="D463" s="76"/>
    </row>
    <row r="464" ht="14.25" customHeight="1">
      <c r="A464" s="76"/>
      <c r="B464" s="77"/>
      <c r="C464" s="76"/>
      <c r="D464" s="76"/>
    </row>
    <row r="465" ht="14.25" customHeight="1">
      <c r="A465" s="76"/>
      <c r="B465" s="77"/>
      <c r="C465" s="76"/>
      <c r="D465" s="76"/>
    </row>
    <row r="466" ht="14.25" customHeight="1">
      <c r="A466" s="76"/>
      <c r="B466" s="77"/>
      <c r="C466" s="76"/>
      <c r="D466" s="76"/>
    </row>
    <row r="467" ht="14.25" customHeight="1">
      <c r="A467" s="76"/>
      <c r="B467" s="77"/>
      <c r="C467" s="76"/>
      <c r="D467" s="76"/>
    </row>
    <row r="468" ht="14.25" customHeight="1">
      <c r="A468" s="76"/>
      <c r="B468" s="77"/>
      <c r="C468" s="76"/>
      <c r="D468" s="76"/>
    </row>
    <row r="469" ht="14.25" customHeight="1">
      <c r="A469" s="76"/>
      <c r="B469" s="77"/>
      <c r="C469" s="76"/>
      <c r="D469" s="76"/>
    </row>
    <row r="470" ht="14.25" customHeight="1">
      <c r="A470" s="76"/>
      <c r="B470" s="77"/>
      <c r="C470" s="76"/>
      <c r="D470" s="76"/>
    </row>
    <row r="471" ht="14.25" customHeight="1">
      <c r="A471" s="76"/>
      <c r="B471" s="77"/>
      <c r="C471" s="76"/>
      <c r="D471" s="76"/>
    </row>
    <row r="472" ht="14.25" customHeight="1">
      <c r="A472" s="76"/>
      <c r="B472" s="77"/>
      <c r="C472" s="76"/>
      <c r="D472" s="76"/>
    </row>
    <row r="473" ht="14.25" customHeight="1">
      <c r="A473" s="76"/>
      <c r="B473" s="77"/>
      <c r="C473" s="76"/>
      <c r="D473" s="76"/>
    </row>
    <row r="474" ht="14.25" customHeight="1">
      <c r="A474" s="76"/>
      <c r="B474" s="77"/>
      <c r="C474" s="76"/>
      <c r="D474" s="76"/>
    </row>
    <row r="475" ht="14.25" customHeight="1">
      <c r="A475" s="76"/>
      <c r="B475" s="77"/>
      <c r="C475" s="76"/>
      <c r="D475" s="76"/>
    </row>
    <row r="476" ht="14.25" customHeight="1">
      <c r="A476" s="76"/>
      <c r="B476" s="77"/>
      <c r="C476" s="76"/>
      <c r="D476" s="76"/>
    </row>
    <row r="477" ht="14.25" customHeight="1">
      <c r="A477" s="76"/>
      <c r="B477" s="77"/>
      <c r="C477" s="76"/>
      <c r="D477" s="76"/>
    </row>
    <row r="478" ht="14.25" customHeight="1">
      <c r="A478" s="76"/>
      <c r="B478" s="77"/>
      <c r="C478" s="76"/>
      <c r="D478" s="76"/>
    </row>
    <row r="479" ht="14.25" customHeight="1">
      <c r="A479" s="76"/>
      <c r="B479" s="77"/>
      <c r="C479" s="76"/>
      <c r="D479" s="76"/>
    </row>
    <row r="480" ht="14.25" customHeight="1">
      <c r="A480" s="76"/>
      <c r="B480" s="77"/>
      <c r="C480" s="76"/>
      <c r="D480" s="76"/>
    </row>
    <row r="481" ht="14.25" customHeight="1">
      <c r="A481" s="76"/>
      <c r="B481" s="77"/>
      <c r="C481" s="76"/>
      <c r="D481" s="76"/>
    </row>
    <row r="482" ht="14.25" customHeight="1">
      <c r="A482" s="76"/>
      <c r="B482" s="77"/>
      <c r="C482" s="76"/>
      <c r="D482" s="76"/>
    </row>
    <row r="483" ht="14.25" customHeight="1">
      <c r="A483" s="76"/>
      <c r="B483" s="77"/>
      <c r="C483" s="76"/>
      <c r="D483" s="76"/>
    </row>
    <row r="484" ht="14.25" customHeight="1">
      <c r="A484" s="76"/>
      <c r="B484" s="77"/>
      <c r="C484" s="76"/>
      <c r="D484" s="76"/>
    </row>
    <row r="485" ht="14.25" customHeight="1">
      <c r="A485" s="76"/>
      <c r="B485" s="77"/>
      <c r="C485" s="76"/>
      <c r="D485" s="76"/>
    </row>
    <row r="486" ht="14.25" customHeight="1">
      <c r="A486" s="76"/>
      <c r="B486" s="77"/>
      <c r="C486" s="76"/>
      <c r="D486" s="76"/>
    </row>
    <row r="487" ht="14.25" customHeight="1">
      <c r="A487" s="76"/>
      <c r="B487" s="77"/>
      <c r="C487" s="76"/>
      <c r="D487" s="76"/>
    </row>
    <row r="488" ht="14.25" customHeight="1">
      <c r="A488" s="76"/>
      <c r="B488" s="77"/>
      <c r="C488" s="76"/>
      <c r="D488" s="76"/>
    </row>
    <row r="489" ht="14.25" customHeight="1">
      <c r="A489" s="76"/>
      <c r="B489" s="77"/>
      <c r="C489" s="76"/>
      <c r="D489" s="76"/>
    </row>
    <row r="490" ht="14.25" customHeight="1">
      <c r="A490" s="76"/>
      <c r="B490" s="77"/>
      <c r="C490" s="76"/>
      <c r="D490" s="76"/>
    </row>
    <row r="491" ht="14.25" customHeight="1">
      <c r="A491" s="76"/>
      <c r="B491" s="77"/>
      <c r="C491" s="76"/>
      <c r="D491" s="76"/>
    </row>
    <row r="492" ht="14.25" customHeight="1">
      <c r="A492" s="76"/>
      <c r="B492" s="77"/>
      <c r="C492" s="76"/>
      <c r="D492" s="76"/>
    </row>
    <row r="493" ht="14.25" customHeight="1">
      <c r="A493" s="76"/>
      <c r="B493" s="77"/>
      <c r="C493" s="76"/>
      <c r="D493" s="76"/>
    </row>
    <row r="494" ht="14.25" customHeight="1">
      <c r="A494" s="76"/>
      <c r="B494" s="77"/>
      <c r="C494" s="76"/>
      <c r="D494" s="76"/>
    </row>
    <row r="495" ht="14.25" customHeight="1">
      <c r="A495" s="76"/>
      <c r="B495" s="77"/>
      <c r="C495" s="76"/>
      <c r="D495" s="76"/>
    </row>
    <row r="496" ht="14.25" customHeight="1">
      <c r="A496" s="76"/>
      <c r="B496" s="77"/>
      <c r="C496" s="76"/>
      <c r="D496" s="76"/>
    </row>
    <row r="497" ht="14.25" customHeight="1">
      <c r="A497" s="76"/>
      <c r="B497" s="77"/>
      <c r="C497" s="76"/>
      <c r="D497" s="76"/>
    </row>
    <row r="498" ht="14.25" customHeight="1">
      <c r="A498" s="76"/>
      <c r="B498" s="77"/>
      <c r="C498" s="76"/>
      <c r="D498" s="76"/>
    </row>
    <row r="499" ht="14.25" customHeight="1">
      <c r="A499" s="76"/>
      <c r="B499" s="77"/>
      <c r="C499" s="76"/>
      <c r="D499" s="76"/>
    </row>
    <row r="500" ht="14.25" customHeight="1">
      <c r="A500" s="76"/>
      <c r="B500" s="77"/>
      <c r="C500" s="76"/>
      <c r="D500" s="76"/>
    </row>
    <row r="501" ht="14.25" customHeight="1">
      <c r="A501" s="76"/>
      <c r="B501" s="77"/>
      <c r="C501" s="76"/>
      <c r="D501" s="76"/>
    </row>
    <row r="502" ht="14.25" customHeight="1">
      <c r="A502" s="76"/>
      <c r="B502" s="77"/>
      <c r="C502" s="76"/>
      <c r="D502" s="76"/>
    </row>
    <row r="503" ht="14.25" customHeight="1">
      <c r="A503" s="76"/>
      <c r="B503" s="77"/>
      <c r="C503" s="76"/>
      <c r="D503" s="76"/>
    </row>
    <row r="504" ht="14.25" customHeight="1">
      <c r="A504" s="76"/>
      <c r="B504" s="77"/>
      <c r="C504" s="76"/>
      <c r="D504" s="76"/>
    </row>
    <row r="505" ht="14.25" customHeight="1">
      <c r="A505" s="76"/>
      <c r="B505" s="77"/>
      <c r="C505" s="76"/>
      <c r="D505" s="76"/>
    </row>
    <row r="506" ht="14.25" customHeight="1">
      <c r="A506" s="76"/>
      <c r="B506" s="77"/>
      <c r="C506" s="76"/>
      <c r="D506" s="76"/>
    </row>
    <row r="507" ht="14.25" customHeight="1">
      <c r="A507" s="76"/>
      <c r="B507" s="77"/>
      <c r="C507" s="76"/>
      <c r="D507" s="76"/>
    </row>
    <row r="508" ht="14.25" customHeight="1">
      <c r="A508" s="76"/>
      <c r="B508" s="77"/>
      <c r="C508" s="76"/>
      <c r="D508" s="76"/>
    </row>
    <row r="509" ht="14.25" customHeight="1">
      <c r="A509" s="76"/>
      <c r="B509" s="77"/>
      <c r="C509" s="76"/>
      <c r="D509" s="76"/>
    </row>
    <row r="510" ht="14.25" customHeight="1">
      <c r="A510" s="76"/>
      <c r="B510" s="77"/>
      <c r="C510" s="76"/>
      <c r="D510" s="76"/>
    </row>
    <row r="511" ht="14.25" customHeight="1">
      <c r="A511" s="76"/>
      <c r="B511" s="77"/>
      <c r="C511" s="76"/>
      <c r="D511" s="76"/>
    </row>
    <row r="512" ht="14.25" customHeight="1">
      <c r="A512" s="76"/>
      <c r="B512" s="77"/>
      <c r="C512" s="76"/>
      <c r="D512" s="76"/>
    </row>
    <row r="513" ht="14.25" customHeight="1">
      <c r="A513" s="76"/>
      <c r="B513" s="77"/>
      <c r="C513" s="76"/>
      <c r="D513" s="76"/>
    </row>
    <row r="514" ht="14.25" customHeight="1">
      <c r="A514" s="76"/>
      <c r="B514" s="77"/>
      <c r="C514" s="76"/>
      <c r="D514" s="76"/>
    </row>
    <row r="515" ht="14.25" customHeight="1">
      <c r="A515" s="76"/>
      <c r="B515" s="77"/>
      <c r="C515" s="76"/>
      <c r="D515" s="76"/>
    </row>
    <row r="516" ht="14.25" customHeight="1">
      <c r="A516" s="76"/>
      <c r="B516" s="77"/>
      <c r="C516" s="76"/>
      <c r="D516" s="76"/>
    </row>
    <row r="517" ht="14.25" customHeight="1">
      <c r="A517" s="76"/>
      <c r="B517" s="77"/>
      <c r="C517" s="76"/>
      <c r="D517" s="76"/>
    </row>
    <row r="518" ht="14.25" customHeight="1">
      <c r="A518" s="76"/>
      <c r="B518" s="77"/>
      <c r="C518" s="76"/>
      <c r="D518" s="76"/>
    </row>
    <row r="519" ht="14.25" customHeight="1">
      <c r="A519" s="76"/>
      <c r="B519" s="77"/>
      <c r="C519" s="76"/>
      <c r="D519" s="76"/>
    </row>
    <row r="520" ht="14.25" customHeight="1">
      <c r="A520" s="76"/>
      <c r="B520" s="77"/>
      <c r="C520" s="76"/>
      <c r="D520" s="76"/>
    </row>
    <row r="521" ht="14.25" customHeight="1">
      <c r="A521" s="76"/>
      <c r="B521" s="77"/>
      <c r="C521" s="76"/>
      <c r="D521" s="76"/>
    </row>
    <row r="522" ht="14.25" customHeight="1">
      <c r="A522" s="76"/>
      <c r="B522" s="77"/>
      <c r="C522" s="76"/>
      <c r="D522" s="76"/>
    </row>
    <row r="523" ht="14.25" customHeight="1">
      <c r="A523" s="76"/>
      <c r="B523" s="77"/>
      <c r="C523" s="76"/>
      <c r="D523" s="76"/>
    </row>
    <row r="524" ht="14.25" customHeight="1">
      <c r="A524" s="76"/>
      <c r="B524" s="77"/>
      <c r="C524" s="76"/>
      <c r="D524" s="76"/>
    </row>
    <row r="525" ht="14.25" customHeight="1">
      <c r="A525" s="76"/>
      <c r="B525" s="77"/>
      <c r="C525" s="76"/>
      <c r="D525" s="76"/>
    </row>
    <row r="526" ht="14.25" customHeight="1">
      <c r="A526" s="76"/>
      <c r="B526" s="77"/>
      <c r="C526" s="76"/>
      <c r="D526" s="76"/>
    </row>
    <row r="527" ht="14.25" customHeight="1">
      <c r="A527" s="76"/>
      <c r="B527" s="77"/>
      <c r="C527" s="76"/>
      <c r="D527" s="76"/>
    </row>
    <row r="528" ht="14.25" customHeight="1">
      <c r="A528" s="76"/>
      <c r="B528" s="77"/>
      <c r="C528" s="76"/>
      <c r="D528" s="76"/>
    </row>
    <row r="529" ht="14.25" customHeight="1">
      <c r="A529" s="76"/>
      <c r="B529" s="77"/>
      <c r="C529" s="76"/>
      <c r="D529" s="76"/>
    </row>
    <row r="530" ht="14.25" customHeight="1">
      <c r="A530" s="76"/>
      <c r="B530" s="77"/>
      <c r="C530" s="76"/>
      <c r="D530" s="76"/>
    </row>
    <row r="531" ht="14.25" customHeight="1">
      <c r="A531" s="76"/>
      <c r="B531" s="77"/>
      <c r="C531" s="76"/>
      <c r="D531" s="76"/>
    </row>
    <row r="532" ht="14.25" customHeight="1">
      <c r="A532" s="76"/>
      <c r="B532" s="77"/>
      <c r="C532" s="76"/>
      <c r="D532" s="76"/>
    </row>
    <row r="533" ht="14.25" customHeight="1">
      <c r="A533" s="76"/>
      <c r="B533" s="77"/>
      <c r="C533" s="76"/>
      <c r="D533" s="76"/>
    </row>
    <row r="534" ht="14.25" customHeight="1">
      <c r="A534" s="76"/>
      <c r="B534" s="77"/>
      <c r="C534" s="76"/>
      <c r="D534" s="76"/>
    </row>
    <row r="535" ht="14.25" customHeight="1">
      <c r="A535" s="76"/>
      <c r="B535" s="77"/>
      <c r="C535" s="76"/>
      <c r="D535" s="76"/>
    </row>
    <row r="536" ht="14.25" customHeight="1">
      <c r="A536" s="76"/>
      <c r="B536" s="77"/>
      <c r="C536" s="76"/>
      <c r="D536" s="76"/>
    </row>
    <row r="537" ht="14.25" customHeight="1">
      <c r="A537" s="76"/>
      <c r="B537" s="77"/>
      <c r="C537" s="76"/>
      <c r="D537" s="76"/>
    </row>
    <row r="538" ht="14.25" customHeight="1">
      <c r="A538" s="76"/>
      <c r="B538" s="77"/>
      <c r="C538" s="76"/>
      <c r="D538" s="76"/>
    </row>
    <row r="539" ht="14.25" customHeight="1">
      <c r="A539" s="76"/>
      <c r="B539" s="77"/>
      <c r="C539" s="76"/>
      <c r="D539" s="76"/>
    </row>
    <row r="540" ht="14.25" customHeight="1">
      <c r="A540" s="76"/>
      <c r="B540" s="77"/>
      <c r="C540" s="76"/>
      <c r="D540" s="76"/>
    </row>
    <row r="541" ht="14.25" customHeight="1">
      <c r="A541" s="76"/>
      <c r="B541" s="77"/>
      <c r="C541" s="76"/>
      <c r="D541" s="76"/>
    </row>
    <row r="542" ht="14.25" customHeight="1">
      <c r="A542" s="76"/>
      <c r="B542" s="77"/>
      <c r="C542" s="76"/>
      <c r="D542" s="76"/>
    </row>
    <row r="543" ht="14.25" customHeight="1">
      <c r="A543" s="76"/>
      <c r="B543" s="77"/>
      <c r="C543" s="76"/>
      <c r="D543" s="76"/>
    </row>
    <row r="544" ht="14.25" customHeight="1">
      <c r="A544" s="76"/>
      <c r="B544" s="77"/>
      <c r="C544" s="76"/>
      <c r="D544" s="76"/>
    </row>
    <row r="545" ht="14.25" customHeight="1">
      <c r="A545" s="76"/>
      <c r="B545" s="77"/>
      <c r="C545" s="76"/>
      <c r="D545" s="76"/>
    </row>
    <row r="546" ht="14.25" customHeight="1">
      <c r="A546" s="76"/>
      <c r="B546" s="77"/>
      <c r="C546" s="76"/>
      <c r="D546" s="76"/>
    </row>
    <row r="547" ht="14.25" customHeight="1">
      <c r="A547" s="76"/>
      <c r="B547" s="77"/>
      <c r="C547" s="76"/>
      <c r="D547" s="76"/>
    </row>
    <row r="548" ht="14.25" customHeight="1">
      <c r="A548" s="76"/>
      <c r="B548" s="77"/>
      <c r="C548" s="76"/>
      <c r="D548" s="76"/>
    </row>
    <row r="549" ht="14.25" customHeight="1">
      <c r="A549" s="76"/>
      <c r="B549" s="77"/>
      <c r="C549" s="76"/>
      <c r="D549" s="76"/>
    </row>
    <row r="550" ht="14.25" customHeight="1">
      <c r="A550" s="76"/>
      <c r="B550" s="77"/>
      <c r="C550" s="76"/>
      <c r="D550" s="76"/>
    </row>
    <row r="551" ht="14.25" customHeight="1">
      <c r="A551" s="76"/>
      <c r="B551" s="77"/>
      <c r="C551" s="76"/>
      <c r="D551" s="76"/>
    </row>
    <row r="552" ht="14.25" customHeight="1">
      <c r="A552" s="76"/>
      <c r="B552" s="77"/>
      <c r="C552" s="76"/>
      <c r="D552" s="76"/>
    </row>
    <row r="553" ht="14.25" customHeight="1">
      <c r="A553" s="76"/>
      <c r="B553" s="77"/>
      <c r="C553" s="76"/>
      <c r="D553" s="76"/>
    </row>
    <row r="554" ht="14.25" customHeight="1">
      <c r="A554" s="76"/>
      <c r="B554" s="77"/>
      <c r="C554" s="76"/>
      <c r="D554" s="76"/>
    </row>
    <row r="555" ht="14.25" customHeight="1">
      <c r="A555" s="76"/>
      <c r="B555" s="77"/>
      <c r="C555" s="76"/>
      <c r="D555" s="76"/>
    </row>
    <row r="556" ht="14.25" customHeight="1">
      <c r="A556" s="76"/>
      <c r="B556" s="77"/>
      <c r="C556" s="76"/>
      <c r="D556" s="76"/>
    </row>
    <row r="557" ht="14.25" customHeight="1">
      <c r="A557" s="76"/>
      <c r="B557" s="77"/>
      <c r="C557" s="76"/>
      <c r="D557" s="76"/>
    </row>
    <row r="558" ht="14.25" customHeight="1">
      <c r="A558" s="76"/>
      <c r="B558" s="77"/>
      <c r="C558" s="76"/>
      <c r="D558" s="76"/>
    </row>
    <row r="559" ht="14.25" customHeight="1">
      <c r="A559" s="76"/>
      <c r="B559" s="77"/>
      <c r="C559" s="76"/>
      <c r="D559" s="76"/>
    </row>
    <row r="560" ht="14.25" customHeight="1">
      <c r="A560" s="76"/>
      <c r="B560" s="77"/>
      <c r="C560" s="76"/>
      <c r="D560" s="76"/>
    </row>
    <row r="561" ht="14.25" customHeight="1">
      <c r="A561" s="76"/>
      <c r="B561" s="77"/>
      <c r="C561" s="76"/>
      <c r="D561" s="76"/>
    </row>
    <row r="562" ht="14.25" customHeight="1">
      <c r="A562" s="76"/>
      <c r="B562" s="77"/>
      <c r="C562" s="76"/>
      <c r="D562" s="76"/>
    </row>
    <row r="563" ht="14.25" customHeight="1">
      <c r="A563" s="76"/>
      <c r="B563" s="77"/>
      <c r="C563" s="76"/>
      <c r="D563" s="76"/>
    </row>
    <row r="564" ht="14.25" customHeight="1">
      <c r="A564" s="76"/>
      <c r="B564" s="77"/>
      <c r="C564" s="76"/>
      <c r="D564" s="76"/>
    </row>
    <row r="565" ht="14.25" customHeight="1">
      <c r="A565" s="76"/>
      <c r="B565" s="77"/>
      <c r="C565" s="76"/>
      <c r="D565" s="76"/>
    </row>
    <row r="566" ht="14.25" customHeight="1">
      <c r="A566" s="76"/>
      <c r="B566" s="77"/>
      <c r="C566" s="76"/>
      <c r="D566" s="76"/>
    </row>
    <row r="567" ht="14.25" customHeight="1">
      <c r="A567" s="76"/>
      <c r="B567" s="77"/>
      <c r="C567" s="76"/>
      <c r="D567" s="76"/>
    </row>
    <row r="568" ht="14.25" customHeight="1">
      <c r="A568" s="76"/>
      <c r="B568" s="77"/>
      <c r="C568" s="76"/>
      <c r="D568" s="76"/>
    </row>
    <row r="569" ht="14.25" customHeight="1">
      <c r="A569" s="76"/>
      <c r="B569" s="77"/>
      <c r="C569" s="76"/>
      <c r="D569" s="76"/>
    </row>
    <row r="570" ht="14.25" customHeight="1">
      <c r="A570" s="76"/>
      <c r="B570" s="77"/>
      <c r="C570" s="76"/>
      <c r="D570" s="76"/>
    </row>
    <row r="571" ht="14.25" customHeight="1">
      <c r="A571" s="76"/>
      <c r="B571" s="77"/>
      <c r="C571" s="76"/>
      <c r="D571" s="76"/>
    </row>
    <row r="572" ht="14.25" customHeight="1">
      <c r="A572" s="76"/>
      <c r="B572" s="77"/>
      <c r="C572" s="76"/>
      <c r="D572" s="76"/>
    </row>
    <row r="573" ht="14.25" customHeight="1">
      <c r="A573" s="76"/>
      <c r="B573" s="77"/>
      <c r="C573" s="76"/>
      <c r="D573" s="76"/>
    </row>
    <row r="574" ht="14.25" customHeight="1">
      <c r="A574" s="76"/>
      <c r="B574" s="77"/>
      <c r="C574" s="76"/>
      <c r="D574" s="76"/>
    </row>
    <row r="575" ht="14.25" customHeight="1">
      <c r="A575" s="76"/>
      <c r="B575" s="77"/>
      <c r="C575" s="76"/>
      <c r="D575" s="76"/>
    </row>
    <row r="576" ht="14.25" customHeight="1">
      <c r="A576" s="76"/>
      <c r="B576" s="77"/>
      <c r="C576" s="76"/>
      <c r="D576" s="76"/>
    </row>
    <row r="577" ht="14.25" customHeight="1">
      <c r="A577" s="76"/>
      <c r="B577" s="77"/>
      <c r="C577" s="76"/>
      <c r="D577" s="76"/>
    </row>
    <row r="578" ht="14.25" customHeight="1">
      <c r="A578" s="76"/>
      <c r="B578" s="77"/>
      <c r="C578" s="76"/>
      <c r="D578" s="76"/>
    </row>
    <row r="579" ht="14.25" customHeight="1">
      <c r="A579" s="76"/>
      <c r="B579" s="77"/>
      <c r="C579" s="76"/>
      <c r="D579" s="76"/>
    </row>
    <row r="580" ht="14.25" customHeight="1">
      <c r="A580" s="76"/>
      <c r="B580" s="77"/>
      <c r="C580" s="76"/>
      <c r="D580" s="76"/>
    </row>
    <row r="581" ht="14.25" customHeight="1">
      <c r="A581" s="76"/>
      <c r="B581" s="77"/>
      <c r="C581" s="76"/>
      <c r="D581" s="76"/>
    </row>
    <row r="582" ht="14.25" customHeight="1">
      <c r="A582" s="76"/>
      <c r="B582" s="77"/>
      <c r="C582" s="76"/>
      <c r="D582" s="76"/>
    </row>
    <row r="583" ht="14.25" customHeight="1">
      <c r="A583" s="76"/>
      <c r="B583" s="77"/>
      <c r="C583" s="76"/>
      <c r="D583" s="76"/>
    </row>
    <row r="584" ht="14.25" customHeight="1">
      <c r="A584" s="76"/>
      <c r="B584" s="77"/>
      <c r="C584" s="76"/>
      <c r="D584" s="76"/>
    </row>
    <row r="585" ht="14.25" customHeight="1">
      <c r="A585" s="76"/>
      <c r="B585" s="77"/>
      <c r="C585" s="76"/>
      <c r="D585" s="76"/>
    </row>
    <row r="586" ht="14.25" customHeight="1">
      <c r="A586" s="76"/>
      <c r="B586" s="77"/>
      <c r="C586" s="76"/>
      <c r="D586" s="76"/>
    </row>
    <row r="587" ht="14.25" customHeight="1">
      <c r="A587" s="76"/>
      <c r="B587" s="77"/>
      <c r="C587" s="76"/>
      <c r="D587" s="76"/>
    </row>
    <row r="588" ht="14.25" customHeight="1">
      <c r="A588" s="76"/>
      <c r="B588" s="77"/>
      <c r="C588" s="76"/>
      <c r="D588" s="76"/>
    </row>
    <row r="589" ht="14.25" customHeight="1">
      <c r="A589" s="76"/>
      <c r="B589" s="77"/>
      <c r="C589" s="76"/>
      <c r="D589" s="76"/>
    </row>
    <row r="590" ht="14.25" customHeight="1">
      <c r="A590" s="76"/>
      <c r="B590" s="77"/>
      <c r="C590" s="76"/>
      <c r="D590" s="76"/>
    </row>
    <row r="591" ht="14.25" customHeight="1">
      <c r="A591" s="76"/>
      <c r="B591" s="77"/>
      <c r="C591" s="76"/>
      <c r="D591" s="76"/>
    </row>
    <row r="592" ht="14.25" customHeight="1">
      <c r="A592" s="76"/>
      <c r="B592" s="77"/>
      <c r="C592" s="76"/>
      <c r="D592" s="76"/>
    </row>
    <row r="593" ht="14.25" customHeight="1">
      <c r="A593" s="76"/>
      <c r="B593" s="77"/>
      <c r="C593" s="76"/>
      <c r="D593" s="76"/>
    </row>
    <row r="594" ht="14.25" customHeight="1">
      <c r="A594" s="76"/>
      <c r="B594" s="77"/>
      <c r="C594" s="76"/>
      <c r="D594" s="76"/>
    </row>
    <row r="595" ht="14.25" customHeight="1">
      <c r="A595" s="76"/>
      <c r="B595" s="77"/>
      <c r="C595" s="76"/>
      <c r="D595" s="76"/>
    </row>
    <row r="596" ht="14.25" customHeight="1">
      <c r="A596" s="76"/>
      <c r="B596" s="77"/>
      <c r="C596" s="76"/>
      <c r="D596" s="76"/>
    </row>
    <row r="597" ht="14.25" customHeight="1">
      <c r="A597" s="76"/>
      <c r="B597" s="77"/>
      <c r="C597" s="76"/>
      <c r="D597" s="76"/>
    </row>
    <row r="598" ht="14.25" customHeight="1">
      <c r="A598" s="76"/>
      <c r="B598" s="77"/>
      <c r="C598" s="76"/>
      <c r="D598" s="76"/>
    </row>
    <row r="599" ht="14.25" customHeight="1">
      <c r="A599" s="76"/>
      <c r="B599" s="77"/>
      <c r="C599" s="76"/>
      <c r="D599" s="76"/>
    </row>
    <row r="600" ht="14.25" customHeight="1">
      <c r="A600" s="76"/>
      <c r="B600" s="77"/>
      <c r="C600" s="76"/>
      <c r="D600" s="76"/>
    </row>
    <row r="601" ht="14.25" customHeight="1">
      <c r="A601" s="76"/>
      <c r="B601" s="77"/>
      <c r="C601" s="76"/>
      <c r="D601" s="76"/>
    </row>
    <row r="602" ht="14.25" customHeight="1">
      <c r="A602" s="76"/>
      <c r="B602" s="77"/>
      <c r="C602" s="76"/>
      <c r="D602" s="76"/>
    </row>
    <row r="603" ht="14.25" customHeight="1">
      <c r="A603" s="76"/>
      <c r="B603" s="77"/>
      <c r="C603" s="76"/>
      <c r="D603" s="76"/>
    </row>
    <row r="604" ht="14.25" customHeight="1">
      <c r="A604" s="76"/>
      <c r="B604" s="77"/>
      <c r="C604" s="76"/>
      <c r="D604" s="76"/>
    </row>
    <row r="605" ht="14.25" customHeight="1">
      <c r="A605" s="76"/>
      <c r="B605" s="77"/>
      <c r="C605" s="76"/>
      <c r="D605" s="76"/>
    </row>
    <row r="606" ht="14.25" customHeight="1">
      <c r="A606" s="76"/>
      <c r="B606" s="77"/>
      <c r="C606" s="76"/>
      <c r="D606" s="76"/>
    </row>
    <row r="607" ht="14.25" customHeight="1">
      <c r="A607" s="76"/>
      <c r="B607" s="77"/>
      <c r="C607" s="76"/>
      <c r="D607" s="76"/>
    </row>
    <row r="608" ht="14.25" customHeight="1">
      <c r="A608" s="76"/>
      <c r="B608" s="77"/>
      <c r="C608" s="76"/>
      <c r="D608" s="76"/>
    </row>
    <row r="609" ht="14.25" customHeight="1">
      <c r="A609" s="76"/>
      <c r="B609" s="77"/>
      <c r="C609" s="76"/>
      <c r="D609" s="76"/>
    </row>
    <row r="610" ht="14.25" customHeight="1">
      <c r="A610" s="76"/>
      <c r="B610" s="77"/>
      <c r="C610" s="76"/>
      <c r="D610" s="76"/>
    </row>
    <row r="611" ht="14.25" customHeight="1">
      <c r="A611" s="76"/>
      <c r="B611" s="77"/>
      <c r="C611" s="76"/>
      <c r="D611" s="76"/>
    </row>
    <row r="612" ht="14.25" customHeight="1">
      <c r="A612" s="76"/>
      <c r="B612" s="77"/>
      <c r="C612" s="76"/>
      <c r="D612" s="76"/>
    </row>
    <row r="613" ht="14.25" customHeight="1">
      <c r="A613" s="76"/>
      <c r="B613" s="77"/>
      <c r="C613" s="76"/>
      <c r="D613" s="76"/>
    </row>
    <row r="614" ht="14.25" customHeight="1">
      <c r="A614" s="76"/>
      <c r="B614" s="77"/>
      <c r="C614" s="76"/>
      <c r="D614" s="76"/>
    </row>
    <row r="615" ht="14.25" customHeight="1">
      <c r="A615" s="76"/>
      <c r="B615" s="77"/>
      <c r="C615" s="76"/>
      <c r="D615" s="76"/>
    </row>
    <row r="616" ht="14.25" customHeight="1">
      <c r="A616" s="76"/>
      <c r="B616" s="77"/>
      <c r="C616" s="76"/>
      <c r="D616" s="76"/>
    </row>
    <row r="617" ht="14.25" customHeight="1">
      <c r="A617" s="76"/>
      <c r="B617" s="77"/>
      <c r="C617" s="76"/>
      <c r="D617" s="76"/>
    </row>
    <row r="618" ht="14.25" customHeight="1">
      <c r="A618" s="76"/>
      <c r="B618" s="77"/>
      <c r="C618" s="76"/>
      <c r="D618" s="76"/>
    </row>
    <row r="619" ht="14.25" customHeight="1">
      <c r="A619" s="76"/>
      <c r="B619" s="77"/>
      <c r="C619" s="76"/>
      <c r="D619" s="76"/>
    </row>
    <row r="620" ht="14.25" customHeight="1">
      <c r="A620" s="76"/>
      <c r="B620" s="77"/>
      <c r="C620" s="76"/>
      <c r="D620" s="76"/>
    </row>
    <row r="621" ht="14.25" customHeight="1">
      <c r="A621" s="76"/>
      <c r="B621" s="77"/>
      <c r="C621" s="76"/>
      <c r="D621" s="76"/>
    </row>
    <row r="622" ht="14.25" customHeight="1">
      <c r="A622" s="76"/>
      <c r="B622" s="77"/>
      <c r="C622" s="76"/>
      <c r="D622" s="76"/>
    </row>
    <row r="623" ht="14.25" customHeight="1">
      <c r="A623" s="76"/>
      <c r="B623" s="77"/>
      <c r="C623" s="76"/>
      <c r="D623" s="76"/>
    </row>
    <row r="624" ht="14.25" customHeight="1">
      <c r="A624" s="76"/>
      <c r="B624" s="77"/>
      <c r="C624" s="76"/>
      <c r="D624" s="76"/>
    </row>
    <row r="625" ht="14.25" customHeight="1">
      <c r="A625" s="76"/>
      <c r="B625" s="77"/>
      <c r="C625" s="76"/>
      <c r="D625" s="76"/>
    </row>
    <row r="626" ht="14.25" customHeight="1">
      <c r="A626" s="76"/>
      <c r="B626" s="77"/>
      <c r="C626" s="76"/>
      <c r="D626" s="76"/>
    </row>
    <row r="627" ht="14.25" customHeight="1">
      <c r="A627" s="76"/>
      <c r="B627" s="77"/>
      <c r="C627" s="76"/>
      <c r="D627" s="76"/>
    </row>
    <row r="628" ht="14.25" customHeight="1">
      <c r="A628" s="76"/>
      <c r="B628" s="77"/>
      <c r="C628" s="76"/>
      <c r="D628" s="76"/>
    </row>
    <row r="629" ht="14.25" customHeight="1">
      <c r="A629" s="76"/>
      <c r="B629" s="77"/>
      <c r="C629" s="76"/>
      <c r="D629" s="76"/>
    </row>
    <row r="630" ht="14.25" customHeight="1">
      <c r="A630" s="76"/>
      <c r="B630" s="77"/>
      <c r="C630" s="76"/>
      <c r="D630" s="76"/>
    </row>
    <row r="631" ht="14.25" customHeight="1">
      <c r="A631" s="76"/>
      <c r="B631" s="77"/>
      <c r="C631" s="76"/>
      <c r="D631" s="76"/>
    </row>
    <row r="632" ht="14.25" customHeight="1">
      <c r="A632" s="76"/>
      <c r="B632" s="77"/>
      <c r="C632" s="76"/>
      <c r="D632" s="76"/>
    </row>
    <row r="633" ht="14.25" customHeight="1">
      <c r="A633" s="76"/>
      <c r="B633" s="77"/>
      <c r="C633" s="76"/>
      <c r="D633" s="76"/>
    </row>
    <row r="634" ht="14.25" customHeight="1">
      <c r="A634" s="76"/>
      <c r="B634" s="77"/>
      <c r="C634" s="76"/>
      <c r="D634" s="76"/>
    </row>
    <row r="635" ht="14.25" customHeight="1">
      <c r="A635" s="76"/>
      <c r="B635" s="77"/>
      <c r="C635" s="76"/>
      <c r="D635" s="76"/>
    </row>
    <row r="636" ht="14.25" customHeight="1">
      <c r="A636" s="76"/>
      <c r="B636" s="77"/>
      <c r="C636" s="76"/>
      <c r="D636" s="76"/>
    </row>
    <row r="637" ht="14.25" customHeight="1">
      <c r="A637" s="76"/>
      <c r="B637" s="77"/>
      <c r="C637" s="76"/>
      <c r="D637" s="76"/>
    </row>
    <row r="638" ht="14.25" customHeight="1">
      <c r="A638" s="76"/>
      <c r="B638" s="77"/>
      <c r="C638" s="76"/>
      <c r="D638" s="76"/>
    </row>
    <row r="639" ht="14.25" customHeight="1">
      <c r="A639" s="76"/>
      <c r="B639" s="77"/>
      <c r="C639" s="76"/>
      <c r="D639" s="76"/>
    </row>
    <row r="640" ht="14.25" customHeight="1">
      <c r="A640" s="76"/>
      <c r="B640" s="77"/>
      <c r="C640" s="76"/>
      <c r="D640" s="76"/>
    </row>
    <row r="641" ht="14.25" customHeight="1">
      <c r="A641" s="76"/>
      <c r="B641" s="77"/>
      <c r="C641" s="76"/>
      <c r="D641" s="76"/>
    </row>
    <row r="642" ht="14.25" customHeight="1">
      <c r="A642" s="76"/>
      <c r="B642" s="77"/>
      <c r="C642" s="76"/>
      <c r="D642" s="76"/>
    </row>
    <row r="643" ht="14.25" customHeight="1">
      <c r="A643" s="76"/>
      <c r="B643" s="77"/>
      <c r="C643" s="76"/>
      <c r="D643" s="76"/>
    </row>
    <row r="644" ht="14.25" customHeight="1">
      <c r="A644" s="76"/>
      <c r="B644" s="77"/>
      <c r="C644" s="76"/>
      <c r="D644" s="76"/>
    </row>
    <row r="645" ht="14.25" customHeight="1">
      <c r="A645" s="76"/>
      <c r="B645" s="77"/>
      <c r="C645" s="76"/>
      <c r="D645" s="76"/>
    </row>
    <row r="646" ht="14.25" customHeight="1">
      <c r="A646" s="76"/>
      <c r="B646" s="77"/>
      <c r="C646" s="76"/>
      <c r="D646" s="76"/>
    </row>
    <row r="647" ht="14.25" customHeight="1">
      <c r="A647" s="76"/>
      <c r="B647" s="77"/>
      <c r="C647" s="76"/>
      <c r="D647" s="76"/>
    </row>
    <row r="648" ht="14.25" customHeight="1">
      <c r="A648" s="76"/>
      <c r="B648" s="77"/>
      <c r="C648" s="76"/>
      <c r="D648" s="76"/>
    </row>
    <row r="649" ht="14.25" customHeight="1">
      <c r="A649" s="76"/>
      <c r="B649" s="77"/>
      <c r="C649" s="76"/>
      <c r="D649" s="76"/>
    </row>
    <row r="650" ht="14.25" customHeight="1">
      <c r="A650" s="76"/>
      <c r="B650" s="77"/>
      <c r="C650" s="76"/>
      <c r="D650" s="76"/>
    </row>
    <row r="651" ht="14.25" customHeight="1">
      <c r="A651" s="76"/>
      <c r="B651" s="77"/>
      <c r="C651" s="76"/>
      <c r="D651" s="76"/>
    </row>
    <row r="652" ht="14.25" customHeight="1">
      <c r="A652" s="76"/>
      <c r="B652" s="77"/>
      <c r="C652" s="76"/>
      <c r="D652" s="76"/>
    </row>
    <row r="653" ht="14.25" customHeight="1">
      <c r="A653" s="76"/>
      <c r="B653" s="77"/>
      <c r="C653" s="76"/>
      <c r="D653" s="76"/>
    </row>
    <row r="654" ht="14.25" customHeight="1">
      <c r="A654" s="76"/>
      <c r="B654" s="77"/>
      <c r="C654" s="76"/>
      <c r="D654" s="76"/>
    </row>
    <row r="655" ht="14.25" customHeight="1">
      <c r="A655" s="76"/>
      <c r="B655" s="77"/>
      <c r="C655" s="76"/>
      <c r="D655" s="76"/>
    </row>
    <row r="656" ht="14.25" customHeight="1">
      <c r="A656" s="76"/>
      <c r="B656" s="77"/>
      <c r="C656" s="76"/>
      <c r="D656" s="76"/>
    </row>
    <row r="657" ht="14.25" customHeight="1">
      <c r="A657" s="76"/>
      <c r="B657" s="77"/>
      <c r="C657" s="76"/>
      <c r="D657" s="76"/>
    </row>
    <row r="658" ht="14.25" customHeight="1">
      <c r="A658" s="76"/>
      <c r="B658" s="77"/>
      <c r="C658" s="76"/>
      <c r="D658" s="76"/>
    </row>
    <row r="659" ht="14.25" customHeight="1">
      <c r="A659" s="76"/>
      <c r="B659" s="77"/>
      <c r="C659" s="76"/>
      <c r="D659" s="76"/>
    </row>
    <row r="660" ht="14.25" customHeight="1">
      <c r="A660" s="76"/>
      <c r="B660" s="77"/>
      <c r="C660" s="76"/>
      <c r="D660" s="76"/>
    </row>
    <row r="661" ht="14.25" customHeight="1">
      <c r="A661" s="76"/>
      <c r="B661" s="77"/>
      <c r="C661" s="76"/>
      <c r="D661" s="76"/>
    </row>
    <row r="662" ht="14.25" customHeight="1">
      <c r="A662" s="76"/>
      <c r="B662" s="77"/>
      <c r="C662" s="76"/>
      <c r="D662" s="76"/>
    </row>
    <row r="663" ht="14.25" customHeight="1">
      <c r="A663" s="76"/>
      <c r="B663" s="77"/>
      <c r="C663" s="76"/>
      <c r="D663" s="76"/>
    </row>
    <row r="664" ht="14.25" customHeight="1">
      <c r="A664" s="76"/>
      <c r="B664" s="77"/>
      <c r="C664" s="76"/>
      <c r="D664" s="76"/>
    </row>
    <row r="665" ht="14.25" customHeight="1">
      <c r="A665" s="76"/>
      <c r="B665" s="77"/>
      <c r="C665" s="76"/>
      <c r="D665" s="76"/>
    </row>
    <row r="666" ht="14.25" customHeight="1">
      <c r="A666" s="76"/>
      <c r="B666" s="77"/>
      <c r="C666" s="76"/>
      <c r="D666" s="76"/>
    </row>
    <row r="667" ht="14.25" customHeight="1">
      <c r="A667" s="76"/>
      <c r="B667" s="77"/>
      <c r="C667" s="76"/>
      <c r="D667" s="76"/>
    </row>
    <row r="668" ht="14.25" customHeight="1">
      <c r="A668" s="76"/>
      <c r="B668" s="77"/>
      <c r="C668" s="76"/>
      <c r="D668" s="76"/>
    </row>
    <row r="669" ht="14.25" customHeight="1">
      <c r="A669" s="76"/>
      <c r="B669" s="77"/>
      <c r="C669" s="76"/>
      <c r="D669" s="76"/>
    </row>
    <row r="670" ht="14.25" customHeight="1">
      <c r="A670" s="76"/>
      <c r="B670" s="77"/>
      <c r="C670" s="76"/>
      <c r="D670" s="76"/>
    </row>
    <row r="671" ht="14.25" customHeight="1">
      <c r="A671" s="76"/>
      <c r="B671" s="77"/>
      <c r="C671" s="76"/>
      <c r="D671" s="76"/>
    </row>
    <row r="672" ht="14.25" customHeight="1">
      <c r="A672" s="76"/>
      <c r="B672" s="77"/>
      <c r="C672" s="76"/>
      <c r="D672" s="76"/>
    </row>
    <row r="673" ht="14.25" customHeight="1">
      <c r="A673" s="76"/>
      <c r="B673" s="77"/>
      <c r="C673" s="76"/>
      <c r="D673" s="76"/>
    </row>
    <row r="674" ht="14.25" customHeight="1">
      <c r="A674" s="76"/>
      <c r="B674" s="77"/>
      <c r="C674" s="76"/>
      <c r="D674" s="76"/>
    </row>
    <row r="675" ht="14.25" customHeight="1">
      <c r="A675" s="76"/>
      <c r="B675" s="77"/>
      <c r="C675" s="76"/>
      <c r="D675" s="76"/>
    </row>
    <row r="676" ht="14.25" customHeight="1">
      <c r="A676" s="76"/>
      <c r="B676" s="77"/>
      <c r="C676" s="76"/>
      <c r="D676" s="76"/>
    </row>
    <row r="677" ht="14.25" customHeight="1">
      <c r="A677" s="76"/>
      <c r="B677" s="77"/>
      <c r="C677" s="76"/>
      <c r="D677" s="76"/>
    </row>
    <row r="678" ht="14.25" customHeight="1">
      <c r="A678" s="76"/>
      <c r="B678" s="77"/>
      <c r="C678" s="76"/>
      <c r="D678" s="76"/>
    </row>
    <row r="679" ht="14.25" customHeight="1">
      <c r="A679" s="76"/>
      <c r="B679" s="77"/>
      <c r="C679" s="76"/>
      <c r="D679" s="76"/>
    </row>
    <row r="680" ht="14.25" customHeight="1">
      <c r="A680" s="76"/>
      <c r="B680" s="77"/>
      <c r="C680" s="76"/>
      <c r="D680" s="76"/>
    </row>
    <row r="681" ht="14.25" customHeight="1">
      <c r="A681" s="76"/>
      <c r="B681" s="77"/>
      <c r="C681" s="76"/>
      <c r="D681" s="76"/>
    </row>
    <row r="682" ht="14.25" customHeight="1">
      <c r="A682" s="76"/>
      <c r="B682" s="77"/>
      <c r="C682" s="76"/>
      <c r="D682" s="76"/>
    </row>
    <row r="683" ht="14.25" customHeight="1">
      <c r="A683" s="76"/>
      <c r="B683" s="77"/>
      <c r="C683" s="76"/>
      <c r="D683" s="76"/>
    </row>
    <row r="684" ht="14.25" customHeight="1">
      <c r="A684" s="76"/>
      <c r="B684" s="77"/>
      <c r="C684" s="76"/>
      <c r="D684" s="76"/>
    </row>
    <row r="685" ht="14.25" customHeight="1">
      <c r="A685" s="76"/>
      <c r="B685" s="77"/>
      <c r="C685" s="76"/>
      <c r="D685" s="76"/>
    </row>
    <row r="686" ht="14.25" customHeight="1">
      <c r="A686" s="76"/>
      <c r="B686" s="77"/>
      <c r="C686" s="76"/>
      <c r="D686" s="76"/>
    </row>
    <row r="687" ht="14.25" customHeight="1">
      <c r="A687" s="76"/>
      <c r="B687" s="77"/>
      <c r="C687" s="76"/>
      <c r="D687" s="76"/>
    </row>
    <row r="688" ht="14.25" customHeight="1">
      <c r="A688" s="76"/>
      <c r="B688" s="77"/>
      <c r="C688" s="76"/>
      <c r="D688" s="76"/>
    </row>
    <row r="689" ht="14.25" customHeight="1">
      <c r="A689" s="76"/>
      <c r="B689" s="77"/>
      <c r="C689" s="76"/>
      <c r="D689" s="76"/>
    </row>
    <row r="690" ht="14.25" customHeight="1">
      <c r="A690" s="76"/>
      <c r="B690" s="77"/>
      <c r="C690" s="76"/>
      <c r="D690" s="76"/>
    </row>
    <row r="691" ht="14.25" customHeight="1">
      <c r="A691" s="76"/>
      <c r="B691" s="77"/>
      <c r="C691" s="76"/>
      <c r="D691" s="76"/>
    </row>
    <row r="692" ht="14.25" customHeight="1">
      <c r="A692" s="76"/>
      <c r="B692" s="77"/>
      <c r="C692" s="76"/>
      <c r="D692" s="76"/>
    </row>
    <row r="693" ht="14.25" customHeight="1">
      <c r="A693" s="76"/>
      <c r="B693" s="77"/>
      <c r="C693" s="76"/>
      <c r="D693" s="76"/>
    </row>
    <row r="694" ht="14.25" customHeight="1">
      <c r="A694" s="76"/>
      <c r="B694" s="77"/>
      <c r="C694" s="76"/>
      <c r="D694" s="76"/>
    </row>
    <row r="695" ht="14.25" customHeight="1">
      <c r="A695" s="76"/>
      <c r="B695" s="77"/>
      <c r="C695" s="76"/>
      <c r="D695" s="76"/>
    </row>
    <row r="696" ht="14.25" customHeight="1">
      <c r="A696" s="76"/>
      <c r="B696" s="77"/>
      <c r="C696" s="76"/>
      <c r="D696" s="76"/>
    </row>
    <row r="697" ht="14.25" customHeight="1">
      <c r="A697" s="76"/>
      <c r="B697" s="77"/>
      <c r="C697" s="76"/>
      <c r="D697" s="76"/>
    </row>
    <row r="698" ht="14.25" customHeight="1">
      <c r="A698" s="76"/>
      <c r="B698" s="77"/>
      <c r="C698" s="76"/>
      <c r="D698" s="76"/>
    </row>
    <row r="699" ht="14.25" customHeight="1">
      <c r="A699" s="76"/>
      <c r="B699" s="77"/>
      <c r="C699" s="76"/>
      <c r="D699" s="76"/>
    </row>
    <row r="700" ht="14.25" customHeight="1">
      <c r="A700" s="76"/>
      <c r="B700" s="77"/>
      <c r="C700" s="76"/>
      <c r="D700" s="76"/>
    </row>
    <row r="701" ht="14.25" customHeight="1">
      <c r="A701" s="76"/>
      <c r="B701" s="77"/>
      <c r="C701" s="76"/>
      <c r="D701" s="76"/>
    </row>
    <row r="702" ht="14.25" customHeight="1">
      <c r="A702" s="76"/>
      <c r="B702" s="77"/>
      <c r="C702" s="76"/>
      <c r="D702" s="76"/>
    </row>
    <row r="703" ht="14.25" customHeight="1">
      <c r="A703" s="76"/>
      <c r="B703" s="77"/>
      <c r="C703" s="76"/>
      <c r="D703" s="76"/>
    </row>
    <row r="704" ht="14.25" customHeight="1">
      <c r="A704" s="76"/>
      <c r="B704" s="77"/>
      <c r="C704" s="76"/>
      <c r="D704" s="76"/>
    </row>
    <row r="705" ht="14.25" customHeight="1">
      <c r="A705" s="76"/>
      <c r="B705" s="77"/>
      <c r="C705" s="76"/>
      <c r="D705" s="76"/>
    </row>
    <row r="706" ht="14.25" customHeight="1">
      <c r="A706" s="76"/>
      <c r="B706" s="77"/>
      <c r="C706" s="76"/>
      <c r="D706" s="76"/>
    </row>
    <row r="707" ht="14.25" customHeight="1">
      <c r="A707" s="76"/>
      <c r="B707" s="77"/>
      <c r="C707" s="76"/>
      <c r="D707" s="76"/>
    </row>
    <row r="708" ht="14.25" customHeight="1">
      <c r="A708" s="76"/>
      <c r="B708" s="77"/>
      <c r="C708" s="76"/>
      <c r="D708" s="76"/>
    </row>
    <row r="709" ht="14.25" customHeight="1">
      <c r="A709" s="76"/>
      <c r="B709" s="77"/>
      <c r="C709" s="76"/>
      <c r="D709" s="76"/>
    </row>
    <row r="710" ht="14.25" customHeight="1">
      <c r="A710" s="76"/>
      <c r="B710" s="77"/>
      <c r="C710" s="76"/>
      <c r="D710" s="76"/>
    </row>
    <row r="711" ht="14.25" customHeight="1">
      <c r="A711" s="76"/>
      <c r="B711" s="77"/>
      <c r="C711" s="76"/>
      <c r="D711" s="76"/>
    </row>
    <row r="712" ht="14.25" customHeight="1">
      <c r="A712" s="76"/>
      <c r="B712" s="77"/>
      <c r="C712" s="76"/>
      <c r="D712" s="76"/>
    </row>
    <row r="713" ht="14.25" customHeight="1">
      <c r="A713" s="76"/>
      <c r="B713" s="77"/>
      <c r="C713" s="76"/>
      <c r="D713" s="76"/>
    </row>
    <row r="714" ht="14.25" customHeight="1">
      <c r="A714" s="76"/>
      <c r="B714" s="77"/>
      <c r="C714" s="76"/>
      <c r="D714" s="76"/>
    </row>
    <row r="715" ht="14.25" customHeight="1">
      <c r="A715" s="76"/>
      <c r="B715" s="77"/>
      <c r="C715" s="76"/>
      <c r="D715" s="76"/>
    </row>
    <row r="716" ht="14.25" customHeight="1">
      <c r="A716" s="76"/>
      <c r="B716" s="77"/>
      <c r="C716" s="76"/>
      <c r="D716" s="76"/>
    </row>
    <row r="717" ht="14.25" customHeight="1">
      <c r="A717" s="76"/>
      <c r="B717" s="77"/>
      <c r="C717" s="76"/>
      <c r="D717" s="76"/>
    </row>
    <row r="718" ht="14.25" customHeight="1">
      <c r="A718" s="76"/>
      <c r="B718" s="77"/>
      <c r="C718" s="76"/>
      <c r="D718" s="76"/>
    </row>
    <row r="719" ht="14.25" customHeight="1">
      <c r="A719" s="76"/>
      <c r="B719" s="77"/>
      <c r="C719" s="76"/>
      <c r="D719" s="76"/>
    </row>
    <row r="720" ht="14.25" customHeight="1">
      <c r="A720" s="76"/>
      <c r="B720" s="77"/>
      <c r="C720" s="76"/>
      <c r="D720" s="76"/>
    </row>
    <row r="721" ht="14.25" customHeight="1">
      <c r="A721" s="76"/>
      <c r="B721" s="77"/>
      <c r="C721" s="76"/>
      <c r="D721" s="76"/>
    </row>
    <row r="722" ht="14.25" customHeight="1">
      <c r="A722" s="76"/>
      <c r="B722" s="77"/>
      <c r="C722" s="76"/>
      <c r="D722" s="76"/>
    </row>
    <row r="723" ht="14.25" customHeight="1">
      <c r="A723" s="76"/>
      <c r="B723" s="77"/>
      <c r="C723" s="76"/>
      <c r="D723" s="76"/>
    </row>
    <row r="724" ht="14.25" customHeight="1">
      <c r="A724" s="76"/>
      <c r="B724" s="77"/>
      <c r="C724" s="76"/>
      <c r="D724" s="76"/>
    </row>
    <row r="725" ht="14.25" customHeight="1">
      <c r="A725" s="76"/>
      <c r="B725" s="77"/>
      <c r="C725" s="76"/>
      <c r="D725" s="76"/>
    </row>
    <row r="726" ht="14.25" customHeight="1">
      <c r="A726" s="76"/>
      <c r="B726" s="77"/>
      <c r="C726" s="76"/>
      <c r="D726" s="76"/>
    </row>
    <row r="727" ht="14.25" customHeight="1">
      <c r="A727" s="76"/>
      <c r="B727" s="77"/>
      <c r="C727" s="76"/>
      <c r="D727" s="76"/>
    </row>
    <row r="728" ht="14.25" customHeight="1">
      <c r="A728" s="76"/>
      <c r="B728" s="77"/>
      <c r="C728" s="76"/>
      <c r="D728" s="76"/>
    </row>
    <row r="729" ht="14.25" customHeight="1">
      <c r="A729" s="76"/>
      <c r="B729" s="77"/>
      <c r="C729" s="76"/>
      <c r="D729" s="76"/>
    </row>
    <row r="730" ht="14.25" customHeight="1">
      <c r="A730" s="76"/>
      <c r="B730" s="77"/>
      <c r="C730" s="76"/>
      <c r="D730" s="76"/>
    </row>
    <row r="731" ht="14.25" customHeight="1">
      <c r="A731" s="76"/>
      <c r="B731" s="77"/>
      <c r="C731" s="76"/>
      <c r="D731" s="76"/>
    </row>
    <row r="732" ht="14.25" customHeight="1">
      <c r="A732" s="76"/>
      <c r="B732" s="77"/>
      <c r="C732" s="76"/>
      <c r="D732" s="76"/>
    </row>
    <row r="733" ht="14.25" customHeight="1">
      <c r="A733" s="76"/>
      <c r="B733" s="77"/>
      <c r="C733" s="76"/>
      <c r="D733" s="76"/>
    </row>
    <row r="734" ht="14.25" customHeight="1">
      <c r="A734" s="76"/>
      <c r="B734" s="77"/>
      <c r="C734" s="76"/>
      <c r="D734" s="76"/>
    </row>
    <row r="735" ht="14.25" customHeight="1">
      <c r="A735" s="76"/>
      <c r="B735" s="77"/>
      <c r="C735" s="76"/>
      <c r="D735" s="76"/>
    </row>
    <row r="736" ht="14.25" customHeight="1">
      <c r="A736" s="76"/>
      <c r="B736" s="77"/>
      <c r="C736" s="76"/>
      <c r="D736" s="76"/>
    </row>
    <row r="737" ht="14.25" customHeight="1">
      <c r="A737" s="76"/>
      <c r="B737" s="77"/>
      <c r="C737" s="76"/>
      <c r="D737" s="76"/>
    </row>
    <row r="738" ht="14.25" customHeight="1">
      <c r="A738" s="76"/>
      <c r="B738" s="77"/>
      <c r="C738" s="76"/>
      <c r="D738" s="76"/>
    </row>
    <row r="739" ht="14.25" customHeight="1">
      <c r="A739" s="76"/>
      <c r="B739" s="77"/>
      <c r="C739" s="76"/>
      <c r="D739" s="76"/>
    </row>
    <row r="740" ht="14.25" customHeight="1">
      <c r="A740" s="76"/>
      <c r="B740" s="77"/>
      <c r="C740" s="76"/>
      <c r="D740" s="76"/>
    </row>
    <row r="741" ht="14.25" customHeight="1">
      <c r="A741" s="76"/>
      <c r="B741" s="77"/>
      <c r="C741" s="76"/>
      <c r="D741" s="76"/>
    </row>
    <row r="742" ht="14.25" customHeight="1">
      <c r="A742" s="76"/>
      <c r="B742" s="77"/>
      <c r="C742" s="76"/>
      <c r="D742" s="76"/>
    </row>
    <row r="743" ht="14.25" customHeight="1">
      <c r="A743" s="76"/>
      <c r="B743" s="77"/>
      <c r="C743" s="76"/>
      <c r="D743" s="76"/>
    </row>
    <row r="744" ht="14.25" customHeight="1">
      <c r="A744" s="76"/>
      <c r="B744" s="77"/>
      <c r="C744" s="76"/>
      <c r="D744" s="76"/>
    </row>
    <row r="745" ht="14.25" customHeight="1">
      <c r="A745" s="76"/>
      <c r="B745" s="77"/>
      <c r="C745" s="76"/>
      <c r="D745" s="76"/>
    </row>
    <row r="746" ht="14.25" customHeight="1">
      <c r="A746" s="76"/>
      <c r="B746" s="77"/>
      <c r="C746" s="76"/>
      <c r="D746" s="76"/>
    </row>
    <row r="747" ht="14.25" customHeight="1">
      <c r="A747" s="76"/>
      <c r="B747" s="77"/>
      <c r="C747" s="76"/>
      <c r="D747" s="76"/>
    </row>
    <row r="748" ht="14.25" customHeight="1">
      <c r="A748" s="76"/>
      <c r="B748" s="77"/>
      <c r="C748" s="76"/>
      <c r="D748" s="76"/>
    </row>
    <row r="749" ht="14.25" customHeight="1">
      <c r="A749" s="76"/>
      <c r="B749" s="77"/>
      <c r="C749" s="76"/>
      <c r="D749" s="76"/>
    </row>
    <row r="750" ht="14.25" customHeight="1">
      <c r="A750" s="76"/>
      <c r="B750" s="77"/>
      <c r="C750" s="76"/>
      <c r="D750" s="76"/>
    </row>
    <row r="751" ht="14.25" customHeight="1">
      <c r="A751" s="76"/>
      <c r="B751" s="77"/>
      <c r="C751" s="76"/>
      <c r="D751" s="76"/>
    </row>
    <row r="752" ht="14.25" customHeight="1">
      <c r="A752" s="76"/>
      <c r="B752" s="77"/>
      <c r="C752" s="76"/>
      <c r="D752" s="76"/>
    </row>
    <row r="753" ht="14.25" customHeight="1">
      <c r="A753" s="76"/>
      <c r="B753" s="77"/>
      <c r="C753" s="76"/>
      <c r="D753" s="76"/>
    </row>
    <row r="754" ht="14.25" customHeight="1">
      <c r="A754" s="76"/>
      <c r="B754" s="77"/>
      <c r="C754" s="76"/>
      <c r="D754" s="76"/>
    </row>
    <row r="755" ht="14.25" customHeight="1">
      <c r="A755" s="76"/>
      <c r="B755" s="77"/>
      <c r="C755" s="76"/>
      <c r="D755" s="76"/>
    </row>
    <row r="756" ht="14.25" customHeight="1">
      <c r="A756" s="76"/>
      <c r="B756" s="77"/>
      <c r="C756" s="76"/>
      <c r="D756" s="76"/>
    </row>
    <row r="757" ht="14.25" customHeight="1">
      <c r="A757" s="76"/>
      <c r="B757" s="77"/>
      <c r="C757" s="76"/>
      <c r="D757" s="76"/>
    </row>
    <row r="758" ht="14.25" customHeight="1">
      <c r="A758" s="76"/>
      <c r="B758" s="77"/>
      <c r="C758" s="76"/>
      <c r="D758" s="76"/>
    </row>
    <row r="759" ht="14.25" customHeight="1">
      <c r="A759" s="76"/>
      <c r="B759" s="77"/>
      <c r="C759" s="76"/>
      <c r="D759" s="76"/>
    </row>
    <row r="760" ht="14.25" customHeight="1">
      <c r="A760" s="76"/>
      <c r="B760" s="77"/>
      <c r="C760" s="76"/>
      <c r="D760" s="76"/>
    </row>
    <row r="761" ht="14.25" customHeight="1">
      <c r="A761" s="76"/>
      <c r="B761" s="77"/>
      <c r="C761" s="76"/>
      <c r="D761" s="76"/>
    </row>
    <row r="762" ht="14.25" customHeight="1">
      <c r="A762" s="76"/>
      <c r="B762" s="77"/>
      <c r="C762" s="76"/>
      <c r="D762" s="76"/>
    </row>
    <row r="763" ht="14.25" customHeight="1">
      <c r="A763" s="76"/>
      <c r="B763" s="77"/>
      <c r="C763" s="76"/>
      <c r="D763" s="76"/>
    </row>
    <row r="764" ht="14.25" customHeight="1">
      <c r="A764" s="76"/>
      <c r="B764" s="77"/>
      <c r="C764" s="76"/>
      <c r="D764" s="76"/>
    </row>
    <row r="765" ht="14.25" customHeight="1">
      <c r="A765" s="76"/>
      <c r="B765" s="77"/>
      <c r="C765" s="76"/>
      <c r="D765" s="76"/>
    </row>
    <row r="766" ht="14.25" customHeight="1">
      <c r="A766" s="76"/>
      <c r="B766" s="77"/>
      <c r="C766" s="76"/>
      <c r="D766" s="76"/>
    </row>
    <row r="767" ht="14.25" customHeight="1">
      <c r="A767" s="76"/>
      <c r="B767" s="77"/>
      <c r="C767" s="76"/>
      <c r="D767" s="76"/>
    </row>
    <row r="768" ht="14.25" customHeight="1">
      <c r="A768" s="76"/>
      <c r="B768" s="77"/>
      <c r="C768" s="76"/>
      <c r="D768" s="76"/>
    </row>
    <row r="769" ht="14.25" customHeight="1">
      <c r="A769" s="76"/>
      <c r="B769" s="77"/>
      <c r="C769" s="76"/>
      <c r="D769" s="76"/>
    </row>
    <row r="770" ht="14.25" customHeight="1">
      <c r="A770" s="76"/>
      <c r="B770" s="77"/>
      <c r="C770" s="76"/>
      <c r="D770" s="76"/>
    </row>
    <row r="771" ht="14.25" customHeight="1">
      <c r="A771" s="76"/>
      <c r="B771" s="77"/>
      <c r="C771" s="76"/>
      <c r="D771" s="76"/>
    </row>
    <row r="772" ht="14.25" customHeight="1">
      <c r="A772" s="76"/>
      <c r="B772" s="77"/>
      <c r="C772" s="76"/>
      <c r="D772" s="76"/>
    </row>
    <row r="773" ht="14.25" customHeight="1">
      <c r="A773" s="76"/>
      <c r="B773" s="77"/>
      <c r="C773" s="76"/>
      <c r="D773" s="76"/>
    </row>
    <row r="774" ht="14.25" customHeight="1">
      <c r="A774" s="76"/>
      <c r="B774" s="77"/>
      <c r="C774" s="76"/>
      <c r="D774" s="76"/>
    </row>
    <row r="775" ht="14.25" customHeight="1">
      <c r="A775" s="76"/>
      <c r="B775" s="77"/>
      <c r="C775" s="76"/>
      <c r="D775" s="76"/>
    </row>
    <row r="776" ht="14.25" customHeight="1">
      <c r="A776" s="76"/>
      <c r="B776" s="77"/>
      <c r="C776" s="76"/>
      <c r="D776" s="76"/>
    </row>
    <row r="777" ht="14.25" customHeight="1">
      <c r="A777" s="76"/>
      <c r="B777" s="77"/>
      <c r="C777" s="76"/>
      <c r="D777" s="76"/>
    </row>
    <row r="778" ht="14.25" customHeight="1">
      <c r="A778" s="76"/>
      <c r="B778" s="77"/>
      <c r="C778" s="76"/>
      <c r="D778" s="76"/>
    </row>
    <row r="779" ht="14.25" customHeight="1">
      <c r="A779" s="76"/>
      <c r="B779" s="77"/>
      <c r="C779" s="76"/>
      <c r="D779" s="76"/>
    </row>
    <row r="780" ht="14.25" customHeight="1">
      <c r="A780" s="76"/>
      <c r="B780" s="77"/>
      <c r="C780" s="76"/>
      <c r="D780" s="76"/>
    </row>
    <row r="781" ht="14.25" customHeight="1">
      <c r="A781" s="76"/>
      <c r="B781" s="77"/>
      <c r="C781" s="76"/>
      <c r="D781" s="76"/>
    </row>
    <row r="782" ht="14.25" customHeight="1">
      <c r="A782" s="76"/>
      <c r="B782" s="77"/>
      <c r="C782" s="76"/>
      <c r="D782" s="76"/>
    </row>
    <row r="783" ht="14.25" customHeight="1">
      <c r="A783" s="76"/>
      <c r="B783" s="77"/>
      <c r="C783" s="76"/>
      <c r="D783" s="76"/>
    </row>
    <row r="784" ht="14.25" customHeight="1">
      <c r="A784" s="76"/>
      <c r="B784" s="77"/>
      <c r="C784" s="76"/>
      <c r="D784" s="76"/>
    </row>
    <row r="785" ht="14.25" customHeight="1">
      <c r="A785" s="76"/>
      <c r="B785" s="77"/>
      <c r="C785" s="76"/>
      <c r="D785" s="76"/>
    </row>
    <row r="786" ht="14.25" customHeight="1">
      <c r="A786" s="76"/>
      <c r="B786" s="77"/>
      <c r="C786" s="76"/>
      <c r="D786" s="76"/>
    </row>
    <row r="787" ht="14.25" customHeight="1">
      <c r="A787" s="76"/>
      <c r="B787" s="77"/>
      <c r="C787" s="76"/>
      <c r="D787" s="76"/>
    </row>
    <row r="788" ht="14.25" customHeight="1">
      <c r="A788" s="76"/>
      <c r="B788" s="77"/>
      <c r="C788" s="76"/>
      <c r="D788" s="76"/>
    </row>
    <row r="789" ht="14.25" customHeight="1">
      <c r="A789" s="76"/>
      <c r="B789" s="77"/>
      <c r="C789" s="76"/>
      <c r="D789" s="76"/>
    </row>
    <row r="790" ht="14.25" customHeight="1">
      <c r="A790" s="76"/>
      <c r="B790" s="77"/>
      <c r="C790" s="76"/>
      <c r="D790" s="76"/>
    </row>
    <row r="791" ht="14.25" customHeight="1">
      <c r="A791" s="76"/>
      <c r="B791" s="77"/>
      <c r="C791" s="76"/>
      <c r="D791" s="76"/>
    </row>
    <row r="792" ht="14.25" customHeight="1">
      <c r="A792" s="76"/>
      <c r="B792" s="77"/>
      <c r="C792" s="76"/>
      <c r="D792" s="76"/>
    </row>
    <row r="793" ht="14.25" customHeight="1">
      <c r="A793" s="76"/>
      <c r="B793" s="77"/>
      <c r="C793" s="76"/>
      <c r="D793" s="76"/>
    </row>
    <row r="794" ht="14.25" customHeight="1">
      <c r="A794" s="76"/>
      <c r="B794" s="77"/>
      <c r="C794" s="76"/>
      <c r="D794" s="76"/>
    </row>
    <row r="795" ht="14.25" customHeight="1">
      <c r="A795" s="76"/>
      <c r="B795" s="77"/>
      <c r="C795" s="76"/>
      <c r="D795" s="76"/>
    </row>
    <row r="796" ht="14.25" customHeight="1">
      <c r="A796" s="76"/>
      <c r="B796" s="77"/>
      <c r="C796" s="76"/>
      <c r="D796" s="76"/>
    </row>
    <row r="797" ht="14.25" customHeight="1">
      <c r="A797" s="76"/>
      <c r="B797" s="77"/>
      <c r="C797" s="76"/>
      <c r="D797" s="76"/>
    </row>
    <row r="798" ht="14.25" customHeight="1">
      <c r="A798" s="76"/>
      <c r="B798" s="77"/>
      <c r="C798" s="76"/>
      <c r="D798" s="76"/>
    </row>
    <row r="799" ht="14.25" customHeight="1">
      <c r="A799" s="76"/>
      <c r="B799" s="77"/>
      <c r="C799" s="76"/>
      <c r="D799" s="76"/>
    </row>
    <row r="800" ht="14.25" customHeight="1">
      <c r="A800" s="76"/>
      <c r="B800" s="77"/>
      <c r="C800" s="76"/>
      <c r="D800" s="76"/>
    </row>
    <row r="801" ht="14.25" customHeight="1">
      <c r="A801" s="76"/>
      <c r="B801" s="77"/>
      <c r="C801" s="76"/>
      <c r="D801" s="76"/>
    </row>
    <row r="802" ht="14.25" customHeight="1">
      <c r="A802" s="76"/>
      <c r="B802" s="77"/>
      <c r="C802" s="76"/>
      <c r="D802" s="76"/>
    </row>
    <row r="803" ht="14.25" customHeight="1">
      <c r="A803" s="76"/>
      <c r="B803" s="77"/>
      <c r="C803" s="76"/>
      <c r="D803" s="76"/>
    </row>
    <row r="804" ht="14.25" customHeight="1">
      <c r="A804" s="76"/>
      <c r="B804" s="77"/>
      <c r="C804" s="76"/>
      <c r="D804" s="76"/>
    </row>
    <row r="805" ht="14.25" customHeight="1">
      <c r="A805" s="76"/>
      <c r="B805" s="77"/>
      <c r="C805" s="76"/>
      <c r="D805" s="76"/>
    </row>
    <row r="806" ht="14.25" customHeight="1">
      <c r="A806" s="76"/>
      <c r="B806" s="77"/>
      <c r="C806" s="76"/>
      <c r="D806" s="76"/>
    </row>
    <row r="807" ht="14.25" customHeight="1">
      <c r="A807" s="76"/>
      <c r="B807" s="77"/>
      <c r="C807" s="76"/>
      <c r="D807" s="76"/>
    </row>
    <row r="808" ht="14.25" customHeight="1">
      <c r="A808" s="76"/>
      <c r="B808" s="77"/>
      <c r="C808" s="76"/>
      <c r="D808" s="76"/>
    </row>
    <row r="809" ht="14.25" customHeight="1">
      <c r="A809" s="76"/>
      <c r="B809" s="77"/>
      <c r="C809" s="76"/>
      <c r="D809" s="76"/>
    </row>
    <row r="810" ht="14.25" customHeight="1">
      <c r="A810" s="76"/>
      <c r="B810" s="77"/>
      <c r="C810" s="76"/>
      <c r="D810" s="76"/>
    </row>
    <row r="811" ht="14.25" customHeight="1">
      <c r="A811" s="76"/>
      <c r="B811" s="77"/>
      <c r="C811" s="76"/>
      <c r="D811" s="76"/>
    </row>
    <row r="812" ht="14.25" customHeight="1">
      <c r="A812" s="76"/>
      <c r="B812" s="77"/>
      <c r="C812" s="76"/>
      <c r="D812" s="76"/>
    </row>
    <row r="813" ht="14.25" customHeight="1">
      <c r="A813" s="76"/>
      <c r="B813" s="77"/>
      <c r="C813" s="76"/>
      <c r="D813" s="76"/>
    </row>
    <row r="814" ht="14.25" customHeight="1">
      <c r="A814" s="76"/>
      <c r="B814" s="77"/>
      <c r="C814" s="76"/>
      <c r="D814" s="76"/>
    </row>
    <row r="815" ht="14.25" customHeight="1">
      <c r="A815" s="76"/>
      <c r="B815" s="77"/>
      <c r="C815" s="76"/>
      <c r="D815" s="76"/>
    </row>
    <row r="816" ht="14.25" customHeight="1">
      <c r="A816" s="76"/>
      <c r="B816" s="77"/>
      <c r="C816" s="76"/>
      <c r="D816" s="76"/>
    </row>
    <row r="817" ht="14.25" customHeight="1">
      <c r="A817" s="76"/>
      <c r="B817" s="77"/>
      <c r="C817" s="76"/>
      <c r="D817" s="76"/>
    </row>
    <row r="818" ht="14.25" customHeight="1">
      <c r="A818" s="76"/>
      <c r="B818" s="77"/>
      <c r="C818" s="76"/>
      <c r="D818" s="76"/>
    </row>
    <row r="819" ht="14.25" customHeight="1">
      <c r="A819" s="76"/>
      <c r="B819" s="77"/>
      <c r="C819" s="76"/>
      <c r="D819" s="76"/>
    </row>
    <row r="820" ht="14.25" customHeight="1">
      <c r="A820" s="76"/>
      <c r="B820" s="77"/>
      <c r="C820" s="76"/>
      <c r="D820" s="76"/>
    </row>
    <row r="821" ht="14.25" customHeight="1">
      <c r="A821" s="76"/>
      <c r="B821" s="77"/>
      <c r="C821" s="76"/>
      <c r="D821" s="76"/>
    </row>
    <row r="822" ht="14.25" customHeight="1">
      <c r="A822" s="76"/>
      <c r="B822" s="77"/>
      <c r="C822" s="76"/>
      <c r="D822" s="76"/>
    </row>
    <row r="823" ht="14.25" customHeight="1">
      <c r="A823" s="76"/>
      <c r="B823" s="77"/>
      <c r="C823" s="76"/>
      <c r="D823" s="76"/>
    </row>
    <row r="824" ht="14.25" customHeight="1">
      <c r="A824" s="76"/>
      <c r="B824" s="77"/>
      <c r="C824" s="76"/>
      <c r="D824" s="76"/>
    </row>
    <row r="825" ht="14.25" customHeight="1">
      <c r="A825" s="76"/>
      <c r="B825" s="77"/>
      <c r="C825" s="76"/>
      <c r="D825" s="76"/>
    </row>
    <row r="826" ht="14.25" customHeight="1">
      <c r="A826" s="76"/>
      <c r="B826" s="77"/>
      <c r="C826" s="76"/>
      <c r="D826" s="76"/>
    </row>
    <row r="827" ht="14.25" customHeight="1">
      <c r="A827" s="76"/>
      <c r="B827" s="77"/>
      <c r="C827" s="76"/>
      <c r="D827" s="76"/>
    </row>
    <row r="828" ht="14.25" customHeight="1">
      <c r="A828" s="76"/>
      <c r="B828" s="77"/>
      <c r="C828" s="76"/>
      <c r="D828" s="76"/>
    </row>
    <row r="829" ht="14.25" customHeight="1">
      <c r="A829" s="76"/>
      <c r="B829" s="77"/>
      <c r="C829" s="76"/>
      <c r="D829" s="76"/>
    </row>
    <row r="830" ht="14.25" customHeight="1">
      <c r="A830" s="76"/>
      <c r="B830" s="77"/>
      <c r="C830" s="76"/>
      <c r="D830" s="76"/>
    </row>
    <row r="831" ht="14.25" customHeight="1">
      <c r="A831" s="76"/>
      <c r="B831" s="77"/>
      <c r="C831" s="76"/>
      <c r="D831" s="76"/>
    </row>
    <row r="832" ht="14.25" customHeight="1">
      <c r="A832" s="76"/>
      <c r="B832" s="77"/>
      <c r="C832" s="76"/>
      <c r="D832" s="76"/>
    </row>
    <row r="833" ht="14.25" customHeight="1">
      <c r="A833" s="76"/>
      <c r="B833" s="77"/>
      <c r="C833" s="76"/>
      <c r="D833" s="76"/>
    </row>
    <row r="834" ht="14.25" customHeight="1">
      <c r="A834" s="76"/>
      <c r="B834" s="77"/>
      <c r="C834" s="76"/>
      <c r="D834" s="76"/>
    </row>
    <row r="835" ht="14.25" customHeight="1">
      <c r="A835" s="76"/>
      <c r="B835" s="77"/>
      <c r="C835" s="76"/>
      <c r="D835" s="76"/>
    </row>
    <row r="836" ht="14.25" customHeight="1">
      <c r="A836" s="76"/>
      <c r="B836" s="77"/>
      <c r="C836" s="76"/>
      <c r="D836" s="76"/>
    </row>
    <row r="837" ht="14.25" customHeight="1">
      <c r="A837" s="76"/>
      <c r="B837" s="77"/>
      <c r="C837" s="76"/>
      <c r="D837" s="76"/>
    </row>
    <row r="838" ht="14.25" customHeight="1">
      <c r="A838" s="76"/>
      <c r="B838" s="77"/>
      <c r="C838" s="76"/>
      <c r="D838" s="76"/>
    </row>
    <row r="839" ht="14.25" customHeight="1">
      <c r="A839" s="76"/>
      <c r="B839" s="77"/>
      <c r="C839" s="76"/>
      <c r="D839" s="76"/>
    </row>
    <row r="840" ht="14.25" customHeight="1">
      <c r="A840" s="76"/>
      <c r="B840" s="77"/>
      <c r="C840" s="76"/>
      <c r="D840" s="76"/>
    </row>
    <row r="841" ht="14.25" customHeight="1">
      <c r="A841" s="76"/>
      <c r="B841" s="77"/>
      <c r="C841" s="76"/>
      <c r="D841" s="76"/>
    </row>
    <row r="842" ht="14.25" customHeight="1">
      <c r="A842" s="76"/>
      <c r="B842" s="77"/>
      <c r="C842" s="76"/>
      <c r="D842" s="76"/>
    </row>
    <row r="843" ht="14.25" customHeight="1">
      <c r="A843" s="76"/>
      <c r="B843" s="77"/>
      <c r="C843" s="76"/>
      <c r="D843" s="76"/>
    </row>
    <row r="844" ht="14.25" customHeight="1">
      <c r="A844" s="76"/>
      <c r="B844" s="77"/>
      <c r="C844" s="76"/>
      <c r="D844" s="76"/>
    </row>
    <row r="845" ht="14.25" customHeight="1">
      <c r="A845" s="76"/>
      <c r="B845" s="77"/>
      <c r="C845" s="76"/>
      <c r="D845" s="76"/>
    </row>
    <row r="846" ht="14.25" customHeight="1">
      <c r="A846" s="76"/>
      <c r="B846" s="77"/>
      <c r="C846" s="76"/>
      <c r="D846" s="76"/>
    </row>
    <row r="847" ht="14.25" customHeight="1">
      <c r="A847" s="76"/>
      <c r="B847" s="77"/>
      <c r="C847" s="76"/>
      <c r="D847" s="76"/>
    </row>
    <row r="848" ht="14.25" customHeight="1">
      <c r="A848" s="76"/>
      <c r="B848" s="77"/>
      <c r="C848" s="76"/>
      <c r="D848" s="76"/>
    </row>
    <row r="849" ht="14.25" customHeight="1">
      <c r="A849" s="76"/>
      <c r="B849" s="77"/>
      <c r="C849" s="76"/>
      <c r="D849" s="76"/>
    </row>
    <row r="850" ht="14.25" customHeight="1">
      <c r="A850" s="76"/>
      <c r="B850" s="77"/>
      <c r="C850" s="76"/>
      <c r="D850" s="76"/>
    </row>
    <row r="851" ht="14.25" customHeight="1">
      <c r="A851" s="76"/>
      <c r="B851" s="77"/>
      <c r="C851" s="76"/>
      <c r="D851" s="76"/>
    </row>
    <row r="852" ht="14.25" customHeight="1">
      <c r="A852" s="76"/>
      <c r="B852" s="77"/>
      <c r="C852" s="76"/>
      <c r="D852" s="76"/>
    </row>
    <row r="853" ht="14.25" customHeight="1">
      <c r="A853" s="76"/>
      <c r="B853" s="77"/>
      <c r="C853" s="76"/>
      <c r="D853" s="76"/>
    </row>
    <row r="854" ht="14.25" customHeight="1">
      <c r="A854" s="76"/>
      <c r="B854" s="77"/>
      <c r="C854" s="76"/>
      <c r="D854" s="76"/>
    </row>
    <row r="855" ht="14.25" customHeight="1">
      <c r="A855" s="76"/>
      <c r="B855" s="77"/>
      <c r="C855" s="76"/>
      <c r="D855" s="76"/>
    </row>
    <row r="856" ht="14.25" customHeight="1">
      <c r="A856" s="76"/>
      <c r="B856" s="77"/>
      <c r="C856" s="76"/>
      <c r="D856" s="76"/>
    </row>
    <row r="857" ht="14.25" customHeight="1">
      <c r="A857" s="76"/>
      <c r="B857" s="77"/>
      <c r="C857" s="76"/>
      <c r="D857" s="76"/>
    </row>
    <row r="858" ht="14.25" customHeight="1">
      <c r="A858" s="76"/>
      <c r="B858" s="77"/>
      <c r="C858" s="76"/>
      <c r="D858" s="76"/>
    </row>
    <row r="859" ht="14.25" customHeight="1">
      <c r="A859" s="76"/>
      <c r="B859" s="77"/>
      <c r="C859" s="76"/>
      <c r="D859" s="76"/>
    </row>
    <row r="860" ht="14.25" customHeight="1">
      <c r="A860" s="76"/>
      <c r="B860" s="77"/>
      <c r="C860" s="76"/>
      <c r="D860" s="76"/>
    </row>
    <row r="861" ht="14.25" customHeight="1">
      <c r="A861" s="76"/>
      <c r="B861" s="77"/>
      <c r="C861" s="76"/>
      <c r="D861" s="76"/>
    </row>
    <row r="862" ht="14.25" customHeight="1">
      <c r="A862" s="76"/>
      <c r="B862" s="77"/>
      <c r="C862" s="76"/>
      <c r="D862" s="76"/>
    </row>
    <row r="863" ht="14.25" customHeight="1">
      <c r="A863" s="76"/>
      <c r="B863" s="77"/>
      <c r="C863" s="76"/>
      <c r="D863" s="76"/>
    </row>
    <row r="864" ht="14.25" customHeight="1">
      <c r="A864" s="76"/>
      <c r="B864" s="77"/>
      <c r="C864" s="76"/>
      <c r="D864" s="76"/>
    </row>
    <row r="865" ht="14.25" customHeight="1">
      <c r="A865" s="76"/>
      <c r="B865" s="77"/>
      <c r="C865" s="76"/>
      <c r="D865" s="76"/>
    </row>
    <row r="866" ht="14.25" customHeight="1">
      <c r="A866" s="76"/>
      <c r="B866" s="77"/>
      <c r="C866" s="76"/>
      <c r="D866" s="76"/>
    </row>
    <row r="867" ht="14.25" customHeight="1">
      <c r="A867" s="76"/>
      <c r="B867" s="77"/>
      <c r="C867" s="76"/>
      <c r="D867" s="76"/>
    </row>
    <row r="868" ht="14.25" customHeight="1">
      <c r="A868" s="76"/>
      <c r="B868" s="77"/>
      <c r="C868" s="76"/>
      <c r="D868" s="76"/>
    </row>
    <row r="869" ht="14.25" customHeight="1">
      <c r="A869" s="76"/>
      <c r="B869" s="77"/>
      <c r="C869" s="76"/>
      <c r="D869" s="76"/>
    </row>
    <row r="870" ht="14.25" customHeight="1">
      <c r="A870" s="76"/>
      <c r="B870" s="77"/>
      <c r="C870" s="76"/>
      <c r="D870" s="76"/>
    </row>
    <row r="871" ht="14.25" customHeight="1">
      <c r="A871" s="76"/>
      <c r="B871" s="77"/>
      <c r="C871" s="76"/>
      <c r="D871" s="76"/>
    </row>
    <row r="872" ht="14.25" customHeight="1">
      <c r="A872" s="76"/>
      <c r="B872" s="77"/>
      <c r="C872" s="76"/>
      <c r="D872" s="76"/>
    </row>
    <row r="873" ht="14.25" customHeight="1">
      <c r="A873" s="76"/>
      <c r="B873" s="77"/>
      <c r="C873" s="76"/>
      <c r="D873" s="76"/>
    </row>
    <row r="874" ht="14.25" customHeight="1">
      <c r="A874" s="76"/>
      <c r="B874" s="77"/>
      <c r="C874" s="76"/>
      <c r="D874" s="76"/>
    </row>
    <row r="875" ht="14.25" customHeight="1">
      <c r="A875" s="76"/>
      <c r="B875" s="77"/>
      <c r="C875" s="76"/>
      <c r="D875" s="76"/>
    </row>
    <row r="876" ht="14.25" customHeight="1">
      <c r="A876" s="76"/>
      <c r="B876" s="77"/>
      <c r="C876" s="76"/>
      <c r="D876" s="76"/>
    </row>
    <row r="877" ht="14.25" customHeight="1">
      <c r="A877" s="76"/>
      <c r="B877" s="77"/>
      <c r="C877" s="76"/>
      <c r="D877" s="76"/>
    </row>
    <row r="878" ht="14.25" customHeight="1">
      <c r="A878" s="76"/>
      <c r="B878" s="77"/>
      <c r="C878" s="76"/>
      <c r="D878" s="76"/>
    </row>
    <row r="879" ht="14.25" customHeight="1">
      <c r="A879" s="76"/>
      <c r="B879" s="77"/>
      <c r="C879" s="76"/>
      <c r="D879" s="76"/>
    </row>
    <row r="880" ht="14.25" customHeight="1">
      <c r="A880" s="76"/>
      <c r="B880" s="77"/>
      <c r="C880" s="76"/>
      <c r="D880" s="76"/>
    </row>
    <row r="881" ht="14.25" customHeight="1">
      <c r="A881" s="76"/>
      <c r="B881" s="77"/>
      <c r="C881" s="76"/>
      <c r="D881" s="76"/>
    </row>
    <row r="882" ht="14.25" customHeight="1">
      <c r="A882" s="76"/>
      <c r="B882" s="77"/>
      <c r="C882" s="76"/>
      <c r="D882" s="76"/>
    </row>
    <row r="883" ht="14.25" customHeight="1">
      <c r="A883" s="76"/>
      <c r="B883" s="77"/>
      <c r="C883" s="76"/>
      <c r="D883" s="76"/>
    </row>
    <row r="884" ht="14.25" customHeight="1">
      <c r="A884" s="76"/>
      <c r="B884" s="77"/>
      <c r="C884" s="76"/>
      <c r="D884" s="76"/>
    </row>
    <row r="885" ht="14.25" customHeight="1">
      <c r="A885" s="76"/>
      <c r="B885" s="77"/>
      <c r="C885" s="76"/>
      <c r="D885" s="76"/>
    </row>
    <row r="886" ht="14.25" customHeight="1">
      <c r="A886" s="76"/>
      <c r="B886" s="77"/>
      <c r="C886" s="76"/>
      <c r="D886" s="76"/>
    </row>
    <row r="887" ht="14.25" customHeight="1">
      <c r="A887" s="76"/>
      <c r="B887" s="77"/>
      <c r="C887" s="76"/>
      <c r="D887" s="76"/>
    </row>
    <row r="888" ht="14.25" customHeight="1">
      <c r="A888" s="76"/>
      <c r="B888" s="77"/>
      <c r="C888" s="76"/>
      <c r="D888" s="76"/>
    </row>
    <row r="889" ht="14.25" customHeight="1">
      <c r="A889" s="76"/>
      <c r="B889" s="77"/>
      <c r="C889" s="76"/>
      <c r="D889" s="76"/>
    </row>
    <row r="890" ht="14.25" customHeight="1">
      <c r="A890" s="76"/>
      <c r="B890" s="77"/>
      <c r="C890" s="76"/>
      <c r="D890" s="76"/>
    </row>
    <row r="891" ht="14.25" customHeight="1">
      <c r="A891" s="76"/>
      <c r="B891" s="77"/>
      <c r="C891" s="76"/>
      <c r="D891" s="76"/>
    </row>
    <row r="892" ht="14.25" customHeight="1">
      <c r="A892" s="76"/>
      <c r="B892" s="77"/>
      <c r="C892" s="76"/>
      <c r="D892" s="76"/>
    </row>
    <row r="893" ht="14.25" customHeight="1">
      <c r="A893" s="76"/>
      <c r="B893" s="77"/>
      <c r="C893" s="76"/>
      <c r="D893" s="76"/>
    </row>
    <row r="894" ht="14.25" customHeight="1">
      <c r="A894" s="76"/>
      <c r="B894" s="77"/>
      <c r="C894" s="76"/>
      <c r="D894" s="76"/>
    </row>
    <row r="895" ht="14.25" customHeight="1">
      <c r="A895" s="76"/>
      <c r="B895" s="77"/>
      <c r="C895" s="76"/>
      <c r="D895" s="76"/>
    </row>
    <row r="896" ht="14.25" customHeight="1">
      <c r="A896" s="76"/>
      <c r="B896" s="77"/>
      <c r="C896" s="76"/>
      <c r="D896" s="76"/>
    </row>
    <row r="897" ht="14.25" customHeight="1">
      <c r="A897" s="76"/>
      <c r="B897" s="77"/>
      <c r="C897" s="76"/>
      <c r="D897" s="76"/>
    </row>
    <row r="898" ht="14.25" customHeight="1">
      <c r="A898" s="76"/>
      <c r="B898" s="77"/>
      <c r="C898" s="76"/>
      <c r="D898" s="76"/>
    </row>
    <row r="899" ht="14.25" customHeight="1">
      <c r="A899" s="76"/>
      <c r="B899" s="77"/>
      <c r="C899" s="76"/>
      <c r="D899" s="76"/>
    </row>
    <row r="900" ht="14.25" customHeight="1">
      <c r="A900" s="76"/>
      <c r="B900" s="77"/>
      <c r="C900" s="76"/>
      <c r="D900" s="76"/>
    </row>
    <row r="901" ht="14.25" customHeight="1">
      <c r="A901" s="76"/>
      <c r="B901" s="77"/>
      <c r="C901" s="76"/>
      <c r="D901" s="76"/>
    </row>
    <row r="902" ht="14.25" customHeight="1">
      <c r="A902" s="76"/>
      <c r="B902" s="77"/>
      <c r="C902" s="76"/>
      <c r="D902" s="76"/>
    </row>
    <row r="903" ht="14.25" customHeight="1">
      <c r="A903" s="76"/>
      <c r="B903" s="77"/>
      <c r="C903" s="76"/>
      <c r="D903" s="76"/>
    </row>
    <row r="904" ht="14.25" customHeight="1">
      <c r="A904" s="76"/>
      <c r="B904" s="77"/>
      <c r="C904" s="76"/>
      <c r="D904" s="76"/>
    </row>
    <row r="905" ht="14.25" customHeight="1">
      <c r="A905" s="76"/>
      <c r="B905" s="77"/>
      <c r="C905" s="76"/>
      <c r="D905" s="76"/>
    </row>
    <row r="906" ht="14.25" customHeight="1">
      <c r="A906" s="76"/>
      <c r="B906" s="77"/>
      <c r="C906" s="76"/>
      <c r="D906" s="76"/>
    </row>
    <row r="907" ht="14.25" customHeight="1">
      <c r="A907" s="76"/>
      <c r="B907" s="77"/>
      <c r="C907" s="76"/>
      <c r="D907" s="76"/>
    </row>
    <row r="908" ht="14.25" customHeight="1">
      <c r="A908" s="76"/>
      <c r="B908" s="77"/>
      <c r="C908" s="76"/>
      <c r="D908" s="76"/>
    </row>
    <row r="909" ht="14.25" customHeight="1">
      <c r="A909" s="76"/>
      <c r="B909" s="77"/>
      <c r="C909" s="76"/>
      <c r="D909" s="76"/>
    </row>
    <row r="910" ht="14.25" customHeight="1">
      <c r="A910" s="76"/>
      <c r="B910" s="77"/>
      <c r="C910" s="76"/>
      <c r="D910" s="76"/>
    </row>
    <row r="911" ht="14.25" customHeight="1">
      <c r="A911" s="76"/>
      <c r="B911" s="77"/>
      <c r="C911" s="76"/>
      <c r="D911" s="76"/>
    </row>
    <row r="912" ht="14.25" customHeight="1">
      <c r="A912" s="76"/>
      <c r="B912" s="77"/>
      <c r="C912" s="76"/>
      <c r="D912" s="76"/>
    </row>
    <row r="913" ht="14.25" customHeight="1">
      <c r="A913" s="76"/>
      <c r="B913" s="77"/>
      <c r="C913" s="76"/>
      <c r="D913" s="76"/>
    </row>
    <row r="914" ht="14.25" customHeight="1">
      <c r="A914" s="76"/>
      <c r="B914" s="77"/>
      <c r="C914" s="76"/>
      <c r="D914" s="76"/>
    </row>
    <row r="915" ht="14.25" customHeight="1">
      <c r="A915" s="76"/>
      <c r="B915" s="77"/>
      <c r="C915" s="76"/>
      <c r="D915" s="76"/>
    </row>
    <row r="916" ht="14.25" customHeight="1">
      <c r="A916" s="76"/>
      <c r="B916" s="77"/>
      <c r="C916" s="76"/>
      <c r="D916" s="76"/>
    </row>
    <row r="917" ht="14.25" customHeight="1">
      <c r="A917" s="76"/>
      <c r="B917" s="77"/>
      <c r="C917" s="76"/>
      <c r="D917" s="76"/>
    </row>
    <row r="918" ht="14.25" customHeight="1">
      <c r="A918" s="76"/>
      <c r="B918" s="77"/>
      <c r="C918" s="76"/>
      <c r="D918" s="76"/>
    </row>
    <row r="919" ht="14.25" customHeight="1">
      <c r="A919" s="76"/>
      <c r="B919" s="77"/>
      <c r="C919" s="76"/>
      <c r="D919" s="76"/>
    </row>
    <row r="920" ht="14.25" customHeight="1">
      <c r="A920" s="76"/>
      <c r="B920" s="77"/>
      <c r="C920" s="76"/>
      <c r="D920" s="76"/>
    </row>
    <row r="921" ht="14.25" customHeight="1">
      <c r="A921" s="76"/>
      <c r="B921" s="77"/>
      <c r="C921" s="76"/>
      <c r="D921" s="76"/>
    </row>
    <row r="922" ht="14.25" customHeight="1">
      <c r="A922" s="76"/>
      <c r="B922" s="77"/>
      <c r="C922" s="76"/>
      <c r="D922" s="76"/>
    </row>
    <row r="923" ht="14.25" customHeight="1">
      <c r="A923" s="76"/>
      <c r="B923" s="77"/>
      <c r="C923" s="76"/>
      <c r="D923" s="76"/>
    </row>
    <row r="924" ht="14.25" customHeight="1">
      <c r="A924" s="76"/>
      <c r="B924" s="77"/>
      <c r="C924" s="76"/>
      <c r="D924" s="76"/>
    </row>
    <row r="925" ht="14.25" customHeight="1">
      <c r="A925" s="76"/>
      <c r="B925" s="77"/>
      <c r="C925" s="76"/>
      <c r="D925" s="76"/>
    </row>
    <row r="926" ht="14.25" customHeight="1">
      <c r="A926" s="76"/>
      <c r="B926" s="77"/>
      <c r="C926" s="76"/>
      <c r="D926" s="76"/>
    </row>
    <row r="927" ht="14.25" customHeight="1">
      <c r="A927" s="76"/>
      <c r="B927" s="77"/>
      <c r="C927" s="76"/>
      <c r="D927" s="76"/>
    </row>
    <row r="928" ht="14.25" customHeight="1">
      <c r="A928" s="76"/>
      <c r="B928" s="77"/>
      <c r="C928" s="76"/>
      <c r="D928" s="76"/>
    </row>
    <row r="929" ht="14.25" customHeight="1">
      <c r="A929" s="76"/>
      <c r="B929" s="77"/>
      <c r="C929" s="76"/>
      <c r="D929" s="76"/>
    </row>
    <row r="930" ht="14.25" customHeight="1">
      <c r="A930" s="76"/>
      <c r="B930" s="77"/>
      <c r="C930" s="76"/>
      <c r="D930" s="76"/>
    </row>
    <row r="931" ht="14.25" customHeight="1">
      <c r="A931" s="76"/>
      <c r="B931" s="77"/>
      <c r="C931" s="76"/>
      <c r="D931" s="76"/>
    </row>
    <row r="932" ht="14.25" customHeight="1">
      <c r="A932" s="76"/>
      <c r="B932" s="77"/>
      <c r="C932" s="76"/>
      <c r="D932" s="76"/>
    </row>
    <row r="933" ht="14.25" customHeight="1">
      <c r="A933" s="76"/>
      <c r="B933" s="77"/>
      <c r="C933" s="76"/>
      <c r="D933" s="76"/>
    </row>
    <row r="934" ht="14.25" customHeight="1">
      <c r="A934" s="76"/>
      <c r="B934" s="77"/>
      <c r="C934" s="76"/>
      <c r="D934" s="76"/>
    </row>
    <row r="935" ht="14.25" customHeight="1">
      <c r="A935" s="76"/>
      <c r="B935" s="77"/>
      <c r="C935" s="76"/>
      <c r="D935" s="76"/>
    </row>
    <row r="936" ht="14.25" customHeight="1">
      <c r="A936" s="76"/>
      <c r="B936" s="77"/>
      <c r="C936" s="76"/>
      <c r="D936" s="76"/>
    </row>
    <row r="937" ht="14.25" customHeight="1">
      <c r="A937" s="76"/>
      <c r="B937" s="77"/>
      <c r="C937" s="76"/>
      <c r="D937" s="76"/>
    </row>
    <row r="938" ht="14.25" customHeight="1">
      <c r="A938" s="76"/>
      <c r="B938" s="77"/>
      <c r="C938" s="76"/>
      <c r="D938" s="76"/>
    </row>
    <row r="939" ht="14.25" customHeight="1">
      <c r="A939" s="76"/>
      <c r="B939" s="77"/>
      <c r="C939" s="76"/>
      <c r="D939" s="76"/>
    </row>
    <row r="940" ht="14.25" customHeight="1">
      <c r="A940" s="76"/>
      <c r="B940" s="77"/>
      <c r="C940" s="76"/>
      <c r="D940" s="76"/>
    </row>
    <row r="941" ht="14.25" customHeight="1">
      <c r="A941" s="76"/>
      <c r="B941" s="77"/>
      <c r="C941" s="76"/>
      <c r="D941" s="76"/>
    </row>
    <row r="942" ht="14.25" customHeight="1">
      <c r="A942" s="76"/>
      <c r="B942" s="77"/>
      <c r="C942" s="76"/>
      <c r="D942" s="76"/>
    </row>
    <row r="943" ht="14.25" customHeight="1">
      <c r="A943" s="76"/>
      <c r="B943" s="77"/>
      <c r="C943" s="76"/>
      <c r="D943" s="76"/>
    </row>
    <row r="944" ht="14.25" customHeight="1">
      <c r="A944" s="76"/>
      <c r="B944" s="77"/>
      <c r="C944" s="76"/>
      <c r="D944" s="76"/>
    </row>
    <row r="945" ht="14.25" customHeight="1">
      <c r="A945" s="76"/>
      <c r="B945" s="77"/>
      <c r="C945" s="76"/>
      <c r="D945" s="76"/>
    </row>
    <row r="946" ht="14.25" customHeight="1">
      <c r="A946" s="76"/>
      <c r="B946" s="77"/>
      <c r="C946" s="76"/>
      <c r="D946" s="76"/>
    </row>
    <row r="947" ht="14.25" customHeight="1">
      <c r="A947" s="76"/>
      <c r="B947" s="77"/>
      <c r="C947" s="76"/>
      <c r="D947" s="76"/>
    </row>
    <row r="948" ht="14.25" customHeight="1">
      <c r="A948" s="76"/>
      <c r="B948" s="77"/>
      <c r="C948" s="76"/>
      <c r="D948" s="76"/>
    </row>
    <row r="949" ht="14.25" customHeight="1">
      <c r="A949" s="76"/>
      <c r="B949" s="77"/>
      <c r="C949" s="76"/>
      <c r="D949" s="76"/>
    </row>
    <row r="950" ht="14.25" customHeight="1">
      <c r="A950" s="76"/>
      <c r="B950" s="77"/>
      <c r="C950" s="76"/>
      <c r="D950" s="76"/>
    </row>
    <row r="951" ht="14.25" customHeight="1">
      <c r="A951" s="76"/>
      <c r="B951" s="77"/>
      <c r="C951" s="76"/>
      <c r="D951" s="76"/>
    </row>
    <row r="952" ht="14.25" customHeight="1">
      <c r="A952" s="76"/>
      <c r="B952" s="77"/>
      <c r="C952" s="76"/>
      <c r="D952" s="76"/>
    </row>
    <row r="953" ht="14.25" customHeight="1">
      <c r="A953" s="76"/>
      <c r="B953" s="77"/>
      <c r="C953" s="76"/>
      <c r="D953" s="76"/>
    </row>
    <row r="954" ht="14.25" customHeight="1">
      <c r="A954" s="76"/>
      <c r="B954" s="77"/>
      <c r="C954" s="76"/>
      <c r="D954" s="76"/>
    </row>
    <row r="955" ht="14.25" customHeight="1">
      <c r="A955" s="76"/>
      <c r="B955" s="77"/>
      <c r="C955" s="76"/>
      <c r="D955" s="76"/>
    </row>
    <row r="956" ht="14.25" customHeight="1">
      <c r="A956" s="76"/>
      <c r="B956" s="77"/>
      <c r="C956" s="76"/>
      <c r="D956" s="76"/>
    </row>
    <row r="957" ht="14.25" customHeight="1">
      <c r="A957" s="76"/>
      <c r="B957" s="77"/>
      <c r="C957" s="76"/>
      <c r="D957" s="76"/>
    </row>
    <row r="958" ht="14.25" customHeight="1">
      <c r="A958" s="76"/>
      <c r="B958" s="77"/>
      <c r="C958" s="76"/>
      <c r="D958" s="76"/>
    </row>
    <row r="959" ht="14.25" customHeight="1">
      <c r="A959" s="76"/>
      <c r="B959" s="77"/>
      <c r="C959" s="76"/>
      <c r="D959" s="76"/>
    </row>
    <row r="960" ht="14.25" customHeight="1">
      <c r="A960" s="76"/>
      <c r="B960" s="77"/>
      <c r="C960" s="76"/>
      <c r="D960" s="76"/>
    </row>
    <row r="961" ht="14.25" customHeight="1">
      <c r="A961" s="76"/>
      <c r="B961" s="77"/>
      <c r="C961" s="76"/>
      <c r="D961" s="76"/>
    </row>
    <row r="962" ht="14.25" customHeight="1">
      <c r="A962" s="76"/>
      <c r="B962" s="77"/>
      <c r="C962" s="76"/>
      <c r="D962" s="76"/>
    </row>
    <row r="963" ht="14.25" customHeight="1">
      <c r="A963" s="76"/>
      <c r="B963" s="77"/>
      <c r="C963" s="76"/>
      <c r="D963" s="76"/>
    </row>
    <row r="964" ht="14.25" customHeight="1">
      <c r="A964" s="76"/>
      <c r="B964" s="77"/>
      <c r="C964" s="76"/>
      <c r="D964" s="76"/>
    </row>
    <row r="965" ht="14.25" customHeight="1">
      <c r="A965" s="76"/>
      <c r="B965" s="77"/>
      <c r="C965" s="76"/>
      <c r="D965" s="76"/>
    </row>
    <row r="966" ht="14.25" customHeight="1">
      <c r="A966" s="76"/>
      <c r="B966" s="77"/>
      <c r="C966" s="76"/>
      <c r="D966" s="76"/>
    </row>
    <row r="967" ht="14.25" customHeight="1">
      <c r="A967" s="76"/>
      <c r="B967" s="77"/>
      <c r="C967" s="76"/>
      <c r="D967" s="76"/>
    </row>
    <row r="968" ht="14.25" customHeight="1">
      <c r="A968" s="76"/>
      <c r="B968" s="77"/>
      <c r="C968" s="76"/>
      <c r="D968" s="76"/>
    </row>
    <row r="969" ht="14.25" customHeight="1">
      <c r="A969" s="76"/>
      <c r="B969" s="77"/>
      <c r="C969" s="76"/>
      <c r="D969" s="76"/>
    </row>
    <row r="970" ht="14.25" customHeight="1">
      <c r="A970" s="76"/>
      <c r="B970" s="77"/>
      <c r="C970" s="76"/>
      <c r="D970" s="76"/>
    </row>
    <row r="971" ht="14.25" customHeight="1">
      <c r="A971" s="76"/>
      <c r="B971" s="77"/>
      <c r="C971" s="76"/>
      <c r="D971" s="76"/>
    </row>
    <row r="972" ht="14.25" customHeight="1">
      <c r="A972" s="76"/>
      <c r="B972" s="77"/>
      <c r="C972" s="76"/>
      <c r="D972" s="76"/>
    </row>
    <row r="973" ht="14.25" customHeight="1">
      <c r="A973" s="76"/>
      <c r="B973" s="77"/>
      <c r="C973" s="76"/>
      <c r="D973" s="76"/>
    </row>
    <row r="974" ht="14.25" customHeight="1">
      <c r="A974" s="76"/>
      <c r="B974" s="77"/>
      <c r="C974" s="76"/>
      <c r="D974" s="76"/>
    </row>
    <row r="975" ht="14.25" customHeight="1">
      <c r="A975" s="76"/>
      <c r="B975" s="77"/>
      <c r="C975" s="76"/>
      <c r="D975" s="76"/>
    </row>
    <row r="976" ht="14.25" customHeight="1">
      <c r="A976" s="76"/>
      <c r="B976" s="77"/>
      <c r="C976" s="76"/>
      <c r="D976" s="76"/>
    </row>
    <row r="977" ht="14.25" customHeight="1">
      <c r="A977" s="76"/>
      <c r="B977" s="77"/>
      <c r="C977" s="76"/>
      <c r="D977" s="76"/>
    </row>
    <row r="978" ht="14.25" customHeight="1">
      <c r="A978" s="76"/>
      <c r="B978" s="77"/>
      <c r="C978" s="76"/>
      <c r="D978" s="76"/>
    </row>
    <row r="979" ht="14.25" customHeight="1">
      <c r="A979" s="76"/>
      <c r="B979" s="77"/>
      <c r="C979" s="76"/>
      <c r="D979" s="76"/>
    </row>
    <row r="980" ht="14.25" customHeight="1">
      <c r="A980" s="76"/>
      <c r="B980" s="77"/>
      <c r="C980" s="76"/>
      <c r="D980" s="76"/>
    </row>
    <row r="981" ht="14.25" customHeight="1">
      <c r="A981" s="76"/>
      <c r="B981" s="77"/>
      <c r="C981" s="76"/>
      <c r="D981" s="76"/>
    </row>
    <row r="982" ht="14.25" customHeight="1">
      <c r="A982" s="76"/>
      <c r="B982" s="77"/>
      <c r="C982" s="76"/>
      <c r="D982" s="76"/>
    </row>
    <row r="983" ht="14.25" customHeight="1">
      <c r="A983" s="76"/>
      <c r="B983" s="77"/>
      <c r="C983" s="76"/>
      <c r="D983" s="76"/>
    </row>
    <row r="984" ht="14.25" customHeight="1">
      <c r="A984" s="76"/>
      <c r="B984" s="77"/>
      <c r="C984" s="76"/>
      <c r="D984" s="76"/>
    </row>
    <row r="985" ht="14.25" customHeight="1">
      <c r="A985" s="76"/>
      <c r="B985" s="77"/>
      <c r="C985" s="76"/>
      <c r="D985" s="76"/>
    </row>
    <row r="986" ht="14.25" customHeight="1">
      <c r="A986" s="76"/>
      <c r="B986" s="77"/>
      <c r="C986" s="76"/>
      <c r="D986" s="76"/>
    </row>
    <row r="987" ht="14.25" customHeight="1">
      <c r="A987" s="76"/>
      <c r="B987" s="77"/>
      <c r="C987" s="76"/>
      <c r="D987" s="76"/>
    </row>
    <row r="988" ht="14.25" customHeight="1">
      <c r="A988" s="76"/>
      <c r="B988" s="77"/>
      <c r="C988" s="76"/>
      <c r="D988" s="76"/>
    </row>
    <row r="989" ht="14.25" customHeight="1">
      <c r="A989" s="76"/>
      <c r="B989" s="77"/>
      <c r="C989" s="76"/>
      <c r="D989" s="76"/>
    </row>
    <row r="990" ht="14.25" customHeight="1">
      <c r="A990" s="76"/>
      <c r="B990" s="77"/>
      <c r="C990" s="76"/>
      <c r="D990" s="76"/>
    </row>
    <row r="991" ht="14.25" customHeight="1">
      <c r="A991" s="76"/>
      <c r="B991" s="77"/>
      <c r="C991" s="76"/>
      <c r="D991" s="76"/>
    </row>
    <row r="992" ht="14.25" customHeight="1">
      <c r="A992" s="76"/>
      <c r="B992" s="77"/>
      <c r="C992" s="76"/>
      <c r="D992" s="76"/>
    </row>
    <row r="993">
      <c r="A993" s="54"/>
      <c r="C993" s="54"/>
      <c r="D993" s="54"/>
    </row>
    <row r="994">
      <c r="A994" s="54"/>
      <c r="C994" s="54"/>
      <c r="D994" s="54"/>
    </row>
    <row r="995">
      <c r="A995" s="54"/>
      <c r="C995" s="54"/>
      <c r="D995" s="54"/>
    </row>
    <row r="996">
      <c r="A996" s="54"/>
      <c r="C996" s="54"/>
      <c r="D996" s="54"/>
    </row>
    <row r="997">
      <c r="A997" s="54"/>
      <c r="C997" s="54"/>
      <c r="D997" s="54"/>
    </row>
    <row r="998">
      <c r="A998" s="54"/>
      <c r="C998" s="54"/>
      <c r="D998" s="54"/>
    </row>
    <row r="999">
      <c r="A999" s="54"/>
      <c r="C999" s="54"/>
      <c r="D999" s="54"/>
    </row>
    <row r="1000">
      <c r="A1000" s="54"/>
      <c r="C1000" s="54"/>
      <c r="D1000" s="54"/>
    </row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1" max="11" width="42.71"/>
  </cols>
  <sheetData>
    <row r="1">
      <c r="A1" s="78" t="s">
        <v>373</v>
      </c>
      <c r="B1" s="78" t="s">
        <v>374</v>
      </c>
      <c r="C1" s="79" t="s">
        <v>375</v>
      </c>
      <c r="D1" s="79" t="s">
        <v>376</v>
      </c>
      <c r="E1" s="80" t="s">
        <v>377</v>
      </c>
      <c r="F1" s="80" t="s">
        <v>378</v>
      </c>
      <c r="G1" s="81" t="s">
        <v>379</v>
      </c>
      <c r="H1" s="81" t="s">
        <v>380</v>
      </c>
      <c r="I1" s="82" t="s">
        <v>381</v>
      </c>
      <c r="J1" s="82" t="s">
        <v>382</v>
      </c>
      <c r="K1" s="83" t="s">
        <v>383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84">
        <v>1.0</v>
      </c>
      <c r="B2" s="13" t="s">
        <v>384</v>
      </c>
      <c r="C2" s="85">
        <v>0.0</v>
      </c>
      <c r="D2" s="86">
        <v>0.07</v>
      </c>
      <c r="E2" s="86">
        <v>0.07</v>
      </c>
      <c r="F2" s="87">
        <v>0.13</v>
      </c>
      <c r="G2" s="87">
        <v>0.13</v>
      </c>
      <c r="H2" s="87">
        <v>0.23</v>
      </c>
      <c r="I2" s="87">
        <v>0.23</v>
      </c>
      <c r="J2" s="84">
        <v>1.0</v>
      </c>
      <c r="K2" s="88" t="s">
        <v>385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>
      <c r="K3" s="89"/>
    </row>
    <row r="4">
      <c r="K4" s="89"/>
    </row>
    <row r="5">
      <c r="D5" s="4"/>
      <c r="K5" s="89"/>
    </row>
    <row r="6">
      <c r="D6" s="4"/>
      <c r="K6" s="89"/>
    </row>
    <row r="7">
      <c r="D7" s="4"/>
      <c r="K7" s="89"/>
    </row>
    <row r="8">
      <c r="K8" s="89"/>
    </row>
    <row r="9">
      <c r="K9" s="89"/>
    </row>
    <row r="10">
      <c r="K10" s="89"/>
    </row>
    <row r="11">
      <c r="C11" s="24"/>
      <c r="K11" s="89"/>
    </row>
    <row r="12">
      <c r="C12" s="24"/>
      <c r="K12" s="89"/>
    </row>
    <row r="13">
      <c r="K13" s="89"/>
    </row>
    <row r="14">
      <c r="K14" s="89"/>
    </row>
    <row r="15">
      <c r="K15" s="89"/>
    </row>
    <row r="16">
      <c r="K16" s="89"/>
    </row>
    <row r="17">
      <c r="K17" s="89"/>
    </row>
    <row r="18">
      <c r="K18" s="89"/>
    </row>
    <row r="19">
      <c r="K19" s="89"/>
    </row>
    <row r="20">
      <c r="K20" s="89"/>
    </row>
    <row r="21">
      <c r="K21" s="89"/>
    </row>
    <row r="22">
      <c r="K22" s="89"/>
    </row>
    <row r="23">
      <c r="K23" s="89"/>
    </row>
    <row r="24">
      <c r="K24" s="89"/>
    </row>
    <row r="25">
      <c r="K25" s="89"/>
    </row>
    <row r="26">
      <c r="K26" s="89"/>
    </row>
    <row r="27">
      <c r="K27" s="89"/>
    </row>
    <row r="28">
      <c r="K28" s="89"/>
    </row>
    <row r="29">
      <c r="K29" s="89"/>
    </row>
    <row r="30">
      <c r="K30" s="89"/>
    </row>
    <row r="31">
      <c r="K31" s="89"/>
    </row>
    <row r="32">
      <c r="K32" s="89"/>
    </row>
    <row r="33">
      <c r="K33" s="89"/>
    </row>
    <row r="34">
      <c r="K34" s="89"/>
    </row>
    <row r="35">
      <c r="K35" s="89"/>
    </row>
    <row r="36">
      <c r="K36" s="89"/>
    </row>
    <row r="37">
      <c r="K37" s="89"/>
    </row>
    <row r="38">
      <c r="K38" s="89"/>
    </row>
    <row r="39">
      <c r="K39" s="89"/>
    </row>
    <row r="40">
      <c r="K40" s="89"/>
    </row>
    <row r="41">
      <c r="K41" s="89"/>
    </row>
    <row r="42">
      <c r="K42" s="89"/>
    </row>
    <row r="43">
      <c r="K43" s="89"/>
    </row>
    <row r="44">
      <c r="K44" s="89"/>
    </row>
    <row r="45">
      <c r="K45" s="89"/>
    </row>
    <row r="46">
      <c r="K46" s="89"/>
    </row>
    <row r="47">
      <c r="K47" s="89"/>
    </row>
    <row r="48">
      <c r="K48" s="89"/>
    </row>
    <row r="49">
      <c r="K49" s="89"/>
    </row>
    <row r="50">
      <c r="K50" s="89"/>
    </row>
    <row r="51">
      <c r="K51" s="89"/>
    </row>
    <row r="52">
      <c r="K52" s="89"/>
    </row>
    <row r="53">
      <c r="K53" s="89"/>
    </row>
    <row r="54">
      <c r="K54" s="89"/>
    </row>
    <row r="55">
      <c r="K55" s="89"/>
    </row>
    <row r="56">
      <c r="K56" s="89"/>
    </row>
    <row r="57">
      <c r="K57" s="89"/>
    </row>
    <row r="58">
      <c r="K58" s="89"/>
    </row>
    <row r="59">
      <c r="K59" s="89"/>
    </row>
    <row r="60">
      <c r="K60" s="89"/>
    </row>
    <row r="61">
      <c r="K61" s="89"/>
    </row>
    <row r="62">
      <c r="K62" s="89"/>
    </row>
    <row r="63">
      <c r="K63" s="89"/>
    </row>
    <row r="64">
      <c r="K64" s="89"/>
    </row>
    <row r="65">
      <c r="K65" s="89"/>
    </row>
    <row r="66">
      <c r="K66" s="89"/>
    </row>
    <row r="67">
      <c r="K67" s="89"/>
    </row>
    <row r="68">
      <c r="K68" s="89"/>
    </row>
    <row r="69">
      <c r="K69" s="89"/>
    </row>
    <row r="70">
      <c r="K70" s="89"/>
    </row>
    <row r="71">
      <c r="K71" s="89"/>
    </row>
    <row r="72">
      <c r="K72" s="89"/>
    </row>
    <row r="73">
      <c r="K73" s="89"/>
    </row>
    <row r="74">
      <c r="K74" s="89"/>
    </row>
    <row r="75">
      <c r="K75" s="89"/>
    </row>
    <row r="76">
      <c r="K76" s="89"/>
    </row>
    <row r="77">
      <c r="K77" s="89"/>
    </row>
    <row r="78">
      <c r="K78" s="89"/>
    </row>
    <row r="79">
      <c r="K79" s="89"/>
    </row>
    <row r="80">
      <c r="K80" s="89"/>
    </row>
    <row r="81">
      <c r="K81" s="89"/>
    </row>
    <row r="82">
      <c r="K82" s="89"/>
    </row>
    <row r="83">
      <c r="K83" s="89"/>
    </row>
    <row r="84">
      <c r="K84" s="89"/>
    </row>
    <row r="85">
      <c r="K85" s="89"/>
    </row>
    <row r="86">
      <c r="K86" s="89"/>
    </row>
    <row r="87">
      <c r="K87" s="89"/>
    </row>
    <row r="88">
      <c r="K88" s="89"/>
    </row>
    <row r="89">
      <c r="K89" s="89"/>
    </row>
    <row r="90">
      <c r="K90" s="89"/>
    </row>
    <row r="91">
      <c r="K91" s="89"/>
    </row>
    <row r="92">
      <c r="K92" s="89"/>
    </row>
    <row r="93">
      <c r="K93" s="89"/>
    </row>
    <row r="94">
      <c r="K94" s="89"/>
    </row>
    <row r="95">
      <c r="K95" s="89"/>
    </row>
    <row r="96">
      <c r="K96" s="89"/>
    </row>
    <row r="97">
      <c r="K97" s="89"/>
    </row>
    <row r="98">
      <c r="K98" s="89"/>
    </row>
    <row r="99">
      <c r="K99" s="89"/>
    </row>
    <row r="100">
      <c r="K100" s="89"/>
    </row>
    <row r="101">
      <c r="K101" s="89"/>
    </row>
    <row r="102">
      <c r="K102" s="89"/>
    </row>
    <row r="103">
      <c r="K103" s="89"/>
    </row>
    <row r="104">
      <c r="K104" s="89"/>
    </row>
    <row r="105">
      <c r="K105" s="89"/>
    </row>
    <row r="106">
      <c r="K106" s="89"/>
    </row>
    <row r="107">
      <c r="K107" s="89"/>
    </row>
    <row r="108">
      <c r="K108" s="89"/>
    </row>
    <row r="109">
      <c r="K109" s="89"/>
    </row>
    <row r="110">
      <c r="K110" s="89"/>
    </row>
    <row r="111">
      <c r="K111" s="89"/>
    </row>
    <row r="112">
      <c r="K112" s="89"/>
    </row>
    <row r="113">
      <c r="K113" s="89"/>
    </row>
    <row r="114">
      <c r="K114" s="89"/>
    </row>
    <row r="115">
      <c r="K115" s="89"/>
    </row>
    <row r="116">
      <c r="K116" s="89"/>
    </row>
    <row r="117">
      <c r="K117" s="89"/>
    </row>
    <row r="118">
      <c r="K118" s="89"/>
    </row>
    <row r="119">
      <c r="K119" s="89"/>
    </row>
    <row r="120">
      <c r="K120" s="89"/>
    </row>
    <row r="121">
      <c r="K121" s="89"/>
    </row>
    <row r="122">
      <c r="K122" s="89"/>
    </row>
    <row r="123">
      <c r="K123" s="89"/>
    </row>
    <row r="124">
      <c r="K124" s="89"/>
    </row>
    <row r="125">
      <c r="K125" s="89"/>
    </row>
    <row r="126">
      <c r="K126" s="89"/>
    </row>
    <row r="127">
      <c r="K127" s="89"/>
    </row>
    <row r="128">
      <c r="K128" s="89"/>
    </row>
    <row r="129">
      <c r="K129" s="89"/>
    </row>
    <row r="130">
      <c r="K130" s="89"/>
    </row>
    <row r="131">
      <c r="K131" s="89"/>
    </row>
    <row r="132">
      <c r="K132" s="89"/>
    </row>
    <row r="133">
      <c r="K133" s="89"/>
    </row>
    <row r="134">
      <c r="K134" s="89"/>
    </row>
    <row r="135">
      <c r="K135" s="89"/>
    </row>
    <row r="136">
      <c r="K136" s="89"/>
    </row>
    <row r="137">
      <c r="K137" s="89"/>
    </row>
    <row r="138">
      <c r="K138" s="89"/>
    </row>
    <row r="139">
      <c r="K139" s="89"/>
    </row>
    <row r="140">
      <c r="K140" s="89"/>
    </row>
    <row r="141">
      <c r="K141" s="89"/>
    </row>
    <row r="142">
      <c r="K142" s="89"/>
    </row>
    <row r="143">
      <c r="K143" s="89"/>
    </row>
    <row r="144">
      <c r="K144" s="89"/>
    </row>
    <row r="145">
      <c r="K145" s="89"/>
    </row>
    <row r="146">
      <c r="K146" s="89"/>
    </row>
    <row r="147">
      <c r="K147" s="89"/>
    </row>
    <row r="148">
      <c r="K148" s="89"/>
    </row>
    <row r="149">
      <c r="K149" s="89"/>
    </row>
    <row r="150">
      <c r="K150" s="89"/>
    </row>
    <row r="151">
      <c r="K151" s="89"/>
    </row>
    <row r="152">
      <c r="K152" s="89"/>
    </row>
    <row r="153">
      <c r="K153" s="89"/>
    </row>
    <row r="154">
      <c r="K154" s="89"/>
    </row>
    <row r="155">
      <c r="K155" s="89"/>
    </row>
    <row r="156">
      <c r="K156" s="89"/>
    </row>
    <row r="157">
      <c r="K157" s="89"/>
    </row>
    <row r="158">
      <c r="K158" s="89"/>
    </row>
    <row r="159">
      <c r="K159" s="89"/>
    </row>
    <row r="160">
      <c r="K160" s="89"/>
    </row>
    <row r="161">
      <c r="K161" s="89"/>
    </row>
    <row r="162">
      <c r="K162" s="89"/>
    </row>
    <row r="163">
      <c r="K163" s="89"/>
    </row>
    <row r="164">
      <c r="K164" s="89"/>
    </row>
    <row r="165">
      <c r="K165" s="89"/>
    </row>
    <row r="166">
      <c r="K166" s="89"/>
    </row>
    <row r="167">
      <c r="K167" s="89"/>
    </row>
    <row r="168">
      <c r="K168" s="89"/>
    </row>
    <row r="169">
      <c r="K169" s="89"/>
    </row>
    <row r="170">
      <c r="K170" s="89"/>
    </row>
    <row r="171">
      <c r="K171" s="89"/>
    </row>
    <row r="172">
      <c r="K172" s="89"/>
    </row>
    <row r="173">
      <c r="K173" s="89"/>
    </row>
    <row r="174">
      <c r="K174" s="89"/>
    </row>
    <row r="175">
      <c r="K175" s="89"/>
    </row>
    <row r="176">
      <c r="K176" s="89"/>
    </row>
    <row r="177">
      <c r="K177" s="89"/>
    </row>
    <row r="178">
      <c r="K178" s="89"/>
    </row>
    <row r="179">
      <c r="K179" s="89"/>
    </row>
    <row r="180">
      <c r="K180" s="89"/>
    </row>
    <row r="181">
      <c r="K181" s="89"/>
    </row>
    <row r="182">
      <c r="K182" s="89"/>
    </row>
    <row r="183">
      <c r="K183" s="89"/>
    </row>
    <row r="184">
      <c r="K184" s="89"/>
    </row>
    <row r="185">
      <c r="K185" s="89"/>
    </row>
    <row r="186">
      <c r="K186" s="89"/>
    </row>
    <row r="187">
      <c r="K187" s="89"/>
    </row>
    <row r="188">
      <c r="K188" s="89"/>
    </row>
    <row r="189">
      <c r="K189" s="89"/>
    </row>
    <row r="190">
      <c r="K190" s="89"/>
    </row>
    <row r="191">
      <c r="K191" s="89"/>
    </row>
    <row r="192">
      <c r="K192" s="89"/>
    </row>
    <row r="193">
      <c r="K193" s="89"/>
    </row>
    <row r="194">
      <c r="K194" s="89"/>
    </row>
    <row r="195">
      <c r="K195" s="89"/>
    </row>
    <row r="196">
      <c r="K196" s="89"/>
    </row>
    <row r="197">
      <c r="K197" s="89"/>
    </row>
    <row r="198">
      <c r="K198" s="89"/>
    </row>
    <row r="199">
      <c r="K199" s="89"/>
    </row>
    <row r="200">
      <c r="K200" s="89"/>
    </row>
    <row r="201">
      <c r="K201" s="89"/>
    </row>
    <row r="202">
      <c r="K202" s="89"/>
    </row>
    <row r="203">
      <c r="K203" s="89"/>
    </row>
    <row r="204">
      <c r="K204" s="89"/>
    </row>
    <row r="205">
      <c r="K205" s="89"/>
    </row>
    <row r="206">
      <c r="K206" s="89"/>
    </row>
    <row r="207">
      <c r="K207" s="89"/>
    </row>
    <row r="208">
      <c r="K208" s="89"/>
    </row>
    <row r="209">
      <c r="K209" s="89"/>
    </row>
    <row r="210">
      <c r="K210" s="89"/>
    </row>
    <row r="211">
      <c r="K211" s="89"/>
    </row>
    <row r="212">
      <c r="K212" s="89"/>
    </row>
    <row r="213">
      <c r="K213" s="89"/>
    </row>
    <row r="214">
      <c r="K214" s="89"/>
    </row>
    <row r="215">
      <c r="K215" s="89"/>
    </row>
    <row r="216">
      <c r="K216" s="89"/>
    </row>
    <row r="217">
      <c r="K217" s="89"/>
    </row>
    <row r="218">
      <c r="K218" s="89"/>
    </row>
    <row r="219">
      <c r="K219" s="89"/>
    </row>
    <row r="220">
      <c r="K220" s="89"/>
    </row>
    <row r="221">
      <c r="K221" s="89"/>
    </row>
    <row r="222">
      <c r="K222" s="89"/>
    </row>
    <row r="223">
      <c r="K223" s="89"/>
    </row>
    <row r="224">
      <c r="K224" s="89"/>
    </row>
    <row r="225">
      <c r="K225" s="89"/>
    </row>
    <row r="226">
      <c r="K226" s="89"/>
    </row>
    <row r="227">
      <c r="K227" s="89"/>
    </row>
    <row r="228">
      <c r="K228" s="89"/>
    </row>
    <row r="229">
      <c r="K229" s="89"/>
    </row>
    <row r="230">
      <c r="K230" s="89"/>
    </row>
    <row r="231">
      <c r="K231" s="89"/>
    </row>
    <row r="232">
      <c r="K232" s="89"/>
    </row>
    <row r="233">
      <c r="K233" s="89"/>
    </row>
    <row r="234">
      <c r="K234" s="89"/>
    </row>
    <row r="235">
      <c r="K235" s="89"/>
    </row>
    <row r="236">
      <c r="K236" s="89"/>
    </row>
    <row r="237">
      <c r="K237" s="89"/>
    </row>
    <row r="238">
      <c r="K238" s="89"/>
    </row>
    <row r="239">
      <c r="K239" s="89"/>
    </row>
    <row r="240">
      <c r="K240" s="89"/>
    </row>
    <row r="241">
      <c r="K241" s="89"/>
    </row>
    <row r="242">
      <c r="K242" s="89"/>
    </row>
    <row r="243">
      <c r="K243" s="89"/>
    </row>
    <row r="244">
      <c r="K244" s="89"/>
    </row>
    <row r="245">
      <c r="K245" s="89"/>
    </row>
    <row r="246">
      <c r="K246" s="89"/>
    </row>
    <row r="247">
      <c r="K247" s="89"/>
    </row>
    <row r="248">
      <c r="K248" s="89"/>
    </row>
    <row r="249">
      <c r="K249" s="89"/>
    </row>
    <row r="250">
      <c r="K250" s="89"/>
    </row>
    <row r="251">
      <c r="K251" s="89"/>
    </row>
    <row r="252">
      <c r="K252" s="89"/>
    </row>
    <row r="253">
      <c r="K253" s="89"/>
    </row>
    <row r="254">
      <c r="K254" s="89"/>
    </row>
    <row r="255">
      <c r="K255" s="89"/>
    </row>
    <row r="256">
      <c r="K256" s="89"/>
    </row>
    <row r="257">
      <c r="K257" s="89"/>
    </row>
    <row r="258">
      <c r="K258" s="89"/>
    </row>
    <row r="259">
      <c r="K259" s="89"/>
    </row>
    <row r="260">
      <c r="K260" s="89"/>
    </row>
    <row r="261">
      <c r="K261" s="89"/>
    </row>
    <row r="262">
      <c r="K262" s="89"/>
    </row>
    <row r="263">
      <c r="K263" s="89"/>
    </row>
    <row r="264">
      <c r="K264" s="89"/>
    </row>
    <row r="265">
      <c r="K265" s="89"/>
    </row>
    <row r="266">
      <c r="K266" s="89"/>
    </row>
    <row r="267">
      <c r="K267" s="89"/>
    </row>
    <row r="268">
      <c r="K268" s="89"/>
    </row>
    <row r="269">
      <c r="K269" s="89"/>
    </row>
    <row r="270">
      <c r="K270" s="89"/>
    </row>
    <row r="271">
      <c r="K271" s="89"/>
    </row>
    <row r="272">
      <c r="K272" s="89"/>
    </row>
    <row r="273">
      <c r="K273" s="89"/>
    </row>
    <row r="274">
      <c r="K274" s="89"/>
    </row>
    <row r="275">
      <c r="K275" s="89"/>
    </row>
    <row r="276">
      <c r="K276" s="89"/>
    </row>
    <row r="277">
      <c r="K277" s="89"/>
    </row>
    <row r="278">
      <c r="K278" s="89"/>
    </row>
    <row r="279">
      <c r="K279" s="89"/>
    </row>
    <row r="280">
      <c r="K280" s="89"/>
    </row>
    <row r="281">
      <c r="K281" s="89"/>
    </row>
    <row r="282">
      <c r="K282" s="89"/>
    </row>
    <row r="283">
      <c r="K283" s="89"/>
    </row>
    <row r="284">
      <c r="K284" s="89"/>
    </row>
    <row r="285">
      <c r="K285" s="89"/>
    </row>
    <row r="286">
      <c r="K286" s="89"/>
    </row>
    <row r="287">
      <c r="K287" s="89"/>
    </row>
    <row r="288">
      <c r="K288" s="89"/>
    </row>
    <row r="289">
      <c r="K289" s="89"/>
    </row>
    <row r="290">
      <c r="K290" s="89"/>
    </row>
    <row r="291">
      <c r="K291" s="89"/>
    </row>
    <row r="292">
      <c r="K292" s="89"/>
    </row>
    <row r="293">
      <c r="K293" s="89"/>
    </row>
    <row r="294">
      <c r="K294" s="89"/>
    </row>
    <row r="295">
      <c r="K295" s="89"/>
    </row>
    <row r="296">
      <c r="K296" s="89"/>
    </row>
    <row r="297">
      <c r="K297" s="89"/>
    </row>
    <row r="298">
      <c r="K298" s="89"/>
    </row>
    <row r="299">
      <c r="K299" s="89"/>
    </row>
    <row r="300">
      <c r="K300" s="89"/>
    </row>
    <row r="301">
      <c r="K301" s="89"/>
    </row>
    <row r="302">
      <c r="K302" s="89"/>
    </row>
    <row r="303">
      <c r="K303" s="89"/>
    </row>
    <row r="304">
      <c r="K304" s="89"/>
    </row>
    <row r="305">
      <c r="K305" s="89"/>
    </row>
    <row r="306">
      <c r="K306" s="89"/>
    </row>
    <row r="307">
      <c r="K307" s="89"/>
    </row>
    <row r="308">
      <c r="K308" s="89"/>
    </row>
    <row r="309">
      <c r="K309" s="89"/>
    </row>
    <row r="310">
      <c r="K310" s="89"/>
    </row>
    <row r="311">
      <c r="K311" s="89"/>
    </row>
    <row r="312">
      <c r="K312" s="89"/>
    </row>
    <row r="313">
      <c r="K313" s="89"/>
    </row>
    <row r="314">
      <c r="K314" s="89"/>
    </row>
    <row r="315">
      <c r="K315" s="89"/>
    </row>
    <row r="316">
      <c r="K316" s="89"/>
    </row>
    <row r="317">
      <c r="K317" s="89"/>
    </row>
    <row r="318">
      <c r="K318" s="89"/>
    </row>
    <row r="319">
      <c r="K319" s="89"/>
    </row>
    <row r="320">
      <c r="K320" s="89"/>
    </row>
    <row r="321">
      <c r="K321" s="89"/>
    </row>
    <row r="322">
      <c r="K322" s="89"/>
    </row>
    <row r="323">
      <c r="K323" s="89"/>
    </row>
    <row r="324">
      <c r="K324" s="89"/>
    </row>
    <row r="325">
      <c r="K325" s="89"/>
    </row>
    <row r="326">
      <c r="K326" s="89"/>
    </row>
    <row r="327">
      <c r="K327" s="89"/>
    </row>
    <row r="328">
      <c r="K328" s="89"/>
    </row>
    <row r="329">
      <c r="K329" s="89"/>
    </row>
    <row r="330">
      <c r="K330" s="89"/>
    </row>
    <row r="331">
      <c r="K331" s="89"/>
    </row>
    <row r="332">
      <c r="K332" s="89"/>
    </row>
    <row r="333">
      <c r="K333" s="89"/>
    </row>
    <row r="334">
      <c r="K334" s="89"/>
    </row>
    <row r="335">
      <c r="K335" s="89"/>
    </row>
    <row r="336">
      <c r="K336" s="89"/>
    </row>
    <row r="337">
      <c r="K337" s="89"/>
    </row>
    <row r="338">
      <c r="K338" s="89"/>
    </row>
    <row r="339">
      <c r="K339" s="89"/>
    </row>
    <row r="340">
      <c r="K340" s="89"/>
    </row>
    <row r="341">
      <c r="K341" s="89"/>
    </row>
    <row r="342">
      <c r="K342" s="89"/>
    </row>
    <row r="343">
      <c r="K343" s="89"/>
    </row>
    <row r="344">
      <c r="K344" s="89"/>
    </row>
    <row r="345">
      <c r="K345" s="89"/>
    </row>
    <row r="346">
      <c r="K346" s="89"/>
    </row>
    <row r="347">
      <c r="K347" s="89"/>
    </row>
    <row r="348">
      <c r="K348" s="89"/>
    </row>
    <row r="349">
      <c r="K349" s="89"/>
    </row>
    <row r="350">
      <c r="K350" s="89"/>
    </row>
    <row r="351">
      <c r="K351" s="89"/>
    </row>
    <row r="352">
      <c r="K352" s="89"/>
    </row>
    <row r="353">
      <c r="K353" s="89"/>
    </row>
    <row r="354">
      <c r="K354" s="89"/>
    </row>
    <row r="355">
      <c r="K355" s="89"/>
    </row>
    <row r="356">
      <c r="K356" s="89"/>
    </row>
    <row r="357">
      <c r="K357" s="89"/>
    </row>
    <row r="358">
      <c r="K358" s="89"/>
    </row>
    <row r="359">
      <c r="K359" s="89"/>
    </row>
    <row r="360">
      <c r="K360" s="89"/>
    </row>
    <row r="361">
      <c r="K361" s="89"/>
    </row>
    <row r="362">
      <c r="K362" s="89"/>
    </row>
    <row r="363">
      <c r="K363" s="89"/>
    </row>
    <row r="364">
      <c r="K364" s="89"/>
    </row>
    <row r="365">
      <c r="K365" s="89"/>
    </row>
    <row r="366">
      <c r="K366" s="89"/>
    </row>
    <row r="367">
      <c r="K367" s="89"/>
    </row>
    <row r="368">
      <c r="K368" s="89"/>
    </row>
    <row r="369">
      <c r="K369" s="89"/>
    </row>
    <row r="370">
      <c r="K370" s="89"/>
    </row>
    <row r="371">
      <c r="K371" s="89"/>
    </row>
    <row r="372">
      <c r="K372" s="89"/>
    </row>
    <row r="373">
      <c r="K373" s="89"/>
    </row>
    <row r="374">
      <c r="K374" s="89"/>
    </row>
    <row r="375">
      <c r="K375" s="89"/>
    </row>
    <row r="376">
      <c r="K376" s="89"/>
    </row>
    <row r="377">
      <c r="K377" s="89"/>
    </row>
    <row r="378">
      <c r="K378" s="89"/>
    </row>
    <row r="379">
      <c r="K379" s="89"/>
    </row>
    <row r="380">
      <c r="K380" s="89"/>
    </row>
    <row r="381">
      <c r="K381" s="89"/>
    </row>
    <row r="382">
      <c r="K382" s="89"/>
    </row>
    <row r="383">
      <c r="K383" s="89"/>
    </row>
    <row r="384">
      <c r="K384" s="89"/>
    </row>
    <row r="385">
      <c r="K385" s="89"/>
    </row>
    <row r="386">
      <c r="K386" s="89"/>
    </row>
    <row r="387">
      <c r="K387" s="89"/>
    </row>
    <row r="388">
      <c r="K388" s="89"/>
    </row>
    <row r="389">
      <c r="K389" s="89"/>
    </row>
    <row r="390">
      <c r="K390" s="89"/>
    </row>
    <row r="391">
      <c r="K391" s="89"/>
    </row>
    <row r="392">
      <c r="K392" s="89"/>
    </row>
    <row r="393">
      <c r="K393" s="89"/>
    </row>
    <row r="394">
      <c r="K394" s="89"/>
    </row>
    <row r="395">
      <c r="K395" s="89"/>
    </row>
    <row r="396">
      <c r="K396" s="89"/>
    </row>
    <row r="397">
      <c r="K397" s="89"/>
    </row>
    <row r="398">
      <c r="K398" s="89"/>
    </row>
    <row r="399">
      <c r="K399" s="89"/>
    </row>
    <row r="400">
      <c r="K400" s="89"/>
    </row>
    <row r="401">
      <c r="K401" s="89"/>
    </row>
    <row r="402">
      <c r="K402" s="89"/>
    </row>
    <row r="403">
      <c r="K403" s="89"/>
    </row>
    <row r="404">
      <c r="K404" s="89"/>
    </row>
    <row r="405">
      <c r="K405" s="89"/>
    </row>
    <row r="406">
      <c r="K406" s="89"/>
    </row>
    <row r="407">
      <c r="K407" s="89"/>
    </row>
    <row r="408">
      <c r="K408" s="89"/>
    </row>
    <row r="409">
      <c r="K409" s="89"/>
    </row>
    <row r="410">
      <c r="K410" s="89"/>
    </row>
    <row r="411">
      <c r="K411" s="89"/>
    </row>
    <row r="412">
      <c r="K412" s="89"/>
    </row>
    <row r="413">
      <c r="K413" s="89"/>
    </row>
    <row r="414">
      <c r="K414" s="89"/>
    </row>
    <row r="415">
      <c r="K415" s="89"/>
    </row>
    <row r="416">
      <c r="K416" s="89"/>
    </row>
    <row r="417">
      <c r="K417" s="89"/>
    </row>
    <row r="418">
      <c r="K418" s="89"/>
    </row>
    <row r="419">
      <c r="K419" s="89"/>
    </row>
    <row r="420">
      <c r="K420" s="89"/>
    </row>
    <row r="421">
      <c r="K421" s="89"/>
    </row>
    <row r="422">
      <c r="K422" s="89"/>
    </row>
    <row r="423">
      <c r="K423" s="89"/>
    </row>
    <row r="424">
      <c r="K424" s="89"/>
    </row>
    <row r="425">
      <c r="K425" s="89"/>
    </row>
    <row r="426">
      <c r="K426" s="89"/>
    </row>
    <row r="427">
      <c r="K427" s="89"/>
    </row>
    <row r="428">
      <c r="K428" s="89"/>
    </row>
    <row r="429">
      <c r="K429" s="89"/>
    </row>
    <row r="430">
      <c r="K430" s="89"/>
    </row>
    <row r="431">
      <c r="K431" s="89"/>
    </row>
    <row r="432">
      <c r="K432" s="89"/>
    </row>
    <row r="433">
      <c r="K433" s="89"/>
    </row>
    <row r="434">
      <c r="K434" s="89"/>
    </row>
    <row r="435">
      <c r="K435" s="89"/>
    </row>
    <row r="436">
      <c r="K436" s="89"/>
    </row>
    <row r="437">
      <c r="K437" s="89"/>
    </row>
    <row r="438">
      <c r="K438" s="89"/>
    </row>
    <row r="439">
      <c r="K439" s="89"/>
    </row>
    <row r="440">
      <c r="K440" s="89"/>
    </row>
    <row r="441">
      <c r="K441" s="89"/>
    </row>
    <row r="442">
      <c r="K442" s="89"/>
    </row>
    <row r="443">
      <c r="K443" s="89"/>
    </row>
    <row r="444">
      <c r="K444" s="89"/>
    </row>
    <row r="445">
      <c r="K445" s="89"/>
    </row>
    <row r="446">
      <c r="K446" s="89"/>
    </row>
    <row r="447">
      <c r="K447" s="89"/>
    </row>
    <row r="448">
      <c r="K448" s="89"/>
    </row>
    <row r="449">
      <c r="K449" s="89"/>
    </row>
    <row r="450">
      <c r="K450" s="89"/>
    </row>
    <row r="451">
      <c r="K451" s="89"/>
    </row>
    <row r="452">
      <c r="K452" s="89"/>
    </row>
    <row r="453">
      <c r="K453" s="89"/>
    </row>
    <row r="454">
      <c r="K454" s="89"/>
    </row>
    <row r="455">
      <c r="K455" s="89"/>
    </row>
    <row r="456">
      <c r="K456" s="89"/>
    </row>
    <row r="457">
      <c r="K457" s="89"/>
    </row>
    <row r="458">
      <c r="K458" s="89"/>
    </row>
    <row r="459">
      <c r="K459" s="89"/>
    </row>
    <row r="460">
      <c r="K460" s="89"/>
    </row>
    <row r="461">
      <c r="K461" s="89"/>
    </row>
    <row r="462">
      <c r="K462" s="89"/>
    </row>
    <row r="463">
      <c r="K463" s="89"/>
    </row>
    <row r="464">
      <c r="K464" s="89"/>
    </row>
    <row r="465">
      <c r="K465" s="89"/>
    </row>
    <row r="466">
      <c r="K466" s="89"/>
    </row>
    <row r="467">
      <c r="K467" s="89"/>
    </row>
    <row r="468">
      <c r="K468" s="89"/>
    </row>
    <row r="469">
      <c r="K469" s="89"/>
    </row>
    <row r="470">
      <c r="K470" s="89"/>
    </row>
    <row r="471">
      <c r="K471" s="89"/>
    </row>
    <row r="472">
      <c r="K472" s="89"/>
    </row>
    <row r="473">
      <c r="K473" s="89"/>
    </row>
    <row r="474">
      <c r="K474" s="89"/>
    </row>
    <row r="475">
      <c r="K475" s="89"/>
    </row>
    <row r="476">
      <c r="K476" s="89"/>
    </row>
    <row r="477">
      <c r="K477" s="89"/>
    </row>
    <row r="478">
      <c r="K478" s="89"/>
    </row>
    <row r="479">
      <c r="K479" s="89"/>
    </row>
    <row r="480">
      <c r="K480" s="89"/>
    </row>
    <row r="481">
      <c r="K481" s="89"/>
    </row>
    <row r="482">
      <c r="K482" s="89"/>
    </row>
    <row r="483">
      <c r="K483" s="89"/>
    </row>
    <row r="484">
      <c r="K484" s="89"/>
    </row>
    <row r="485">
      <c r="K485" s="89"/>
    </row>
    <row r="486">
      <c r="K486" s="89"/>
    </row>
    <row r="487">
      <c r="K487" s="89"/>
    </row>
    <row r="488">
      <c r="K488" s="89"/>
    </row>
    <row r="489">
      <c r="K489" s="89"/>
    </row>
    <row r="490">
      <c r="K490" s="89"/>
    </row>
    <row r="491">
      <c r="K491" s="89"/>
    </row>
    <row r="492">
      <c r="K492" s="89"/>
    </row>
    <row r="493">
      <c r="K493" s="89"/>
    </row>
    <row r="494">
      <c r="K494" s="89"/>
    </row>
    <row r="495">
      <c r="K495" s="89"/>
    </row>
    <row r="496">
      <c r="K496" s="89"/>
    </row>
    <row r="497">
      <c r="K497" s="89"/>
    </row>
    <row r="498">
      <c r="K498" s="89"/>
    </row>
    <row r="499">
      <c r="K499" s="89"/>
    </row>
    <row r="500">
      <c r="K500" s="89"/>
    </row>
    <row r="501">
      <c r="K501" s="89"/>
    </row>
    <row r="502">
      <c r="K502" s="89"/>
    </row>
    <row r="503">
      <c r="K503" s="89"/>
    </row>
    <row r="504">
      <c r="K504" s="89"/>
    </row>
    <row r="505">
      <c r="K505" s="89"/>
    </row>
    <row r="506">
      <c r="K506" s="89"/>
    </row>
    <row r="507">
      <c r="K507" s="89"/>
    </row>
    <row r="508">
      <c r="K508" s="89"/>
    </row>
    <row r="509">
      <c r="K509" s="89"/>
    </row>
    <row r="510">
      <c r="K510" s="89"/>
    </row>
    <row r="511">
      <c r="K511" s="89"/>
    </row>
    <row r="512">
      <c r="K512" s="89"/>
    </row>
    <row r="513">
      <c r="K513" s="89"/>
    </row>
    <row r="514">
      <c r="K514" s="89"/>
    </row>
    <row r="515">
      <c r="K515" s="89"/>
    </row>
    <row r="516">
      <c r="K516" s="89"/>
    </row>
    <row r="517">
      <c r="K517" s="89"/>
    </row>
    <row r="518">
      <c r="K518" s="89"/>
    </row>
    <row r="519">
      <c r="K519" s="89"/>
    </row>
    <row r="520">
      <c r="K520" s="89"/>
    </row>
    <row r="521">
      <c r="K521" s="89"/>
    </row>
    <row r="522">
      <c r="K522" s="89"/>
    </row>
    <row r="523">
      <c r="K523" s="89"/>
    </row>
    <row r="524">
      <c r="K524" s="89"/>
    </row>
    <row r="525">
      <c r="K525" s="89"/>
    </row>
    <row r="526">
      <c r="K526" s="89"/>
    </row>
    <row r="527">
      <c r="K527" s="89"/>
    </row>
    <row r="528">
      <c r="K528" s="89"/>
    </row>
    <row r="529">
      <c r="K529" s="89"/>
    </row>
    <row r="530">
      <c r="K530" s="89"/>
    </row>
    <row r="531">
      <c r="K531" s="89"/>
    </row>
    <row r="532">
      <c r="K532" s="89"/>
    </row>
    <row r="533">
      <c r="K533" s="89"/>
    </row>
    <row r="534">
      <c r="K534" s="89"/>
    </row>
    <row r="535">
      <c r="K535" s="89"/>
    </row>
    <row r="536">
      <c r="K536" s="89"/>
    </row>
    <row r="537">
      <c r="K537" s="89"/>
    </row>
    <row r="538">
      <c r="K538" s="89"/>
    </row>
    <row r="539">
      <c r="K539" s="89"/>
    </row>
    <row r="540">
      <c r="K540" s="89"/>
    </row>
    <row r="541">
      <c r="K541" s="89"/>
    </row>
    <row r="542">
      <c r="K542" s="89"/>
    </row>
    <row r="543">
      <c r="K543" s="89"/>
    </row>
    <row r="544">
      <c r="K544" s="89"/>
    </row>
    <row r="545">
      <c r="K545" s="89"/>
    </row>
    <row r="546">
      <c r="K546" s="89"/>
    </row>
    <row r="547">
      <c r="K547" s="89"/>
    </row>
    <row r="548">
      <c r="K548" s="89"/>
    </row>
    <row r="549">
      <c r="K549" s="89"/>
    </row>
    <row r="550">
      <c r="K550" s="89"/>
    </row>
    <row r="551">
      <c r="K551" s="89"/>
    </row>
    <row r="552">
      <c r="K552" s="89"/>
    </row>
    <row r="553">
      <c r="K553" s="89"/>
    </row>
    <row r="554">
      <c r="K554" s="89"/>
    </row>
    <row r="555">
      <c r="K555" s="89"/>
    </row>
    <row r="556">
      <c r="K556" s="89"/>
    </row>
    <row r="557">
      <c r="K557" s="89"/>
    </row>
    <row r="558">
      <c r="K558" s="89"/>
    </row>
    <row r="559">
      <c r="K559" s="89"/>
    </row>
    <row r="560">
      <c r="K560" s="89"/>
    </row>
    <row r="561">
      <c r="K561" s="89"/>
    </row>
    <row r="562">
      <c r="K562" s="89"/>
    </row>
    <row r="563">
      <c r="K563" s="89"/>
    </row>
    <row r="564">
      <c r="K564" s="89"/>
    </row>
    <row r="565">
      <c r="K565" s="89"/>
    </row>
    <row r="566">
      <c r="K566" s="89"/>
    </row>
    <row r="567">
      <c r="K567" s="89"/>
    </row>
    <row r="568">
      <c r="K568" s="89"/>
    </row>
    <row r="569">
      <c r="K569" s="89"/>
    </row>
    <row r="570">
      <c r="K570" s="89"/>
    </row>
    <row r="571">
      <c r="K571" s="89"/>
    </row>
    <row r="572">
      <c r="K572" s="89"/>
    </row>
    <row r="573">
      <c r="K573" s="89"/>
    </row>
    <row r="574">
      <c r="K574" s="89"/>
    </row>
    <row r="575">
      <c r="K575" s="89"/>
    </row>
    <row r="576">
      <c r="K576" s="89"/>
    </row>
    <row r="577">
      <c r="K577" s="89"/>
    </row>
    <row r="578">
      <c r="K578" s="89"/>
    </row>
    <row r="579">
      <c r="K579" s="89"/>
    </row>
    <row r="580">
      <c r="K580" s="89"/>
    </row>
    <row r="581">
      <c r="K581" s="89"/>
    </row>
    <row r="582">
      <c r="K582" s="89"/>
    </row>
    <row r="583">
      <c r="K583" s="89"/>
    </row>
    <row r="584">
      <c r="K584" s="89"/>
    </row>
    <row r="585">
      <c r="K585" s="89"/>
    </row>
    <row r="586">
      <c r="K586" s="89"/>
    </row>
    <row r="587">
      <c r="K587" s="89"/>
    </row>
    <row r="588">
      <c r="K588" s="89"/>
    </row>
    <row r="589">
      <c r="K589" s="89"/>
    </row>
    <row r="590">
      <c r="K590" s="89"/>
    </row>
    <row r="591">
      <c r="K591" s="89"/>
    </row>
    <row r="592">
      <c r="K592" s="89"/>
    </row>
    <row r="593">
      <c r="K593" s="89"/>
    </row>
    <row r="594">
      <c r="K594" s="89"/>
    </row>
    <row r="595">
      <c r="K595" s="89"/>
    </row>
    <row r="596">
      <c r="K596" s="89"/>
    </row>
    <row r="597">
      <c r="K597" s="89"/>
    </row>
    <row r="598">
      <c r="K598" s="89"/>
    </row>
    <row r="599">
      <c r="K599" s="89"/>
    </row>
    <row r="600">
      <c r="K600" s="89"/>
    </row>
    <row r="601">
      <c r="K601" s="89"/>
    </row>
    <row r="602">
      <c r="K602" s="89"/>
    </row>
    <row r="603">
      <c r="K603" s="89"/>
    </row>
    <row r="604">
      <c r="K604" s="89"/>
    </row>
    <row r="605">
      <c r="K605" s="89"/>
    </row>
    <row r="606">
      <c r="K606" s="89"/>
    </row>
    <row r="607">
      <c r="K607" s="89"/>
    </row>
    <row r="608">
      <c r="K608" s="89"/>
    </row>
    <row r="609">
      <c r="K609" s="89"/>
    </row>
    <row r="610">
      <c r="K610" s="89"/>
    </row>
    <row r="611">
      <c r="K611" s="89"/>
    </row>
    <row r="612">
      <c r="K612" s="89"/>
    </row>
    <row r="613">
      <c r="K613" s="89"/>
    </row>
    <row r="614">
      <c r="K614" s="89"/>
    </row>
    <row r="615">
      <c r="K615" s="89"/>
    </row>
    <row r="616">
      <c r="K616" s="89"/>
    </row>
    <row r="617">
      <c r="K617" s="89"/>
    </row>
    <row r="618">
      <c r="K618" s="89"/>
    </row>
    <row r="619">
      <c r="K619" s="89"/>
    </row>
    <row r="620">
      <c r="K620" s="89"/>
    </row>
    <row r="621">
      <c r="K621" s="89"/>
    </row>
    <row r="622">
      <c r="K622" s="89"/>
    </row>
    <row r="623">
      <c r="K623" s="89"/>
    </row>
    <row r="624">
      <c r="K624" s="89"/>
    </row>
    <row r="625">
      <c r="K625" s="89"/>
    </row>
    <row r="626">
      <c r="K626" s="89"/>
    </row>
    <row r="627">
      <c r="K627" s="89"/>
    </row>
    <row r="628">
      <c r="K628" s="89"/>
    </row>
    <row r="629">
      <c r="K629" s="89"/>
    </row>
    <row r="630">
      <c r="K630" s="89"/>
    </row>
    <row r="631">
      <c r="K631" s="89"/>
    </row>
    <row r="632">
      <c r="K632" s="89"/>
    </row>
    <row r="633">
      <c r="K633" s="89"/>
    </row>
    <row r="634">
      <c r="K634" s="89"/>
    </row>
    <row r="635">
      <c r="K635" s="89"/>
    </row>
    <row r="636">
      <c r="K636" s="89"/>
    </row>
    <row r="637">
      <c r="K637" s="89"/>
    </row>
    <row r="638">
      <c r="K638" s="89"/>
    </row>
    <row r="639">
      <c r="K639" s="89"/>
    </row>
    <row r="640">
      <c r="K640" s="89"/>
    </row>
    <row r="641">
      <c r="K641" s="89"/>
    </row>
    <row r="642">
      <c r="K642" s="89"/>
    </row>
    <row r="643">
      <c r="K643" s="89"/>
    </row>
    <row r="644">
      <c r="K644" s="89"/>
    </row>
    <row r="645">
      <c r="K645" s="89"/>
    </row>
    <row r="646">
      <c r="K646" s="89"/>
    </row>
    <row r="647">
      <c r="K647" s="89"/>
    </row>
    <row r="648">
      <c r="K648" s="89"/>
    </row>
    <row r="649">
      <c r="K649" s="89"/>
    </row>
    <row r="650">
      <c r="K650" s="89"/>
    </row>
    <row r="651">
      <c r="K651" s="89"/>
    </row>
    <row r="652">
      <c r="K652" s="89"/>
    </row>
    <row r="653">
      <c r="K653" s="89"/>
    </row>
    <row r="654">
      <c r="K654" s="89"/>
    </row>
    <row r="655">
      <c r="K655" s="89"/>
    </row>
    <row r="656">
      <c r="K656" s="89"/>
    </row>
    <row r="657">
      <c r="K657" s="89"/>
    </row>
    <row r="658">
      <c r="K658" s="89"/>
    </row>
    <row r="659">
      <c r="K659" s="89"/>
    </row>
    <row r="660">
      <c r="K660" s="89"/>
    </row>
    <row r="661">
      <c r="K661" s="89"/>
    </row>
    <row r="662">
      <c r="K662" s="89"/>
    </row>
    <row r="663">
      <c r="K663" s="89"/>
    </row>
    <row r="664">
      <c r="K664" s="89"/>
    </row>
    <row r="665">
      <c r="K665" s="89"/>
    </row>
    <row r="666">
      <c r="K666" s="89"/>
    </row>
    <row r="667">
      <c r="K667" s="89"/>
    </row>
    <row r="668">
      <c r="K668" s="89"/>
    </row>
    <row r="669">
      <c r="K669" s="89"/>
    </row>
    <row r="670">
      <c r="K670" s="89"/>
    </row>
    <row r="671">
      <c r="K671" s="89"/>
    </row>
    <row r="672">
      <c r="K672" s="89"/>
    </row>
    <row r="673">
      <c r="K673" s="89"/>
    </row>
    <row r="674">
      <c r="K674" s="89"/>
    </row>
    <row r="675">
      <c r="K675" s="89"/>
    </row>
    <row r="676">
      <c r="K676" s="89"/>
    </row>
    <row r="677">
      <c r="K677" s="89"/>
    </row>
    <row r="678">
      <c r="K678" s="89"/>
    </row>
    <row r="679">
      <c r="K679" s="89"/>
    </row>
    <row r="680">
      <c r="K680" s="89"/>
    </row>
    <row r="681">
      <c r="K681" s="89"/>
    </row>
    <row r="682">
      <c r="K682" s="89"/>
    </row>
    <row r="683">
      <c r="K683" s="89"/>
    </row>
    <row r="684">
      <c r="K684" s="89"/>
    </row>
    <row r="685">
      <c r="K685" s="89"/>
    </row>
    <row r="686">
      <c r="K686" s="89"/>
    </row>
    <row r="687">
      <c r="K687" s="89"/>
    </row>
    <row r="688">
      <c r="K688" s="89"/>
    </row>
    <row r="689">
      <c r="K689" s="89"/>
    </row>
    <row r="690">
      <c r="K690" s="89"/>
    </row>
    <row r="691">
      <c r="K691" s="89"/>
    </row>
    <row r="692">
      <c r="K692" s="89"/>
    </row>
    <row r="693">
      <c r="K693" s="89"/>
    </row>
    <row r="694">
      <c r="K694" s="89"/>
    </row>
    <row r="695">
      <c r="K695" s="89"/>
    </row>
    <row r="696">
      <c r="K696" s="89"/>
    </row>
    <row r="697">
      <c r="K697" s="89"/>
    </row>
    <row r="698">
      <c r="K698" s="89"/>
    </row>
    <row r="699">
      <c r="K699" s="89"/>
    </row>
    <row r="700">
      <c r="K700" s="89"/>
    </row>
    <row r="701">
      <c r="K701" s="89"/>
    </row>
    <row r="702">
      <c r="K702" s="89"/>
    </row>
    <row r="703">
      <c r="K703" s="89"/>
    </row>
    <row r="704">
      <c r="K704" s="89"/>
    </row>
    <row r="705">
      <c r="K705" s="89"/>
    </row>
    <row r="706">
      <c r="K706" s="89"/>
    </row>
    <row r="707">
      <c r="K707" s="89"/>
    </row>
    <row r="708">
      <c r="K708" s="89"/>
    </row>
    <row r="709">
      <c r="K709" s="89"/>
    </row>
    <row r="710">
      <c r="K710" s="89"/>
    </row>
    <row r="711">
      <c r="K711" s="89"/>
    </row>
    <row r="712">
      <c r="K712" s="89"/>
    </row>
    <row r="713">
      <c r="K713" s="89"/>
    </row>
    <row r="714">
      <c r="K714" s="89"/>
    </row>
    <row r="715">
      <c r="K715" s="89"/>
    </row>
    <row r="716">
      <c r="K716" s="89"/>
    </row>
    <row r="717">
      <c r="K717" s="89"/>
    </row>
    <row r="718">
      <c r="K718" s="89"/>
    </row>
    <row r="719">
      <c r="K719" s="89"/>
    </row>
    <row r="720">
      <c r="K720" s="89"/>
    </row>
    <row r="721">
      <c r="K721" s="89"/>
    </row>
    <row r="722">
      <c r="K722" s="89"/>
    </row>
    <row r="723">
      <c r="K723" s="89"/>
    </row>
    <row r="724">
      <c r="K724" s="89"/>
    </row>
    <row r="725">
      <c r="K725" s="89"/>
    </row>
    <row r="726">
      <c r="K726" s="89"/>
    </row>
    <row r="727">
      <c r="K727" s="89"/>
    </row>
    <row r="728">
      <c r="K728" s="89"/>
    </row>
    <row r="729">
      <c r="K729" s="89"/>
    </row>
    <row r="730">
      <c r="K730" s="89"/>
    </row>
    <row r="731">
      <c r="K731" s="89"/>
    </row>
    <row r="732">
      <c r="K732" s="89"/>
    </row>
    <row r="733">
      <c r="K733" s="89"/>
    </row>
    <row r="734">
      <c r="K734" s="89"/>
    </row>
    <row r="735">
      <c r="K735" s="89"/>
    </row>
    <row r="736">
      <c r="K736" s="89"/>
    </row>
    <row r="737">
      <c r="K737" s="89"/>
    </row>
    <row r="738">
      <c r="K738" s="89"/>
    </row>
    <row r="739">
      <c r="K739" s="89"/>
    </row>
    <row r="740">
      <c r="K740" s="89"/>
    </row>
    <row r="741">
      <c r="K741" s="89"/>
    </row>
    <row r="742">
      <c r="K742" s="89"/>
    </row>
    <row r="743">
      <c r="K743" s="89"/>
    </row>
    <row r="744">
      <c r="K744" s="89"/>
    </row>
    <row r="745">
      <c r="K745" s="89"/>
    </row>
    <row r="746">
      <c r="K746" s="89"/>
    </row>
    <row r="747">
      <c r="K747" s="89"/>
    </row>
    <row r="748">
      <c r="K748" s="89"/>
    </row>
    <row r="749">
      <c r="K749" s="89"/>
    </row>
    <row r="750">
      <c r="K750" s="89"/>
    </row>
    <row r="751">
      <c r="K751" s="89"/>
    </row>
    <row r="752">
      <c r="K752" s="89"/>
    </row>
    <row r="753">
      <c r="K753" s="89"/>
    </row>
    <row r="754">
      <c r="K754" s="89"/>
    </row>
    <row r="755">
      <c r="K755" s="89"/>
    </row>
    <row r="756">
      <c r="K756" s="89"/>
    </row>
    <row r="757">
      <c r="K757" s="89"/>
    </row>
    <row r="758">
      <c r="K758" s="89"/>
    </row>
    <row r="759">
      <c r="K759" s="89"/>
    </row>
    <row r="760">
      <c r="K760" s="89"/>
    </row>
    <row r="761">
      <c r="K761" s="89"/>
    </row>
    <row r="762">
      <c r="K762" s="89"/>
    </row>
    <row r="763">
      <c r="K763" s="89"/>
    </row>
    <row r="764">
      <c r="K764" s="89"/>
    </row>
    <row r="765">
      <c r="K765" s="89"/>
    </row>
    <row r="766">
      <c r="K766" s="89"/>
    </row>
    <row r="767">
      <c r="K767" s="89"/>
    </row>
    <row r="768">
      <c r="K768" s="89"/>
    </row>
    <row r="769">
      <c r="K769" s="89"/>
    </row>
    <row r="770">
      <c r="K770" s="89"/>
    </row>
    <row r="771">
      <c r="K771" s="89"/>
    </row>
    <row r="772">
      <c r="K772" s="89"/>
    </row>
    <row r="773">
      <c r="K773" s="89"/>
    </row>
    <row r="774">
      <c r="K774" s="89"/>
    </row>
    <row r="775">
      <c r="K775" s="89"/>
    </row>
    <row r="776">
      <c r="K776" s="89"/>
    </row>
    <row r="777">
      <c r="K777" s="89"/>
    </row>
    <row r="778">
      <c r="K778" s="89"/>
    </row>
    <row r="779">
      <c r="K779" s="89"/>
    </row>
    <row r="780">
      <c r="K780" s="89"/>
    </row>
    <row r="781">
      <c r="K781" s="89"/>
    </row>
    <row r="782">
      <c r="K782" s="89"/>
    </row>
    <row r="783">
      <c r="K783" s="89"/>
    </row>
    <row r="784">
      <c r="K784" s="89"/>
    </row>
    <row r="785">
      <c r="K785" s="89"/>
    </row>
    <row r="786">
      <c r="K786" s="89"/>
    </row>
    <row r="787">
      <c r="K787" s="89"/>
    </row>
    <row r="788">
      <c r="K788" s="89"/>
    </row>
    <row r="789">
      <c r="K789" s="89"/>
    </row>
    <row r="790">
      <c r="K790" s="89"/>
    </row>
    <row r="791">
      <c r="K791" s="89"/>
    </row>
    <row r="792">
      <c r="K792" s="89"/>
    </row>
    <row r="793">
      <c r="K793" s="89"/>
    </row>
    <row r="794">
      <c r="K794" s="89"/>
    </row>
    <row r="795">
      <c r="K795" s="89"/>
    </row>
    <row r="796">
      <c r="K796" s="89"/>
    </row>
    <row r="797">
      <c r="K797" s="89"/>
    </row>
    <row r="798">
      <c r="K798" s="89"/>
    </row>
    <row r="799">
      <c r="K799" s="89"/>
    </row>
    <row r="800">
      <c r="K800" s="89"/>
    </row>
    <row r="801">
      <c r="K801" s="89"/>
    </row>
    <row r="802">
      <c r="K802" s="89"/>
    </row>
    <row r="803">
      <c r="K803" s="89"/>
    </row>
    <row r="804">
      <c r="K804" s="89"/>
    </row>
    <row r="805">
      <c r="K805" s="89"/>
    </row>
    <row r="806">
      <c r="K806" s="89"/>
    </row>
    <row r="807">
      <c r="K807" s="89"/>
    </row>
    <row r="808">
      <c r="K808" s="89"/>
    </row>
    <row r="809">
      <c r="K809" s="89"/>
    </row>
    <row r="810">
      <c r="K810" s="89"/>
    </row>
    <row r="811">
      <c r="K811" s="89"/>
    </row>
    <row r="812">
      <c r="K812" s="89"/>
    </row>
    <row r="813">
      <c r="K813" s="89"/>
    </row>
    <row r="814">
      <c r="K814" s="89"/>
    </row>
    <row r="815">
      <c r="K815" s="89"/>
    </row>
    <row r="816">
      <c r="K816" s="89"/>
    </row>
    <row r="817">
      <c r="K817" s="89"/>
    </row>
    <row r="818">
      <c r="K818" s="89"/>
    </row>
    <row r="819">
      <c r="K819" s="89"/>
    </row>
    <row r="820">
      <c r="K820" s="89"/>
    </row>
    <row r="821">
      <c r="K821" s="89"/>
    </row>
    <row r="822">
      <c r="K822" s="89"/>
    </row>
    <row r="823">
      <c r="K823" s="89"/>
    </row>
    <row r="824">
      <c r="K824" s="89"/>
    </row>
    <row r="825">
      <c r="K825" s="89"/>
    </row>
    <row r="826">
      <c r="K826" s="89"/>
    </row>
    <row r="827">
      <c r="K827" s="89"/>
    </row>
    <row r="828">
      <c r="K828" s="89"/>
    </row>
    <row r="829">
      <c r="K829" s="89"/>
    </row>
    <row r="830">
      <c r="K830" s="89"/>
    </row>
    <row r="831">
      <c r="K831" s="89"/>
    </row>
    <row r="832">
      <c r="K832" s="89"/>
    </row>
    <row r="833">
      <c r="K833" s="89"/>
    </row>
    <row r="834">
      <c r="K834" s="89"/>
    </row>
    <row r="835">
      <c r="K835" s="89"/>
    </row>
    <row r="836">
      <c r="K836" s="89"/>
    </row>
    <row r="837">
      <c r="K837" s="89"/>
    </row>
    <row r="838">
      <c r="K838" s="89"/>
    </row>
    <row r="839">
      <c r="K839" s="89"/>
    </row>
    <row r="840">
      <c r="K840" s="89"/>
    </row>
    <row r="841">
      <c r="K841" s="89"/>
    </row>
    <row r="842">
      <c r="K842" s="89"/>
    </row>
    <row r="843">
      <c r="K843" s="89"/>
    </row>
    <row r="844">
      <c r="K844" s="89"/>
    </row>
    <row r="845">
      <c r="K845" s="89"/>
    </row>
    <row r="846">
      <c r="K846" s="89"/>
    </row>
    <row r="847">
      <c r="K847" s="89"/>
    </row>
    <row r="848">
      <c r="K848" s="89"/>
    </row>
    <row r="849">
      <c r="K849" s="89"/>
    </row>
    <row r="850">
      <c r="K850" s="89"/>
    </row>
    <row r="851">
      <c r="K851" s="89"/>
    </row>
    <row r="852">
      <c r="K852" s="89"/>
    </row>
    <row r="853">
      <c r="K853" s="89"/>
    </row>
    <row r="854">
      <c r="K854" s="89"/>
    </row>
    <row r="855">
      <c r="K855" s="89"/>
    </row>
    <row r="856">
      <c r="K856" s="89"/>
    </row>
    <row r="857">
      <c r="K857" s="89"/>
    </row>
    <row r="858">
      <c r="K858" s="89"/>
    </row>
    <row r="859">
      <c r="K859" s="89"/>
    </row>
    <row r="860">
      <c r="K860" s="89"/>
    </row>
    <row r="861">
      <c r="K861" s="89"/>
    </row>
    <row r="862">
      <c r="K862" s="89"/>
    </row>
    <row r="863">
      <c r="K863" s="89"/>
    </row>
    <row r="864">
      <c r="K864" s="89"/>
    </row>
    <row r="865">
      <c r="K865" s="89"/>
    </row>
    <row r="866">
      <c r="K866" s="89"/>
    </row>
    <row r="867">
      <c r="K867" s="89"/>
    </row>
    <row r="868">
      <c r="K868" s="89"/>
    </row>
    <row r="869">
      <c r="K869" s="89"/>
    </row>
    <row r="870">
      <c r="K870" s="89"/>
    </row>
    <row r="871">
      <c r="K871" s="89"/>
    </row>
    <row r="872">
      <c r="K872" s="89"/>
    </row>
    <row r="873">
      <c r="K873" s="89"/>
    </row>
    <row r="874">
      <c r="K874" s="89"/>
    </row>
    <row r="875">
      <c r="K875" s="89"/>
    </row>
    <row r="876">
      <c r="K876" s="89"/>
    </row>
    <row r="877">
      <c r="K877" s="89"/>
    </row>
    <row r="878">
      <c r="K878" s="89"/>
    </row>
    <row r="879">
      <c r="K879" s="89"/>
    </row>
    <row r="880">
      <c r="K880" s="89"/>
    </row>
    <row r="881">
      <c r="K881" s="89"/>
    </row>
    <row r="882">
      <c r="K882" s="89"/>
    </row>
    <row r="883">
      <c r="K883" s="89"/>
    </row>
    <row r="884">
      <c r="K884" s="89"/>
    </row>
    <row r="885">
      <c r="K885" s="89"/>
    </row>
    <row r="886">
      <c r="K886" s="89"/>
    </row>
    <row r="887">
      <c r="K887" s="89"/>
    </row>
    <row r="888">
      <c r="K888" s="89"/>
    </row>
    <row r="889">
      <c r="K889" s="89"/>
    </row>
    <row r="890">
      <c r="K890" s="89"/>
    </row>
    <row r="891">
      <c r="K891" s="89"/>
    </row>
    <row r="892">
      <c r="K892" s="89"/>
    </row>
    <row r="893">
      <c r="K893" s="89"/>
    </row>
    <row r="894">
      <c r="K894" s="89"/>
    </row>
    <row r="895">
      <c r="K895" s="89"/>
    </row>
    <row r="896">
      <c r="K896" s="89"/>
    </row>
    <row r="897">
      <c r="K897" s="89"/>
    </row>
    <row r="898">
      <c r="K898" s="89"/>
    </row>
    <row r="899">
      <c r="K899" s="89"/>
    </row>
    <row r="900">
      <c r="K900" s="89"/>
    </row>
    <row r="901">
      <c r="K901" s="89"/>
    </row>
    <row r="902">
      <c r="K902" s="89"/>
    </row>
    <row r="903">
      <c r="K903" s="89"/>
    </row>
    <row r="904">
      <c r="K904" s="89"/>
    </row>
    <row r="905">
      <c r="K905" s="89"/>
    </row>
    <row r="906">
      <c r="K906" s="89"/>
    </row>
    <row r="907">
      <c r="K907" s="89"/>
    </row>
    <row r="908">
      <c r="K908" s="89"/>
    </row>
    <row r="909">
      <c r="K909" s="89"/>
    </row>
    <row r="910">
      <c r="K910" s="89"/>
    </row>
    <row r="911">
      <c r="K911" s="89"/>
    </row>
    <row r="912">
      <c r="K912" s="89"/>
    </row>
    <row r="913">
      <c r="K913" s="89"/>
    </row>
    <row r="914">
      <c r="K914" s="89"/>
    </row>
    <row r="915">
      <c r="K915" s="89"/>
    </row>
    <row r="916">
      <c r="K916" s="89"/>
    </row>
    <row r="917">
      <c r="K917" s="89"/>
    </row>
    <row r="918">
      <c r="K918" s="89"/>
    </row>
    <row r="919">
      <c r="K919" s="89"/>
    </row>
    <row r="920">
      <c r="K920" s="89"/>
    </row>
    <row r="921">
      <c r="K921" s="89"/>
    </row>
    <row r="922">
      <c r="K922" s="89"/>
    </row>
    <row r="923">
      <c r="K923" s="89"/>
    </row>
    <row r="924">
      <c r="K924" s="89"/>
    </row>
    <row r="925">
      <c r="K925" s="89"/>
    </row>
    <row r="926">
      <c r="K926" s="89"/>
    </row>
    <row r="927">
      <c r="K927" s="89"/>
    </row>
    <row r="928">
      <c r="K928" s="89"/>
    </row>
    <row r="929">
      <c r="K929" s="89"/>
    </row>
    <row r="930">
      <c r="K930" s="89"/>
    </row>
    <row r="931">
      <c r="K931" s="89"/>
    </row>
    <row r="932">
      <c r="K932" s="89"/>
    </row>
    <row r="933">
      <c r="K933" s="89"/>
    </row>
    <row r="934">
      <c r="K934" s="89"/>
    </row>
    <row r="935">
      <c r="K935" s="89"/>
    </row>
    <row r="936">
      <c r="K936" s="89"/>
    </row>
    <row r="937">
      <c r="K937" s="89"/>
    </row>
    <row r="938">
      <c r="K938" s="89"/>
    </row>
    <row r="939">
      <c r="K939" s="89"/>
    </row>
    <row r="940">
      <c r="K940" s="89"/>
    </row>
    <row r="941">
      <c r="K941" s="89"/>
    </row>
    <row r="942">
      <c r="K942" s="89"/>
    </row>
    <row r="943">
      <c r="K943" s="89"/>
    </row>
    <row r="944">
      <c r="K944" s="89"/>
    </row>
    <row r="945">
      <c r="K945" s="89"/>
    </row>
    <row r="946">
      <c r="K946" s="89"/>
    </row>
    <row r="947">
      <c r="K947" s="89"/>
    </row>
    <row r="948">
      <c r="K948" s="89"/>
    </row>
    <row r="949">
      <c r="K949" s="89"/>
    </row>
    <row r="950">
      <c r="K950" s="89"/>
    </row>
    <row r="951">
      <c r="K951" s="89"/>
    </row>
    <row r="952">
      <c r="K952" s="89"/>
    </row>
    <row r="953">
      <c r="K953" s="89"/>
    </row>
    <row r="954">
      <c r="K954" s="89"/>
    </row>
    <row r="955">
      <c r="K955" s="89"/>
    </row>
    <row r="956">
      <c r="K956" s="89"/>
    </row>
    <row r="957">
      <c r="K957" s="89"/>
    </row>
    <row r="958">
      <c r="K958" s="89"/>
    </row>
    <row r="959">
      <c r="K959" s="89"/>
    </row>
    <row r="960">
      <c r="K960" s="89"/>
    </row>
    <row r="961">
      <c r="K961" s="89"/>
    </row>
    <row r="962">
      <c r="K962" s="89"/>
    </row>
    <row r="963">
      <c r="K963" s="89"/>
    </row>
    <row r="964">
      <c r="K964" s="89"/>
    </row>
    <row r="965">
      <c r="K965" s="89"/>
    </row>
    <row r="966">
      <c r="K966" s="89"/>
    </row>
    <row r="967">
      <c r="K967" s="89"/>
    </row>
    <row r="968">
      <c r="K968" s="89"/>
    </row>
    <row r="969">
      <c r="K969" s="89"/>
    </row>
    <row r="970">
      <c r="K970" s="89"/>
    </row>
    <row r="971">
      <c r="K971" s="89"/>
    </row>
    <row r="972">
      <c r="K972" s="89"/>
    </row>
    <row r="973">
      <c r="K973" s="89"/>
    </row>
    <row r="974">
      <c r="K974" s="89"/>
    </row>
    <row r="975">
      <c r="K975" s="89"/>
    </row>
    <row r="976">
      <c r="K976" s="89"/>
    </row>
    <row r="977">
      <c r="K977" s="89"/>
    </row>
    <row r="978">
      <c r="K978" s="89"/>
    </row>
    <row r="979">
      <c r="K979" s="89"/>
    </row>
    <row r="980">
      <c r="K980" s="89"/>
    </row>
    <row r="981">
      <c r="K981" s="89"/>
    </row>
    <row r="982">
      <c r="K982" s="89"/>
    </row>
    <row r="983">
      <c r="K983" s="89"/>
    </row>
    <row r="984">
      <c r="K984" s="89"/>
    </row>
    <row r="985">
      <c r="K985" s="89"/>
    </row>
    <row r="986">
      <c r="K986" s="89"/>
    </row>
    <row r="987">
      <c r="K987" s="89"/>
    </row>
    <row r="988">
      <c r="K988" s="89"/>
    </row>
    <row r="989">
      <c r="K989" s="89"/>
    </row>
    <row r="990">
      <c r="K990" s="89"/>
    </row>
    <row r="991">
      <c r="K991" s="89"/>
    </row>
    <row r="992">
      <c r="K992" s="89"/>
    </row>
    <row r="993">
      <c r="K993" s="89"/>
    </row>
    <row r="994">
      <c r="K994" s="89"/>
    </row>
    <row r="995">
      <c r="K995" s="89"/>
    </row>
    <row r="996">
      <c r="K996" s="89"/>
    </row>
    <row r="997">
      <c r="K997" s="89"/>
    </row>
    <row r="998">
      <c r="K998" s="89"/>
    </row>
    <row r="999">
      <c r="K999" s="89"/>
    </row>
    <row r="1000">
      <c r="K1000" s="89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1">
      <c r="N1" s="17"/>
      <c r="O1" s="17"/>
    </row>
    <row r="2">
      <c r="D2" s="23"/>
      <c r="E2" s="4"/>
      <c r="N2" s="17"/>
      <c r="O2" s="17"/>
    </row>
    <row r="3">
      <c r="D3" s="23"/>
      <c r="E3" s="4"/>
      <c r="N3" s="17"/>
      <c r="O3" s="17"/>
    </row>
    <row r="4">
      <c r="D4" s="4"/>
      <c r="E4" s="4"/>
      <c r="N4" s="17"/>
      <c r="O4" s="17"/>
    </row>
    <row r="5">
      <c r="N5" s="17"/>
      <c r="O5" s="17"/>
    </row>
    <row r="6">
      <c r="N6" s="17"/>
      <c r="O6" s="17"/>
    </row>
    <row r="7">
      <c r="N7" s="17"/>
      <c r="O7" s="17"/>
    </row>
    <row r="8">
      <c r="C8" s="24"/>
      <c r="N8" s="17"/>
      <c r="O8" s="17"/>
    </row>
    <row r="9">
      <c r="C9" s="24"/>
      <c r="N9" s="17"/>
      <c r="O9" s="17"/>
    </row>
    <row r="10">
      <c r="N10" s="17"/>
      <c r="O10" s="17"/>
    </row>
    <row r="11">
      <c r="N11" s="17"/>
      <c r="O11" s="17"/>
    </row>
    <row r="30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</row>
    <row r="220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</row>
    <row r="221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</row>
    <row r="222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</row>
    <row r="224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</row>
    <row r="225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</row>
    <row r="226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</row>
    <row r="227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</row>
    <row r="228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</row>
    <row r="229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</row>
    <row r="230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</row>
    <row r="231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</row>
    <row r="232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</row>
    <row r="23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</row>
    <row r="234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</row>
    <row r="235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</row>
    <row r="236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</row>
    <row r="237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</row>
    <row r="238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</row>
    <row r="239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</row>
    <row r="240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</row>
    <row r="241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</row>
    <row r="242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</row>
    <row r="24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</row>
    <row r="244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</row>
    <row r="245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</row>
    <row r="246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</row>
    <row r="247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</row>
    <row r="248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</row>
    <row r="249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</row>
    <row r="250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</row>
    <row r="251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</row>
    <row r="252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</row>
    <row r="25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</row>
    <row r="254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</row>
    <row r="255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</row>
    <row r="258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</row>
    <row r="259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</row>
    <row r="260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</row>
    <row r="262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</row>
    <row r="26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</row>
    <row r="264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</row>
    <row r="265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</row>
    <row r="266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</row>
    <row r="267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</row>
    <row r="268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</row>
    <row r="269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</row>
    <row r="270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</row>
    <row r="271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</row>
    <row r="272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</row>
    <row r="27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</row>
    <row r="274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</row>
    <row r="275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</row>
    <row r="276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</row>
    <row r="277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</row>
    <row r="278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</row>
    <row r="279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</row>
    <row r="280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</row>
    <row r="281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</row>
    <row r="282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</row>
    <row r="28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</row>
    <row r="284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</row>
    <row r="285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</row>
    <row r="286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</row>
    <row r="287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</row>
    <row r="288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</row>
    <row r="289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</row>
    <row r="290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</row>
    <row r="291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</row>
    <row r="292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</row>
    <row r="29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</row>
    <row r="294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</row>
    <row r="295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</row>
    <row r="296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</row>
    <row r="297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</row>
    <row r="298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</row>
    <row r="299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</row>
    <row r="300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</row>
    <row r="301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</row>
    <row r="302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</row>
    <row r="30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</row>
    <row r="304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</row>
    <row r="305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</row>
    <row r="306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</row>
    <row r="307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</row>
    <row r="308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</row>
    <row r="309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</row>
    <row r="310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</row>
    <row r="311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</row>
    <row r="312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</row>
    <row r="31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</row>
    <row r="314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</row>
    <row r="315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</row>
    <row r="316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</row>
    <row r="317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</row>
    <row r="318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</row>
    <row r="319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</row>
    <row r="320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</row>
    <row r="321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</row>
    <row r="322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</row>
    <row r="3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</row>
    <row r="324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</row>
    <row r="325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</row>
    <row r="326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</row>
    <row r="327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</row>
    <row r="328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</row>
    <row r="329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</row>
    <row r="330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</row>
    <row r="331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</row>
    <row r="332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</row>
    <row r="33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</row>
    <row r="334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</row>
    <row r="335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</row>
    <row r="336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</row>
    <row r="337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</row>
    <row r="338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</row>
    <row r="339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</row>
    <row r="340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</row>
    <row r="341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</row>
    <row r="342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</row>
    <row r="34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</row>
    <row r="344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</row>
    <row r="345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</row>
    <row r="346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</row>
    <row r="347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</row>
    <row r="348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</row>
    <row r="349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</row>
    <row r="350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</row>
    <row r="351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</row>
    <row r="352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</row>
    <row r="35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</row>
    <row r="354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</row>
    <row r="355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</row>
    <row r="356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</row>
    <row r="357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</row>
    <row r="358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</row>
    <row r="359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</row>
    <row r="360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</row>
    <row r="361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</row>
    <row r="362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</row>
    <row r="36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</row>
    <row r="364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</row>
    <row r="365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</row>
    <row r="366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</row>
    <row r="367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</row>
    <row r="368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</row>
    <row r="369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</row>
    <row r="370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</row>
    <row r="371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</row>
    <row r="372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</row>
    <row r="37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</row>
    <row r="375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</row>
    <row r="377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</row>
    <row r="379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</row>
    <row r="380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</row>
    <row r="381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</row>
    <row r="382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</row>
    <row r="38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</row>
    <row r="384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</row>
    <row r="385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</row>
    <row r="386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</row>
    <row r="387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</row>
    <row r="388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</row>
    <row r="389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</row>
    <row r="390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</row>
    <row r="391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</row>
    <row r="392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</row>
    <row r="39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</row>
    <row r="394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</row>
    <row r="395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</row>
    <row r="396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</row>
    <row r="397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</row>
    <row r="398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</row>
    <row r="399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</row>
    <row r="400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</row>
    <row r="401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</row>
    <row r="402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</row>
    <row r="40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</row>
    <row r="404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</row>
    <row r="405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</row>
    <row r="406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</row>
    <row r="407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</row>
    <row r="408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</row>
    <row r="409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</row>
    <row r="410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</row>
    <row r="411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</row>
    <row r="412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</row>
    <row r="418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</row>
    <row r="419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</row>
    <row r="420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</row>
    <row r="421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</row>
    <row r="422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</row>
    <row r="4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</row>
    <row r="426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</row>
    <row r="428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</row>
    <row r="429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</row>
    <row r="430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</row>
    <row r="431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</row>
    <row r="432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</row>
    <row r="43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</row>
    <row r="434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</row>
    <row r="435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</row>
    <row r="436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</row>
    <row r="437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</row>
    <row r="438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</row>
    <row r="439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</row>
    <row r="440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</row>
    <row r="441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</row>
    <row r="442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</row>
    <row r="44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</row>
    <row r="444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</row>
    <row r="445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</row>
    <row r="446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</row>
    <row r="447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</row>
    <row r="448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</row>
    <row r="449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</row>
    <row r="450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</row>
    <row r="452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</row>
    <row r="454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</row>
    <row r="456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</row>
    <row r="457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</row>
    <row r="458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</row>
    <row r="459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</row>
    <row r="460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</row>
    <row r="461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</row>
    <row r="462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</row>
    <row r="46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</row>
    <row r="464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</row>
    <row r="465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</row>
    <row r="466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</row>
    <row r="467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</row>
    <row r="468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</row>
    <row r="469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</row>
    <row r="470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</row>
    <row r="471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</row>
    <row r="472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</row>
    <row r="47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</row>
    <row r="474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</row>
    <row r="475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</row>
    <row r="476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</row>
    <row r="477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</row>
    <row r="478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</row>
    <row r="479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</row>
    <row r="480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</row>
    <row r="481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</row>
    <row r="482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</row>
    <row r="48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</row>
    <row r="484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</row>
    <row r="485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</row>
    <row r="486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</row>
    <row r="487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</row>
    <row r="488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</row>
    <row r="489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</row>
    <row r="491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</row>
    <row r="492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</row>
    <row r="49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</row>
    <row r="495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</row>
    <row r="496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</row>
    <row r="497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</row>
    <row r="498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</row>
    <row r="499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</row>
    <row r="500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</row>
    <row r="501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</row>
    <row r="502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</row>
    <row r="50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</row>
    <row r="504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</row>
    <row r="505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</row>
    <row r="506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</row>
    <row r="507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</row>
    <row r="508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</row>
    <row r="509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</row>
    <row r="510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</row>
    <row r="511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</row>
    <row r="512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</row>
    <row r="51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</row>
    <row r="514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</row>
    <row r="515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</row>
    <row r="516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</row>
    <row r="517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</row>
    <row r="518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</row>
    <row r="519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</row>
    <row r="520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</row>
    <row r="521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</row>
    <row r="522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</row>
    <row r="5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</row>
    <row r="524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</row>
    <row r="525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</row>
    <row r="526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</row>
    <row r="527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</row>
    <row r="528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</row>
    <row r="530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</row>
    <row r="531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</row>
    <row r="532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</row>
    <row r="534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</row>
    <row r="535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</row>
    <row r="536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</row>
    <row r="537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</row>
    <row r="538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</row>
    <row r="539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</row>
    <row r="540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</row>
    <row r="541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</row>
    <row r="542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</row>
    <row r="54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</row>
    <row r="544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</row>
    <row r="545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</row>
    <row r="546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</row>
    <row r="547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</row>
    <row r="548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</row>
    <row r="549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</row>
    <row r="550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</row>
    <row r="551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</row>
    <row r="552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</row>
    <row r="55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</row>
    <row r="554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</row>
    <row r="555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</row>
    <row r="556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</row>
    <row r="557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</row>
    <row r="558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</row>
    <row r="559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</row>
    <row r="560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</row>
    <row r="561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</row>
    <row r="562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</row>
    <row r="56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</row>
    <row r="564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</row>
    <row r="565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</row>
    <row r="566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</row>
    <row r="567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</row>
    <row r="568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</row>
    <row r="569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</row>
    <row r="570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</row>
    <row r="571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</row>
    <row r="572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</row>
    <row r="57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</row>
    <row r="574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</row>
    <row r="575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</row>
    <row r="576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</row>
    <row r="577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</row>
    <row r="578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</row>
    <row r="579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</row>
    <row r="580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</row>
    <row r="581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</row>
    <row r="582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</row>
    <row r="58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</row>
    <row r="584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</row>
    <row r="585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</row>
    <row r="586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</row>
    <row r="587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</row>
    <row r="588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</row>
    <row r="589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</row>
    <row r="590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</row>
    <row r="591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</row>
    <row r="592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</row>
    <row r="59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</row>
    <row r="594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</row>
    <row r="595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</row>
    <row r="596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</row>
    <row r="597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</row>
    <row r="598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</row>
    <row r="599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</row>
    <row r="600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</row>
    <row r="601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</row>
    <row r="602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</row>
    <row r="60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</row>
    <row r="604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</row>
    <row r="605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</row>
    <row r="606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</row>
    <row r="607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</row>
    <row r="608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</row>
    <row r="609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</row>
    <row r="610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</row>
    <row r="611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</row>
    <row r="612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</row>
    <row r="61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</row>
    <row r="614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</row>
    <row r="615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</row>
    <row r="616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</row>
    <row r="617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</row>
    <row r="618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</row>
    <row r="619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</row>
    <row r="620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</row>
    <row r="621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</row>
    <row r="622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</row>
    <row r="6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</row>
    <row r="624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</row>
    <row r="625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</row>
    <row r="626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</row>
    <row r="627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</row>
    <row r="628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</row>
    <row r="629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</row>
    <row r="630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</row>
    <row r="631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</row>
    <row r="632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</row>
    <row r="63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</row>
    <row r="634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</row>
    <row r="635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</row>
    <row r="636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</row>
    <row r="637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</row>
    <row r="638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</row>
    <row r="639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</row>
    <row r="640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</row>
    <row r="641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</row>
    <row r="642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</row>
    <row r="64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</row>
    <row r="644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</row>
    <row r="645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</row>
    <row r="646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</row>
    <row r="647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</row>
    <row r="648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</row>
    <row r="649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</row>
    <row r="650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</row>
    <row r="651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</row>
    <row r="652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</row>
    <row r="65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</row>
    <row r="654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</row>
    <row r="655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</row>
    <row r="656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</row>
    <row r="657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</row>
    <row r="658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</row>
    <row r="659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</row>
    <row r="660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</row>
    <row r="661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</row>
    <row r="662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</row>
    <row r="66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</row>
    <row r="664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</row>
    <row r="665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</row>
    <row r="666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</row>
    <row r="667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</row>
    <row r="668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</row>
    <row r="669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</row>
    <row r="670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</row>
    <row r="671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</row>
    <row r="672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</row>
    <row r="67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</row>
    <row r="674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</row>
    <row r="675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</row>
    <row r="676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</row>
    <row r="677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</row>
    <row r="678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</row>
    <row r="679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</row>
    <row r="680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</row>
    <row r="681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</row>
    <row r="682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</row>
    <row r="68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</row>
    <row r="684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</row>
    <row r="685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</row>
    <row r="686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</row>
    <row r="687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</row>
    <row r="688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</row>
    <row r="689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</row>
    <row r="690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</row>
    <row r="691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</row>
    <row r="692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</row>
    <row r="69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</row>
    <row r="694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</row>
    <row r="695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</row>
    <row r="696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</row>
    <row r="697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</row>
    <row r="698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</row>
    <row r="699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</row>
    <row r="700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</row>
    <row r="701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</row>
    <row r="702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</row>
    <row r="70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</row>
    <row r="704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</row>
    <row r="705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</row>
    <row r="706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</row>
    <row r="707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</row>
    <row r="708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</row>
    <row r="709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</row>
    <row r="710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</row>
    <row r="711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</row>
    <row r="712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</row>
    <row r="71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</row>
    <row r="714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</row>
    <row r="715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</row>
    <row r="716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</row>
    <row r="717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</row>
    <row r="718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</row>
    <row r="719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</row>
    <row r="720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</row>
    <row r="721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</row>
    <row r="722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</row>
    <row r="7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</row>
    <row r="724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</row>
    <row r="725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</row>
    <row r="726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</row>
    <row r="727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</row>
    <row r="728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</row>
    <row r="729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</row>
    <row r="730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</row>
    <row r="731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</row>
    <row r="732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</row>
    <row r="73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</row>
    <row r="734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</row>
    <row r="735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</row>
    <row r="736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</row>
    <row r="737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</row>
    <row r="738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</row>
    <row r="739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</row>
    <row r="740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</row>
    <row r="741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</row>
    <row r="742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</row>
    <row r="74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</row>
    <row r="744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</row>
    <row r="745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</row>
    <row r="746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</row>
    <row r="747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</row>
    <row r="748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</row>
    <row r="749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</row>
    <row r="750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</row>
    <row r="751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</row>
    <row r="752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</row>
    <row r="75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</row>
    <row r="754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</row>
    <row r="755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</row>
    <row r="756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</row>
    <row r="757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</row>
    <row r="758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</row>
    <row r="759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</row>
    <row r="760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</row>
    <row r="761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</row>
    <row r="762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</row>
    <row r="76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</row>
    <row r="764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</row>
    <row r="765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</row>
    <row r="766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</row>
    <row r="767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</row>
    <row r="768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</row>
    <row r="769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</row>
    <row r="770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</row>
    <row r="771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</row>
    <row r="772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</row>
    <row r="77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</row>
    <row r="774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</row>
    <row r="775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</row>
    <row r="776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</row>
    <row r="777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</row>
    <row r="778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</row>
    <row r="779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</row>
    <row r="780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</row>
    <row r="781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</row>
    <row r="782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</row>
    <row r="78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</row>
    <row r="784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</row>
    <row r="785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</row>
    <row r="786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</row>
    <row r="787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</row>
    <row r="788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</row>
    <row r="789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</row>
    <row r="790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</row>
    <row r="791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</row>
    <row r="792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</row>
    <row r="79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</row>
    <row r="794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</row>
    <row r="795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</row>
    <row r="796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</row>
    <row r="797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</row>
    <row r="798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</row>
    <row r="799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</row>
    <row r="800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</row>
    <row r="801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</row>
    <row r="802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</row>
    <row r="80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</row>
    <row r="804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</row>
    <row r="805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</row>
    <row r="806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</row>
    <row r="807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</row>
    <row r="808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</row>
    <row r="809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</row>
    <row r="810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</row>
    <row r="811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</row>
    <row r="812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</row>
    <row r="81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</row>
    <row r="814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</row>
    <row r="815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</row>
    <row r="816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</row>
    <row r="817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</row>
    <row r="818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</row>
    <row r="819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</row>
    <row r="820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</row>
    <row r="821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</row>
    <row r="822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</row>
    <row r="8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</row>
    <row r="824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</row>
    <row r="825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</row>
    <row r="826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</row>
    <row r="827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</row>
    <row r="828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</row>
    <row r="829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</row>
    <row r="830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</row>
    <row r="831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</row>
    <row r="832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</row>
    <row r="83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</row>
    <row r="834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</row>
    <row r="835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</row>
    <row r="836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</row>
    <row r="837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</row>
    <row r="838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</row>
    <row r="839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</row>
    <row r="840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</row>
    <row r="841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</row>
    <row r="842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</row>
    <row r="84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</row>
    <row r="844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</row>
    <row r="845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</row>
    <row r="846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</row>
    <row r="847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</row>
    <row r="848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</row>
    <row r="849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</row>
    <row r="850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</row>
    <row r="851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</row>
    <row r="852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</row>
    <row r="85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</row>
    <row r="854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</row>
    <row r="855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</row>
    <row r="856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</row>
    <row r="857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</row>
    <row r="858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</row>
    <row r="859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</row>
    <row r="860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</row>
    <row r="861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</row>
    <row r="862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</row>
    <row r="86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</row>
    <row r="864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</row>
    <row r="865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</row>
    <row r="866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</row>
    <row r="867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</row>
    <row r="868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</row>
    <row r="869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</row>
    <row r="870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</row>
    <row r="871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</row>
    <row r="872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</row>
    <row r="87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</row>
    <row r="874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</row>
    <row r="875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</row>
    <row r="876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</row>
    <row r="877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</row>
    <row r="878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</row>
    <row r="879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</row>
    <row r="880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</row>
    <row r="881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</row>
    <row r="882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</row>
    <row r="88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</row>
    <row r="884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</row>
    <row r="885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</row>
    <row r="886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</row>
    <row r="887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</row>
    <row r="888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</row>
    <row r="889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</row>
    <row r="890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</row>
    <row r="891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</row>
    <row r="892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</row>
    <row r="89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</row>
    <row r="894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</row>
    <row r="895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</row>
    <row r="896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</row>
    <row r="897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</row>
    <row r="898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</row>
    <row r="899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</row>
    <row r="900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</row>
    <row r="901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</row>
    <row r="902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</row>
    <row r="90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</row>
    <row r="904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</row>
    <row r="905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</row>
    <row r="906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</row>
    <row r="907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</row>
    <row r="908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</row>
    <row r="909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</row>
    <row r="910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</row>
    <row r="911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</row>
    <row r="912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</row>
    <row r="91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</row>
    <row r="914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</row>
    <row r="915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</row>
    <row r="916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</row>
    <row r="917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</row>
    <row r="918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</row>
    <row r="919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</row>
    <row r="920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</row>
    <row r="921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</row>
    <row r="922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</row>
    <row r="9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</row>
    <row r="924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</row>
    <row r="925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</row>
    <row r="926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</row>
    <row r="927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</row>
    <row r="928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</row>
    <row r="929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</row>
    <row r="930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</row>
    <row r="931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</row>
    <row r="932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</row>
    <row r="93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</row>
    <row r="934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</row>
    <row r="935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</row>
    <row r="936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</row>
    <row r="937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</row>
    <row r="938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</row>
    <row r="939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</row>
    <row r="940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</row>
    <row r="941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</row>
    <row r="942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</row>
    <row r="94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</row>
    <row r="944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</row>
    <row r="945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</row>
    <row r="946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</row>
    <row r="947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</row>
    <row r="948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</row>
    <row r="949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</row>
    <row r="950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</row>
    <row r="951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</row>
    <row r="952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</row>
    <row r="95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</row>
    <row r="954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</row>
    <row r="955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</row>
    <row r="956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</row>
    <row r="957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</row>
    <row r="958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</row>
    <row r="959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</row>
    <row r="960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</row>
    <row r="961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</row>
    <row r="962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</row>
    <row r="96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</row>
    <row r="964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</row>
    <row r="965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</row>
    <row r="966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</row>
    <row r="967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</row>
    <row r="968"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</row>
    <row r="969"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</row>
    <row r="970"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</row>
    <row r="971"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</row>
    <row r="972"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</row>
    <row r="973"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</row>
    <row r="974"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</row>
    <row r="975"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</row>
    <row r="976"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</row>
    <row r="977"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</row>
    <row r="978"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</row>
    <row r="979"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</row>
    <row r="980"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</row>
    <row r="981"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</row>
    <row r="982"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</row>
    <row r="983"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</row>
    <row r="984"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</row>
    <row r="985"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</row>
    <row r="986"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</row>
    <row r="987"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</row>
    <row r="988"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</row>
    <row r="989"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</row>
    <row r="990"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</row>
    <row r="991"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</row>
    <row r="992"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</row>
    <row r="993"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</row>
    <row r="994"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</row>
    <row r="995"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</row>
    <row r="996"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</row>
    <row r="997"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</row>
    <row r="998"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</row>
    <row r="999"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</row>
    <row r="1000"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</row>
    <row r="1001"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</row>
    <row r="1002"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</row>
    <row r="1003"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</row>
    <row r="1004"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</row>
    <row r="1005"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</row>
    <row r="1006"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</row>
    <row r="1007"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</row>
    <row r="1008"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</row>
    <row r="1009"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</row>
    <row r="1010"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</row>
    <row r="1011"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</row>
    <row r="1012"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</row>
    <row r="1013"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</row>
    <row r="1014"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</row>
    <row r="1015"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</row>
    <row r="1016"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</row>
    <row r="1017"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</row>
    <row r="1018"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</row>
    <row r="1019"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</row>
    <row r="1020"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</row>
    <row r="1021"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</row>
    <row r="1022"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</row>
    <row r="1023"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</row>
    <row r="1024"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</row>
    <row r="1025"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</row>
    <row r="1026"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</row>
    <row r="1027"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</row>
    <row r="1028"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</row>
    <row r="1029"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</row>
    <row r="1030"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2026-03-26T14:50:27Z</dcterms:created>
  <dc:creator>Paolo</dc:creator>
</cp:coreProperties>
</file>