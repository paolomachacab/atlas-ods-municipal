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BD5EBB29-C952-4CD2-886C-D186040466C4}" xr6:coauthVersionLast="47" xr6:coauthVersionMax="47" xr10:uidLastSave="{00000000-0000-0000-0000-000000000000}"/>
  <bookViews>
    <workbookView xWindow="-120" yWindow="-120" windowWidth="20730" windowHeight="11160" firstSheet="1" activeTab="2" xr2:uid="{A742A55C-A9B8-4C0F-89F2-B12936A81784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definedNames>
    <definedName name="_xlnm._FilterDatabase" localSheetId="1" hidden="1">'Datos procesados'!#REF!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46" i="2" l="1"/>
  <c r="J346" i="2"/>
  <c r="I346" i="2"/>
  <c r="H346" i="2"/>
  <c r="G346" i="2"/>
  <c r="F346" i="2"/>
  <c r="N346" i="2"/>
  <c r="N348" i="2" s="1"/>
  <c r="M346" i="2"/>
  <c r="M348" i="2" s="1"/>
  <c r="L346" i="2"/>
  <c r="L348" i="2" s="1"/>
  <c r="N350" i="2" s="1"/>
  <c r="N353" i="2" l="1"/>
  <c r="N351" i="2"/>
  <c r="N352" i="2"/>
  <c r="X344" i="2" l="1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7" i="2"/>
  <c r="X299" i="2"/>
  <c r="X298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38" i="2"/>
  <c r="X41" i="2"/>
  <c r="X40" i="2"/>
  <c r="X39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W3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7" i="2"/>
  <c r="W299" i="2"/>
  <c r="W298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38" i="2"/>
  <c r="W41" i="2"/>
  <c r="W40" i="2"/>
  <c r="W39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2" i="2"/>
  <c r="V344" i="2"/>
  <c r="Y344" i="2" s="1"/>
  <c r="V343" i="2"/>
  <c r="Y343" i="2" s="1"/>
  <c r="V342" i="2"/>
  <c r="Y342" i="2" s="1"/>
  <c r="V341" i="2"/>
  <c r="Y341" i="2" s="1"/>
  <c r="V340" i="2"/>
  <c r="Y340" i="2" s="1"/>
  <c r="V339" i="2"/>
  <c r="Y339" i="2" s="1"/>
  <c r="V338" i="2"/>
  <c r="Y338" i="2" s="1"/>
  <c r="V337" i="2"/>
  <c r="Y337" i="2" s="1"/>
  <c r="V336" i="2"/>
  <c r="Y336" i="2" s="1"/>
  <c r="V335" i="2"/>
  <c r="Y335" i="2" s="1"/>
  <c r="V334" i="2"/>
  <c r="Y334" i="2" s="1"/>
  <c r="V333" i="2"/>
  <c r="Y333" i="2" s="1"/>
  <c r="V332" i="2"/>
  <c r="Y332" i="2" s="1"/>
  <c r="V331" i="2"/>
  <c r="Y331" i="2" s="1"/>
  <c r="V330" i="2"/>
  <c r="Y330" i="2" s="1"/>
  <c r="V329" i="2"/>
  <c r="Y329" i="2" s="1"/>
  <c r="V328" i="2"/>
  <c r="Y328" i="2" s="1"/>
  <c r="V327" i="2"/>
  <c r="Y327" i="2" s="1"/>
  <c r="V326" i="2"/>
  <c r="Y326" i="2" s="1"/>
  <c r="V325" i="2"/>
  <c r="Y325" i="2" s="1"/>
  <c r="V324" i="2"/>
  <c r="Y324" i="2" s="1"/>
  <c r="V323" i="2"/>
  <c r="Y323" i="2" s="1"/>
  <c r="V322" i="2"/>
  <c r="Y322" i="2" s="1"/>
  <c r="V321" i="2"/>
  <c r="Y321" i="2" s="1"/>
  <c r="V320" i="2"/>
  <c r="Y320" i="2" s="1"/>
  <c r="V319" i="2"/>
  <c r="Y319" i="2" s="1"/>
  <c r="V318" i="2"/>
  <c r="Y318" i="2" s="1"/>
  <c r="V317" i="2"/>
  <c r="Y317" i="2" s="1"/>
  <c r="V316" i="2"/>
  <c r="Y316" i="2" s="1"/>
  <c r="V315" i="2"/>
  <c r="Y315" i="2" s="1"/>
  <c r="V314" i="2"/>
  <c r="Y314" i="2" s="1"/>
  <c r="V313" i="2"/>
  <c r="Y313" i="2" s="1"/>
  <c r="V312" i="2"/>
  <c r="Y312" i="2" s="1"/>
  <c r="V311" i="2"/>
  <c r="Y311" i="2" s="1"/>
  <c r="V310" i="2"/>
  <c r="Y310" i="2" s="1"/>
  <c r="V309" i="2"/>
  <c r="Y309" i="2" s="1"/>
  <c r="V308" i="2"/>
  <c r="Y308" i="2" s="1"/>
  <c r="V307" i="2"/>
  <c r="Y307" i="2" s="1"/>
  <c r="V306" i="2"/>
  <c r="Y306" i="2" s="1"/>
  <c r="V305" i="2"/>
  <c r="Y305" i="2" s="1"/>
  <c r="V304" i="2"/>
  <c r="Y304" i="2" s="1"/>
  <c r="V303" i="2"/>
  <c r="Y303" i="2" s="1"/>
  <c r="V302" i="2"/>
  <c r="Y302" i="2" s="1"/>
  <c r="V301" i="2"/>
  <c r="Y301" i="2" s="1"/>
  <c r="V300" i="2"/>
  <c r="Y300" i="2" s="1"/>
  <c r="V297" i="2"/>
  <c r="Y297" i="2" s="1"/>
  <c r="V299" i="2"/>
  <c r="Y299" i="2" s="1"/>
  <c r="V298" i="2"/>
  <c r="Y298" i="2" s="1"/>
  <c r="V296" i="2"/>
  <c r="Y296" i="2" s="1"/>
  <c r="V295" i="2"/>
  <c r="Y295" i="2" s="1"/>
  <c r="V294" i="2"/>
  <c r="Y294" i="2" s="1"/>
  <c r="V293" i="2"/>
  <c r="Y293" i="2" s="1"/>
  <c r="V292" i="2"/>
  <c r="Y292" i="2" s="1"/>
  <c r="V291" i="2"/>
  <c r="Y291" i="2" s="1"/>
  <c r="V290" i="2"/>
  <c r="Y290" i="2" s="1"/>
  <c r="V289" i="2"/>
  <c r="Y289" i="2" s="1"/>
  <c r="V288" i="2"/>
  <c r="Y288" i="2" s="1"/>
  <c r="V287" i="2"/>
  <c r="Y287" i="2" s="1"/>
  <c r="V286" i="2"/>
  <c r="Y286" i="2" s="1"/>
  <c r="V285" i="2"/>
  <c r="Y285" i="2" s="1"/>
  <c r="V284" i="2"/>
  <c r="Y284" i="2" s="1"/>
  <c r="V283" i="2"/>
  <c r="Y283" i="2" s="1"/>
  <c r="V282" i="2"/>
  <c r="Y282" i="2" s="1"/>
  <c r="V281" i="2"/>
  <c r="Y281" i="2" s="1"/>
  <c r="V280" i="2"/>
  <c r="Y280" i="2" s="1"/>
  <c r="V279" i="2"/>
  <c r="Y279" i="2" s="1"/>
  <c r="V278" i="2"/>
  <c r="Y278" i="2" s="1"/>
  <c r="V277" i="2"/>
  <c r="Y277" i="2" s="1"/>
  <c r="V276" i="2"/>
  <c r="Y276" i="2" s="1"/>
  <c r="V275" i="2"/>
  <c r="Y275" i="2" s="1"/>
  <c r="V274" i="2"/>
  <c r="Y274" i="2" s="1"/>
  <c r="V273" i="2"/>
  <c r="Y273" i="2" s="1"/>
  <c r="V272" i="2"/>
  <c r="Y272" i="2" s="1"/>
  <c r="V271" i="2"/>
  <c r="Y271" i="2" s="1"/>
  <c r="V270" i="2"/>
  <c r="Y270" i="2" s="1"/>
  <c r="V269" i="2"/>
  <c r="Y269" i="2" s="1"/>
  <c r="V268" i="2"/>
  <c r="Y268" i="2" s="1"/>
  <c r="V267" i="2"/>
  <c r="Y267" i="2" s="1"/>
  <c r="V266" i="2"/>
  <c r="Y266" i="2" s="1"/>
  <c r="V265" i="2"/>
  <c r="Y265" i="2" s="1"/>
  <c r="V264" i="2"/>
  <c r="Y264" i="2" s="1"/>
  <c r="V263" i="2"/>
  <c r="Y263" i="2" s="1"/>
  <c r="V262" i="2"/>
  <c r="Y262" i="2" s="1"/>
  <c r="V261" i="2"/>
  <c r="Y261" i="2" s="1"/>
  <c r="V260" i="2"/>
  <c r="Y260" i="2" s="1"/>
  <c r="V259" i="2"/>
  <c r="Y259" i="2" s="1"/>
  <c r="V258" i="2"/>
  <c r="Y258" i="2" s="1"/>
  <c r="V257" i="2"/>
  <c r="Y257" i="2" s="1"/>
  <c r="V256" i="2"/>
  <c r="Y256" i="2" s="1"/>
  <c r="V255" i="2"/>
  <c r="Y255" i="2" s="1"/>
  <c r="V254" i="2"/>
  <c r="Y254" i="2" s="1"/>
  <c r="V253" i="2"/>
  <c r="Y253" i="2" s="1"/>
  <c r="V252" i="2"/>
  <c r="Y252" i="2" s="1"/>
  <c r="V251" i="2"/>
  <c r="Y251" i="2" s="1"/>
  <c r="V250" i="2"/>
  <c r="Y250" i="2" s="1"/>
  <c r="V249" i="2"/>
  <c r="Y249" i="2" s="1"/>
  <c r="V248" i="2"/>
  <c r="Y248" i="2" s="1"/>
  <c r="V247" i="2"/>
  <c r="Y247" i="2" s="1"/>
  <c r="V246" i="2"/>
  <c r="Y246" i="2" s="1"/>
  <c r="V245" i="2"/>
  <c r="Y245" i="2" s="1"/>
  <c r="V244" i="2"/>
  <c r="Y244" i="2" s="1"/>
  <c r="V243" i="2"/>
  <c r="Y243" i="2" s="1"/>
  <c r="V242" i="2"/>
  <c r="Y242" i="2" s="1"/>
  <c r="V241" i="2"/>
  <c r="Y241" i="2" s="1"/>
  <c r="V240" i="2"/>
  <c r="Y240" i="2" s="1"/>
  <c r="V239" i="2"/>
  <c r="Y239" i="2" s="1"/>
  <c r="V238" i="2"/>
  <c r="Y238" i="2" s="1"/>
  <c r="V237" i="2"/>
  <c r="Y237" i="2" s="1"/>
  <c r="V236" i="2"/>
  <c r="Y236" i="2" s="1"/>
  <c r="V235" i="2"/>
  <c r="Y235" i="2" s="1"/>
  <c r="V234" i="2"/>
  <c r="Y234" i="2" s="1"/>
  <c r="V233" i="2"/>
  <c r="Y233" i="2" s="1"/>
  <c r="V232" i="2"/>
  <c r="Y232" i="2" s="1"/>
  <c r="V231" i="2"/>
  <c r="Y231" i="2" s="1"/>
  <c r="V230" i="2"/>
  <c r="Y230" i="2" s="1"/>
  <c r="V229" i="2"/>
  <c r="Y229" i="2" s="1"/>
  <c r="V228" i="2"/>
  <c r="Y228" i="2" s="1"/>
  <c r="V227" i="2"/>
  <c r="Y227" i="2" s="1"/>
  <c r="V226" i="2"/>
  <c r="Y226" i="2" s="1"/>
  <c r="V225" i="2"/>
  <c r="Y225" i="2" s="1"/>
  <c r="V224" i="2"/>
  <c r="Y224" i="2" s="1"/>
  <c r="V223" i="2"/>
  <c r="Y223" i="2" s="1"/>
  <c r="V222" i="2"/>
  <c r="Y222" i="2" s="1"/>
  <c r="V221" i="2"/>
  <c r="Y221" i="2" s="1"/>
  <c r="V220" i="2"/>
  <c r="Y220" i="2" s="1"/>
  <c r="V219" i="2"/>
  <c r="Y219" i="2" s="1"/>
  <c r="V218" i="2"/>
  <c r="Y218" i="2" s="1"/>
  <c r="V217" i="2"/>
  <c r="Y217" i="2" s="1"/>
  <c r="V216" i="2"/>
  <c r="Y216" i="2" s="1"/>
  <c r="V215" i="2"/>
  <c r="Y215" i="2" s="1"/>
  <c r="V214" i="2"/>
  <c r="Y214" i="2" s="1"/>
  <c r="V213" i="2"/>
  <c r="Y213" i="2" s="1"/>
  <c r="V212" i="2"/>
  <c r="Y212" i="2" s="1"/>
  <c r="V211" i="2"/>
  <c r="Y211" i="2" s="1"/>
  <c r="V210" i="2"/>
  <c r="Y210" i="2" s="1"/>
  <c r="V209" i="2"/>
  <c r="Y209" i="2" s="1"/>
  <c r="V208" i="2"/>
  <c r="Y208" i="2" s="1"/>
  <c r="V207" i="2"/>
  <c r="Y207" i="2" s="1"/>
  <c r="V206" i="2"/>
  <c r="Y206" i="2" s="1"/>
  <c r="V205" i="2"/>
  <c r="Y205" i="2" s="1"/>
  <c r="V204" i="2"/>
  <c r="Y204" i="2" s="1"/>
  <c r="V203" i="2"/>
  <c r="Y203" i="2" s="1"/>
  <c r="V202" i="2"/>
  <c r="Y202" i="2" s="1"/>
  <c r="V201" i="2"/>
  <c r="Y201" i="2" s="1"/>
  <c r="V200" i="2"/>
  <c r="Y200" i="2" s="1"/>
  <c r="V199" i="2"/>
  <c r="Y199" i="2" s="1"/>
  <c r="V198" i="2"/>
  <c r="Y198" i="2" s="1"/>
  <c r="V197" i="2"/>
  <c r="Y197" i="2" s="1"/>
  <c r="V196" i="2"/>
  <c r="Y196" i="2" s="1"/>
  <c r="V195" i="2"/>
  <c r="Y195" i="2" s="1"/>
  <c r="V194" i="2"/>
  <c r="Y194" i="2" s="1"/>
  <c r="V193" i="2"/>
  <c r="Y193" i="2" s="1"/>
  <c r="V192" i="2"/>
  <c r="Y192" i="2" s="1"/>
  <c r="V191" i="2"/>
  <c r="Y191" i="2" s="1"/>
  <c r="V190" i="2"/>
  <c r="Y190" i="2" s="1"/>
  <c r="V189" i="2"/>
  <c r="Y189" i="2" s="1"/>
  <c r="V188" i="2"/>
  <c r="Y188" i="2" s="1"/>
  <c r="V187" i="2"/>
  <c r="Y187" i="2" s="1"/>
  <c r="V186" i="2"/>
  <c r="Y186" i="2" s="1"/>
  <c r="V185" i="2"/>
  <c r="Y185" i="2" s="1"/>
  <c r="V184" i="2"/>
  <c r="Y184" i="2" s="1"/>
  <c r="V183" i="2"/>
  <c r="Y183" i="2" s="1"/>
  <c r="V182" i="2"/>
  <c r="Y182" i="2" s="1"/>
  <c r="V181" i="2"/>
  <c r="Y181" i="2" s="1"/>
  <c r="V180" i="2"/>
  <c r="Y180" i="2" s="1"/>
  <c r="V179" i="2"/>
  <c r="Y179" i="2" s="1"/>
  <c r="V178" i="2"/>
  <c r="Y178" i="2" s="1"/>
  <c r="V177" i="2"/>
  <c r="Y177" i="2" s="1"/>
  <c r="V176" i="2"/>
  <c r="Y176" i="2" s="1"/>
  <c r="V175" i="2"/>
  <c r="Y175" i="2" s="1"/>
  <c r="V174" i="2"/>
  <c r="Y174" i="2" s="1"/>
  <c r="V173" i="2"/>
  <c r="Y173" i="2" s="1"/>
  <c r="V172" i="2"/>
  <c r="Y172" i="2" s="1"/>
  <c r="V171" i="2"/>
  <c r="Y171" i="2" s="1"/>
  <c r="V170" i="2"/>
  <c r="Y170" i="2" s="1"/>
  <c r="V169" i="2"/>
  <c r="Y169" i="2" s="1"/>
  <c r="V168" i="2"/>
  <c r="Y168" i="2" s="1"/>
  <c r="V167" i="2"/>
  <c r="Y167" i="2" s="1"/>
  <c r="V166" i="2"/>
  <c r="Y166" i="2" s="1"/>
  <c r="V165" i="2"/>
  <c r="Y165" i="2" s="1"/>
  <c r="V164" i="2"/>
  <c r="Y164" i="2" s="1"/>
  <c r="V163" i="2"/>
  <c r="Y163" i="2" s="1"/>
  <c r="V162" i="2"/>
  <c r="Y162" i="2" s="1"/>
  <c r="V161" i="2"/>
  <c r="Y161" i="2" s="1"/>
  <c r="V160" i="2"/>
  <c r="Y160" i="2" s="1"/>
  <c r="V159" i="2"/>
  <c r="Y159" i="2" s="1"/>
  <c r="V158" i="2"/>
  <c r="Y158" i="2" s="1"/>
  <c r="V157" i="2"/>
  <c r="Y157" i="2" s="1"/>
  <c r="V156" i="2"/>
  <c r="Y156" i="2" s="1"/>
  <c r="V155" i="2"/>
  <c r="Y155" i="2" s="1"/>
  <c r="V154" i="2"/>
  <c r="Y154" i="2" s="1"/>
  <c r="V153" i="2"/>
  <c r="Y153" i="2" s="1"/>
  <c r="V152" i="2"/>
  <c r="Y152" i="2" s="1"/>
  <c r="V151" i="2"/>
  <c r="Y151" i="2" s="1"/>
  <c r="V150" i="2"/>
  <c r="Y150" i="2" s="1"/>
  <c r="V149" i="2"/>
  <c r="Y149" i="2" s="1"/>
  <c r="V148" i="2"/>
  <c r="Y148" i="2" s="1"/>
  <c r="V147" i="2"/>
  <c r="Y147" i="2" s="1"/>
  <c r="V146" i="2"/>
  <c r="Y146" i="2" s="1"/>
  <c r="V145" i="2"/>
  <c r="Y145" i="2" s="1"/>
  <c r="V144" i="2"/>
  <c r="Y144" i="2" s="1"/>
  <c r="V143" i="2"/>
  <c r="Y143" i="2" s="1"/>
  <c r="V142" i="2"/>
  <c r="Y142" i="2" s="1"/>
  <c r="V141" i="2"/>
  <c r="Y141" i="2" s="1"/>
  <c r="V140" i="2"/>
  <c r="Y140" i="2" s="1"/>
  <c r="V139" i="2"/>
  <c r="Y139" i="2" s="1"/>
  <c r="V138" i="2"/>
  <c r="Y138" i="2" s="1"/>
  <c r="V137" i="2"/>
  <c r="Y137" i="2" s="1"/>
  <c r="V136" i="2"/>
  <c r="Y136" i="2" s="1"/>
  <c r="V135" i="2"/>
  <c r="Y135" i="2" s="1"/>
  <c r="V134" i="2"/>
  <c r="Y134" i="2" s="1"/>
  <c r="V133" i="2"/>
  <c r="Y133" i="2" s="1"/>
  <c r="V132" i="2"/>
  <c r="Y132" i="2" s="1"/>
  <c r="V131" i="2"/>
  <c r="Y131" i="2" s="1"/>
  <c r="V130" i="2"/>
  <c r="Y130" i="2" s="1"/>
  <c r="V129" i="2"/>
  <c r="Y129" i="2" s="1"/>
  <c r="V128" i="2"/>
  <c r="Y128" i="2" s="1"/>
  <c r="V127" i="2"/>
  <c r="Y127" i="2" s="1"/>
  <c r="V126" i="2"/>
  <c r="Y126" i="2" s="1"/>
  <c r="V125" i="2"/>
  <c r="Y125" i="2" s="1"/>
  <c r="V124" i="2"/>
  <c r="Y124" i="2" s="1"/>
  <c r="V123" i="2"/>
  <c r="Y123" i="2" s="1"/>
  <c r="V122" i="2"/>
  <c r="Y122" i="2" s="1"/>
  <c r="V121" i="2"/>
  <c r="Y121" i="2" s="1"/>
  <c r="V120" i="2"/>
  <c r="Y120" i="2" s="1"/>
  <c r="V119" i="2"/>
  <c r="Y119" i="2" s="1"/>
  <c r="V118" i="2"/>
  <c r="Y118" i="2" s="1"/>
  <c r="V117" i="2"/>
  <c r="Y117" i="2" s="1"/>
  <c r="V116" i="2"/>
  <c r="Y116" i="2" s="1"/>
  <c r="V115" i="2"/>
  <c r="Y115" i="2" s="1"/>
  <c r="V114" i="2"/>
  <c r="Y114" i="2" s="1"/>
  <c r="V113" i="2"/>
  <c r="Y113" i="2" s="1"/>
  <c r="V112" i="2"/>
  <c r="Y112" i="2" s="1"/>
  <c r="V111" i="2"/>
  <c r="Y111" i="2" s="1"/>
  <c r="V110" i="2"/>
  <c r="Y110" i="2" s="1"/>
  <c r="V109" i="2"/>
  <c r="Y109" i="2" s="1"/>
  <c r="V108" i="2"/>
  <c r="Y108" i="2" s="1"/>
  <c r="V107" i="2"/>
  <c r="Y107" i="2" s="1"/>
  <c r="V106" i="2"/>
  <c r="Y106" i="2" s="1"/>
  <c r="V105" i="2"/>
  <c r="Y105" i="2" s="1"/>
  <c r="V104" i="2"/>
  <c r="Y104" i="2" s="1"/>
  <c r="V103" i="2"/>
  <c r="Y103" i="2" s="1"/>
  <c r="V102" i="2"/>
  <c r="Y102" i="2" s="1"/>
  <c r="V101" i="2"/>
  <c r="Y101" i="2" s="1"/>
  <c r="V100" i="2"/>
  <c r="Y100" i="2" s="1"/>
  <c r="V99" i="2"/>
  <c r="Y99" i="2" s="1"/>
  <c r="V98" i="2"/>
  <c r="Y98" i="2" s="1"/>
  <c r="V97" i="2"/>
  <c r="Y97" i="2" s="1"/>
  <c r="V96" i="2"/>
  <c r="Y96" i="2" s="1"/>
  <c r="V95" i="2"/>
  <c r="Y95" i="2" s="1"/>
  <c r="V94" i="2"/>
  <c r="Y94" i="2" s="1"/>
  <c r="V93" i="2"/>
  <c r="Y93" i="2" s="1"/>
  <c r="V92" i="2"/>
  <c r="Y92" i="2" s="1"/>
  <c r="V91" i="2"/>
  <c r="Y91" i="2" s="1"/>
  <c r="V90" i="2"/>
  <c r="Y90" i="2" s="1"/>
  <c r="V89" i="2"/>
  <c r="Y89" i="2" s="1"/>
  <c r="V88" i="2"/>
  <c r="Y88" i="2" s="1"/>
  <c r="V87" i="2"/>
  <c r="Y87" i="2" s="1"/>
  <c r="V86" i="2"/>
  <c r="Y86" i="2" s="1"/>
  <c r="V85" i="2"/>
  <c r="Y85" i="2" s="1"/>
  <c r="V84" i="2"/>
  <c r="Y84" i="2" s="1"/>
  <c r="V83" i="2"/>
  <c r="Y83" i="2" s="1"/>
  <c r="V82" i="2"/>
  <c r="Y82" i="2" s="1"/>
  <c r="V81" i="2"/>
  <c r="Y81" i="2" s="1"/>
  <c r="V80" i="2"/>
  <c r="Y80" i="2" s="1"/>
  <c r="V79" i="2"/>
  <c r="Y79" i="2" s="1"/>
  <c r="V78" i="2"/>
  <c r="Y78" i="2" s="1"/>
  <c r="V77" i="2"/>
  <c r="Y77" i="2" s="1"/>
  <c r="V76" i="2"/>
  <c r="Y76" i="2" s="1"/>
  <c r="V75" i="2"/>
  <c r="Y75" i="2" s="1"/>
  <c r="V74" i="2"/>
  <c r="Y74" i="2" s="1"/>
  <c r="V73" i="2"/>
  <c r="Y73" i="2" s="1"/>
  <c r="V72" i="2"/>
  <c r="Y72" i="2" s="1"/>
  <c r="V71" i="2"/>
  <c r="Y71" i="2" s="1"/>
  <c r="V70" i="2"/>
  <c r="Y70" i="2" s="1"/>
  <c r="V69" i="2"/>
  <c r="Y69" i="2" s="1"/>
  <c r="V68" i="2"/>
  <c r="Y68" i="2" s="1"/>
  <c r="V67" i="2"/>
  <c r="Y67" i="2" s="1"/>
  <c r="V66" i="2"/>
  <c r="Y66" i="2" s="1"/>
  <c r="V65" i="2"/>
  <c r="Y65" i="2" s="1"/>
  <c r="V64" i="2"/>
  <c r="Y64" i="2" s="1"/>
  <c r="V63" i="2"/>
  <c r="Y63" i="2" s="1"/>
  <c r="V62" i="2"/>
  <c r="Y62" i="2" s="1"/>
  <c r="V61" i="2"/>
  <c r="Y61" i="2" s="1"/>
  <c r="V60" i="2"/>
  <c r="Y60" i="2" s="1"/>
  <c r="V59" i="2"/>
  <c r="Y59" i="2" s="1"/>
  <c r="V58" i="2"/>
  <c r="Y58" i="2" s="1"/>
  <c r="V57" i="2"/>
  <c r="Y57" i="2" s="1"/>
  <c r="V56" i="2"/>
  <c r="Y56" i="2" s="1"/>
  <c r="V55" i="2"/>
  <c r="Y55" i="2" s="1"/>
  <c r="V54" i="2"/>
  <c r="Y54" i="2" s="1"/>
  <c r="V53" i="2"/>
  <c r="Y53" i="2" s="1"/>
  <c r="V52" i="2"/>
  <c r="Y52" i="2" s="1"/>
  <c r="V51" i="2"/>
  <c r="Y51" i="2" s="1"/>
  <c r="V50" i="2"/>
  <c r="Y50" i="2" s="1"/>
  <c r="V49" i="2"/>
  <c r="Y49" i="2" s="1"/>
  <c r="V48" i="2"/>
  <c r="Y48" i="2" s="1"/>
  <c r="V47" i="2"/>
  <c r="Y47" i="2" s="1"/>
  <c r="V46" i="2"/>
  <c r="Y46" i="2" s="1"/>
  <c r="V45" i="2"/>
  <c r="Y45" i="2" s="1"/>
  <c r="V44" i="2"/>
  <c r="Y44" i="2" s="1"/>
  <c r="V43" i="2"/>
  <c r="Y43" i="2" s="1"/>
  <c r="V42" i="2"/>
  <c r="Y42" i="2" s="1"/>
  <c r="V38" i="2"/>
  <c r="Y38" i="2" s="1"/>
  <c r="V41" i="2"/>
  <c r="Y41" i="2" s="1"/>
  <c r="V40" i="2"/>
  <c r="Y40" i="2" s="1"/>
  <c r="V39" i="2"/>
  <c r="Y39" i="2" s="1"/>
  <c r="V37" i="2"/>
  <c r="Y37" i="2" s="1"/>
  <c r="V36" i="2"/>
  <c r="Y36" i="2" s="1"/>
  <c r="V35" i="2"/>
  <c r="Y35" i="2" s="1"/>
  <c r="V34" i="2"/>
  <c r="Y34" i="2" s="1"/>
  <c r="V33" i="2"/>
  <c r="Y33" i="2" s="1"/>
  <c r="V32" i="2"/>
  <c r="Y32" i="2" s="1"/>
  <c r="V31" i="2"/>
  <c r="Y31" i="2" s="1"/>
  <c r="V30" i="2"/>
  <c r="Y30" i="2" s="1"/>
  <c r="V29" i="2"/>
  <c r="Y29" i="2" s="1"/>
  <c r="V28" i="2"/>
  <c r="Y28" i="2" s="1"/>
  <c r="V27" i="2"/>
  <c r="Y27" i="2" s="1"/>
  <c r="V26" i="2"/>
  <c r="Y26" i="2" s="1"/>
  <c r="V25" i="2"/>
  <c r="Y25" i="2" s="1"/>
  <c r="V24" i="2"/>
  <c r="Y24" i="2" s="1"/>
  <c r="V23" i="2"/>
  <c r="Y23" i="2" s="1"/>
  <c r="V22" i="2"/>
  <c r="Y22" i="2" s="1"/>
  <c r="V21" i="2"/>
  <c r="Y21" i="2" s="1"/>
  <c r="V20" i="2"/>
  <c r="Y20" i="2" s="1"/>
  <c r="V19" i="2"/>
  <c r="Y19" i="2" s="1"/>
  <c r="V18" i="2"/>
  <c r="Y18" i="2" s="1"/>
  <c r="V17" i="2"/>
  <c r="Y17" i="2" s="1"/>
  <c r="V16" i="2"/>
  <c r="Y16" i="2" s="1"/>
  <c r="V15" i="2"/>
  <c r="Y15" i="2" s="1"/>
  <c r="V14" i="2"/>
  <c r="Y14" i="2" s="1"/>
  <c r="V13" i="2"/>
  <c r="Y13" i="2" s="1"/>
  <c r="V12" i="2"/>
  <c r="Y12" i="2" s="1"/>
  <c r="V11" i="2"/>
  <c r="Y11" i="2" s="1"/>
  <c r="V10" i="2"/>
  <c r="Y10" i="2" s="1"/>
  <c r="V9" i="2"/>
  <c r="Y9" i="2" s="1"/>
  <c r="V8" i="2"/>
  <c r="Y8" i="2" s="1"/>
  <c r="V7" i="2"/>
  <c r="Y7" i="2" s="1"/>
  <c r="V6" i="2"/>
  <c r="Y6" i="2" s="1"/>
  <c r="V5" i="2"/>
  <c r="Y5" i="2" s="1"/>
  <c r="V4" i="2"/>
  <c r="Y4" i="2" s="1"/>
  <c r="V3" i="2"/>
  <c r="Y3" i="2" s="1"/>
  <c r="V2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7" i="2"/>
  <c r="T299" i="2"/>
  <c r="T298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38" i="2"/>
  <c r="T41" i="2"/>
  <c r="T40" i="2"/>
  <c r="T39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S2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7" i="2"/>
  <c r="S299" i="2"/>
  <c r="S298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38" i="2"/>
  <c r="S41" i="2"/>
  <c r="S40" i="2"/>
  <c r="S39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R344" i="2"/>
  <c r="U344" i="2" s="1"/>
  <c r="R343" i="2"/>
  <c r="U343" i="2" s="1"/>
  <c r="R342" i="2"/>
  <c r="U342" i="2" s="1"/>
  <c r="R341" i="2"/>
  <c r="U341" i="2" s="1"/>
  <c r="R340" i="2"/>
  <c r="U340" i="2" s="1"/>
  <c r="R339" i="2"/>
  <c r="U339" i="2" s="1"/>
  <c r="R338" i="2"/>
  <c r="U338" i="2" s="1"/>
  <c r="R337" i="2"/>
  <c r="U337" i="2" s="1"/>
  <c r="R336" i="2"/>
  <c r="U336" i="2" s="1"/>
  <c r="R335" i="2"/>
  <c r="U335" i="2" s="1"/>
  <c r="R334" i="2"/>
  <c r="U334" i="2" s="1"/>
  <c r="R333" i="2"/>
  <c r="U333" i="2" s="1"/>
  <c r="R332" i="2"/>
  <c r="U332" i="2" s="1"/>
  <c r="R331" i="2"/>
  <c r="U331" i="2" s="1"/>
  <c r="R330" i="2"/>
  <c r="U330" i="2" s="1"/>
  <c r="R329" i="2"/>
  <c r="U329" i="2" s="1"/>
  <c r="R328" i="2"/>
  <c r="U328" i="2" s="1"/>
  <c r="R327" i="2"/>
  <c r="U327" i="2" s="1"/>
  <c r="R326" i="2"/>
  <c r="U326" i="2" s="1"/>
  <c r="R325" i="2"/>
  <c r="U325" i="2" s="1"/>
  <c r="R324" i="2"/>
  <c r="U324" i="2" s="1"/>
  <c r="R323" i="2"/>
  <c r="U323" i="2" s="1"/>
  <c r="R322" i="2"/>
  <c r="U322" i="2" s="1"/>
  <c r="R321" i="2"/>
  <c r="U321" i="2" s="1"/>
  <c r="R320" i="2"/>
  <c r="U320" i="2" s="1"/>
  <c r="R319" i="2"/>
  <c r="U319" i="2" s="1"/>
  <c r="R318" i="2"/>
  <c r="U318" i="2" s="1"/>
  <c r="R317" i="2"/>
  <c r="U317" i="2" s="1"/>
  <c r="R316" i="2"/>
  <c r="U316" i="2" s="1"/>
  <c r="R315" i="2"/>
  <c r="U315" i="2" s="1"/>
  <c r="R314" i="2"/>
  <c r="U314" i="2" s="1"/>
  <c r="R313" i="2"/>
  <c r="U313" i="2" s="1"/>
  <c r="R312" i="2"/>
  <c r="U312" i="2" s="1"/>
  <c r="R311" i="2"/>
  <c r="U311" i="2" s="1"/>
  <c r="R310" i="2"/>
  <c r="U310" i="2" s="1"/>
  <c r="R309" i="2"/>
  <c r="U309" i="2" s="1"/>
  <c r="R308" i="2"/>
  <c r="U308" i="2" s="1"/>
  <c r="R307" i="2"/>
  <c r="U307" i="2" s="1"/>
  <c r="R306" i="2"/>
  <c r="U306" i="2" s="1"/>
  <c r="R305" i="2"/>
  <c r="U305" i="2" s="1"/>
  <c r="R304" i="2"/>
  <c r="U304" i="2" s="1"/>
  <c r="R303" i="2"/>
  <c r="U303" i="2" s="1"/>
  <c r="R302" i="2"/>
  <c r="U302" i="2" s="1"/>
  <c r="R301" i="2"/>
  <c r="U301" i="2" s="1"/>
  <c r="R300" i="2"/>
  <c r="U300" i="2" s="1"/>
  <c r="R297" i="2"/>
  <c r="U297" i="2" s="1"/>
  <c r="R299" i="2"/>
  <c r="U299" i="2" s="1"/>
  <c r="R298" i="2"/>
  <c r="U298" i="2" s="1"/>
  <c r="R296" i="2"/>
  <c r="U296" i="2" s="1"/>
  <c r="R295" i="2"/>
  <c r="U295" i="2" s="1"/>
  <c r="R294" i="2"/>
  <c r="U294" i="2" s="1"/>
  <c r="R293" i="2"/>
  <c r="U293" i="2" s="1"/>
  <c r="R292" i="2"/>
  <c r="U292" i="2" s="1"/>
  <c r="R291" i="2"/>
  <c r="U291" i="2" s="1"/>
  <c r="R290" i="2"/>
  <c r="U290" i="2" s="1"/>
  <c r="R289" i="2"/>
  <c r="U289" i="2" s="1"/>
  <c r="R288" i="2"/>
  <c r="U288" i="2" s="1"/>
  <c r="R287" i="2"/>
  <c r="U287" i="2" s="1"/>
  <c r="R286" i="2"/>
  <c r="U286" i="2" s="1"/>
  <c r="R285" i="2"/>
  <c r="U285" i="2" s="1"/>
  <c r="R284" i="2"/>
  <c r="U284" i="2" s="1"/>
  <c r="R283" i="2"/>
  <c r="U283" i="2" s="1"/>
  <c r="R282" i="2"/>
  <c r="U282" i="2" s="1"/>
  <c r="R281" i="2"/>
  <c r="U281" i="2" s="1"/>
  <c r="R280" i="2"/>
  <c r="U280" i="2" s="1"/>
  <c r="R279" i="2"/>
  <c r="U279" i="2" s="1"/>
  <c r="R278" i="2"/>
  <c r="U278" i="2" s="1"/>
  <c r="R277" i="2"/>
  <c r="U277" i="2" s="1"/>
  <c r="R276" i="2"/>
  <c r="U276" i="2" s="1"/>
  <c r="R275" i="2"/>
  <c r="U275" i="2" s="1"/>
  <c r="R274" i="2"/>
  <c r="U274" i="2" s="1"/>
  <c r="R273" i="2"/>
  <c r="U273" i="2" s="1"/>
  <c r="R272" i="2"/>
  <c r="U272" i="2" s="1"/>
  <c r="R271" i="2"/>
  <c r="U271" i="2" s="1"/>
  <c r="R270" i="2"/>
  <c r="U270" i="2" s="1"/>
  <c r="R269" i="2"/>
  <c r="U269" i="2" s="1"/>
  <c r="R268" i="2"/>
  <c r="U268" i="2" s="1"/>
  <c r="R267" i="2"/>
  <c r="U267" i="2" s="1"/>
  <c r="R266" i="2"/>
  <c r="U266" i="2" s="1"/>
  <c r="R265" i="2"/>
  <c r="U265" i="2" s="1"/>
  <c r="R264" i="2"/>
  <c r="U264" i="2" s="1"/>
  <c r="R263" i="2"/>
  <c r="U263" i="2" s="1"/>
  <c r="R262" i="2"/>
  <c r="U262" i="2" s="1"/>
  <c r="R261" i="2"/>
  <c r="U261" i="2" s="1"/>
  <c r="R260" i="2"/>
  <c r="U260" i="2" s="1"/>
  <c r="R259" i="2"/>
  <c r="U259" i="2" s="1"/>
  <c r="R258" i="2"/>
  <c r="U258" i="2" s="1"/>
  <c r="R257" i="2"/>
  <c r="U257" i="2" s="1"/>
  <c r="R256" i="2"/>
  <c r="U256" i="2" s="1"/>
  <c r="R255" i="2"/>
  <c r="U255" i="2" s="1"/>
  <c r="R254" i="2"/>
  <c r="U254" i="2" s="1"/>
  <c r="R253" i="2"/>
  <c r="U253" i="2" s="1"/>
  <c r="R252" i="2"/>
  <c r="U252" i="2" s="1"/>
  <c r="R251" i="2"/>
  <c r="U251" i="2" s="1"/>
  <c r="R250" i="2"/>
  <c r="U250" i="2" s="1"/>
  <c r="R249" i="2"/>
  <c r="U249" i="2" s="1"/>
  <c r="R248" i="2"/>
  <c r="U248" i="2" s="1"/>
  <c r="R247" i="2"/>
  <c r="U247" i="2" s="1"/>
  <c r="R246" i="2"/>
  <c r="U246" i="2" s="1"/>
  <c r="R245" i="2"/>
  <c r="U245" i="2" s="1"/>
  <c r="R244" i="2"/>
  <c r="U244" i="2" s="1"/>
  <c r="R243" i="2"/>
  <c r="U243" i="2" s="1"/>
  <c r="R242" i="2"/>
  <c r="U242" i="2" s="1"/>
  <c r="R241" i="2"/>
  <c r="U241" i="2" s="1"/>
  <c r="R240" i="2"/>
  <c r="U240" i="2" s="1"/>
  <c r="R239" i="2"/>
  <c r="U239" i="2" s="1"/>
  <c r="R238" i="2"/>
  <c r="U238" i="2" s="1"/>
  <c r="R237" i="2"/>
  <c r="U237" i="2" s="1"/>
  <c r="R236" i="2"/>
  <c r="U236" i="2" s="1"/>
  <c r="R235" i="2"/>
  <c r="U235" i="2" s="1"/>
  <c r="R234" i="2"/>
  <c r="U234" i="2" s="1"/>
  <c r="R233" i="2"/>
  <c r="U233" i="2" s="1"/>
  <c r="R232" i="2"/>
  <c r="U232" i="2" s="1"/>
  <c r="R231" i="2"/>
  <c r="U231" i="2" s="1"/>
  <c r="R230" i="2"/>
  <c r="U230" i="2" s="1"/>
  <c r="R229" i="2"/>
  <c r="U229" i="2" s="1"/>
  <c r="R228" i="2"/>
  <c r="U228" i="2" s="1"/>
  <c r="R227" i="2"/>
  <c r="U227" i="2" s="1"/>
  <c r="R226" i="2"/>
  <c r="U226" i="2" s="1"/>
  <c r="R225" i="2"/>
  <c r="U225" i="2" s="1"/>
  <c r="R224" i="2"/>
  <c r="U224" i="2" s="1"/>
  <c r="R223" i="2"/>
  <c r="U223" i="2" s="1"/>
  <c r="R222" i="2"/>
  <c r="U222" i="2" s="1"/>
  <c r="R221" i="2"/>
  <c r="U221" i="2" s="1"/>
  <c r="R220" i="2"/>
  <c r="U220" i="2" s="1"/>
  <c r="R219" i="2"/>
  <c r="U219" i="2" s="1"/>
  <c r="R218" i="2"/>
  <c r="U218" i="2" s="1"/>
  <c r="R217" i="2"/>
  <c r="U217" i="2" s="1"/>
  <c r="R216" i="2"/>
  <c r="U216" i="2" s="1"/>
  <c r="R215" i="2"/>
  <c r="U215" i="2" s="1"/>
  <c r="R214" i="2"/>
  <c r="U214" i="2" s="1"/>
  <c r="R213" i="2"/>
  <c r="U213" i="2" s="1"/>
  <c r="R212" i="2"/>
  <c r="U212" i="2" s="1"/>
  <c r="R211" i="2"/>
  <c r="U211" i="2" s="1"/>
  <c r="R210" i="2"/>
  <c r="U210" i="2" s="1"/>
  <c r="R209" i="2"/>
  <c r="U209" i="2" s="1"/>
  <c r="R208" i="2"/>
  <c r="U208" i="2" s="1"/>
  <c r="R207" i="2"/>
  <c r="U207" i="2" s="1"/>
  <c r="R206" i="2"/>
  <c r="U206" i="2" s="1"/>
  <c r="R205" i="2"/>
  <c r="U205" i="2" s="1"/>
  <c r="R204" i="2"/>
  <c r="U204" i="2" s="1"/>
  <c r="R203" i="2"/>
  <c r="U203" i="2" s="1"/>
  <c r="R202" i="2"/>
  <c r="U202" i="2" s="1"/>
  <c r="R201" i="2"/>
  <c r="U201" i="2" s="1"/>
  <c r="R200" i="2"/>
  <c r="U200" i="2" s="1"/>
  <c r="R199" i="2"/>
  <c r="U199" i="2" s="1"/>
  <c r="R198" i="2"/>
  <c r="U198" i="2" s="1"/>
  <c r="R197" i="2"/>
  <c r="U197" i="2" s="1"/>
  <c r="R196" i="2"/>
  <c r="U196" i="2" s="1"/>
  <c r="R195" i="2"/>
  <c r="U195" i="2" s="1"/>
  <c r="R194" i="2"/>
  <c r="U194" i="2" s="1"/>
  <c r="R193" i="2"/>
  <c r="U193" i="2" s="1"/>
  <c r="R192" i="2"/>
  <c r="U192" i="2" s="1"/>
  <c r="R191" i="2"/>
  <c r="U191" i="2" s="1"/>
  <c r="R190" i="2"/>
  <c r="U190" i="2" s="1"/>
  <c r="R189" i="2"/>
  <c r="U189" i="2" s="1"/>
  <c r="R188" i="2"/>
  <c r="U188" i="2" s="1"/>
  <c r="R187" i="2"/>
  <c r="U187" i="2" s="1"/>
  <c r="R186" i="2"/>
  <c r="U186" i="2" s="1"/>
  <c r="R185" i="2"/>
  <c r="U185" i="2" s="1"/>
  <c r="R184" i="2"/>
  <c r="U184" i="2" s="1"/>
  <c r="R183" i="2"/>
  <c r="U183" i="2" s="1"/>
  <c r="R182" i="2"/>
  <c r="U182" i="2" s="1"/>
  <c r="R181" i="2"/>
  <c r="U181" i="2" s="1"/>
  <c r="R180" i="2"/>
  <c r="U180" i="2" s="1"/>
  <c r="R179" i="2"/>
  <c r="U179" i="2" s="1"/>
  <c r="R178" i="2"/>
  <c r="U178" i="2" s="1"/>
  <c r="R177" i="2"/>
  <c r="U177" i="2" s="1"/>
  <c r="R176" i="2"/>
  <c r="U176" i="2" s="1"/>
  <c r="R175" i="2"/>
  <c r="U175" i="2" s="1"/>
  <c r="R174" i="2"/>
  <c r="U174" i="2" s="1"/>
  <c r="R173" i="2"/>
  <c r="U173" i="2" s="1"/>
  <c r="R172" i="2"/>
  <c r="U172" i="2" s="1"/>
  <c r="R171" i="2"/>
  <c r="U171" i="2" s="1"/>
  <c r="R170" i="2"/>
  <c r="U170" i="2" s="1"/>
  <c r="R169" i="2"/>
  <c r="U169" i="2" s="1"/>
  <c r="R168" i="2"/>
  <c r="U168" i="2" s="1"/>
  <c r="R167" i="2"/>
  <c r="U167" i="2" s="1"/>
  <c r="R166" i="2"/>
  <c r="U166" i="2" s="1"/>
  <c r="R165" i="2"/>
  <c r="U165" i="2" s="1"/>
  <c r="R164" i="2"/>
  <c r="U164" i="2" s="1"/>
  <c r="R163" i="2"/>
  <c r="U163" i="2" s="1"/>
  <c r="R162" i="2"/>
  <c r="U162" i="2" s="1"/>
  <c r="R161" i="2"/>
  <c r="U161" i="2" s="1"/>
  <c r="R160" i="2"/>
  <c r="U160" i="2" s="1"/>
  <c r="R159" i="2"/>
  <c r="U159" i="2" s="1"/>
  <c r="R158" i="2"/>
  <c r="U158" i="2" s="1"/>
  <c r="R157" i="2"/>
  <c r="U157" i="2" s="1"/>
  <c r="R156" i="2"/>
  <c r="U156" i="2" s="1"/>
  <c r="R155" i="2"/>
  <c r="U155" i="2" s="1"/>
  <c r="R154" i="2"/>
  <c r="U154" i="2" s="1"/>
  <c r="R153" i="2"/>
  <c r="U153" i="2" s="1"/>
  <c r="R152" i="2"/>
  <c r="U152" i="2" s="1"/>
  <c r="R151" i="2"/>
  <c r="U151" i="2" s="1"/>
  <c r="R150" i="2"/>
  <c r="U150" i="2" s="1"/>
  <c r="R149" i="2"/>
  <c r="U149" i="2" s="1"/>
  <c r="R148" i="2"/>
  <c r="U148" i="2" s="1"/>
  <c r="R147" i="2"/>
  <c r="U147" i="2" s="1"/>
  <c r="R146" i="2"/>
  <c r="U146" i="2" s="1"/>
  <c r="R145" i="2"/>
  <c r="U145" i="2" s="1"/>
  <c r="R144" i="2"/>
  <c r="U144" i="2" s="1"/>
  <c r="R143" i="2"/>
  <c r="U143" i="2" s="1"/>
  <c r="R142" i="2"/>
  <c r="U142" i="2" s="1"/>
  <c r="R141" i="2"/>
  <c r="U141" i="2" s="1"/>
  <c r="R140" i="2"/>
  <c r="U140" i="2" s="1"/>
  <c r="R139" i="2"/>
  <c r="U139" i="2" s="1"/>
  <c r="R138" i="2"/>
  <c r="U138" i="2" s="1"/>
  <c r="R137" i="2"/>
  <c r="U137" i="2" s="1"/>
  <c r="R136" i="2"/>
  <c r="U136" i="2" s="1"/>
  <c r="R135" i="2"/>
  <c r="U135" i="2" s="1"/>
  <c r="R134" i="2"/>
  <c r="U134" i="2" s="1"/>
  <c r="R133" i="2"/>
  <c r="U133" i="2" s="1"/>
  <c r="R132" i="2"/>
  <c r="U132" i="2" s="1"/>
  <c r="R131" i="2"/>
  <c r="U131" i="2" s="1"/>
  <c r="R130" i="2"/>
  <c r="U130" i="2" s="1"/>
  <c r="R129" i="2"/>
  <c r="U129" i="2" s="1"/>
  <c r="R128" i="2"/>
  <c r="U128" i="2" s="1"/>
  <c r="R127" i="2"/>
  <c r="U127" i="2" s="1"/>
  <c r="R126" i="2"/>
  <c r="U126" i="2" s="1"/>
  <c r="R125" i="2"/>
  <c r="U125" i="2" s="1"/>
  <c r="R124" i="2"/>
  <c r="U124" i="2" s="1"/>
  <c r="R123" i="2"/>
  <c r="U123" i="2" s="1"/>
  <c r="R122" i="2"/>
  <c r="U122" i="2" s="1"/>
  <c r="R121" i="2"/>
  <c r="U121" i="2" s="1"/>
  <c r="R120" i="2"/>
  <c r="U120" i="2" s="1"/>
  <c r="R119" i="2"/>
  <c r="U119" i="2" s="1"/>
  <c r="R118" i="2"/>
  <c r="U118" i="2" s="1"/>
  <c r="R117" i="2"/>
  <c r="U117" i="2" s="1"/>
  <c r="R116" i="2"/>
  <c r="U116" i="2" s="1"/>
  <c r="R115" i="2"/>
  <c r="U115" i="2" s="1"/>
  <c r="R114" i="2"/>
  <c r="U114" i="2" s="1"/>
  <c r="R113" i="2"/>
  <c r="U113" i="2" s="1"/>
  <c r="R112" i="2"/>
  <c r="U112" i="2" s="1"/>
  <c r="R111" i="2"/>
  <c r="U111" i="2" s="1"/>
  <c r="R110" i="2"/>
  <c r="U110" i="2" s="1"/>
  <c r="R109" i="2"/>
  <c r="U109" i="2" s="1"/>
  <c r="R108" i="2"/>
  <c r="U108" i="2" s="1"/>
  <c r="R107" i="2"/>
  <c r="U107" i="2" s="1"/>
  <c r="R106" i="2"/>
  <c r="U106" i="2" s="1"/>
  <c r="R105" i="2"/>
  <c r="U105" i="2" s="1"/>
  <c r="R104" i="2"/>
  <c r="U104" i="2" s="1"/>
  <c r="R103" i="2"/>
  <c r="U103" i="2" s="1"/>
  <c r="R102" i="2"/>
  <c r="U102" i="2" s="1"/>
  <c r="R101" i="2"/>
  <c r="U101" i="2" s="1"/>
  <c r="R100" i="2"/>
  <c r="U100" i="2" s="1"/>
  <c r="R99" i="2"/>
  <c r="U99" i="2" s="1"/>
  <c r="R98" i="2"/>
  <c r="U98" i="2" s="1"/>
  <c r="R97" i="2"/>
  <c r="U97" i="2" s="1"/>
  <c r="R96" i="2"/>
  <c r="U96" i="2" s="1"/>
  <c r="R95" i="2"/>
  <c r="U95" i="2" s="1"/>
  <c r="R94" i="2"/>
  <c r="U94" i="2" s="1"/>
  <c r="R93" i="2"/>
  <c r="U93" i="2" s="1"/>
  <c r="R92" i="2"/>
  <c r="U92" i="2" s="1"/>
  <c r="R91" i="2"/>
  <c r="U91" i="2" s="1"/>
  <c r="R90" i="2"/>
  <c r="U90" i="2" s="1"/>
  <c r="R89" i="2"/>
  <c r="U89" i="2" s="1"/>
  <c r="R88" i="2"/>
  <c r="U88" i="2" s="1"/>
  <c r="R87" i="2"/>
  <c r="U87" i="2" s="1"/>
  <c r="R86" i="2"/>
  <c r="U86" i="2" s="1"/>
  <c r="R85" i="2"/>
  <c r="U85" i="2" s="1"/>
  <c r="R84" i="2"/>
  <c r="U84" i="2" s="1"/>
  <c r="R83" i="2"/>
  <c r="U83" i="2" s="1"/>
  <c r="R82" i="2"/>
  <c r="U82" i="2" s="1"/>
  <c r="R81" i="2"/>
  <c r="U81" i="2" s="1"/>
  <c r="R80" i="2"/>
  <c r="U80" i="2" s="1"/>
  <c r="R79" i="2"/>
  <c r="U79" i="2" s="1"/>
  <c r="R78" i="2"/>
  <c r="U78" i="2" s="1"/>
  <c r="R77" i="2"/>
  <c r="U77" i="2" s="1"/>
  <c r="R76" i="2"/>
  <c r="U76" i="2" s="1"/>
  <c r="R75" i="2"/>
  <c r="U75" i="2" s="1"/>
  <c r="R74" i="2"/>
  <c r="U74" i="2" s="1"/>
  <c r="R73" i="2"/>
  <c r="U73" i="2" s="1"/>
  <c r="R72" i="2"/>
  <c r="U72" i="2" s="1"/>
  <c r="R71" i="2"/>
  <c r="U71" i="2" s="1"/>
  <c r="R70" i="2"/>
  <c r="U70" i="2" s="1"/>
  <c r="R69" i="2"/>
  <c r="U69" i="2" s="1"/>
  <c r="R68" i="2"/>
  <c r="U68" i="2" s="1"/>
  <c r="R67" i="2"/>
  <c r="U67" i="2" s="1"/>
  <c r="R66" i="2"/>
  <c r="U66" i="2" s="1"/>
  <c r="R65" i="2"/>
  <c r="U65" i="2" s="1"/>
  <c r="R64" i="2"/>
  <c r="U64" i="2" s="1"/>
  <c r="R63" i="2"/>
  <c r="U63" i="2" s="1"/>
  <c r="R62" i="2"/>
  <c r="U62" i="2" s="1"/>
  <c r="R61" i="2"/>
  <c r="U61" i="2" s="1"/>
  <c r="R60" i="2"/>
  <c r="U60" i="2" s="1"/>
  <c r="R59" i="2"/>
  <c r="U59" i="2" s="1"/>
  <c r="R58" i="2"/>
  <c r="U58" i="2" s="1"/>
  <c r="R57" i="2"/>
  <c r="U57" i="2" s="1"/>
  <c r="R56" i="2"/>
  <c r="U56" i="2" s="1"/>
  <c r="R55" i="2"/>
  <c r="U55" i="2" s="1"/>
  <c r="R54" i="2"/>
  <c r="U54" i="2" s="1"/>
  <c r="R53" i="2"/>
  <c r="U53" i="2" s="1"/>
  <c r="R52" i="2"/>
  <c r="U52" i="2" s="1"/>
  <c r="R51" i="2"/>
  <c r="U51" i="2" s="1"/>
  <c r="R50" i="2"/>
  <c r="U50" i="2" s="1"/>
  <c r="R49" i="2"/>
  <c r="U49" i="2" s="1"/>
  <c r="R48" i="2"/>
  <c r="U48" i="2" s="1"/>
  <c r="R47" i="2"/>
  <c r="U47" i="2" s="1"/>
  <c r="R46" i="2"/>
  <c r="U46" i="2" s="1"/>
  <c r="R45" i="2"/>
  <c r="U45" i="2" s="1"/>
  <c r="R44" i="2"/>
  <c r="U44" i="2" s="1"/>
  <c r="R43" i="2"/>
  <c r="U43" i="2" s="1"/>
  <c r="R42" i="2"/>
  <c r="U42" i="2" s="1"/>
  <c r="R38" i="2"/>
  <c r="U38" i="2" s="1"/>
  <c r="R41" i="2"/>
  <c r="U41" i="2" s="1"/>
  <c r="R40" i="2"/>
  <c r="U40" i="2" s="1"/>
  <c r="R39" i="2"/>
  <c r="U39" i="2" s="1"/>
  <c r="R37" i="2"/>
  <c r="U37" i="2" s="1"/>
  <c r="R36" i="2"/>
  <c r="U36" i="2" s="1"/>
  <c r="R35" i="2"/>
  <c r="U35" i="2" s="1"/>
  <c r="R34" i="2"/>
  <c r="U34" i="2" s="1"/>
  <c r="R33" i="2"/>
  <c r="U33" i="2" s="1"/>
  <c r="R32" i="2"/>
  <c r="U32" i="2" s="1"/>
  <c r="R31" i="2"/>
  <c r="U31" i="2" s="1"/>
  <c r="R30" i="2"/>
  <c r="U30" i="2" s="1"/>
  <c r="R29" i="2"/>
  <c r="U29" i="2" s="1"/>
  <c r="R28" i="2"/>
  <c r="U28" i="2" s="1"/>
  <c r="R27" i="2"/>
  <c r="U27" i="2" s="1"/>
  <c r="R26" i="2"/>
  <c r="U26" i="2" s="1"/>
  <c r="R25" i="2"/>
  <c r="U25" i="2" s="1"/>
  <c r="R24" i="2"/>
  <c r="U24" i="2" s="1"/>
  <c r="R23" i="2"/>
  <c r="U23" i="2" s="1"/>
  <c r="R22" i="2"/>
  <c r="U22" i="2" s="1"/>
  <c r="R21" i="2"/>
  <c r="U21" i="2" s="1"/>
  <c r="R20" i="2"/>
  <c r="U20" i="2" s="1"/>
  <c r="R19" i="2"/>
  <c r="U19" i="2" s="1"/>
  <c r="R18" i="2"/>
  <c r="U18" i="2" s="1"/>
  <c r="R17" i="2"/>
  <c r="U17" i="2" s="1"/>
  <c r="R16" i="2"/>
  <c r="U16" i="2" s="1"/>
  <c r="R15" i="2"/>
  <c r="U15" i="2" s="1"/>
  <c r="R14" i="2"/>
  <c r="U14" i="2" s="1"/>
  <c r="R13" i="2"/>
  <c r="U13" i="2" s="1"/>
  <c r="R12" i="2"/>
  <c r="U12" i="2" s="1"/>
  <c r="R11" i="2"/>
  <c r="U11" i="2" s="1"/>
  <c r="R10" i="2"/>
  <c r="U10" i="2" s="1"/>
  <c r="R9" i="2"/>
  <c r="U9" i="2" s="1"/>
  <c r="R8" i="2"/>
  <c r="U8" i="2" s="1"/>
  <c r="R7" i="2"/>
  <c r="U7" i="2" s="1"/>
  <c r="R6" i="2"/>
  <c r="U6" i="2" s="1"/>
  <c r="R5" i="2"/>
  <c r="U5" i="2" s="1"/>
  <c r="R4" i="2"/>
  <c r="U4" i="2" s="1"/>
  <c r="R3" i="2"/>
  <c r="U3" i="2" s="1"/>
  <c r="R2" i="2"/>
  <c r="U2" i="2" l="1"/>
  <c r="Y2" i="2"/>
  <c r="U346" i="2" l="1"/>
  <c r="U347" i="2"/>
  <c r="U349" i="2" s="1"/>
  <c r="U348" i="2" l="1"/>
</calcChain>
</file>

<file path=xl/sharedStrings.xml><?xml version="1.0" encoding="utf-8"?>
<sst xmlns="http://schemas.openxmlformats.org/spreadsheetml/2006/main" count="3478" uniqueCount="607">
  <si>
    <t>NUMERO DE CASOS NOTIFICADOS DE VIH/SIDA, POR DEPARTAMENTO Y MUNICIPIO, AÑOS 2020 - 2024</t>
  </si>
  <si>
    <r>
      <t>DEPARTAMENTO /</t>
    </r>
    <r>
      <rPr>
        <sz val="9"/>
        <color theme="1"/>
        <rFont val="Calibri"/>
        <family val="2"/>
        <scheme val="minor"/>
      </rPr>
      <t xml:space="preserve"> Municipio</t>
    </r>
  </si>
  <si>
    <t>2020</t>
  </si>
  <si>
    <t>2021</t>
  </si>
  <si>
    <t>2022</t>
  </si>
  <si>
    <t>2023</t>
  </si>
  <si>
    <t>2024</t>
  </si>
  <si>
    <t>BENI</t>
  </si>
  <si>
    <t>Baures</t>
  </si>
  <si>
    <t>Exaltacion</t>
  </si>
  <si>
    <t>Huacaraje</t>
  </si>
  <si>
    <t>Loreto</t>
  </si>
  <si>
    <t>Magdalena</t>
  </si>
  <si>
    <t>Puerto Guayaramerín</t>
  </si>
  <si>
    <t>Puerto Rurrenabaque</t>
  </si>
  <si>
    <t>Reyes</t>
  </si>
  <si>
    <t>Riberalta</t>
  </si>
  <si>
    <t>San Andres</t>
  </si>
  <si>
    <t>San Borja</t>
  </si>
  <si>
    <t>San Ignacio</t>
  </si>
  <si>
    <t>San Javier</t>
  </si>
  <si>
    <t>San Joaquín</t>
  </si>
  <si>
    <t>San Ramon</t>
  </si>
  <si>
    <t>Santa Ana del Yacuma</t>
  </si>
  <si>
    <t>Santa Rosa</t>
  </si>
  <si>
    <t>Trinidad</t>
  </si>
  <si>
    <t>CHUQUISACA</t>
  </si>
  <si>
    <t>Camargo</t>
  </si>
  <si>
    <t>Camataqui (Villa Abecia)</t>
  </si>
  <si>
    <t>Culpina</t>
  </si>
  <si>
    <t>Huacareta</t>
  </si>
  <si>
    <t>Icla</t>
  </si>
  <si>
    <t>Incahuasi</t>
  </si>
  <si>
    <t>Las Carreras</t>
  </si>
  <si>
    <t>Macharetí</t>
  </si>
  <si>
    <t>Mojocoya</t>
  </si>
  <si>
    <t>Monteagudo</t>
  </si>
  <si>
    <t>Padilla</t>
  </si>
  <si>
    <t>Poroma</t>
  </si>
  <si>
    <t>Presto</t>
  </si>
  <si>
    <t>San Lucas</t>
  </si>
  <si>
    <t>Sopachuy</t>
  </si>
  <si>
    <t>Sucre</t>
  </si>
  <si>
    <t>Tarabuco</t>
  </si>
  <si>
    <t>Tarvita (Villa Orías)</t>
  </si>
  <si>
    <t>Tomina</t>
  </si>
  <si>
    <t>Villa Alcal </t>
  </si>
  <si>
    <t>Villa Azurduy</t>
  </si>
  <si>
    <t>Villa de Huacaya</t>
  </si>
  <si>
    <t>Villa Serrano</t>
  </si>
  <si>
    <t>Villa Vaca Guzman (Muyupampa)</t>
  </si>
  <si>
    <t>Villa Zudañez (Tacopaya)</t>
  </si>
  <si>
    <t>Yamparáez</t>
  </si>
  <si>
    <t>Yotala</t>
  </si>
  <si>
    <t>COCHABAMBA</t>
  </si>
  <si>
    <t>Aiquile</t>
  </si>
  <si>
    <t>Alalay</t>
  </si>
  <si>
    <t>Anzaldo</t>
  </si>
  <si>
    <t>Arani</t>
  </si>
  <si>
    <t>Arbieto</t>
  </si>
  <si>
    <t>Arque</t>
  </si>
  <si>
    <t>Ayopaya (Villa de Independencia)</t>
  </si>
  <si>
    <t>Capinota</t>
  </si>
  <si>
    <t>Chimoré</t>
  </si>
  <si>
    <t>Cliza</t>
  </si>
  <si>
    <t>Cochabamba</t>
  </si>
  <si>
    <t>Colcapirhua</t>
  </si>
  <si>
    <t>Colomi</t>
  </si>
  <si>
    <t>Mizque</t>
  </si>
  <si>
    <t>Morochata</t>
  </si>
  <si>
    <t>Omereque</t>
  </si>
  <si>
    <t>Pasorapa</t>
  </si>
  <si>
    <t>Pocona</t>
  </si>
  <si>
    <t>Pojo</t>
  </si>
  <si>
    <t>Puerto Villarroel</t>
  </si>
  <si>
    <t>Punata (Villa de Punata)</t>
  </si>
  <si>
    <t>Quillacollo</t>
  </si>
  <si>
    <t>Sacaba</t>
  </si>
  <si>
    <t>Sacabamba</t>
  </si>
  <si>
    <t>San Benito (Villa Jose Quint¡n Mendoza)</t>
  </si>
  <si>
    <t>Santivañez</t>
  </si>
  <si>
    <t>Sicaya</t>
  </si>
  <si>
    <t>Sin Municipio</t>
  </si>
  <si>
    <t>Sipe Sipe</t>
  </si>
  <si>
    <t>Tacopaya</t>
  </si>
  <si>
    <t>Tapacarí</t>
  </si>
  <si>
    <t>Tarata</t>
  </si>
  <si>
    <t>Tiquipaya</t>
  </si>
  <si>
    <t>Tiraque</t>
  </si>
  <si>
    <t>Toko</t>
  </si>
  <si>
    <t>Tolata</t>
  </si>
  <si>
    <t>Totora</t>
  </si>
  <si>
    <t>Vacas</t>
  </si>
  <si>
    <t>Vila Vila</t>
  </si>
  <si>
    <t>Villa Rivero</t>
  </si>
  <si>
    <t>Villa Tunari</t>
  </si>
  <si>
    <t>Vinto</t>
  </si>
  <si>
    <t>LA PAZ</t>
  </si>
  <si>
    <t>Achacachi</t>
  </si>
  <si>
    <t>Achocalla</t>
  </si>
  <si>
    <t>Ancoraimes</t>
  </si>
  <si>
    <t>Apolo</t>
  </si>
  <si>
    <t>Aucapata</t>
  </si>
  <si>
    <t>Ayata</t>
  </si>
  <si>
    <t>Ayo Ayo</t>
  </si>
  <si>
    <t>Batallas</t>
  </si>
  <si>
    <t>Cairoma</t>
  </si>
  <si>
    <t>Cajuata</t>
  </si>
  <si>
    <t>Calacoto</t>
  </si>
  <si>
    <t>Calamarca</t>
  </si>
  <si>
    <t>Caquiaviri</t>
  </si>
  <si>
    <t>Caranavi</t>
  </si>
  <si>
    <t>Chulumani (Villa de la Libertad)</t>
  </si>
  <si>
    <t>Chuma</t>
  </si>
  <si>
    <t>Collana</t>
  </si>
  <si>
    <t>Colquencha</t>
  </si>
  <si>
    <t>Colquiri</t>
  </si>
  <si>
    <t>Comanche</t>
  </si>
  <si>
    <t>Copacabana</t>
  </si>
  <si>
    <t>Coripata</t>
  </si>
  <si>
    <t>Coro Coro</t>
  </si>
  <si>
    <t>Coroico</t>
  </si>
  <si>
    <t>Curva</t>
  </si>
  <si>
    <t>Desaguadero</t>
  </si>
  <si>
    <t>El Alto</t>
  </si>
  <si>
    <t>Guanay</t>
  </si>
  <si>
    <t>Guaqui</t>
  </si>
  <si>
    <t>Ichoca</t>
  </si>
  <si>
    <t>Inquisivi</t>
  </si>
  <si>
    <t>Irupana (Villa de Lanza)</t>
  </si>
  <si>
    <t>Ixiamas</t>
  </si>
  <si>
    <t>Juan Jose Perez (Charazani)</t>
  </si>
  <si>
    <t>La Asunta</t>
  </si>
  <si>
    <t>La Paz</t>
  </si>
  <si>
    <t>Laja</t>
  </si>
  <si>
    <t>Luribay</t>
  </si>
  <si>
    <t>Malla</t>
  </si>
  <si>
    <t>Mecapaca</t>
  </si>
  <si>
    <t>Mocomoco</t>
  </si>
  <si>
    <t>Nazacara de Pacajes</t>
  </si>
  <si>
    <t>Palca</t>
  </si>
  <si>
    <t>Palos Blancos</t>
  </si>
  <si>
    <t>Papel Pampa</t>
  </si>
  <si>
    <t>Patacamaya</t>
  </si>
  <si>
    <t>Pelechuco</t>
  </si>
  <si>
    <t>Pucarani</t>
  </si>
  <si>
    <t>Puerto Acosta</t>
  </si>
  <si>
    <t>Puerto Carabuco</t>
  </si>
  <si>
    <t>Puerto Perez</t>
  </si>
  <si>
    <t>Quiabaya</t>
  </si>
  <si>
    <t>Quime</t>
  </si>
  <si>
    <t>San Buenaventura</t>
  </si>
  <si>
    <t>San Pedro de Tiquina</t>
  </si>
  <si>
    <t>Santiago de Callapa</t>
  </si>
  <si>
    <t>Santiago de Machaca</t>
  </si>
  <si>
    <t>Sapahaqui</t>
  </si>
  <si>
    <t>Sica Sica (Villa Aroma)</t>
  </si>
  <si>
    <t>Sorata</t>
  </si>
  <si>
    <t>Tacacoma</t>
  </si>
  <si>
    <t>Tiahuanacu</t>
  </si>
  <si>
    <t>Tipuani</t>
  </si>
  <si>
    <t>Tito Yupanqui</t>
  </si>
  <si>
    <t>Viacha</t>
  </si>
  <si>
    <t>Villa Libertad Licoma</t>
  </si>
  <si>
    <t>Yaco</t>
  </si>
  <si>
    <t>Yanacachi</t>
  </si>
  <si>
    <t>ORURO</t>
  </si>
  <si>
    <t>Andamarca (Santiago de Andamarca)</t>
  </si>
  <si>
    <t>Antequera</t>
  </si>
  <si>
    <t>Caracollo</t>
  </si>
  <si>
    <t>Challapata</t>
  </si>
  <si>
    <t>Corque</t>
  </si>
  <si>
    <t>Curahuara de Carangas</t>
  </si>
  <si>
    <t>El Choro</t>
  </si>
  <si>
    <t>Eucaliptus</t>
  </si>
  <si>
    <t>Huachacalla</t>
  </si>
  <si>
    <t>Huanuni</t>
  </si>
  <si>
    <t>La Rivera</t>
  </si>
  <si>
    <t>Machacamarca</t>
  </si>
  <si>
    <t>Oruro</t>
  </si>
  <si>
    <t>Pazña</t>
  </si>
  <si>
    <t>Poopo (Villa Poopo)</t>
  </si>
  <si>
    <t>Sabaya</t>
  </si>
  <si>
    <t>Santiago de Huari</t>
  </si>
  <si>
    <t>Santuario de Quillacas</t>
  </si>
  <si>
    <t>Turco</t>
  </si>
  <si>
    <t>PANDO</t>
  </si>
  <si>
    <t>Bella Flor</t>
  </si>
  <si>
    <t>Bolpebra</t>
  </si>
  <si>
    <t>Cobija</t>
  </si>
  <si>
    <t>Filadelfia</t>
  </si>
  <si>
    <t>Ingavi (Humaita)</t>
  </si>
  <si>
    <t>Porvenir</t>
  </si>
  <si>
    <t>Puerto Gonzalo Moreno</t>
  </si>
  <si>
    <t>Puerto Rico</t>
  </si>
  <si>
    <t>San Lorenzo</t>
  </si>
  <si>
    <t>Sena</t>
  </si>
  <si>
    <t>Villa Nueva (Loma Alta)</t>
  </si>
  <si>
    <t>POTOSI</t>
  </si>
  <si>
    <t>Acasio</t>
  </si>
  <si>
    <t>Arampampa</t>
  </si>
  <si>
    <t>Atocha</t>
  </si>
  <si>
    <t>Betanzos</t>
  </si>
  <si>
    <t>Caripuyo</t>
  </si>
  <si>
    <t>Chaqu¡</t>
  </si>
  <si>
    <t>Chayanta</t>
  </si>
  <si>
    <t>Colcha "K" (Villa Mart¡n)</t>
  </si>
  <si>
    <t>Colquechaca</t>
  </si>
  <si>
    <t>Cotagaita</t>
  </si>
  <si>
    <t>Llallagua</t>
  </si>
  <si>
    <t>Llica</t>
  </si>
  <si>
    <t>Ocurí</t>
  </si>
  <si>
    <t>Pocoata</t>
  </si>
  <si>
    <t>Porco</t>
  </si>
  <si>
    <t>Potos¡</t>
  </si>
  <si>
    <t>Puna (Villa Talavera)</t>
  </si>
  <si>
    <t>Ravelo</t>
  </si>
  <si>
    <t>Sacaca (Villa de Sacaca)</t>
  </si>
  <si>
    <t>San Pablo de Lípez</t>
  </si>
  <si>
    <t>San Pedro de Buena Vista</t>
  </si>
  <si>
    <t>Tacobamba</t>
  </si>
  <si>
    <t>Tahua</t>
  </si>
  <si>
    <t>Tinguipaya</t>
  </si>
  <si>
    <t>Tomave</t>
  </si>
  <si>
    <t>Toro Toro</t>
  </si>
  <si>
    <t>Tupiza</t>
  </si>
  <si>
    <t>Uncía</t>
  </si>
  <si>
    <t>Uyuni</t>
  </si>
  <si>
    <t>Villazon</t>
  </si>
  <si>
    <t>Vitichi</t>
  </si>
  <si>
    <t>Yocalla</t>
  </si>
  <si>
    <t>SANTA CRUZ</t>
  </si>
  <si>
    <t>Agustín Saavedra</t>
  </si>
  <si>
    <t>Ascensión de Guarayos</t>
  </si>
  <si>
    <t>Ayacucho (Porongo)</t>
  </si>
  <si>
    <t>Boyuibe</t>
  </si>
  <si>
    <t>Buena Vista</t>
  </si>
  <si>
    <t>Cabezas</t>
  </si>
  <si>
    <t>Camiri</t>
  </si>
  <si>
    <t>Carmen Rivero</t>
  </si>
  <si>
    <t>Charagua</t>
  </si>
  <si>
    <t>Comarapa</t>
  </si>
  <si>
    <t>Concepción</t>
  </si>
  <si>
    <t>Cotoca</t>
  </si>
  <si>
    <t>Cuevo</t>
  </si>
  <si>
    <t>El Puente</t>
  </si>
  <si>
    <t>El Torno</t>
  </si>
  <si>
    <t>Gutierrez</t>
  </si>
  <si>
    <t>La Guardia</t>
  </si>
  <si>
    <t>Lagunillas</t>
  </si>
  <si>
    <t>Mairana</t>
  </si>
  <si>
    <t>Mineros</t>
  </si>
  <si>
    <t>Montero</t>
  </si>
  <si>
    <t>Okinawa Uno</t>
  </si>
  <si>
    <t>Pailon</t>
  </si>
  <si>
    <t>Pampa Grande</t>
  </si>
  <si>
    <t>Portachuelo</t>
  </si>
  <si>
    <t>Pucara</t>
  </si>
  <si>
    <t>Puerto Quijarro</t>
  </si>
  <si>
    <t>Puerto Suárez</t>
  </si>
  <si>
    <t>Quirusillas</t>
  </si>
  <si>
    <t>Robore</t>
  </si>
  <si>
    <t>Saipina</t>
  </si>
  <si>
    <t>Samaipata</t>
  </si>
  <si>
    <t>San Antonio de Lomerío</t>
  </si>
  <si>
    <t>San Carlos</t>
  </si>
  <si>
    <t>San Ignacio de Velasco</t>
  </si>
  <si>
    <t>San Jose de Chiquitos</t>
  </si>
  <si>
    <t>San Julian</t>
  </si>
  <si>
    <t>San Matías</t>
  </si>
  <si>
    <t>San Miguel de Velasco</t>
  </si>
  <si>
    <t>San Rafael</t>
  </si>
  <si>
    <t>Santa Cruz de la Sierra</t>
  </si>
  <si>
    <t>Santa Rosa del Sara</t>
  </si>
  <si>
    <t>Urubicha</t>
  </si>
  <si>
    <t>Vallegrande</t>
  </si>
  <si>
    <t>Warnes</t>
  </si>
  <si>
    <t>Yapacaní</t>
  </si>
  <si>
    <t>TARIJA</t>
  </si>
  <si>
    <t>Bermejo</t>
  </si>
  <si>
    <t>Carapari</t>
  </si>
  <si>
    <t>Entre Ríos</t>
  </si>
  <si>
    <t>Padcaya</t>
  </si>
  <si>
    <t>Tarija</t>
  </si>
  <si>
    <t>Uriondo (Concepción)</t>
  </si>
  <si>
    <t>Villa San Lorenzo</t>
  </si>
  <si>
    <t>Villamontes</t>
  </si>
  <si>
    <t>Yacuiba</t>
  </si>
  <si>
    <t>Yunchara</t>
  </si>
  <si>
    <t>SIN DATO DE DEPARTAMENTO DE RESIDENCIA</t>
  </si>
  <si>
    <t>Total BOLIVIA</t>
  </si>
  <si>
    <t>Bolivar</t>
  </si>
  <si>
    <t>BolIvar</t>
  </si>
  <si>
    <t>Depart</t>
  </si>
  <si>
    <t>Potosí</t>
  </si>
  <si>
    <t>Santa Cruz</t>
  </si>
  <si>
    <t>Chuquisaca</t>
  </si>
  <si>
    <t>Beni</t>
  </si>
  <si>
    <t>Pando</t>
  </si>
  <si>
    <t>Municipio</t>
  </si>
  <si>
    <t>San Pedro de Macha</t>
  </si>
  <si>
    <t>TIOC-Raqaypampa</t>
  </si>
  <si>
    <t>Esmeralda</t>
  </si>
  <si>
    <t>Pampa Aullagas</t>
  </si>
  <si>
    <t>Sacaca</t>
  </si>
  <si>
    <t>Andamarca</t>
  </si>
  <si>
    <t>Chacarilla</t>
  </si>
  <si>
    <t>Umala</t>
  </si>
  <si>
    <t>Santiago de Huayllamarca</t>
  </si>
  <si>
    <t>San Pedro de Curahuara</t>
  </si>
  <si>
    <t>Corocoro</t>
  </si>
  <si>
    <t>San Benito</t>
  </si>
  <si>
    <t>Moromoro</t>
  </si>
  <si>
    <t>San Juan</t>
  </si>
  <si>
    <t>San Pedro</t>
  </si>
  <si>
    <t>Villa Ancoraimes</t>
  </si>
  <si>
    <t>Colcha "K"</t>
  </si>
  <si>
    <t>Puerto Mayor de Carabuco</t>
  </si>
  <si>
    <t>Villa Montes</t>
  </si>
  <si>
    <t>Urmiri</t>
  </si>
  <si>
    <t>Porongo</t>
  </si>
  <si>
    <t>Irupana</t>
  </si>
  <si>
    <t>Chulumani</t>
  </si>
  <si>
    <t>Poopó</t>
  </si>
  <si>
    <t>Todos Santos</t>
  </si>
  <si>
    <t>San Antonio de Esmoruco</t>
  </si>
  <si>
    <t>San Ramón</t>
  </si>
  <si>
    <t>Sipesipe</t>
  </si>
  <si>
    <t>Uriondo</t>
  </si>
  <si>
    <t>Mojinete</t>
  </si>
  <si>
    <t>Yunchará</t>
  </si>
  <si>
    <t>Caraparí</t>
  </si>
  <si>
    <t>San Agustín</t>
  </si>
  <si>
    <t>San Pablo</t>
  </si>
  <si>
    <t>Villa Abecia</t>
  </si>
  <si>
    <t>Carangas</t>
  </si>
  <si>
    <t>Yunguyo del Litoral</t>
  </si>
  <si>
    <t>Cruz de Machacamarca</t>
  </si>
  <si>
    <t>Combaya</t>
  </si>
  <si>
    <t>Belén de Andamarca</t>
  </si>
  <si>
    <t>Vitiche</t>
  </si>
  <si>
    <t>Azurduy</t>
  </si>
  <si>
    <t>Toco</t>
  </si>
  <si>
    <t>Zudáñez</t>
  </si>
  <si>
    <t>Villa Gualberto Villarroel</t>
  </si>
  <si>
    <t>Tacachi</t>
  </si>
  <si>
    <t>Toledo</t>
  </si>
  <si>
    <t>Paria</t>
  </si>
  <si>
    <t>Catacora</t>
  </si>
  <si>
    <t>Punata</t>
  </si>
  <si>
    <t>Huatajata</t>
  </si>
  <si>
    <t>Jesús de Machaca</t>
  </si>
  <si>
    <t>Puerto Mayor de Guaqui</t>
  </si>
  <si>
    <t>Nuestra Señora de La Paz</t>
  </si>
  <si>
    <t>Teoponte</t>
  </si>
  <si>
    <t>Mapiri</t>
  </si>
  <si>
    <t>Caiza "D"</t>
  </si>
  <si>
    <t>Tarvita</t>
  </si>
  <si>
    <t>Chaquí</t>
  </si>
  <si>
    <t>Puna</t>
  </si>
  <si>
    <t>Ckochas</t>
  </si>
  <si>
    <t>El Villar</t>
  </si>
  <si>
    <t>Alcalá</t>
  </si>
  <si>
    <t>Puerto Menor de Rurrenabaque</t>
  </si>
  <si>
    <t>Santa Ana</t>
  </si>
  <si>
    <t>Puerto Siles</t>
  </si>
  <si>
    <t>Exaltación</t>
  </si>
  <si>
    <t>Ingavi</t>
  </si>
  <si>
    <t>Guayaramerín</t>
  </si>
  <si>
    <t>Villa Nueva</t>
  </si>
  <si>
    <t>Santos Mercado</t>
  </si>
  <si>
    <t>Nueva Esperanza</t>
  </si>
  <si>
    <t>Santiago de Huata</t>
  </si>
  <si>
    <t>Puerto Pérez</t>
  </si>
  <si>
    <t>Chuquihuta Ayllu Jucumani</t>
  </si>
  <si>
    <t>Alto Beni</t>
  </si>
  <si>
    <t>Huarina</t>
  </si>
  <si>
    <t>Chua Cocani</t>
  </si>
  <si>
    <t>Humanata</t>
  </si>
  <si>
    <t>Villa Vaca Guzmán</t>
  </si>
  <si>
    <t>Pucará</t>
  </si>
  <si>
    <t>Cocapata</t>
  </si>
  <si>
    <t>Postrervalle</t>
  </si>
  <si>
    <t>Trigal</t>
  </si>
  <si>
    <t>Cuatro Cañadas</t>
  </si>
  <si>
    <t>Shinahota</t>
  </si>
  <si>
    <t>San Andrés</t>
  </si>
  <si>
    <t>General Saavedra</t>
  </si>
  <si>
    <t>Pailón</t>
  </si>
  <si>
    <t>Fernández Alonso</t>
  </si>
  <si>
    <t>Colpa Bélgica</t>
  </si>
  <si>
    <t>El Carmen Rivero Tórrez</t>
  </si>
  <si>
    <t>Roboré</t>
  </si>
  <si>
    <t>San José de Chiquitos</t>
  </si>
  <si>
    <t>Ayopaya</t>
  </si>
  <si>
    <t>Urubichá</t>
  </si>
  <si>
    <t>Choquecota</t>
  </si>
  <si>
    <t>Escara</t>
  </si>
  <si>
    <t>Coipasa</t>
  </si>
  <si>
    <t>San Pedro de Quemes</t>
  </si>
  <si>
    <t>San Julián</t>
  </si>
  <si>
    <t>Villa Charcas</t>
  </si>
  <si>
    <t>Escoma</t>
  </si>
  <si>
    <t>Charaña</t>
  </si>
  <si>
    <t>Taraco</t>
  </si>
  <si>
    <t>La (Marka) San Andrés de Machaca</t>
  </si>
  <si>
    <t>Villazón</t>
  </si>
  <si>
    <t>Casos VIH 2011</t>
  </si>
  <si>
    <t>Casos VIH 2012</t>
  </si>
  <si>
    <t>Casos VIH 2013</t>
  </si>
  <si>
    <t>Casos VIH 2022</t>
  </si>
  <si>
    <t>Casos VIH 2023</t>
  </si>
  <si>
    <t>Casos VIH 2024</t>
  </si>
  <si>
    <t>Provincia</t>
  </si>
  <si>
    <t>Capital</t>
  </si>
  <si>
    <t>CodigoINE</t>
  </si>
  <si>
    <t>Poblacion 2011</t>
  </si>
  <si>
    <t>Poblacion 2012</t>
  </si>
  <si>
    <t>Poblacion 2013</t>
  </si>
  <si>
    <t>Poblacion 2022</t>
  </si>
  <si>
    <t>Poblacion 2023</t>
  </si>
  <si>
    <t>Poblacion 2024</t>
  </si>
  <si>
    <t>Oropeza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</si>
  <si>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</si>
  <si>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</si>
  <si>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</si>
  <si>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</si>
  <si>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</si>
  <si>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</si>
  <si>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</si>
  <si>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</si>
  <si>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Hernando Siles</t>
  </si>
  <si>
    <t>San Pablo de Huacareta</t>
  </si>
  <si>
    <t>Nor Cinti</t>
  </si>
  <si>
    <t>Belisario Boeto</t>
  </si>
  <si>
    <t>Sur Cinti</t>
  </si>
  <si>
    <t>Luis Calvo</t>
  </si>
  <si>
    <t>Huacaya</t>
  </si>
  <si>
    <t>Villa de Macharetí</t>
  </si>
  <si>
    <t>Murillo</t>
  </si>
  <si>
    <t>Omasuyos</t>
  </si>
  <si>
    <t>Pacajes</t>
  </si>
  <si>
    <t>Waldo Ballivian</t>
  </si>
  <si>
    <t>Camacho</t>
  </si>
  <si>
    <t>Carabuco</t>
  </si>
  <si>
    <t>Muñecas</t>
  </si>
  <si>
    <t>Larecaja</t>
  </si>
  <si>
    <t>Franz Tamayo</t>
  </si>
  <si>
    <t>San Andrés de Machaca</t>
  </si>
  <si>
    <t>Jesús de Machaka</t>
  </si>
  <si>
    <t>Loayza</t>
  </si>
  <si>
    <t>Sud Yungas</t>
  </si>
  <si>
    <t>Villa de la Libertad</t>
  </si>
  <si>
    <t>Villa de Lanza</t>
  </si>
  <si>
    <t>Los Andes</t>
  </si>
  <si>
    <t>Aroma</t>
  </si>
  <si>
    <t>Sica Sica</t>
  </si>
  <si>
    <t>Villa Aroma</t>
  </si>
  <si>
    <t>Nor Yungas</t>
  </si>
  <si>
    <t>Abel Iturralde</t>
  </si>
  <si>
    <t>Bautista Saavedra</t>
  </si>
  <si>
    <t>General Juan José Pérez (Charazani)</t>
  </si>
  <si>
    <t>Villa General Juan José Pérez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</si>
  <si>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</si>
  <si>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</si>
  <si>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</si>
  <si>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</si>
  <si>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</si>
  <si>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</si>
  <si>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 (Independencia)</t>
  </si>
  <si>
    <t>Villa de Independencia</t>
  </si>
  <si>
    <t>Esteban Arze</t>
  </si>
  <si>
    <t>Villa de Anzaldo</t>
  </si>
  <si>
    <t>Villa de Arque</t>
  </si>
  <si>
    <t>Villa Santivañez</t>
  </si>
  <si>
    <t>Germán Jordán</t>
  </si>
  <si>
    <t>Chapare</t>
  </si>
  <si>
    <t>Carrasco</t>
  </si>
  <si>
    <t>Raqaypampa</t>
  </si>
  <si>
    <t>Villa Punata</t>
  </si>
  <si>
    <t>Villa José Quintín Mendoza</t>
  </si>
  <si>
    <t>Cuchumuela (Villa Gualberto Villarroel)</t>
  </si>
  <si>
    <t>Soracachi</t>
  </si>
  <si>
    <t>Abaroa</t>
  </si>
  <si>
    <t>Sajama</t>
  </si>
  <si>
    <t>Litoral</t>
  </si>
  <si>
    <t>Villa de Poopó</t>
  </si>
  <si>
    <t>Pantaleón Dalence</t>
  </si>
  <si>
    <t>Villa de Huanuni</t>
  </si>
  <si>
    <t>Ladislao Cabrera</t>
  </si>
  <si>
    <t>Salinas de Garcí Mendoza</t>
  </si>
  <si>
    <t>Chipaya</t>
  </si>
  <si>
    <t>Saucarí</t>
  </si>
  <si>
    <t>Tomás Barrón</t>
  </si>
  <si>
    <t>Sur Carangas</t>
  </si>
  <si>
    <t>Santiago de Andamarca</t>
  </si>
  <si>
    <t>San Pedro de Totora</t>
  </si>
  <si>
    <t>Sebastián Pagador</t>
  </si>
  <si>
    <t>Mejillones</t>
  </si>
  <si>
    <t>Nor Carangas</t>
  </si>
  <si>
    <t>Huayllamarca</t>
  </si>
  <si>
    <t>Tomás Frías</t>
  </si>
  <si>
    <t>Villa de Yocalla</t>
  </si>
  <si>
    <t>Belén de Urmiri</t>
  </si>
  <si>
    <t>Rafael Bustillo</t>
  </si>
  <si>
    <t>Cornelio Saavedra</t>
  </si>
  <si>
    <t>Villa de Betanzos</t>
  </si>
  <si>
    <t>Chárcas</t>
  </si>
  <si>
    <t>Nor Chichas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</si>
  <si>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</si>
  <si>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</si>
  <si>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</si>
  <si>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</si>
  <si>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</si>
  <si>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</si>
  <si>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</si>
  <si>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José María Linares</t>
  </si>
  <si>
    <t>Villa Talavera</t>
  </si>
  <si>
    <t>Antonio Quijarro</t>
  </si>
  <si>
    <t>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</si>
  <si>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</si>
  <si>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</si>
  <si>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</si>
  <si>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</si>
  <si>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</si>
  <si>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</si>
  <si>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</si>
  <si>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</si>
  <si>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</si>
  <si>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</si>
  <si>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Porongo (Ayacucho)</t>
  </si>
  <si>
    <t>Velasco</t>
  </si>
  <si>
    <t>San Miguel</t>
  </si>
  <si>
    <t>Ichilo</t>
  </si>
  <si>
    <t>Chiquitos</t>
  </si>
  <si>
    <t>San José</t>
  </si>
  <si>
    <t>Sara</t>
  </si>
  <si>
    <t>Cordillera</t>
  </si>
  <si>
    <t>Gutiérrez</t>
  </si>
  <si>
    <t>Moro Moro</t>
  </si>
  <si>
    <t>Florida</t>
  </si>
  <si>
    <t>Obispo Santistéban</t>
  </si>
  <si>
    <t>Ñuflo De Chávez</t>
  </si>
  <si>
    <t>San Antonio de Lomerio</t>
  </si>
  <si>
    <t>Angel Sandoval</t>
  </si>
  <si>
    <t>Manuel María Caballero</t>
  </si>
  <si>
    <t>Germán Busch</t>
  </si>
  <si>
    <t>Puerto Suarez</t>
  </si>
  <si>
    <t>Guarayos</t>
  </si>
  <si>
    <t>Ascención de Guarayos</t>
  </si>
  <si>
    <t>Vaca Diez</t>
  </si>
  <si>
    <t>General José Ballivián</t>
  </si>
  <si>
    <t>Rurrenabaque</t>
  </si>
  <si>
    <t>Yacuma</t>
  </si>
  <si>
    <t>Santa Ana de Yacuma</t>
  </si>
  <si>
    <t>Moxos</t>
  </si>
  <si>
    <t>Marbán</t>
  </si>
  <si>
    <t>Mamoré</t>
  </si>
  <si>
    <t>Iténez</t>
  </si>
  <si>
    <t>Territorio Indigena Multiétnico</t>
  </si>
  <si>
    <t>Nicolás Suárez</t>
  </si>
  <si>
    <t>Manuripi</t>
  </si>
  <si>
    <t>Madre de Dios</t>
  </si>
  <si>
    <t>Abuná</t>
  </si>
  <si>
    <t>Federico Román</t>
  </si>
  <si>
    <t>Loma Alta</t>
  </si>
  <si>
    <t>Promedio incidencia VIH 2011-2013</t>
  </si>
  <si>
    <t>Promedio incidencia VIH 2022-2024</t>
  </si>
  <si>
    <t>Incidencia VIH Millon hab. 2011</t>
  </si>
  <si>
    <t>Incidencia VIH Millon hab. 2012</t>
  </si>
  <si>
    <t>Incidencia VIH Millon hab. 2013</t>
  </si>
  <si>
    <t>Incidencia VIH Millon hab. 2022</t>
  </si>
  <si>
    <t>Incidencia VIH Millon hab. 2023</t>
  </si>
  <si>
    <t>Incidencia VIH Millon hab. 2024</t>
  </si>
  <si>
    <t>id_departamento</t>
  </si>
  <si>
    <t>Departamento</t>
  </si>
  <si>
    <t>Promedio anual incidencia VIH por millon de hab. 2011-2013</t>
  </si>
  <si>
    <t>Promedio anual incidencia VIH por millon de hab. 2022-2024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</si>
  <si>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</si>
  <si>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</si>
  <si>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</si>
  <si>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</si>
  <si>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</si>
  <si>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</si>
  <si>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</si>
  <si>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</si>
  <si>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</si>
  <si>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</si>
  <si>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Incidencia de VIH por 1.000.000 habitantes en el periodo 2011-2013 y 2022-2024</t>
  </si>
  <si>
    <t>Prom</t>
  </si>
  <si>
    <t>Desv. Estandar</t>
  </si>
  <si>
    <t>Suma prom y desv Estandar</t>
  </si>
  <si>
    <t>MUN 2011</t>
  </si>
  <si>
    <t>MUN 2012</t>
  </si>
  <si>
    <t>MUN 2013</t>
  </si>
  <si>
    <t>MUN 2022</t>
  </si>
  <si>
    <t>MUN 2023</t>
  </si>
  <si>
    <t>MUN 2024</t>
  </si>
  <si>
    <t>Resta Desv-Prom</t>
  </si>
  <si>
    <t>Promedio anual del total de casos notificados VIH 2011-2013</t>
  </si>
  <si>
    <t>Promedio anual del total de casos notificados VIH 2022-2024</t>
  </si>
  <si>
    <t>Id</t>
  </si>
  <si>
    <t>Bolivia</t>
  </si>
  <si>
    <t>Promedio nacional</t>
  </si>
  <si>
    <t>10% prom nacional</t>
  </si>
  <si>
    <t>25% prom nacional</t>
  </si>
  <si>
    <t>50% prom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</si>
</sst>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0" borderId="0" xfId="0" applyFont="1" applyAlignment="1">
      <alignment horizontal="left" indent="1"/>
    </xf>
    <xf numFmtId="0" fontId="3" fillId="2" borderId="2" xfId="0" applyFont="1" applyFill="1" applyBorder="1" applyAlignment="1">
      <alignment horizontal="left"/>
    </xf>
    <xf numFmtId="0" fontId="3" fillId="4" borderId="2" xfId="0" applyFont="1" applyFill="1" applyBorder="1"/>
    <xf numFmtId="0" fontId="3" fillId="2" borderId="2" xfId="0" applyFont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2" borderId="0" xfId="0" applyFont="1" applyFill="1" applyAlignment="1"/>
    <xf numFmtId="0" fontId="3" fillId="3" borderId="1" xfId="0" applyFont="1" applyFill="1" applyBorder="1" applyAlignment="1"/>
    <xf numFmtId="0" fontId="0" fillId="0" borderId="0" xfId="0" applyAlignment="1"/>
    <xf numFmtId="0" fontId="0" fillId="0" borderId="3" xfId="0" applyBorder="1"/>
    <xf numFmtId="1" fontId="0" fillId="0" borderId="3" xfId="0" applyNumberFormat="1" applyBorder="1"/>
    <xf numFmtId="164" fontId="0" fillId="0" borderId="0" xfId="0" applyNumberFormat="1"/>
    <xf numFmtId="164" fontId="0" fillId="0" borderId="3" xfId="0" applyNumberFormat="1" applyBorder="1"/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/>
    <xf numFmtId="164" fontId="1" fillId="0" borderId="3" xfId="0" applyNumberFormat="1" applyFont="1" applyBorder="1" applyAlignment="1">
      <alignment horizontal="center" vertical="center" wrapText="1"/>
    </xf>
    <xf numFmtId="0" fontId="4" fillId="5" borderId="3" xfId="0" applyFont="1" applyFill="1" applyBorder="1"/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2" fontId="0" fillId="0" borderId="3" xfId="0" applyNumberFormat="1" applyBorder="1"/>
    <xf numFmtId="0" fontId="0" fillId="0" borderId="3" xfId="0" applyFill="1" applyBorder="1"/>
    <xf numFmtId="0" fontId="5" fillId="0" borderId="3" xfId="0" applyFont="1" applyFill="1" applyBorder="1"/>
    <xf numFmtId="1" fontId="0" fillId="0" borderId="0" xfId="0" applyNumberFormat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1" fontId="0" fillId="0" borderId="0" xfId="0" applyNumberFormat="1" applyBorder="1"/>
    <xf numFmtId="0" fontId="1" fillId="0" borderId="0" xfId="0" applyFont="1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71770</xdr:colOff>
      <xdr:row>24</xdr:row>
      <xdr:rowOff>108000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493E39-C4F3-493C-A704-C472F2B57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929769" cy="46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0118-B115-42C0-A12E-E57BF8152BEA}">
  <dimension ref="A1:W344"/>
  <sheetViews>
    <sheetView workbookViewId="0">
      <pane xSplit="1" ySplit="3" topLeftCell="L340" activePane="bottomRight" state="frozen"/>
      <selection pane="topRight" activeCell="B1" sqref="B1"/>
      <selection pane="bottomLeft" activeCell="A4" sqref="A4"/>
      <selection pane="bottomRight" activeCell="S350" sqref="S350"/>
    </sheetView>
  </sheetViews>
  <sheetFormatPr baseColWidth="10" defaultRowHeight="15"/>
  <cols>
    <col min="1" max="1" width="35" bestFit="1" customWidth="1"/>
    <col min="2" max="4" width="11.42578125" style="14"/>
    <col min="14" max="14" width="12.28515625" bestFit="1" customWidth="1"/>
    <col min="16" max="16" width="20.42578125" customWidth="1"/>
  </cols>
  <sheetData>
    <row r="1" spans="1:23">
      <c r="A1" s="38" t="s">
        <v>0</v>
      </c>
      <c r="B1" s="38"/>
      <c r="C1" s="38"/>
      <c r="D1" s="38"/>
      <c r="E1" s="38"/>
      <c r="F1" s="38"/>
      <c r="G1" s="38"/>
      <c r="H1" s="38"/>
      <c r="I1" s="38"/>
      <c r="N1" s="19" t="s">
        <v>293</v>
      </c>
      <c r="O1" s="19" t="s">
        <v>413</v>
      </c>
      <c r="P1" s="19" t="s">
        <v>299</v>
      </c>
      <c r="Q1" s="19" t="s">
        <v>415</v>
      </c>
      <c r="R1" s="21" t="s">
        <v>592</v>
      </c>
      <c r="S1" s="21" t="s">
        <v>593</v>
      </c>
      <c r="T1" s="21" t="s">
        <v>594</v>
      </c>
      <c r="U1" s="21" t="s">
        <v>595</v>
      </c>
      <c r="V1" s="21" t="s">
        <v>596</v>
      </c>
      <c r="W1" s="21" t="s">
        <v>597</v>
      </c>
    </row>
    <row r="2" spans="1:23">
      <c r="A2" s="2" t="s">
        <v>1</v>
      </c>
      <c r="B2" s="12">
        <v>2011</v>
      </c>
      <c r="C2" s="12">
        <v>2012</v>
      </c>
      <c r="D2" s="12">
        <v>2013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N2" s="15" t="s">
        <v>296</v>
      </c>
      <c r="O2" s="15" t="s">
        <v>422</v>
      </c>
      <c r="P2" s="15" t="s">
        <v>42</v>
      </c>
      <c r="Q2" s="16">
        <v>10101</v>
      </c>
      <c r="R2">
        <v>11</v>
      </c>
      <c r="S2">
        <v>28</v>
      </c>
      <c r="T2">
        <v>29</v>
      </c>
      <c r="U2">
        <v>78</v>
      </c>
      <c r="V2">
        <v>72</v>
      </c>
      <c r="W2">
        <v>76</v>
      </c>
    </row>
    <row r="3" spans="1:23">
      <c r="A3" s="4" t="s">
        <v>7</v>
      </c>
      <c r="B3" s="13">
        <v>18</v>
      </c>
      <c r="C3" s="13">
        <v>51</v>
      </c>
      <c r="D3" s="13">
        <v>50</v>
      </c>
      <c r="E3" s="5">
        <v>134</v>
      </c>
      <c r="F3" s="5">
        <v>190</v>
      </c>
      <c r="G3" s="5">
        <v>218</v>
      </c>
      <c r="H3" s="5">
        <v>276</v>
      </c>
      <c r="I3" s="5">
        <v>241</v>
      </c>
      <c r="N3" s="15" t="s">
        <v>296</v>
      </c>
      <c r="O3" s="15" t="s">
        <v>422</v>
      </c>
      <c r="P3" s="15" t="s">
        <v>53</v>
      </c>
      <c r="Q3" s="16">
        <v>10102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</row>
    <row r="4" spans="1:23">
      <c r="A4" s="6" t="s">
        <v>8</v>
      </c>
      <c r="B4" s="11">
        <v>2</v>
      </c>
      <c r="C4" s="11">
        <v>7</v>
      </c>
      <c r="D4" s="11">
        <v>7</v>
      </c>
      <c r="E4" s="10">
        <v>10</v>
      </c>
      <c r="F4" s="10">
        <v>19</v>
      </c>
      <c r="G4" s="10">
        <v>20</v>
      </c>
      <c r="H4" s="10">
        <v>33</v>
      </c>
      <c r="I4" s="10">
        <v>28</v>
      </c>
      <c r="N4" s="15" t="s">
        <v>296</v>
      </c>
      <c r="O4" s="15" t="s">
        <v>422</v>
      </c>
      <c r="P4" s="15" t="s">
        <v>38</v>
      </c>
      <c r="Q4" s="16">
        <v>10103</v>
      </c>
      <c r="R4">
        <v>0</v>
      </c>
      <c r="S4">
        <v>0</v>
      </c>
      <c r="T4">
        <v>0</v>
      </c>
      <c r="U4">
        <v>3</v>
      </c>
      <c r="V4">
        <v>1</v>
      </c>
      <c r="W4">
        <v>3</v>
      </c>
    </row>
    <row r="5" spans="1:23">
      <c r="A5" s="6" t="s">
        <v>9</v>
      </c>
      <c r="B5" s="11">
        <v>0</v>
      </c>
      <c r="C5" s="11">
        <v>0</v>
      </c>
      <c r="D5" s="11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N5" s="15" t="s">
        <v>296</v>
      </c>
      <c r="O5" s="15" t="s">
        <v>341</v>
      </c>
      <c r="P5" s="15" t="s">
        <v>47</v>
      </c>
      <c r="Q5" s="16">
        <v>10201</v>
      </c>
      <c r="R5">
        <v>0</v>
      </c>
      <c r="S5">
        <v>0</v>
      </c>
      <c r="T5">
        <v>2</v>
      </c>
      <c r="U5">
        <v>1</v>
      </c>
      <c r="V5">
        <v>1</v>
      </c>
      <c r="W5">
        <v>4</v>
      </c>
    </row>
    <row r="6" spans="1:23">
      <c r="A6" s="6" t="s">
        <v>10</v>
      </c>
      <c r="B6" s="11">
        <v>0</v>
      </c>
      <c r="C6" s="11">
        <v>0</v>
      </c>
      <c r="D6" s="11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N6" s="15" t="s">
        <v>296</v>
      </c>
      <c r="O6" s="15" t="s">
        <v>341</v>
      </c>
      <c r="P6" s="15" t="s">
        <v>357</v>
      </c>
      <c r="Q6" s="16">
        <v>10202</v>
      </c>
      <c r="R6">
        <v>0</v>
      </c>
      <c r="S6">
        <v>0</v>
      </c>
      <c r="T6">
        <v>2</v>
      </c>
      <c r="U6">
        <v>5</v>
      </c>
      <c r="V6">
        <v>1</v>
      </c>
      <c r="W6">
        <v>1</v>
      </c>
    </row>
    <row r="7" spans="1:23">
      <c r="A7" s="6" t="s">
        <v>11</v>
      </c>
      <c r="B7" s="11">
        <v>0</v>
      </c>
      <c r="C7" s="11">
        <v>0</v>
      </c>
      <c r="D7" s="11">
        <v>0</v>
      </c>
      <c r="E7" s="10">
        <v>0</v>
      </c>
      <c r="F7" s="10">
        <v>0</v>
      </c>
      <c r="G7" s="10">
        <v>1</v>
      </c>
      <c r="H7" s="10">
        <v>1</v>
      </c>
      <c r="I7" s="10">
        <v>0</v>
      </c>
      <c r="N7" s="15" t="s">
        <v>296</v>
      </c>
      <c r="O7" s="15" t="s">
        <v>343</v>
      </c>
      <c r="P7" s="15" t="s">
        <v>424</v>
      </c>
      <c r="Q7" s="16">
        <v>10301</v>
      </c>
      <c r="R7">
        <v>0</v>
      </c>
      <c r="S7">
        <v>1</v>
      </c>
      <c r="T7">
        <v>1</v>
      </c>
      <c r="U7">
        <v>1</v>
      </c>
      <c r="V7">
        <v>2</v>
      </c>
      <c r="W7">
        <v>1</v>
      </c>
    </row>
    <row r="8" spans="1:23">
      <c r="A8" s="6" t="s">
        <v>12</v>
      </c>
      <c r="B8" s="11">
        <v>1</v>
      </c>
      <c r="C8" s="11">
        <v>0</v>
      </c>
      <c r="D8" s="11">
        <v>1</v>
      </c>
      <c r="E8" s="10">
        <v>0</v>
      </c>
      <c r="F8" s="10">
        <v>0</v>
      </c>
      <c r="G8" s="10">
        <v>1</v>
      </c>
      <c r="H8" s="10">
        <v>2</v>
      </c>
      <c r="I8" s="10">
        <v>0</v>
      </c>
      <c r="N8" s="15" t="s">
        <v>296</v>
      </c>
      <c r="O8" s="15" t="s">
        <v>343</v>
      </c>
      <c r="P8" s="15" t="s">
        <v>39</v>
      </c>
      <c r="Q8" s="16">
        <v>10302</v>
      </c>
      <c r="R8">
        <v>0</v>
      </c>
      <c r="S8">
        <v>0</v>
      </c>
      <c r="T8">
        <v>0</v>
      </c>
      <c r="U8">
        <v>2</v>
      </c>
      <c r="V8">
        <v>2</v>
      </c>
      <c r="W8">
        <v>1</v>
      </c>
    </row>
    <row r="9" spans="1:23">
      <c r="A9" s="6" t="s">
        <v>13</v>
      </c>
      <c r="B9" s="11">
        <v>2</v>
      </c>
      <c r="C9" s="11">
        <v>3</v>
      </c>
      <c r="D9" s="11">
        <v>3</v>
      </c>
      <c r="E9" s="10">
        <v>17</v>
      </c>
      <c r="F9" s="10">
        <v>8</v>
      </c>
      <c r="G9" s="10">
        <v>6</v>
      </c>
      <c r="H9" s="10">
        <v>18</v>
      </c>
      <c r="I9" s="10">
        <v>15</v>
      </c>
      <c r="N9" s="15" t="s">
        <v>296</v>
      </c>
      <c r="O9" s="15" t="s">
        <v>343</v>
      </c>
      <c r="P9" s="15" t="s">
        <v>426</v>
      </c>
      <c r="Q9" s="16">
        <v>10303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</row>
    <row r="10" spans="1:23">
      <c r="A10" s="6" t="s">
        <v>14</v>
      </c>
      <c r="B10" s="11">
        <v>0</v>
      </c>
      <c r="C10" s="11">
        <v>2</v>
      </c>
      <c r="D10" s="11">
        <v>1</v>
      </c>
      <c r="E10" s="10">
        <v>3</v>
      </c>
      <c r="F10" s="10">
        <v>8</v>
      </c>
      <c r="G10" s="10">
        <v>2</v>
      </c>
      <c r="H10" s="10">
        <v>10</v>
      </c>
      <c r="I10" s="10">
        <v>6</v>
      </c>
      <c r="N10" s="15" t="s">
        <v>296</v>
      </c>
      <c r="O10" s="15" t="s">
        <v>343</v>
      </c>
      <c r="P10" s="15" t="s">
        <v>31</v>
      </c>
      <c r="Q10" s="16">
        <v>10304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</row>
    <row r="11" spans="1:23">
      <c r="A11" s="6" t="s">
        <v>15</v>
      </c>
      <c r="B11" s="11">
        <v>0</v>
      </c>
      <c r="C11" s="11">
        <v>0</v>
      </c>
      <c r="D11" s="11">
        <v>0</v>
      </c>
      <c r="E11" s="10">
        <v>3</v>
      </c>
      <c r="F11" s="10">
        <v>1</v>
      </c>
      <c r="G11" s="10">
        <v>3</v>
      </c>
      <c r="H11" s="10">
        <v>3</v>
      </c>
      <c r="I11" s="10">
        <v>1</v>
      </c>
      <c r="N11" s="15" t="s">
        <v>296</v>
      </c>
      <c r="O11" s="15" t="s">
        <v>45</v>
      </c>
      <c r="P11" s="15" t="s">
        <v>37</v>
      </c>
      <c r="Q11" s="16">
        <v>10401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</row>
    <row r="12" spans="1:23">
      <c r="A12" s="6" t="s">
        <v>16</v>
      </c>
      <c r="B12" s="11">
        <v>1</v>
      </c>
      <c r="C12" s="11">
        <v>7</v>
      </c>
      <c r="D12" s="11">
        <v>2</v>
      </c>
      <c r="E12" s="10">
        <v>42</v>
      </c>
      <c r="F12" s="10">
        <v>57</v>
      </c>
      <c r="G12" s="10">
        <v>70</v>
      </c>
      <c r="H12" s="10">
        <v>79</v>
      </c>
      <c r="I12" s="10">
        <v>74</v>
      </c>
      <c r="N12" s="15" t="s">
        <v>296</v>
      </c>
      <c r="O12" s="15" t="s">
        <v>45</v>
      </c>
      <c r="P12" s="15" t="s">
        <v>45</v>
      </c>
      <c r="Q12" s="16">
        <v>10402</v>
      </c>
      <c r="R12">
        <v>1</v>
      </c>
      <c r="S12">
        <v>0</v>
      </c>
      <c r="T12">
        <v>0</v>
      </c>
      <c r="U12">
        <v>1</v>
      </c>
      <c r="V12">
        <v>2</v>
      </c>
      <c r="W12">
        <v>2</v>
      </c>
    </row>
    <row r="13" spans="1:23">
      <c r="A13" s="6" t="s">
        <v>17</v>
      </c>
      <c r="B13" s="11">
        <v>0</v>
      </c>
      <c r="C13" s="11">
        <v>0</v>
      </c>
      <c r="D13" s="11">
        <v>0</v>
      </c>
      <c r="E13" s="10">
        <v>1</v>
      </c>
      <c r="F13" s="10">
        <v>3</v>
      </c>
      <c r="G13" s="10">
        <v>2</v>
      </c>
      <c r="H13" s="10">
        <v>2</v>
      </c>
      <c r="I13" s="10">
        <v>2</v>
      </c>
      <c r="N13" s="15" t="s">
        <v>296</v>
      </c>
      <c r="O13" s="15" t="s">
        <v>45</v>
      </c>
      <c r="P13" s="15" t="s">
        <v>41</v>
      </c>
      <c r="Q13" s="16">
        <v>10403</v>
      </c>
      <c r="R13">
        <v>0</v>
      </c>
      <c r="S13">
        <v>3</v>
      </c>
      <c r="T13">
        <v>6</v>
      </c>
      <c r="U13">
        <v>0</v>
      </c>
      <c r="V13">
        <v>1</v>
      </c>
      <c r="W13">
        <v>0</v>
      </c>
    </row>
    <row r="14" spans="1:23">
      <c r="A14" s="6" t="s">
        <v>18</v>
      </c>
      <c r="B14" s="11">
        <v>0</v>
      </c>
      <c r="C14" s="11">
        <v>0</v>
      </c>
      <c r="D14" s="11">
        <v>3</v>
      </c>
      <c r="E14" s="10">
        <v>5</v>
      </c>
      <c r="F14" s="10">
        <v>10</v>
      </c>
      <c r="G14" s="10">
        <v>6</v>
      </c>
      <c r="H14" s="10">
        <v>6</v>
      </c>
      <c r="I14" s="10">
        <v>6</v>
      </c>
      <c r="N14" s="15" t="s">
        <v>296</v>
      </c>
      <c r="O14" s="15" t="s">
        <v>45</v>
      </c>
      <c r="P14" s="15" t="s">
        <v>430</v>
      </c>
      <c r="Q14" s="16">
        <v>10404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</row>
    <row r="15" spans="1:23">
      <c r="A15" s="6" t="s">
        <v>19</v>
      </c>
      <c r="B15" s="11">
        <v>1</v>
      </c>
      <c r="C15" s="11">
        <v>2</v>
      </c>
      <c r="D15" s="11">
        <v>0</v>
      </c>
      <c r="E15" s="10">
        <v>4</v>
      </c>
      <c r="F15" s="10">
        <v>5</v>
      </c>
      <c r="G15" s="10">
        <v>8</v>
      </c>
      <c r="H15" s="10">
        <v>5</v>
      </c>
      <c r="I15" s="10">
        <v>7</v>
      </c>
      <c r="N15" s="15" t="s">
        <v>296</v>
      </c>
      <c r="O15" s="15" t="s">
        <v>45</v>
      </c>
      <c r="P15" s="15" t="s">
        <v>361</v>
      </c>
      <c r="Q15" s="16">
        <v>10405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6" t="s">
        <v>20</v>
      </c>
      <c r="B16" s="11">
        <v>0</v>
      </c>
      <c r="C16" s="11">
        <v>0</v>
      </c>
      <c r="D16" s="11">
        <v>0</v>
      </c>
      <c r="E16" s="10">
        <v>0</v>
      </c>
      <c r="F16" s="10">
        <v>0</v>
      </c>
      <c r="G16" s="10">
        <v>1</v>
      </c>
      <c r="H16" s="10">
        <v>0</v>
      </c>
      <c r="I16" s="10">
        <v>0</v>
      </c>
      <c r="N16" s="15" t="s">
        <v>296</v>
      </c>
      <c r="O16" s="15" t="s">
        <v>431</v>
      </c>
      <c r="P16" s="15" t="s">
        <v>36</v>
      </c>
      <c r="Q16" s="16">
        <v>10501</v>
      </c>
      <c r="R16">
        <v>0</v>
      </c>
      <c r="S16">
        <v>0</v>
      </c>
      <c r="T16">
        <v>0</v>
      </c>
      <c r="U16">
        <v>4</v>
      </c>
      <c r="V16">
        <v>3</v>
      </c>
      <c r="W16">
        <v>1</v>
      </c>
    </row>
    <row r="17" spans="1:23">
      <c r="A17" s="6" t="s">
        <v>21</v>
      </c>
      <c r="B17" s="11">
        <v>0</v>
      </c>
      <c r="C17" s="11">
        <v>0</v>
      </c>
      <c r="D17" s="11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N17" s="15" t="s">
        <v>296</v>
      </c>
      <c r="O17" s="15" t="s">
        <v>431</v>
      </c>
      <c r="P17" s="15" t="s">
        <v>432</v>
      </c>
      <c r="Q17" s="16">
        <v>10502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6" t="s">
        <v>22</v>
      </c>
      <c r="B18" s="11">
        <v>0</v>
      </c>
      <c r="C18" s="11">
        <v>1</v>
      </c>
      <c r="D18" s="11">
        <v>0</v>
      </c>
      <c r="E18" s="10">
        <v>0</v>
      </c>
      <c r="F18" s="10">
        <v>2</v>
      </c>
      <c r="G18" s="10">
        <v>2</v>
      </c>
      <c r="H18" s="10">
        <v>0</v>
      </c>
      <c r="I18" s="10">
        <v>1</v>
      </c>
      <c r="N18" s="15" t="s">
        <v>296</v>
      </c>
      <c r="O18" s="15" t="s">
        <v>52</v>
      </c>
      <c r="P18" s="15" t="s">
        <v>43</v>
      </c>
      <c r="Q18" s="16">
        <v>10601</v>
      </c>
      <c r="R18">
        <v>1</v>
      </c>
      <c r="S18">
        <v>2</v>
      </c>
      <c r="T18">
        <v>3</v>
      </c>
      <c r="U18">
        <v>4</v>
      </c>
      <c r="V18">
        <v>3</v>
      </c>
      <c r="W18">
        <v>2</v>
      </c>
    </row>
    <row r="19" spans="1:23">
      <c r="A19" s="6" t="s">
        <v>23</v>
      </c>
      <c r="B19" s="11">
        <v>0</v>
      </c>
      <c r="C19" s="11">
        <v>1</v>
      </c>
      <c r="D19" s="11">
        <v>2</v>
      </c>
      <c r="E19" s="10">
        <v>6</v>
      </c>
      <c r="F19" s="10">
        <v>6</v>
      </c>
      <c r="G19" s="10">
        <v>7</v>
      </c>
      <c r="H19" s="10">
        <v>18</v>
      </c>
      <c r="I19" s="10">
        <v>14</v>
      </c>
      <c r="N19" s="15" t="s">
        <v>296</v>
      </c>
      <c r="O19" s="15" t="s">
        <v>52</v>
      </c>
      <c r="P19" s="15" t="s">
        <v>52</v>
      </c>
      <c r="Q19" s="16">
        <v>10602</v>
      </c>
      <c r="R19">
        <v>0</v>
      </c>
      <c r="S19">
        <v>2</v>
      </c>
      <c r="T19">
        <v>2</v>
      </c>
      <c r="U19">
        <v>1</v>
      </c>
      <c r="V19">
        <v>0</v>
      </c>
      <c r="W19">
        <v>1</v>
      </c>
    </row>
    <row r="20" spans="1:23">
      <c r="A20" s="6" t="s">
        <v>24</v>
      </c>
      <c r="B20" s="11">
        <v>0</v>
      </c>
      <c r="C20" s="11">
        <v>1</v>
      </c>
      <c r="D20" s="11">
        <v>0</v>
      </c>
      <c r="E20" s="10">
        <v>0</v>
      </c>
      <c r="F20" s="10">
        <v>2</v>
      </c>
      <c r="G20" s="10">
        <v>1</v>
      </c>
      <c r="H20" s="10">
        <v>3</v>
      </c>
      <c r="I20" s="10">
        <v>3</v>
      </c>
      <c r="N20" s="15" t="s">
        <v>296</v>
      </c>
      <c r="O20" s="15" t="s">
        <v>433</v>
      </c>
      <c r="P20" s="15" t="s">
        <v>27</v>
      </c>
      <c r="Q20" s="16">
        <v>10701</v>
      </c>
      <c r="R20">
        <v>1</v>
      </c>
      <c r="S20">
        <v>7</v>
      </c>
      <c r="T20">
        <v>1</v>
      </c>
      <c r="U20">
        <v>0</v>
      </c>
      <c r="V20">
        <v>2</v>
      </c>
      <c r="W20">
        <v>1</v>
      </c>
    </row>
    <row r="21" spans="1:23">
      <c r="A21" s="6" t="s">
        <v>25</v>
      </c>
      <c r="B21" s="11">
        <v>11</v>
      </c>
      <c r="C21" s="11">
        <v>27</v>
      </c>
      <c r="D21" s="11">
        <v>31</v>
      </c>
      <c r="E21" s="10">
        <v>43</v>
      </c>
      <c r="F21" s="10">
        <v>69</v>
      </c>
      <c r="G21" s="10">
        <v>88</v>
      </c>
      <c r="H21" s="10">
        <v>95</v>
      </c>
      <c r="I21" s="10">
        <v>83</v>
      </c>
      <c r="N21" s="15" t="s">
        <v>296</v>
      </c>
      <c r="O21" s="15" t="s">
        <v>433</v>
      </c>
      <c r="P21" s="15" t="s">
        <v>40</v>
      </c>
      <c r="Q21" s="16">
        <v>10702</v>
      </c>
      <c r="R21">
        <v>0</v>
      </c>
      <c r="S21">
        <v>0</v>
      </c>
      <c r="T21">
        <v>0</v>
      </c>
      <c r="U21">
        <v>2</v>
      </c>
      <c r="V21">
        <v>7</v>
      </c>
      <c r="W21">
        <v>9</v>
      </c>
    </row>
    <row r="22" spans="1:23">
      <c r="A22" s="4" t="s">
        <v>26</v>
      </c>
      <c r="B22" s="5">
        <v>14</v>
      </c>
      <c r="C22" s="5">
        <v>47</v>
      </c>
      <c r="D22" s="5">
        <v>47</v>
      </c>
      <c r="E22" s="5">
        <v>64</v>
      </c>
      <c r="F22" s="5">
        <v>74</v>
      </c>
      <c r="G22" s="5">
        <v>106</v>
      </c>
      <c r="H22" s="5">
        <v>107</v>
      </c>
      <c r="I22" s="5">
        <v>113</v>
      </c>
      <c r="N22" s="15" t="s">
        <v>296</v>
      </c>
      <c r="O22" s="15" t="s">
        <v>433</v>
      </c>
      <c r="P22" s="15" t="s">
        <v>32</v>
      </c>
      <c r="Q22" s="16">
        <v>10703</v>
      </c>
      <c r="R22">
        <v>0</v>
      </c>
      <c r="S22">
        <v>0</v>
      </c>
      <c r="T22">
        <v>0</v>
      </c>
      <c r="U22">
        <v>0</v>
      </c>
      <c r="V22">
        <v>6</v>
      </c>
      <c r="W22">
        <v>4</v>
      </c>
    </row>
    <row r="23" spans="1:23">
      <c r="A23" s="6" t="s">
        <v>27</v>
      </c>
      <c r="B23" s="11">
        <v>1</v>
      </c>
      <c r="C23" s="11">
        <v>7</v>
      </c>
      <c r="D23" s="11">
        <v>1</v>
      </c>
      <c r="E23" s="10">
        <v>3</v>
      </c>
      <c r="F23" s="10">
        <v>1</v>
      </c>
      <c r="G23" s="10">
        <v>0</v>
      </c>
      <c r="H23" s="10">
        <v>2</v>
      </c>
      <c r="I23" s="10">
        <v>1</v>
      </c>
      <c r="N23" s="15" t="s">
        <v>296</v>
      </c>
      <c r="O23" s="15" t="s">
        <v>433</v>
      </c>
      <c r="P23" s="15" t="s">
        <v>401</v>
      </c>
      <c r="Q23" s="16">
        <v>10704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s="6" t="s">
        <v>28</v>
      </c>
      <c r="B24" s="11">
        <v>0</v>
      </c>
      <c r="C24" s="11">
        <v>0</v>
      </c>
      <c r="D24" s="11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N24" s="15" t="s">
        <v>296</v>
      </c>
      <c r="O24" s="15" t="s">
        <v>434</v>
      </c>
      <c r="P24" s="15" t="s">
        <v>49</v>
      </c>
      <c r="Q24" s="16">
        <v>10801</v>
      </c>
      <c r="R24">
        <v>0</v>
      </c>
      <c r="S24">
        <v>1</v>
      </c>
      <c r="T24">
        <v>0</v>
      </c>
      <c r="U24">
        <v>1</v>
      </c>
      <c r="V24">
        <v>2</v>
      </c>
      <c r="W24">
        <v>1</v>
      </c>
    </row>
    <row r="25" spans="1:23">
      <c r="A25" s="6" t="s">
        <v>29</v>
      </c>
      <c r="B25" s="11">
        <v>0</v>
      </c>
      <c r="C25" s="11">
        <v>0</v>
      </c>
      <c r="D25" s="11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N25" s="15" t="s">
        <v>296</v>
      </c>
      <c r="O25" s="15" t="s">
        <v>435</v>
      </c>
      <c r="P25" s="15" t="s">
        <v>334</v>
      </c>
      <c r="Q25" s="16">
        <v>10901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s="6" t="s">
        <v>30</v>
      </c>
      <c r="B26" s="11">
        <v>0</v>
      </c>
      <c r="C26" s="11">
        <v>0</v>
      </c>
      <c r="D26" s="11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N26" s="15" t="s">
        <v>296</v>
      </c>
      <c r="O26" s="15" t="s">
        <v>435</v>
      </c>
      <c r="P26" s="15" t="s">
        <v>29</v>
      </c>
      <c r="Q26" s="16">
        <v>10902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s="6" t="s">
        <v>31</v>
      </c>
      <c r="B27" s="11">
        <v>0</v>
      </c>
      <c r="C27" s="11">
        <v>1</v>
      </c>
      <c r="D27" s="11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N27" s="15" t="s">
        <v>296</v>
      </c>
      <c r="O27" s="15" t="s">
        <v>435</v>
      </c>
      <c r="P27" s="15" t="s">
        <v>33</v>
      </c>
      <c r="Q27" s="16">
        <v>10903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1:23">
      <c r="A28" s="6" t="s">
        <v>32</v>
      </c>
      <c r="B28" s="11">
        <v>0</v>
      </c>
      <c r="C28" s="11">
        <v>0</v>
      </c>
      <c r="D28" s="11">
        <v>0</v>
      </c>
      <c r="E28" s="10">
        <v>2</v>
      </c>
      <c r="F28" s="10">
        <v>0</v>
      </c>
      <c r="G28" s="10">
        <v>0</v>
      </c>
      <c r="H28" s="10">
        <v>6</v>
      </c>
      <c r="I28" s="10">
        <v>4</v>
      </c>
      <c r="N28" s="15" t="s">
        <v>296</v>
      </c>
      <c r="O28" s="15" t="s">
        <v>436</v>
      </c>
      <c r="P28" s="15" t="s">
        <v>379</v>
      </c>
      <c r="Q28" s="16">
        <v>11001</v>
      </c>
      <c r="R28">
        <v>0</v>
      </c>
      <c r="S28">
        <v>0</v>
      </c>
      <c r="T28">
        <v>1</v>
      </c>
      <c r="U28">
        <v>1</v>
      </c>
      <c r="V28">
        <v>1</v>
      </c>
      <c r="W28">
        <v>2</v>
      </c>
    </row>
    <row r="29" spans="1:23">
      <c r="A29" s="6" t="s">
        <v>33</v>
      </c>
      <c r="B29" s="11">
        <v>0</v>
      </c>
      <c r="C29" s="11">
        <v>0</v>
      </c>
      <c r="D29" s="11">
        <v>0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N29" s="15" t="s">
        <v>296</v>
      </c>
      <c r="O29" s="15" t="s">
        <v>436</v>
      </c>
      <c r="P29" s="15" t="s">
        <v>437</v>
      </c>
      <c r="Q29" s="16">
        <v>11002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s="6" t="s">
        <v>34</v>
      </c>
      <c r="B30" s="11">
        <v>0</v>
      </c>
      <c r="C30" s="11">
        <v>1</v>
      </c>
      <c r="D30" s="11">
        <v>0</v>
      </c>
      <c r="E30" s="10">
        <v>1</v>
      </c>
      <c r="F30" s="10">
        <v>0</v>
      </c>
      <c r="G30" s="10">
        <v>1</v>
      </c>
      <c r="H30" s="10">
        <v>1</v>
      </c>
      <c r="I30" s="10">
        <v>0</v>
      </c>
      <c r="N30" s="15" t="s">
        <v>296</v>
      </c>
      <c r="O30" s="15" t="s">
        <v>436</v>
      </c>
      <c r="P30" s="15" t="s">
        <v>34</v>
      </c>
      <c r="Q30" s="16">
        <v>11003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</row>
    <row r="31" spans="1:23">
      <c r="A31" s="6" t="s">
        <v>35</v>
      </c>
      <c r="B31" s="11">
        <v>0</v>
      </c>
      <c r="C31" s="11">
        <v>1</v>
      </c>
      <c r="D31" s="11">
        <v>0</v>
      </c>
      <c r="E31" s="10">
        <v>1</v>
      </c>
      <c r="F31" s="10">
        <v>1</v>
      </c>
      <c r="G31" s="10">
        <v>0</v>
      </c>
      <c r="H31" s="10">
        <v>0</v>
      </c>
      <c r="I31" s="10">
        <v>0</v>
      </c>
      <c r="N31" s="15" t="s">
        <v>133</v>
      </c>
      <c r="O31" s="15" t="s">
        <v>439</v>
      </c>
      <c r="P31" s="15" t="s">
        <v>353</v>
      </c>
      <c r="Q31" s="16">
        <v>20101</v>
      </c>
      <c r="R31">
        <v>139</v>
      </c>
      <c r="S31">
        <v>157</v>
      </c>
      <c r="T31">
        <v>182</v>
      </c>
      <c r="U31">
        <v>299</v>
      </c>
      <c r="V31">
        <v>298</v>
      </c>
      <c r="W31">
        <v>298</v>
      </c>
    </row>
    <row r="32" spans="1:23">
      <c r="A32" s="6" t="s">
        <v>36</v>
      </c>
      <c r="B32" s="11">
        <v>0</v>
      </c>
      <c r="C32" s="11">
        <v>0</v>
      </c>
      <c r="D32" s="11">
        <v>0</v>
      </c>
      <c r="E32" s="10">
        <v>0</v>
      </c>
      <c r="F32" s="10">
        <v>2</v>
      </c>
      <c r="G32" s="10">
        <v>4</v>
      </c>
      <c r="H32" s="10">
        <v>3</v>
      </c>
      <c r="I32" s="10">
        <v>1</v>
      </c>
      <c r="N32" s="15" t="s">
        <v>133</v>
      </c>
      <c r="O32" s="15" t="s">
        <v>439</v>
      </c>
      <c r="P32" s="15" t="s">
        <v>140</v>
      </c>
      <c r="Q32" s="16">
        <v>20102</v>
      </c>
      <c r="R32">
        <v>0</v>
      </c>
      <c r="S32">
        <v>0</v>
      </c>
      <c r="T32">
        <v>0</v>
      </c>
      <c r="U32">
        <v>1</v>
      </c>
      <c r="V32">
        <v>5</v>
      </c>
      <c r="W32">
        <v>5</v>
      </c>
    </row>
    <row r="33" spans="1:23">
      <c r="A33" s="6" t="s">
        <v>37</v>
      </c>
      <c r="B33" s="11">
        <v>0</v>
      </c>
      <c r="C33" s="11">
        <v>0</v>
      </c>
      <c r="D33" s="11">
        <v>0</v>
      </c>
      <c r="E33" s="10">
        <v>0</v>
      </c>
      <c r="F33" s="10">
        <v>1</v>
      </c>
      <c r="G33" s="10">
        <v>0</v>
      </c>
      <c r="H33" s="10">
        <v>0</v>
      </c>
      <c r="I33" s="10">
        <v>1</v>
      </c>
      <c r="N33" s="15" t="s">
        <v>133</v>
      </c>
      <c r="O33" s="15" t="s">
        <v>439</v>
      </c>
      <c r="P33" s="15" t="s">
        <v>137</v>
      </c>
      <c r="Q33" s="16">
        <v>20103</v>
      </c>
      <c r="R33">
        <v>0</v>
      </c>
      <c r="S33">
        <v>0</v>
      </c>
      <c r="T33">
        <v>0</v>
      </c>
      <c r="U33">
        <v>1</v>
      </c>
      <c r="V33">
        <v>4</v>
      </c>
      <c r="W33">
        <v>0</v>
      </c>
    </row>
    <row r="34" spans="1:23">
      <c r="A34" s="6" t="s">
        <v>38</v>
      </c>
      <c r="B34" s="11">
        <v>0</v>
      </c>
      <c r="C34" s="11">
        <v>0</v>
      </c>
      <c r="D34" s="11">
        <v>0</v>
      </c>
      <c r="E34" s="10">
        <v>1</v>
      </c>
      <c r="F34" s="10">
        <v>1</v>
      </c>
      <c r="G34" s="10">
        <v>3</v>
      </c>
      <c r="H34" s="10">
        <v>1</v>
      </c>
      <c r="I34" s="10">
        <v>3</v>
      </c>
      <c r="N34" s="15" t="s">
        <v>133</v>
      </c>
      <c r="O34" s="15" t="s">
        <v>439</v>
      </c>
      <c r="P34" s="15" t="s">
        <v>99</v>
      </c>
      <c r="Q34" s="16">
        <v>20104</v>
      </c>
      <c r="R34">
        <v>0</v>
      </c>
      <c r="S34">
        <v>0</v>
      </c>
      <c r="T34">
        <v>0</v>
      </c>
      <c r="U34">
        <v>4</v>
      </c>
      <c r="V34">
        <v>1</v>
      </c>
      <c r="W34">
        <v>8</v>
      </c>
    </row>
    <row r="35" spans="1:23">
      <c r="A35" s="6" t="s">
        <v>39</v>
      </c>
      <c r="B35" s="11">
        <v>0</v>
      </c>
      <c r="C35" s="11">
        <v>0</v>
      </c>
      <c r="D35" s="11">
        <v>0</v>
      </c>
      <c r="E35" s="10">
        <v>0</v>
      </c>
      <c r="F35" s="10">
        <v>2</v>
      </c>
      <c r="G35" s="10">
        <v>2</v>
      </c>
      <c r="H35" s="10">
        <v>2</v>
      </c>
      <c r="I35" s="10">
        <v>1</v>
      </c>
      <c r="N35" s="15" t="s">
        <v>133</v>
      </c>
      <c r="O35" s="15" t="s">
        <v>439</v>
      </c>
      <c r="P35" s="15" t="s">
        <v>124</v>
      </c>
      <c r="Q35" s="16">
        <v>20105</v>
      </c>
      <c r="R35">
        <v>77</v>
      </c>
      <c r="S35">
        <v>115</v>
      </c>
      <c r="T35">
        <v>153</v>
      </c>
      <c r="U35">
        <v>391</v>
      </c>
      <c r="V35">
        <v>391</v>
      </c>
      <c r="W35">
        <v>388</v>
      </c>
    </row>
    <row r="36" spans="1:23">
      <c r="A36" s="6" t="s">
        <v>40</v>
      </c>
      <c r="B36" s="11">
        <v>0</v>
      </c>
      <c r="C36" s="11">
        <v>0</v>
      </c>
      <c r="D36" s="11">
        <v>0</v>
      </c>
      <c r="E36" s="10">
        <v>5</v>
      </c>
      <c r="F36" s="10">
        <v>1</v>
      </c>
      <c r="G36" s="10">
        <v>2</v>
      </c>
      <c r="H36" s="10">
        <v>7</v>
      </c>
      <c r="I36" s="10">
        <v>9</v>
      </c>
      <c r="N36" s="15" t="s">
        <v>133</v>
      </c>
      <c r="O36" s="15" t="s">
        <v>440</v>
      </c>
      <c r="P36" s="15" t="s">
        <v>98</v>
      </c>
      <c r="Q36" s="16">
        <v>20201</v>
      </c>
      <c r="R36">
        <v>13</v>
      </c>
      <c r="S36">
        <v>12</v>
      </c>
      <c r="T36">
        <v>41</v>
      </c>
      <c r="U36">
        <v>8</v>
      </c>
      <c r="V36">
        <v>6</v>
      </c>
      <c r="W36">
        <v>8</v>
      </c>
    </row>
    <row r="37" spans="1:23">
      <c r="A37" s="6" t="s">
        <v>41</v>
      </c>
      <c r="B37" s="11">
        <v>0</v>
      </c>
      <c r="C37" s="11">
        <v>3</v>
      </c>
      <c r="D37" s="11">
        <v>6</v>
      </c>
      <c r="E37" s="10">
        <v>1</v>
      </c>
      <c r="F37" s="10">
        <v>2</v>
      </c>
      <c r="G37" s="10">
        <v>0</v>
      </c>
      <c r="H37" s="10">
        <v>1</v>
      </c>
      <c r="I37" s="10">
        <v>0</v>
      </c>
      <c r="N37" s="15" t="s">
        <v>133</v>
      </c>
      <c r="O37" s="15" t="s">
        <v>440</v>
      </c>
      <c r="P37" s="15" t="s">
        <v>100</v>
      </c>
      <c r="Q37" s="16">
        <v>20202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</row>
    <row r="38" spans="1:23">
      <c r="A38" s="6" t="s">
        <v>42</v>
      </c>
      <c r="B38" s="11">
        <v>11</v>
      </c>
      <c r="C38" s="11">
        <v>28</v>
      </c>
      <c r="D38" s="11">
        <v>29</v>
      </c>
      <c r="E38" s="10">
        <v>41</v>
      </c>
      <c r="F38" s="10">
        <v>54</v>
      </c>
      <c r="G38" s="10">
        <v>78</v>
      </c>
      <c r="H38" s="10">
        <v>72</v>
      </c>
      <c r="I38" s="10">
        <v>76</v>
      </c>
      <c r="N38" s="15" t="s">
        <v>133</v>
      </c>
      <c r="O38" s="15" t="s">
        <v>440</v>
      </c>
      <c r="P38" s="15" t="s">
        <v>377</v>
      </c>
      <c r="Q38" s="16">
        <v>20203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s="6" t="s">
        <v>43</v>
      </c>
      <c r="B39" s="11">
        <v>1</v>
      </c>
      <c r="C39" s="11">
        <v>2</v>
      </c>
      <c r="D39" s="11">
        <v>3</v>
      </c>
      <c r="E39" s="10">
        <v>1</v>
      </c>
      <c r="F39" s="10">
        <v>1</v>
      </c>
      <c r="G39" s="10">
        <v>4</v>
      </c>
      <c r="H39" s="10">
        <v>3</v>
      </c>
      <c r="I39" s="10">
        <v>2</v>
      </c>
      <c r="N39" s="15" t="s">
        <v>133</v>
      </c>
      <c r="O39" s="15" t="s">
        <v>440</v>
      </c>
      <c r="P39" s="15" t="s">
        <v>376</v>
      </c>
      <c r="Q39" s="16">
        <v>20204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s="6" t="s">
        <v>44</v>
      </c>
      <c r="B40" s="11">
        <v>0</v>
      </c>
      <c r="C40" s="11">
        <v>0</v>
      </c>
      <c r="D40" s="11">
        <v>2</v>
      </c>
      <c r="E40" s="10">
        <v>1</v>
      </c>
      <c r="F40" s="10">
        <v>1</v>
      </c>
      <c r="G40" s="10">
        <v>5</v>
      </c>
      <c r="H40" s="10">
        <v>1</v>
      </c>
      <c r="I40" s="10">
        <v>1</v>
      </c>
      <c r="N40" s="15" t="s">
        <v>133</v>
      </c>
      <c r="O40" s="15" t="s">
        <v>440</v>
      </c>
      <c r="P40" s="15" t="s">
        <v>372</v>
      </c>
      <c r="Q40" s="16">
        <v>20205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s="6" t="s">
        <v>45</v>
      </c>
      <c r="B41" s="11">
        <v>1</v>
      </c>
      <c r="C41" s="11">
        <v>0</v>
      </c>
      <c r="D41" s="11">
        <v>0</v>
      </c>
      <c r="E41" s="10">
        <v>2</v>
      </c>
      <c r="F41" s="10">
        <v>1</v>
      </c>
      <c r="G41" s="10">
        <v>1</v>
      </c>
      <c r="H41" s="10">
        <v>2</v>
      </c>
      <c r="I41" s="10">
        <v>2</v>
      </c>
      <c r="N41" s="15" t="s">
        <v>133</v>
      </c>
      <c r="O41" s="15" t="s">
        <v>440</v>
      </c>
      <c r="P41" s="15" t="s">
        <v>350</v>
      </c>
      <c r="Q41" s="16">
        <v>20206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s="6" t="s">
        <v>46</v>
      </c>
      <c r="B42" s="11">
        <v>0</v>
      </c>
      <c r="C42" s="11">
        <v>0</v>
      </c>
      <c r="D42" s="11">
        <v>0</v>
      </c>
      <c r="E42" s="10">
        <v>0</v>
      </c>
      <c r="F42" s="10">
        <v>1</v>
      </c>
      <c r="G42" s="10">
        <v>1</v>
      </c>
      <c r="H42" s="10">
        <v>0</v>
      </c>
      <c r="I42" s="10">
        <v>0</v>
      </c>
      <c r="N42" s="15" t="s">
        <v>133</v>
      </c>
      <c r="O42" s="15" t="s">
        <v>441</v>
      </c>
      <c r="P42" s="15" t="s">
        <v>120</v>
      </c>
      <c r="Q42" s="16">
        <v>20301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</row>
    <row r="43" spans="1:23">
      <c r="A43" s="6" t="s">
        <v>47</v>
      </c>
      <c r="B43" s="11">
        <v>0</v>
      </c>
      <c r="C43" s="11">
        <v>0</v>
      </c>
      <c r="D43" s="11">
        <v>2</v>
      </c>
      <c r="E43" s="10">
        <v>0</v>
      </c>
      <c r="F43" s="10">
        <v>1</v>
      </c>
      <c r="G43" s="10">
        <v>1</v>
      </c>
      <c r="H43" s="10">
        <v>1</v>
      </c>
      <c r="I43" s="10">
        <v>4</v>
      </c>
      <c r="N43" s="15" t="s">
        <v>133</v>
      </c>
      <c r="O43" s="15" t="s">
        <v>441</v>
      </c>
      <c r="P43" s="15" t="s">
        <v>110</v>
      </c>
      <c r="Q43" s="16">
        <v>20302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s="6" t="s">
        <v>48</v>
      </c>
      <c r="B44" s="11">
        <v>0</v>
      </c>
      <c r="C44" s="11">
        <v>0</v>
      </c>
      <c r="D44" s="11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N44" s="15" t="s">
        <v>133</v>
      </c>
      <c r="O44" s="15" t="s">
        <v>441</v>
      </c>
      <c r="P44" s="15" t="s">
        <v>108</v>
      </c>
      <c r="Q44" s="16">
        <v>20303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</row>
    <row r="45" spans="1:23">
      <c r="A45" s="6" t="s">
        <v>49</v>
      </c>
      <c r="B45" s="11">
        <v>0</v>
      </c>
      <c r="C45" s="11">
        <v>1</v>
      </c>
      <c r="D45" s="11">
        <v>0</v>
      </c>
      <c r="E45" s="10">
        <v>0</v>
      </c>
      <c r="F45" s="10">
        <v>2</v>
      </c>
      <c r="G45" s="10">
        <v>1</v>
      </c>
      <c r="H45" s="10">
        <v>2</v>
      </c>
      <c r="I45" s="10">
        <v>1</v>
      </c>
      <c r="N45" s="15" t="s">
        <v>133</v>
      </c>
      <c r="O45" s="15" t="s">
        <v>441</v>
      </c>
      <c r="P45" s="15" t="s">
        <v>117</v>
      </c>
      <c r="Q45" s="16">
        <v>20304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</row>
    <row r="46" spans="1:23">
      <c r="A46" s="6" t="s">
        <v>50</v>
      </c>
      <c r="B46" s="11">
        <v>0</v>
      </c>
      <c r="C46" s="11">
        <v>0</v>
      </c>
      <c r="D46" s="11">
        <v>1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N46" s="15" t="s">
        <v>133</v>
      </c>
      <c r="O46" s="15" t="s">
        <v>441</v>
      </c>
      <c r="P46" s="15" t="s">
        <v>403</v>
      </c>
      <c r="Q46" s="16">
        <v>20305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s="6" t="s">
        <v>51</v>
      </c>
      <c r="B47" s="11">
        <v>0</v>
      </c>
      <c r="C47" s="11">
        <v>1</v>
      </c>
      <c r="D47" s="11">
        <v>1</v>
      </c>
      <c r="E47" s="10">
        <v>1</v>
      </c>
      <c r="F47" s="10">
        <v>1</v>
      </c>
      <c r="G47" s="10">
        <v>1</v>
      </c>
      <c r="H47" s="10">
        <v>2</v>
      </c>
      <c r="I47" s="10">
        <v>1</v>
      </c>
      <c r="N47" s="15" t="s">
        <v>133</v>
      </c>
      <c r="O47" s="15" t="s">
        <v>441</v>
      </c>
      <c r="P47" s="15" t="s">
        <v>442</v>
      </c>
      <c r="Q47" s="16">
        <v>20306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s="6" t="s">
        <v>52</v>
      </c>
      <c r="B48" s="11">
        <v>0</v>
      </c>
      <c r="C48" s="11">
        <v>2</v>
      </c>
      <c r="D48" s="11">
        <v>2</v>
      </c>
      <c r="E48" s="10">
        <v>0</v>
      </c>
      <c r="F48" s="10">
        <v>0</v>
      </c>
      <c r="G48" s="10">
        <v>1</v>
      </c>
      <c r="H48" s="10">
        <v>0</v>
      </c>
      <c r="I48" s="10">
        <v>1</v>
      </c>
      <c r="N48" s="15" t="s">
        <v>133</v>
      </c>
      <c r="O48" s="15" t="s">
        <v>441</v>
      </c>
      <c r="P48" s="15" t="s">
        <v>139</v>
      </c>
      <c r="Q48" s="16">
        <v>20307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</row>
    <row r="49" spans="1:23">
      <c r="A49" s="6" t="s">
        <v>53</v>
      </c>
      <c r="B49" s="11">
        <v>0</v>
      </c>
      <c r="C49" s="11">
        <v>0</v>
      </c>
      <c r="D49" s="11">
        <v>0</v>
      </c>
      <c r="E49" s="10">
        <v>3</v>
      </c>
      <c r="F49" s="10">
        <v>1</v>
      </c>
      <c r="G49" s="10">
        <v>0</v>
      </c>
      <c r="H49" s="10">
        <v>0</v>
      </c>
      <c r="I49" s="10">
        <v>2</v>
      </c>
      <c r="N49" s="15" t="s">
        <v>133</v>
      </c>
      <c r="O49" s="15" t="s">
        <v>441</v>
      </c>
      <c r="P49" s="15" t="s">
        <v>153</v>
      </c>
      <c r="Q49" s="16">
        <v>20308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</row>
    <row r="50" spans="1:23">
      <c r="A50" s="4" t="s">
        <v>54</v>
      </c>
      <c r="B50" s="5">
        <v>279</v>
      </c>
      <c r="C50" s="5">
        <v>303</v>
      </c>
      <c r="D50" s="5">
        <v>364</v>
      </c>
      <c r="E50" s="5">
        <v>454</v>
      </c>
      <c r="F50" s="5">
        <v>589</v>
      </c>
      <c r="G50" s="5">
        <v>620</v>
      </c>
      <c r="H50" s="5">
        <v>698</v>
      </c>
      <c r="I50" s="5">
        <v>651</v>
      </c>
      <c r="N50" s="15" t="s">
        <v>133</v>
      </c>
      <c r="O50" s="15" t="s">
        <v>443</v>
      </c>
      <c r="P50" s="15" t="s">
        <v>146</v>
      </c>
      <c r="Q50" s="16">
        <v>20401</v>
      </c>
      <c r="R50">
        <v>0</v>
      </c>
      <c r="S50">
        <v>0</v>
      </c>
      <c r="T50">
        <v>0</v>
      </c>
      <c r="U50">
        <v>4</v>
      </c>
      <c r="V50">
        <v>0</v>
      </c>
      <c r="W50">
        <v>1</v>
      </c>
    </row>
    <row r="51" spans="1:23">
      <c r="A51" s="6" t="s">
        <v>55</v>
      </c>
      <c r="B51" s="11">
        <v>10</v>
      </c>
      <c r="C51" s="11">
        <v>19</v>
      </c>
      <c r="D51" s="11">
        <v>10</v>
      </c>
      <c r="E51" s="1">
        <v>3</v>
      </c>
      <c r="F51" s="1">
        <v>8</v>
      </c>
      <c r="G51" s="1">
        <v>7</v>
      </c>
      <c r="H51" s="1">
        <v>5</v>
      </c>
      <c r="I51" s="1">
        <v>2</v>
      </c>
      <c r="N51" s="15" t="s">
        <v>133</v>
      </c>
      <c r="O51" s="15" t="s">
        <v>443</v>
      </c>
      <c r="P51" s="15" t="s">
        <v>138</v>
      </c>
      <c r="Q51" s="16">
        <v>20402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</row>
    <row r="52" spans="1:23">
      <c r="A52" s="6" t="s">
        <v>56</v>
      </c>
      <c r="B52" s="11">
        <v>0</v>
      </c>
      <c r="C52" s="11">
        <v>0</v>
      </c>
      <c r="D52" s="1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N52" s="15" t="s">
        <v>133</v>
      </c>
      <c r="O52" s="15" t="s">
        <v>443</v>
      </c>
      <c r="P52" s="15" t="s">
        <v>317</v>
      </c>
      <c r="Q52" s="16">
        <v>20403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</row>
    <row r="53" spans="1:23">
      <c r="A53" s="6" t="s">
        <v>57</v>
      </c>
      <c r="B53" s="11">
        <v>1</v>
      </c>
      <c r="C53" s="11">
        <v>0</v>
      </c>
      <c r="D53" s="11">
        <v>0</v>
      </c>
      <c r="E53" s="1">
        <v>1</v>
      </c>
      <c r="F53" s="1">
        <v>0</v>
      </c>
      <c r="G53" s="1">
        <v>0</v>
      </c>
      <c r="H53" s="1">
        <v>1</v>
      </c>
      <c r="I53" s="1">
        <v>0</v>
      </c>
      <c r="N53" s="15" t="s">
        <v>133</v>
      </c>
      <c r="O53" s="15" t="s">
        <v>443</v>
      </c>
      <c r="P53" s="15" t="s">
        <v>378</v>
      </c>
      <c r="Q53" s="16">
        <v>20404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s="6" t="s">
        <v>58</v>
      </c>
      <c r="B54" s="11">
        <v>0</v>
      </c>
      <c r="C54" s="11">
        <v>0</v>
      </c>
      <c r="D54" s="11">
        <v>0</v>
      </c>
      <c r="E54" s="1">
        <v>0</v>
      </c>
      <c r="F54" s="1">
        <v>1</v>
      </c>
      <c r="G54" s="1">
        <v>2</v>
      </c>
      <c r="H54" s="1">
        <v>0</v>
      </c>
      <c r="I54" s="1">
        <v>1</v>
      </c>
      <c r="N54" s="15" t="s">
        <v>133</v>
      </c>
      <c r="O54" s="15" t="s">
        <v>443</v>
      </c>
      <c r="P54" s="15" t="s">
        <v>402</v>
      </c>
      <c r="Q54" s="16">
        <v>20405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s="6" t="s">
        <v>59</v>
      </c>
      <c r="B55" s="11">
        <v>0</v>
      </c>
      <c r="C55" s="11">
        <v>0</v>
      </c>
      <c r="D55" s="11">
        <v>0</v>
      </c>
      <c r="E55" s="1">
        <v>0</v>
      </c>
      <c r="F55" s="1">
        <v>0</v>
      </c>
      <c r="G55" s="1">
        <v>4</v>
      </c>
      <c r="H55" s="1">
        <v>1</v>
      </c>
      <c r="I55" s="1">
        <v>0</v>
      </c>
      <c r="N55" s="15" t="s">
        <v>133</v>
      </c>
      <c r="O55" s="15" t="s">
        <v>445</v>
      </c>
      <c r="P55" s="15" t="s">
        <v>113</v>
      </c>
      <c r="Q55" s="16">
        <v>20501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</row>
    <row r="56" spans="1:23">
      <c r="A56" s="6" t="s">
        <v>60</v>
      </c>
      <c r="B56" s="11">
        <v>0</v>
      </c>
      <c r="C56" s="11">
        <v>0</v>
      </c>
      <c r="D56" s="11">
        <v>0</v>
      </c>
      <c r="E56" s="1">
        <v>0</v>
      </c>
      <c r="F56" s="1">
        <v>1</v>
      </c>
      <c r="G56" s="1">
        <v>2</v>
      </c>
      <c r="H56" s="1">
        <v>2</v>
      </c>
      <c r="I56" s="1">
        <v>1</v>
      </c>
      <c r="N56" s="15" t="s">
        <v>133</v>
      </c>
      <c r="O56" s="15" t="s">
        <v>445</v>
      </c>
      <c r="P56" s="15" t="s">
        <v>103</v>
      </c>
      <c r="Q56" s="16">
        <v>20502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</row>
    <row r="57" spans="1:23">
      <c r="A57" s="6" t="s">
        <v>61</v>
      </c>
      <c r="B57" s="11">
        <v>0</v>
      </c>
      <c r="C57" s="11">
        <v>0</v>
      </c>
      <c r="D57" s="11">
        <v>0</v>
      </c>
      <c r="E57" s="1">
        <v>1</v>
      </c>
      <c r="F57" s="1">
        <v>2</v>
      </c>
      <c r="G57" s="1">
        <v>2</v>
      </c>
      <c r="H57" s="1">
        <v>1</v>
      </c>
      <c r="I57" s="1">
        <v>4</v>
      </c>
      <c r="N57" s="15" t="s">
        <v>133</v>
      </c>
      <c r="O57" s="15" t="s">
        <v>445</v>
      </c>
      <c r="P57" s="15" t="s">
        <v>102</v>
      </c>
      <c r="Q57" s="16">
        <v>20503</v>
      </c>
      <c r="R57">
        <v>0</v>
      </c>
      <c r="S57">
        <v>1</v>
      </c>
      <c r="T57">
        <v>0</v>
      </c>
      <c r="U57">
        <v>0</v>
      </c>
      <c r="V57">
        <v>0</v>
      </c>
      <c r="W57">
        <v>2</v>
      </c>
    </row>
    <row r="58" spans="1:23">
      <c r="A58" s="6" t="s">
        <v>292</v>
      </c>
      <c r="B58" s="11">
        <v>0</v>
      </c>
      <c r="C58" s="11">
        <v>0</v>
      </c>
      <c r="D58" s="11">
        <v>0</v>
      </c>
      <c r="E58" s="1">
        <v>1</v>
      </c>
      <c r="F58" s="1">
        <v>0</v>
      </c>
      <c r="G58" s="1">
        <v>0</v>
      </c>
      <c r="H58" s="1">
        <v>0</v>
      </c>
      <c r="I58" s="1">
        <v>1</v>
      </c>
      <c r="N58" s="15" t="s">
        <v>133</v>
      </c>
      <c r="O58" s="15" t="s">
        <v>446</v>
      </c>
      <c r="P58" s="15" t="s">
        <v>157</v>
      </c>
      <c r="Q58" s="16">
        <v>20601</v>
      </c>
      <c r="R58">
        <v>0</v>
      </c>
      <c r="S58">
        <v>0</v>
      </c>
      <c r="T58">
        <v>0</v>
      </c>
      <c r="U58">
        <v>1</v>
      </c>
      <c r="V58">
        <v>4</v>
      </c>
      <c r="W58">
        <v>2</v>
      </c>
    </row>
    <row r="59" spans="1:23">
      <c r="A59" s="6" t="s">
        <v>62</v>
      </c>
      <c r="B59" s="11">
        <v>0</v>
      </c>
      <c r="C59" s="11">
        <v>2</v>
      </c>
      <c r="D59" s="11">
        <v>1</v>
      </c>
      <c r="E59" s="1">
        <v>1</v>
      </c>
      <c r="F59" s="1">
        <v>2</v>
      </c>
      <c r="G59" s="1">
        <v>0</v>
      </c>
      <c r="H59" s="1">
        <v>0</v>
      </c>
      <c r="I59" s="1">
        <v>3</v>
      </c>
      <c r="N59" s="15" t="s">
        <v>133</v>
      </c>
      <c r="O59" s="15" t="s">
        <v>446</v>
      </c>
      <c r="P59" s="15" t="s">
        <v>125</v>
      </c>
      <c r="Q59" s="16">
        <v>20602</v>
      </c>
      <c r="R59">
        <v>1</v>
      </c>
      <c r="S59">
        <v>3</v>
      </c>
      <c r="T59">
        <v>1</v>
      </c>
      <c r="U59">
        <v>8</v>
      </c>
      <c r="V59">
        <v>9</v>
      </c>
      <c r="W59">
        <v>10</v>
      </c>
    </row>
    <row r="60" spans="1:23">
      <c r="A60" s="6" t="s">
        <v>63</v>
      </c>
      <c r="B60" s="11">
        <v>7</v>
      </c>
      <c r="C60" s="11">
        <v>2</v>
      </c>
      <c r="D60" s="11">
        <v>2</v>
      </c>
      <c r="E60" s="1">
        <v>2</v>
      </c>
      <c r="F60" s="1">
        <v>12</v>
      </c>
      <c r="G60" s="1">
        <v>20</v>
      </c>
      <c r="H60" s="1">
        <v>9</v>
      </c>
      <c r="I60" s="1">
        <v>18</v>
      </c>
      <c r="N60" s="15" t="s">
        <v>133</v>
      </c>
      <c r="O60" s="15" t="s">
        <v>446</v>
      </c>
      <c r="P60" s="15" t="s">
        <v>158</v>
      </c>
      <c r="Q60" s="16">
        <v>20603</v>
      </c>
      <c r="R60">
        <v>0</v>
      </c>
      <c r="S60">
        <v>0</v>
      </c>
      <c r="T60">
        <v>0</v>
      </c>
      <c r="U60">
        <v>2</v>
      </c>
      <c r="V60">
        <v>2</v>
      </c>
      <c r="W60">
        <v>3</v>
      </c>
    </row>
    <row r="61" spans="1:23">
      <c r="A61" s="6" t="s">
        <v>64</v>
      </c>
      <c r="B61" s="11">
        <v>1</v>
      </c>
      <c r="C61" s="11">
        <v>1</v>
      </c>
      <c r="D61" s="11">
        <v>3</v>
      </c>
      <c r="E61" s="1">
        <v>2</v>
      </c>
      <c r="F61" s="1">
        <v>4</v>
      </c>
      <c r="G61" s="1">
        <v>5</v>
      </c>
      <c r="H61" s="1">
        <v>5</v>
      </c>
      <c r="I61" s="1">
        <v>3</v>
      </c>
      <c r="N61" s="15" t="s">
        <v>133</v>
      </c>
      <c r="O61" s="15" t="s">
        <v>446</v>
      </c>
      <c r="P61" s="15" t="s">
        <v>149</v>
      </c>
      <c r="Q61" s="16">
        <v>20604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</row>
    <row r="62" spans="1:23">
      <c r="A62" s="6" t="s">
        <v>65</v>
      </c>
      <c r="B62" s="11">
        <v>196</v>
      </c>
      <c r="C62" s="11">
        <v>213</v>
      </c>
      <c r="D62" s="11">
        <v>286</v>
      </c>
      <c r="E62" s="1">
        <v>259</v>
      </c>
      <c r="F62" s="1">
        <v>290</v>
      </c>
      <c r="G62" s="1">
        <v>321</v>
      </c>
      <c r="H62" s="1">
        <v>350</v>
      </c>
      <c r="I62" s="1">
        <v>319</v>
      </c>
      <c r="N62" s="15" t="s">
        <v>133</v>
      </c>
      <c r="O62" s="15" t="s">
        <v>446</v>
      </c>
      <c r="P62" s="15" t="s">
        <v>338</v>
      </c>
      <c r="Q62" s="16">
        <v>20605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s="6" t="s">
        <v>66</v>
      </c>
      <c r="B63" s="11">
        <v>4</v>
      </c>
      <c r="C63" s="11">
        <v>6</v>
      </c>
      <c r="D63" s="11">
        <v>5</v>
      </c>
      <c r="E63" s="1">
        <v>21</v>
      </c>
      <c r="F63" s="1">
        <v>8</v>
      </c>
      <c r="G63" s="1">
        <v>12</v>
      </c>
      <c r="H63" s="1">
        <v>17</v>
      </c>
      <c r="I63" s="1">
        <v>20</v>
      </c>
      <c r="N63" s="15" t="s">
        <v>133</v>
      </c>
      <c r="O63" s="15" t="s">
        <v>446</v>
      </c>
      <c r="P63" s="15" t="s">
        <v>160</v>
      </c>
      <c r="Q63" s="16">
        <v>20606</v>
      </c>
      <c r="R63">
        <v>0</v>
      </c>
      <c r="S63">
        <v>1</v>
      </c>
      <c r="T63">
        <v>1</v>
      </c>
      <c r="U63">
        <v>4</v>
      </c>
      <c r="V63">
        <v>1</v>
      </c>
      <c r="W63">
        <v>2</v>
      </c>
    </row>
    <row r="64" spans="1:23">
      <c r="A64" s="6" t="s">
        <v>67</v>
      </c>
      <c r="B64" s="11">
        <v>0</v>
      </c>
      <c r="C64" s="11">
        <v>1</v>
      </c>
      <c r="D64" s="11">
        <v>0</v>
      </c>
      <c r="E64" s="1">
        <v>0</v>
      </c>
      <c r="F64" s="1">
        <v>0</v>
      </c>
      <c r="G64" s="1">
        <v>2</v>
      </c>
      <c r="H64" s="1">
        <v>5</v>
      </c>
      <c r="I64" s="1">
        <v>3</v>
      </c>
      <c r="N64" s="15" t="s">
        <v>133</v>
      </c>
      <c r="O64" s="15" t="s">
        <v>446</v>
      </c>
      <c r="P64" s="15" t="s">
        <v>355</v>
      </c>
      <c r="Q64" s="16">
        <v>20607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s="6" t="s">
        <v>68</v>
      </c>
      <c r="B65" s="11">
        <v>1</v>
      </c>
      <c r="C65" s="11">
        <v>1</v>
      </c>
      <c r="D65" s="11">
        <v>1</v>
      </c>
      <c r="E65" s="1">
        <v>5</v>
      </c>
      <c r="F65" s="1">
        <v>5</v>
      </c>
      <c r="G65" s="1">
        <v>6</v>
      </c>
      <c r="H65" s="1">
        <v>2</v>
      </c>
      <c r="I65" s="1">
        <v>1</v>
      </c>
      <c r="N65" s="15" t="s">
        <v>133</v>
      </c>
      <c r="O65" s="15" t="s">
        <v>446</v>
      </c>
      <c r="P65" s="15" t="s">
        <v>354</v>
      </c>
      <c r="Q65" s="16">
        <v>20608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s="6" t="s">
        <v>69</v>
      </c>
      <c r="B66" s="11">
        <v>0</v>
      </c>
      <c r="C66" s="11">
        <v>0</v>
      </c>
      <c r="D66" s="11">
        <v>0</v>
      </c>
      <c r="E66" s="1">
        <v>0</v>
      </c>
      <c r="F66" s="1">
        <v>0</v>
      </c>
      <c r="G66" s="1">
        <v>0</v>
      </c>
      <c r="H66" s="1">
        <v>1</v>
      </c>
      <c r="I66" s="1">
        <v>1</v>
      </c>
      <c r="N66" s="15" t="s">
        <v>133</v>
      </c>
      <c r="O66" s="15" t="s">
        <v>447</v>
      </c>
      <c r="P66" s="15" t="s">
        <v>101</v>
      </c>
      <c r="Q66" s="16">
        <v>20701</v>
      </c>
      <c r="R66">
        <v>0</v>
      </c>
      <c r="S66">
        <v>0</v>
      </c>
      <c r="T66">
        <v>0</v>
      </c>
      <c r="U66">
        <v>2</v>
      </c>
      <c r="V66">
        <v>4</v>
      </c>
      <c r="W66">
        <v>1</v>
      </c>
    </row>
    <row r="67" spans="1:23">
      <c r="A67" s="6" t="s">
        <v>70</v>
      </c>
      <c r="B67" s="11">
        <v>0</v>
      </c>
      <c r="C67" s="11">
        <v>0</v>
      </c>
      <c r="D67" s="11">
        <v>0</v>
      </c>
      <c r="E67" s="1">
        <v>0</v>
      </c>
      <c r="F67" s="1">
        <v>0</v>
      </c>
      <c r="G67" s="1">
        <v>0</v>
      </c>
      <c r="H67" s="1">
        <v>1</v>
      </c>
      <c r="I67" s="1">
        <v>1</v>
      </c>
      <c r="N67" s="15" t="s">
        <v>133</v>
      </c>
      <c r="O67" s="15" t="s">
        <v>447</v>
      </c>
      <c r="P67" s="15" t="s">
        <v>144</v>
      </c>
      <c r="Q67" s="16">
        <v>20702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</row>
    <row r="68" spans="1:23">
      <c r="A68" s="6" t="s">
        <v>71</v>
      </c>
      <c r="B68" s="11">
        <v>0</v>
      </c>
      <c r="C68" s="11">
        <v>0</v>
      </c>
      <c r="D68" s="11">
        <v>0</v>
      </c>
      <c r="E68" s="1">
        <v>0</v>
      </c>
      <c r="F68" s="1">
        <v>0</v>
      </c>
      <c r="G68" s="1">
        <v>0</v>
      </c>
      <c r="H68" s="1">
        <v>2</v>
      </c>
      <c r="I68" s="1">
        <v>1</v>
      </c>
      <c r="N68" s="15" t="s">
        <v>133</v>
      </c>
      <c r="O68" s="15" t="s">
        <v>367</v>
      </c>
      <c r="P68" s="15" t="s">
        <v>162</v>
      </c>
      <c r="Q68" s="16">
        <v>20801</v>
      </c>
      <c r="R68">
        <v>2</v>
      </c>
      <c r="S68">
        <v>0</v>
      </c>
      <c r="T68">
        <v>6</v>
      </c>
      <c r="U68">
        <v>9</v>
      </c>
      <c r="V68">
        <v>12</v>
      </c>
      <c r="W68">
        <v>25</v>
      </c>
    </row>
    <row r="69" spans="1:23">
      <c r="A69" s="6" t="s">
        <v>72</v>
      </c>
      <c r="B69" s="11">
        <v>0</v>
      </c>
      <c r="C69" s="11">
        <v>0</v>
      </c>
      <c r="D69" s="11">
        <v>0</v>
      </c>
      <c r="E69" s="1">
        <v>0</v>
      </c>
      <c r="F69" s="1">
        <v>0</v>
      </c>
      <c r="G69" s="1">
        <v>2</v>
      </c>
      <c r="H69" s="1">
        <v>0</v>
      </c>
      <c r="I69" s="1">
        <v>4</v>
      </c>
      <c r="N69" s="15" t="s">
        <v>133</v>
      </c>
      <c r="O69" s="15" t="s">
        <v>367</v>
      </c>
      <c r="P69" s="15" t="s">
        <v>352</v>
      </c>
      <c r="Q69" s="16">
        <v>20802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s="6" t="s">
        <v>73</v>
      </c>
      <c r="B70" s="11">
        <v>0</v>
      </c>
      <c r="C70" s="11">
        <v>0</v>
      </c>
      <c r="D70" s="11">
        <v>0</v>
      </c>
      <c r="E70" s="1">
        <v>15</v>
      </c>
      <c r="F70" s="1">
        <v>37</v>
      </c>
      <c r="G70" s="1">
        <v>28</v>
      </c>
      <c r="H70" s="1">
        <v>20</v>
      </c>
      <c r="I70" s="1">
        <v>18</v>
      </c>
      <c r="N70" s="15" t="s">
        <v>133</v>
      </c>
      <c r="O70" s="15" t="s">
        <v>367</v>
      </c>
      <c r="P70" s="15" t="s">
        <v>159</v>
      </c>
      <c r="Q70" s="16">
        <v>20803</v>
      </c>
      <c r="R70">
        <v>0</v>
      </c>
      <c r="S70">
        <v>0</v>
      </c>
      <c r="T70">
        <v>0</v>
      </c>
      <c r="U70">
        <v>2</v>
      </c>
      <c r="V70">
        <v>3</v>
      </c>
      <c r="W70">
        <v>1</v>
      </c>
    </row>
    <row r="71" spans="1:23">
      <c r="A71" s="6" t="s">
        <v>74</v>
      </c>
      <c r="B71" s="11">
        <v>1</v>
      </c>
      <c r="C71" s="11">
        <v>6</v>
      </c>
      <c r="D71" s="11">
        <v>4</v>
      </c>
      <c r="E71" s="1">
        <v>43</v>
      </c>
      <c r="F71" s="1">
        <v>85</v>
      </c>
      <c r="G71" s="1">
        <v>53</v>
      </c>
      <c r="H71" s="1">
        <v>77</v>
      </c>
      <c r="I71" s="1">
        <v>66</v>
      </c>
      <c r="N71" s="15" t="s">
        <v>133</v>
      </c>
      <c r="O71" s="15" t="s">
        <v>367</v>
      </c>
      <c r="P71" s="15" t="s">
        <v>123</v>
      </c>
      <c r="Q71" s="16">
        <v>20804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</row>
    <row r="72" spans="1:23">
      <c r="A72" s="6" t="s">
        <v>75</v>
      </c>
      <c r="B72" s="11">
        <v>3</v>
      </c>
      <c r="C72" s="11">
        <v>6</v>
      </c>
      <c r="D72" s="11">
        <v>1</v>
      </c>
      <c r="E72" s="1">
        <v>6</v>
      </c>
      <c r="F72" s="1">
        <v>7</v>
      </c>
      <c r="G72" s="1">
        <v>8</v>
      </c>
      <c r="H72" s="1">
        <v>6</v>
      </c>
      <c r="I72" s="1">
        <v>7</v>
      </c>
      <c r="N72" s="15" t="s">
        <v>133</v>
      </c>
      <c r="O72" s="15" t="s">
        <v>367</v>
      </c>
      <c r="P72" s="15" t="s">
        <v>448</v>
      </c>
      <c r="Q72" s="16">
        <v>20805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 s="6" t="s">
        <v>76</v>
      </c>
      <c r="B73" s="11">
        <v>23</v>
      </c>
      <c r="C73" s="11">
        <v>14</v>
      </c>
      <c r="D73" s="11">
        <v>16</v>
      </c>
      <c r="E73" s="1">
        <v>20</v>
      </c>
      <c r="F73" s="1">
        <v>27</v>
      </c>
      <c r="G73" s="1">
        <v>40</v>
      </c>
      <c r="H73" s="1">
        <v>63</v>
      </c>
      <c r="I73" s="1">
        <v>31</v>
      </c>
      <c r="N73" s="15" t="s">
        <v>133</v>
      </c>
      <c r="O73" s="15" t="s">
        <v>367</v>
      </c>
      <c r="P73" s="15" t="s">
        <v>351</v>
      </c>
      <c r="Q73" s="16">
        <v>20806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s="6" t="s">
        <v>77</v>
      </c>
      <c r="B74" s="11">
        <v>13</v>
      </c>
      <c r="C74" s="11">
        <v>15</v>
      </c>
      <c r="D74" s="11">
        <v>12</v>
      </c>
      <c r="E74" s="1">
        <v>32</v>
      </c>
      <c r="F74" s="1">
        <v>28</v>
      </c>
      <c r="G74" s="1">
        <v>26</v>
      </c>
      <c r="H74" s="1">
        <v>53</v>
      </c>
      <c r="I74" s="1">
        <v>65</v>
      </c>
      <c r="N74" s="15" t="s">
        <v>133</v>
      </c>
      <c r="O74" s="15" t="s">
        <v>367</v>
      </c>
      <c r="P74" s="15" t="s">
        <v>404</v>
      </c>
      <c r="Q74" s="16">
        <v>20807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s="6" t="s">
        <v>78</v>
      </c>
      <c r="B75" s="11">
        <v>0</v>
      </c>
      <c r="C75" s="11">
        <v>0</v>
      </c>
      <c r="D75" s="1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N75" s="15" t="s">
        <v>133</v>
      </c>
      <c r="O75" s="15" t="s">
        <v>450</v>
      </c>
      <c r="P75" s="15" t="s">
        <v>135</v>
      </c>
      <c r="Q75" s="16">
        <v>20901</v>
      </c>
      <c r="R75">
        <v>0</v>
      </c>
      <c r="S75">
        <v>0</v>
      </c>
      <c r="T75">
        <v>0</v>
      </c>
      <c r="U75">
        <v>0</v>
      </c>
      <c r="V75">
        <v>2</v>
      </c>
      <c r="W75">
        <v>1</v>
      </c>
    </row>
    <row r="76" spans="1:23">
      <c r="A76" s="6" t="s">
        <v>79</v>
      </c>
      <c r="B76" s="11">
        <v>0</v>
      </c>
      <c r="C76" s="11">
        <v>0</v>
      </c>
      <c r="D76" s="11">
        <v>0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  <c r="N76" s="15" t="s">
        <v>133</v>
      </c>
      <c r="O76" s="15" t="s">
        <v>450</v>
      </c>
      <c r="P76" s="15" t="s">
        <v>155</v>
      </c>
      <c r="Q76" s="16">
        <v>20902</v>
      </c>
      <c r="R76">
        <v>0</v>
      </c>
      <c r="S76">
        <v>0</v>
      </c>
      <c r="T76">
        <v>0</v>
      </c>
      <c r="U76">
        <v>1</v>
      </c>
      <c r="V76">
        <v>1</v>
      </c>
      <c r="W76">
        <v>2</v>
      </c>
    </row>
    <row r="77" spans="1:23">
      <c r="A77" s="6" t="s">
        <v>80</v>
      </c>
      <c r="B77" s="11">
        <v>0</v>
      </c>
      <c r="C77" s="11">
        <v>0</v>
      </c>
      <c r="D77" s="11">
        <v>0</v>
      </c>
      <c r="E77" s="1">
        <v>2</v>
      </c>
      <c r="F77" s="1">
        <v>0</v>
      </c>
      <c r="G77" s="1">
        <v>2</v>
      </c>
      <c r="H77" s="1">
        <v>0</v>
      </c>
      <c r="I77" s="1">
        <v>1</v>
      </c>
      <c r="N77" s="15" t="s">
        <v>133</v>
      </c>
      <c r="O77" s="15" t="s">
        <v>450</v>
      </c>
      <c r="P77" s="15" t="s">
        <v>164</v>
      </c>
      <c r="Q77" s="16">
        <v>20903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s="6" t="s">
        <v>81</v>
      </c>
      <c r="B78" s="11">
        <v>0</v>
      </c>
      <c r="C78" s="11">
        <v>1</v>
      </c>
      <c r="D78" s="11">
        <v>0</v>
      </c>
      <c r="E78" s="1">
        <v>0</v>
      </c>
      <c r="F78" s="1">
        <v>0</v>
      </c>
      <c r="G78" s="1">
        <v>1</v>
      </c>
      <c r="H78" s="1">
        <v>2</v>
      </c>
      <c r="I78" s="1">
        <v>2</v>
      </c>
      <c r="N78" s="15" t="s">
        <v>133</v>
      </c>
      <c r="O78" s="15" t="s">
        <v>450</v>
      </c>
      <c r="P78" s="15" t="s">
        <v>136</v>
      </c>
      <c r="Q78" s="16">
        <v>20904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</row>
    <row r="79" spans="1:23">
      <c r="A79" s="6" t="s">
        <v>82</v>
      </c>
      <c r="B79" s="11">
        <v>0</v>
      </c>
      <c r="C79" s="11">
        <v>0</v>
      </c>
      <c r="D79" s="11">
        <v>0</v>
      </c>
      <c r="E79" s="1">
        <v>0</v>
      </c>
      <c r="F79" s="1">
        <v>0</v>
      </c>
      <c r="G79" s="1">
        <v>0</v>
      </c>
      <c r="H79" s="1">
        <v>1</v>
      </c>
      <c r="I79" s="1">
        <v>0</v>
      </c>
      <c r="N79" s="15" t="s">
        <v>133</v>
      </c>
      <c r="O79" s="15" t="s">
        <v>450</v>
      </c>
      <c r="P79" s="15" t="s">
        <v>106</v>
      </c>
      <c r="Q79" s="16">
        <v>20905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s="6" t="s">
        <v>83</v>
      </c>
      <c r="B80" s="11">
        <v>2</v>
      </c>
      <c r="C80" s="11">
        <v>0</v>
      </c>
      <c r="D80" s="11">
        <v>0</v>
      </c>
      <c r="E80" s="1">
        <v>2</v>
      </c>
      <c r="F80" s="1">
        <v>4</v>
      </c>
      <c r="G80" s="1">
        <v>2</v>
      </c>
      <c r="H80" s="1">
        <v>7</v>
      </c>
      <c r="I80" s="1">
        <v>9</v>
      </c>
      <c r="N80" s="15" t="s">
        <v>133</v>
      </c>
      <c r="O80" s="15" t="s">
        <v>128</v>
      </c>
      <c r="P80" s="15" t="s">
        <v>128</v>
      </c>
      <c r="Q80" s="16">
        <v>21001</v>
      </c>
      <c r="R80">
        <v>1</v>
      </c>
      <c r="S80">
        <v>2</v>
      </c>
      <c r="T80">
        <v>0</v>
      </c>
      <c r="U80">
        <v>0</v>
      </c>
      <c r="V80">
        <v>0</v>
      </c>
      <c r="W80">
        <v>1</v>
      </c>
    </row>
    <row r="81" spans="1:23">
      <c r="A81" s="6" t="s">
        <v>84</v>
      </c>
      <c r="B81" s="11">
        <v>0</v>
      </c>
      <c r="C81" s="11">
        <v>0</v>
      </c>
      <c r="D81" s="11">
        <v>0</v>
      </c>
      <c r="E81" s="1">
        <v>0</v>
      </c>
      <c r="F81" s="1">
        <v>2</v>
      </c>
      <c r="G81" s="1">
        <v>1</v>
      </c>
      <c r="H81" s="1">
        <v>1</v>
      </c>
      <c r="I81" s="1">
        <v>1</v>
      </c>
      <c r="N81" s="15" t="s">
        <v>133</v>
      </c>
      <c r="O81" s="15" t="s">
        <v>128</v>
      </c>
      <c r="P81" s="15" t="s">
        <v>150</v>
      </c>
      <c r="Q81" s="16">
        <v>21002</v>
      </c>
      <c r="R81">
        <v>0</v>
      </c>
      <c r="S81">
        <v>2</v>
      </c>
      <c r="T81">
        <v>0</v>
      </c>
      <c r="U81">
        <v>2</v>
      </c>
      <c r="V81">
        <v>1</v>
      </c>
      <c r="W81">
        <v>0</v>
      </c>
    </row>
    <row r="82" spans="1:23">
      <c r="A82" s="6" t="s">
        <v>85</v>
      </c>
      <c r="B82" s="11">
        <v>0</v>
      </c>
      <c r="C82" s="11">
        <v>0</v>
      </c>
      <c r="D82" s="11">
        <v>0</v>
      </c>
      <c r="E82" s="1">
        <v>0</v>
      </c>
      <c r="F82" s="1">
        <v>3</v>
      </c>
      <c r="G82" s="1">
        <v>0</v>
      </c>
      <c r="H82" s="1">
        <v>1</v>
      </c>
      <c r="I82" s="1">
        <v>2</v>
      </c>
      <c r="N82" s="15" t="s">
        <v>133</v>
      </c>
      <c r="O82" s="15" t="s">
        <v>128</v>
      </c>
      <c r="P82" s="15" t="s">
        <v>107</v>
      </c>
      <c r="Q82" s="16">
        <v>21003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</row>
    <row r="83" spans="1:23">
      <c r="A83" s="6" t="s">
        <v>86</v>
      </c>
      <c r="B83" s="11">
        <v>1</v>
      </c>
      <c r="C83" s="11">
        <v>2</v>
      </c>
      <c r="D83" s="11">
        <v>1</v>
      </c>
      <c r="E83" s="1">
        <v>1</v>
      </c>
      <c r="F83" s="1">
        <v>1</v>
      </c>
      <c r="G83" s="1">
        <v>0</v>
      </c>
      <c r="H83" s="1">
        <v>3</v>
      </c>
      <c r="I83" s="1">
        <v>2</v>
      </c>
      <c r="N83" s="15" t="s">
        <v>133</v>
      </c>
      <c r="O83" s="15" t="s">
        <v>128</v>
      </c>
      <c r="P83" s="15" t="s">
        <v>116</v>
      </c>
      <c r="Q83" s="16">
        <v>21004</v>
      </c>
      <c r="R83">
        <v>0</v>
      </c>
      <c r="S83">
        <v>1</v>
      </c>
      <c r="T83">
        <v>0</v>
      </c>
      <c r="U83">
        <v>2</v>
      </c>
      <c r="V83">
        <v>4</v>
      </c>
      <c r="W83">
        <v>1</v>
      </c>
    </row>
    <row r="84" spans="1:23">
      <c r="A84" s="6" t="s">
        <v>87</v>
      </c>
      <c r="B84" s="11">
        <v>6</v>
      </c>
      <c r="C84" s="11">
        <v>6</v>
      </c>
      <c r="D84" s="11">
        <v>6</v>
      </c>
      <c r="E84" s="1">
        <v>5</v>
      </c>
      <c r="F84" s="1">
        <v>12</v>
      </c>
      <c r="G84" s="1">
        <v>20</v>
      </c>
      <c r="H84" s="1">
        <v>10</v>
      </c>
      <c r="I84" s="1">
        <v>11</v>
      </c>
      <c r="N84" s="15" t="s">
        <v>133</v>
      </c>
      <c r="O84" s="15" t="s">
        <v>128</v>
      </c>
      <c r="P84" s="15" t="s">
        <v>127</v>
      </c>
      <c r="Q84" s="16">
        <v>21005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s="6" t="s">
        <v>88</v>
      </c>
      <c r="B85" s="11">
        <v>0</v>
      </c>
      <c r="C85" s="11">
        <v>0</v>
      </c>
      <c r="D85" s="11">
        <v>1</v>
      </c>
      <c r="E85" s="1">
        <v>12</v>
      </c>
      <c r="F85" s="1">
        <v>18</v>
      </c>
      <c r="G85" s="1">
        <v>15</v>
      </c>
      <c r="H85" s="1">
        <v>11</v>
      </c>
      <c r="I85" s="1">
        <v>9</v>
      </c>
      <c r="N85" s="15" t="s">
        <v>133</v>
      </c>
      <c r="O85" s="15" t="s">
        <v>128</v>
      </c>
      <c r="P85" s="15" t="s">
        <v>163</v>
      </c>
      <c r="Q85" s="16">
        <v>21006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s="6" t="s">
        <v>89</v>
      </c>
      <c r="B86" s="11">
        <v>0</v>
      </c>
      <c r="C86" s="11">
        <v>0</v>
      </c>
      <c r="D86" s="1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N86" s="15" t="s">
        <v>133</v>
      </c>
      <c r="O86" s="15" t="s">
        <v>451</v>
      </c>
      <c r="P86" s="15" t="s">
        <v>322</v>
      </c>
      <c r="Q86" s="16">
        <v>21101</v>
      </c>
      <c r="R86">
        <v>0</v>
      </c>
      <c r="S86">
        <v>3</v>
      </c>
      <c r="T86">
        <v>2</v>
      </c>
      <c r="U86">
        <v>4</v>
      </c>
      <c r="V86">
        <v>1</v>
      </c>
      <c r="W86">
        <v>2</v>
      </c>
    </row>
    <row r="87" spans="1:23">
      <c r="A87" s="6" t="s">
        <v>90</v>
      </c>
      <c r="B87" s="11">
        <v>1</v>
      </c>
      <c r="C87" s="11">
        <v>0</v>
      </c>
      <c r="D87" s="11">
        <v>0</v>
      </c>
      <c r="E87" s="1">
        <v>4</v>
      </c>
      <c r="F87" s="1">
        <v>0</v>
      </c>
      <c r="G87" s="1">
        <v>1</v>
      </c>
      <c r="H87" s="1">
        <v>0</v>
      </c>
      <c r="I87" s="1">
        <v>2</v>
      </c>
      <c r="N87" s="15" t="s">
        <v>133</v>
      </c>
      <c r="O87" s="15" t="s">
        <v>451</v>
      </c>
      <c r="P87" s="15" t="s">
        <v>321</v>
      </c>
      <c r="Q87" s="16">
        <v>21102</v>
      </c>
      <c r="R87">
        <v>0</v>
      </c>
      <c r="S87">
        <v>0</v>
      </c>
      <c r="T87">
        <v>0</v>
      </c>
      <c r="U87">
        <v>1</v>
      </c>
      <c r="V87">
        <v>3</v>
      </c>
      <c r="W87">
        <v>2</v>
      </c>
    </row>
    <row r="88" spans="1:23">
      <c r="A88" s="6" t="s">
        <v>91</v>
      </c>
      <c r="B88" s="11">
        <v>0</v>
      </c>
      <c r="C88" s="11">
        <v>0</v>
      </c>
      <c r="D88" s="11">
        <v>0</v>
      </c>
      <c r="E88" s="1">
        <v>2</v>
      </c>
      <c r="F88" s="1">
        <v>0</v>
      </c>
      <c r="G88" s="1">
        <v>0</v>
      </c>
      <c r="H88" s="1">
        <v>2</v>
      </c>
      <c r="I88" s="1">
        <v>1</v>
      </c>
      <c r="N88" s="15" t="s">
        <v>133</v>
      </c>
      <c r="O88" s="15" t="s">
        <v>451</v>
      </c>
      <c r="P88" s="15" t="s">
        <v>165</v>
      </c>
      <c r="Q88" s="16">
        <v>21103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s="6" t="s">
        <v>92</v>
      </c>
      <c r="B89" s="11">
        <v>0</v>
      </c>
      <c r="C89" s="11">
        <v>0</v>
      </c>
      <c r="D89" s="1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N89" s="15" t="s">
        <v>133</v>
      </c>
      <c r="O89" s="15" t="s">
        <v>451</v>
      </c>
      <c r="P89" s="15" t="s">
        <v>141</v>
      </c>
      <c r="Q89" s="16">
        <v>21104</v>
      </c>
      <c r="R89">
        <v>0</v>
      </c>
      <c r="S89">
        <v>0</v>
      </c>
      <c r="T89">
        <v>0</v>
      </c>
      <c r="U89">
        <v>5</v>
      </c>
      <c r="V89">
        <v>4</v>
      </c>
      <c r="W89">
        <v>4</v>
      </c>
    </row>
    <row r="90" spans="1:23">
      <c r="A90" s="6" t="s">
        <v>93</v>
      </c>
      <c r="B90" s="11">
        <v>0</v>
      </c>
      <c r="C90" s="11">
        <v>0</v>
      </c>
      <c r="D90" s="1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N90" s="15" t="s">
        <v>133</v>
      </c>
      <c r="O90" s="15" t="s">
        <v>451</v>
      </c>
      <c r="P90" s="15" t="s">
        <v>132</v>
      </c>
      <c r="Q90" s="16">
        <v>21105</v>
      </c>
      <c r="R90">
        <v>1</v>
      </c>
      <c r="S90">
        <v>0</v>
      </c>
      <c r="T90">
        <v>0</v>
      </c>
      <c r="U90">
        <v>3</v>
      </c>
      <c r="V90">
        <v>2</v>
      </c>
      <c r="W90">
        <v>5</v>
      </c>
    </row>
    <row r="91" spans="1:23">
      <c r="A91" s="6" t="s">
        <v>94</v>
      </c>
      <c r="B91" s="11">
        <v>0</v>
      </c>
      <c r="C91" s="11">
        <v>1</v>
      </c>
      <c r="D91" s="11">
        <v>0</v>
      </c>
      <c r="E91" s="1">
        <v>0</v>
      </c>
      <c r="F91" s="1">
        <v>1</v>
      </c>
      <c r="G91" s="1">
        <v>1</v>
      </c>
      <c r="H91" s="1">
        <v>1</v>
      </c>
      <c r="I91" s="1">
        <v>1</v>
      </c>
      <c r="N91" s="15" t="s">
        <v>133</v>
      </c>
      <c r="O91" s="15" t="s">
        <v>454</v>
      </c>
      <c r="P91" s="15" t="s">
        <v>145</v>
      </c>
      <c r="Q91" s="16">
        <v>21201</v>
      </c>
      <c r="R91">
        <v>0</v>
      </c>
      <c r="S91">
        <v>0</v>
      </c>
      <c r="T91">
        <v>0</v>
      </c>
      <c r="U91">
        <v>1</v>
      </c>
      <c r="V91">
        <v>3</v>
      </c>
      <c r="W91">
        <v>0</v>
      </c>
    </row>
    <row r="92" spans="1:23">
      <c r="A92" s="6" t="s">
        <v>95</v>
      </c>
      <c r="B92" s="11">
        <v>6</v>
      </c>
      <c r="C92" s="11">
        <v>5</v>
      </c>
      <c r="D92" s="11">
        <v>9</v>
      </c>
      <c r="E92" s="1">
        <v>10</v>
      </c>
      <c r="F92" s="1">
        <v>17</v>
      </c>
      <c r="G92" s="1">
        <v>19</v>
      </c>
      <c r="H92" s="1">
        <v>21</v>
      </c>
      <c r="I92" s="1">
        <v>18</v>
      </c>
      <c r="N92" s="15" t="s">
        <v>133</v>
      </c>
      <c r="O92" s="15" t="s">
        <v>454</v>
      </c>
      <c r="P92" s="15" t="s">
        <v>134</v>
      </c>
      <c r="Q92" s="16">
        <v>21202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</row>
    <row r="93" spans="1:23">
      <c r="A93" s="6" t="s">
        <v>96</v>
      </c>
      <c r="B93" s="11">
        <v>3</v>
      </c>
      <c r="C93" s="11">
        <v>2</v>
      </c>
      <c r="D93" s="11">
        <v>6</v>
      </c>
      <c r="E93" s="1">
        <v>4</v>
      </c>
      <c r="F93" s="1">
        <v>14</v>
      </c>
      <c r="G93" s="1">
        <v>17</v>
      </c>
      <c r="H93" s="1">
        <v>14</v>
      </c>
      <c r="I93" s="1">
        <v>20</v>
      </c>
      <c r="N93" s="15" t="s">
        <v>133</v>
      </c>
      <c r="O93" s="15" t="s">
        <v>454</v>
      </c>
      <c r="P93" s="15" t="s">
        <v>105</v>
      </c>
      <c r="Q93" s="16">
        <v>21203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</row>
    <row r="94" spans="1:23">
      <c r="A94" s="4" t="s">
        <v>97</v>
      </c>
      <c r="B94" s="5">
        <v>238</v>
      </c>
      <c r="C94" s="5">
        <v>304</v>
      </c>
      <c r="D94" s="5">
        <v>397</v>
      </c>
      <c r="E94" s="5">
        <v>550</v>
      </c>
      <c r="F94" s="5">
        <v>674</v>
      </c>
      <c r="G94" s="5">
        <v>800</v>
      </c>
      <c r="H94" s="5">
        <v>812</v>
      </c>
      <c r="I94" s="5">
        <v>810</v>
      </c>
      <c r="N94" s="15" t="s">
        <v>133</v>
      </c>
      <c r="O94" s="15" t="s">
        <v>454</v>
      </c>
      <c r="P94" s="15" t="s">
        <v>373</v>
      </c>
      <c r="Q94" s="16">
        <v>21204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</row>
    <row r="95" spans="1:23">
      <c r="A95" s="6" t="s">
        <v>98</v>
      </c>
      <c r="B95" s="11">
        <v>13</v>
      </c>
      <c r="C95" s="11">
        <v>12</v>
      </c>
      <c r="D95" s="11">
        <v>41</v>
      </c>
      <c r="E95" s="1">
        <v>36</v>
      </c>
      <c r="F95" s="1">
        <v>19</v>
      </c>
      <c r="G95" s="1">
        <v>8</v>
      </c>
      <c r="H95" s="1">
        <v>6</v>
      </c>
      <c r="I95" s="1">
        <v>8</v>
      </c>
      <c r="N95" s="15" t="s">
        <v>133</v>
      </c>
      <c r="O95" s="15" t="s">
        <v>455</v>
      </c>
      <c r="P95" s="15" t="s">
        <v>456</v>
      </c>
      <c r="Q95" s="16">
        <v>21301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</row>
    <row r="96" spans="1:23">
      <c r="A96" s="6" t="s">
        <v>99</v>
      </c>
      <c r="B96" s="11">
        <v>0</v>
      </c>
      <c r="C96" s="11">
        <v>0</v>
      </c>
      <c r="D96" s="11">
        <v>0</v>
      </c>
      <c r="E96" s="1">
        <v>2</v>
      </c>
      <c r="F96" s="1">
        <v>9</v>
      </c>
      <c r="G96" s="1">
        <v>4</v>
      </c>
      <c r="H96" s="1">
        <v>1</v>
      </c>
      <c r="I96" s="1">
        <v>8</v>
      </c>
      <c r="N96" s="15" t="s">
        <v>133</v>
      </c>
      <c r="O96" s="15" t="s">
        <v>455</v>
      </c>
      <c r="P96" s="15" t="s">
        <v>307</v>
      </c>
      <c r="Q96" s="16">
        <v>21302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s="6" t="s">
        <v>100</v>
      </c>
      <c r="B97" s="11">
        <v>0</v>
      </c>
      <c r="C97" s="11">
        <v>0</v>
      </c>
      <c r="D97" s="11">
        <v>0</v>
      </c>
      <c r="E97" s="1">
        <v>1</v>
      </c>
      <c r="F97" s="1">
        <v>0</v>
      </c>
      <c r="G97" s="1">
        <v>0</v>
      </c>
      <c r="H97" s="1">
        <v>2</v>
      </c>
      <c r="I97" s="1">
        <v>0</v>
      </c>
      <c r="N97" s="15" t="s">
        <v>133</v>
      </c>
      <c r="O97" s="15" t="s">
        <v>455</v>
      </c>
      <c r="P97" s="15" t="s">
        <v>104</v>
      </c>
      <c r="Q97" s="16">
        <v>21303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</row>
    <row r="98" spans="1:23">
      <c r="A98" s="6" t="s">
        <v>101</v>
      </c>
      <c r="B98" s="11">
        <v>0</v>
      </c>
      <c r="C98" s="11">
        <v>0</v>
      </c>
      <c r="D98" s="11">
        <v>0</v>
      </c>
      <c r="E98" s="1">
        <v>0</v>
      </c>
      <c r="F98" s="1">
        <v>0</v>
      </c>
      <c r="G98" s="1">
        <v>2</v>
      </c>
      <c r="H98" s="1">
        <v>4</v>
      </c>
      <c r="I98" s="1">
        <v>1</v>
      </c>
      <c r="N98" s="15" t="s">
        <v>133</v>
      </c>
      <c r="O98" s="15" t="s">
        <v>455</v>
      </c>
      <c r="P98" s="15" t="s">
        <v>109</v>
      </c>
      <c r="Q98" s="16">
        <v>21304</v>
      </c>
      <c r="R98">
        <v>0</v>
      </c>
      <c r="S98">
        <v>0</v>
      </c>
      <c r="T98">
        <v>0</v>
      </c>
      <c r="U98">
        <v>2</v>
      </c>
      <c r="V98">
        <v>2</v>
      </c>
      <c r="W98">
        <v>2</v>
      </c>
    </row>
    <row r="99" spans="1:23">
      <c r="A99" s="6" t="s">
        <v>102</v>
      </c>
      <c r="B99" s="11">
        <v>0</v>
      </c>
      <c r="C99" s="11">
        <v>1</v>
      </c>
      <c r="D99" s="11">
        <v>0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N99" s="15" t="s">
        <v>133</v>
      </c>
      <c r="O99" s="15" t="s">
        <v>455</v>
      </c>
      <c r="P99" s="15" t="s">
        <v>143</v>
      </c>
      <c r="Q99" s="16">
        <v>21305</v>
      </c>
      <c r="R99">
        <v>1</v>
      </c>
      <c r="S99">
        <v>2</v>
      </c>
      <c r="T99">
        <v>6</v>
      </c>
      <c r="U99">
        <v>1</v>
      </c>
      <c r="V99">
        <v>2</v>
      </c>
      <c r="W99">
        <v>1</v>
      </c>
    </row>
    <row r="100" spans="1:23">
      <c r="A100" s="6" t="s">
        <v>103</v>
      </c>
      <c r="B100" s="11">
        <v>0</v>
      </c>
      <c r="C100" s="11">
        <v>0</v>
      </c>
      <c r="D100" s="11">
        <v>0</v>
      </c>
      <c r="E100" s="1">
        <v>2</v>
      </c>
      <c r="F100" s="1">
        <v>2</v>
      </c>
      <c r="G100" s="1">
        <v>1</v>
      </c>
      <c r="H100" s="1">
        <v>0</v>
      </c>
      <c r="I100" s="1">
        <v>0</v>
      </c>
      <c r="N100" s="15" t="s">
        <v>133</v>
      </c>
      <c r="O100" s="15" t="s">
        <v>455</v>
      </c>
      <c r="P100" s="15" t="s">
        <v>115</v>
      </c>
      <c r="Q100" s="16">
        <v>21306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s="6" t="s">
        <v>104</v>
      </c>
      <c r="B101" s="11">
        <v>0</v>
      </c>
      <c r="C101" s="11">
        <v>0</v>
      </c>
      <c r="D101" s="1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N101" s="15" t="s">
        <v>133</v>
      </c>
      <c r="O101" s="15" t="s">
        <v>455</v>
      </c>
      <c r="P101" s="15" t="s">
        <v>114</v>
      </c>
      <c r="Q101" s="16">
        <v>21307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</row>
    <row r="102" spans="1:23">
      <c r="A102" s="6" t="s">
        <v>105</v>
      </c>
      <c r="B102" s="11">
        <v>0</v>
      </c>
      <c r="C102" s="11">
        <v>0</v>
      </c>
      <c r="D102" s="11">
        <v>0</v>
      </c>
      <c r="E102" s="1">
        <v>0</v>
      </c>
      <c r="F102" s="1">
        <v>0</v>
      </c>
      <c r="G102" s="1">
        <v>0</v>
      </c>
      <c r="H102" s="1">
        <v>3</v>
      </c>
      <c r="I102" s="1">
        <v>0</v>
      </c>
      <c r="N102" s="15" t="s">
        <v>133</v>
      </c>
      <c r="O102" s="15" t="s">
        <v>458</v>
      </c>
      <c r="P102" s="15" t="s">
        <v>121</v>
      </c>
      <c r="Q102" s="16">
        <v>21401</v>
      </c>
      <c r="R102">
        <v>0</v>
      </c>
      <c r="S102">
        <v>0</v>
      </c>
      <c r="T102">
        <v>0</v>
      </c>
      <c r="U102">
        <v>5</v>
      </c>
      <c r="V102">
        <v>2</v>
      </c>
      <c r="W102">
        <v>3</v>
      </c>
    </row>
    <row r="103" spans="1:23">
      <c r="A103" s="6" t="s">
        <v>106</v>
      </c>
      <c r="B103" s="11">
        <v>0</v>
      </c>
      <c r="C103" s="11">
        <v>0</v>
      </c>
      <c r="D103" s="1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N103" s="15" t="s">
        <v>133</v>
      </c>
      <c r="O103" s="15" t="s">
        <v>458</v>
      </c>
      <c r="P103" s="15" t="s">
        <v>119</v>
      </c>
      <c r="Q103" s="16">
        <v>21402</v>
      </c>
      <c r="R103">
        <v>0</v>
      </c>
      <c r="S103">
        <v>0</v>
      </c>
      <c r="T103">
        <v>0</v>
      </c>
      <c r="U103">
        <v>1</v>
      </c>
      <c r="V103">
        <v>3</v>
      </c>
      <c r="W103">
        <v>1</v>
      </c>
    </row>
    <row r="104" spans="1:23">
      <c r="A104" s="6" t="s">
        <v>107</v>
      </c>
      <c r="B104" s="11">
        <v>0</v>
      </c>
      <c r="C104" s="11">
        <v>0</v>
      </c>
      <c r="D104" s="11">
        <v>0</v>
      </c>
      <c r="E104" s="1">
        <v>0</v>
      </c>
      <c r="F104" s="1">
        <v>0</v>
      </c>
      <c r="G104" s="1">
        <v>0</v>
      </c>
      <c r="H104" s="1">
        <v>2</v>
      </c>
      <c r="I104" s="1">
        <v>0</v>
      </c>
      <c r="N104" s="15" t="s">
        <v>133</v>
      </c>
      <c r="O104" s="15" t="s">
        <v>459</v>
      </c>
      <c r="P104" s="15" t="s">
        <v>130</v>
      </c>
      <c r="Q104" s="16">
        <v>21501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</row>
    <row r="105" spans="1:23">
      <c r="A105" s="6" t="s">
        <v>108</v>
      </c>
      <c r="B105" s="11">
        <v>0</v>
      </c>
      <c r="C105" s="11">
        <v>0</v>
      </c>
      <c r="D105" s="11">
        <v>0</v>
      </c>
      <c r="E105" s="1">
        <v>0</v>
      </c>
      <c r="F105" s="1">
        <v>1</v>
      </c>
      <c r="G105" s="1">
        <v>1</v>
      </c>
      <c r="H105" s="1">
        <v>0</v>
      </c>
      <c r="I105" s="1">
        <v>0</v>
      </c>
      <c r="N105" s="15" t="s">
        <v>133</v>
      </c>
      <c r="O105" s="15" t="s">
        <v>459</v>
      </c>
      <c r="P105" s="15" t="s">
        <v>151</v>
      </c>
      <c r="Q105" s="16">
        <v>21502</v>
      </c>
      <c r="R105">
        <v>0</v>
      </c>
      <c r="S105">
        <v>0</v>
      </c>
      <c r="T105">
        <v>0</v>
      </c>
      <c r="U105">
        <v>1</v>
      </c>
      <c r="V105">
        <v>2</v>
      </c>
      <c r="W105">
        <v>4</v>
      </c>
    </row>
    <row r="106" spans="1:23">
      <c r="A106" s="6" t="s">
        <v>109</v>
      </c>
      <c r="B106" s="11">
        <v>0</v>
      </c>
      <c r="C106" s="11">
        <v>0</v>
      </c>
      <c r="D106" s="11">
        <v>0</v>
      </c>
      <c r="E106" s="1">
        <v>0</v>
      </c>
      <c r="F106" s="1">
        <v>0</v>
      </c>
      <c r="G106" s="1">
        <v>2</v>
      </c>
      <c r="H106" s="1">
        <v>2</v>
      </c>
      <c r="I106" s="1">
        <v>2</v>
      </c>
      <c r="N106" s="15" t="s">
        <v>133</v>
      </c>
      <c r="O106" s="15" t="s">
        <v>460</v>
      </c>
      <c r="P106" s="15" t="s">
        <v>461</v>
      </c>
      <c r="Q106" s="16">
        <v>21601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1</v>
      </c>
    </row>
    <row r="107" spans="1:23">
      <c r="A107" s="6" t="s">
        <v>110</v>
      </c>
      <c r="B107" s="11">
        <v>0</v>
      </c>
      <c r="C107" s="11">
        <v>0</v>
      </c>
      <c r="D107" s="1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N107" s="15" t="s">
        <v>133</v>
      </c>
      <c r="O107" s="15" t="s">
        <v>460</v>
      </c>
      <c r="P107" s="15" t="s">
        <v>122</v>
      </c>
      <c r="Q107" s="16">
        <v>21602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 s="6" t="s">
        <v>111</v>
      </c>
      <c r="B108" s="11">
        <v>1</v>
      </c>
      <c r="C108" s="11">
        <v>5</v>
      </c>
      <c r="D108" s="11">
        <v>4</v>
      </c>
      <c r="E108" s="1">
        <v>15</v>
      </c>
      <c r="F108" s="1">
        <v>20</v>
      </c>
      <c r="G108" s="1">
        <v>16</v>
      </c>
      <c r="H108" s="1">
        <v>25</v>
      </c>
      <c r="I108" s="1">
        <v>15</v>
      </c>
      <c r="N108" s="15" t="s">
        <v>133</v>
      </c>
      <c r="O108" s="15" t="s">
        <v>463</v>
      </c>
      <c r="P108" s="15" t="s">
        <v>118</v>
      </c>
      <c r="Q108" s="16">
        <v>21701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</row>
    <row r="109" spans="1:23">
      <c r="A109" s="6" t="s">
        <v>112</v>
      </c>
      <c r="B109" s="11">
        <v>0</v>
      </c>
      <c r="C109" s="11">
        <v>3</v>
      </c>
      <c r="D109" s="11">
        <v>2</v>
      </c>
      <c r="E109" s="1">
        <v>1</v>
      </c>
      <c r="F109" s="1">
        <v>4</v>
      </c>
      <c r="G109" s="1">
        <v>4</v>
      </c>
      <c r="H109" s="1">
        <v>1</v>
      </c>
      <c r="I109" s="1">
        <v>2</v>
      </c>
      <c r="N109" s="15" t="s">
        <v>133</v>
      </c>
      <c r="O109" s="15" t="s">
        <v>463</v>
      </c>
      <c r="P109" s="15" t="s">
        <v>152</v>
      </c>
      <c r="Q109" s="16">
        <v>21702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</row>
    <row r="110" spans="1:23">
      <c r="A110" s="6" t="s">
        <v>113</v>
      </c>
      <c r="B110" s="11">
        <v>0</v>
      </c>
      <c r="C110" s="11">
        <v>0</v>
      </c>
      <c r="D110" s="11">
        <v>0</v>
      </c>
      <c r="E110" s="1">
        <v>1</v>
      </c>
      <c r="F110" s="1">
        <v>0</v>
      </c>
      <c r="G110" s="1">
        <v>1</v>
      </c>
      <c r="H110" s="1">
        <v>0</v>
      </c>
      <c r="I110" s="1">
        <v>1</v>
      </c>
      <c r="N110" s="15" t="s">
        <v>133</v>
      </c>
      <c r="O110" s="15" t="s">
        <v>463</v>
      </c>
      <c r="P110" s="15" t="s">
        <v>161</v>
      </c>
      <c r="Q110" s="16">
        <v>21703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</row>
    <row r="111" spans="1:23">
      <c r="A111" s="6" t="s">
        <v>114</v>
      </c>
      <c r="B111" s="11">
        <v>0</v>
      </c>
      <c r="C111" s="11">
        <v>0</v>
      </c>
      <c r="D111" s="1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N111" s="15" t="s">
        <v>133</v>
      </c>
      <c r="O111" s="15" t="s">
        <v>464</v>
      </c>
      <c r="P111" s="15" t="s">
        <v>309</v>
      </c>
      <c r="Q111" s="16">
        <v>21801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 s="6" t="s">
        <v>115</v>
      </c>
      <c r="B112" s="11">
        <v>0</v>
      </c>
      <c r="C112" s="11">
        <v>0</v>
      </c>
      <c r="D112" s="1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N112" s="15" t="s">
        <v>133</v>
      </c>
      <c r="O112" s="15" t="s">
        <v>465</v>
      </c>
      <c r="P112" s="15" t="s">
        <v>142</v>
      </c>
      <c r="Q112" s="16">
        <v>21802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</row>
    <row r="113" spans="1:23">
      <c r="A113" s="6" t="s">
        <v>116</v>
      </c>
      <c r="B113" s="11">
        <v>0</v>
      </c>
      <c r="C113" s="11">
        <v>1</v>
      </c>
      <c r="D113" s="11">
        <v>0</v>
      </c>
      <c r="E113" s="1">
        <v>0</v>
      </c>
      <c r="F113" s="1">
        <v>1</v>
      </c>
      <c r="G113" s="1">
        <v>2</v>
      </c>
      <c r="H113" s="1">
        <v>4</v>
      </c>
      <c r="I113" s="1">
        <v>1</v>
      </c>
      <c r="N113" s="15" t="s">
        <v>133</v>
      </c>
      <c r="O113" s="15" t="s">
        <v>465</v>
      </c>
      <c r="P113" s="15" t="s">
        <v>306</v>
      </c>
      <c r="Q113" s="16">
        <v>21803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s="6" t="s">
        <v>117</v>
      </c>
      <c r="B114" s="11">
        <v>0</v>
      </c>
      <c r="C114" s="11">
        <v>0</v>
      </c>
      <c r="D114" s="1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1</v>
      </c>
      <c r="N114" s="15" t="s">
        <v>133</v>
      </c>
      <c r="O114" s="15" t="s">
        <v>466</v>
      </c>
      <c r="P114" s="15" t="s">
        <v>154</v>
      </c>
      <c r="Q114" s="16">
        <v>21901</v>
      </c>
      <c r="R114">
        <v>0</v>
      </c>
      <c r="S114">
        <v>0</v>
      </c>
      <c r="T114">
        <v>0</v>
      </c>
      <c r="U114">
        <v>2</v>
      </c>
      <c r="V114">
        <v>1</v>
      </c>
      <c r="W114">
        <v>0</v>
      </c>
    </row>
    <row r="115" spans="1:23">
      <c r="A115" s="6" t="s">
        <v>118</v>
      </c>
      <c r="B115" s="11">
        <v>0</v>
      </c>
      <c r="C115" s="11">
        <v>0</v>
      </c>
      <c r="D115" s="11">
        <v>0</v>
      </c>
      <c r="E115" s="1">
        <v>0</v>
      </c>
      <c r="F115" s="1">
        <v>1</v>
      </c>
      <c r="G115" s="1">
        <v>2</v>
      </c>
      <c r="H115" s="1">
        <v>0</v>
      </c>
      <c r="I115" s="1">
        <v>0</v>
      </c>
      <c r="N115" s="15" t="s">
        <v>133</v>
      </c>
      <c r="O115" s="15" t="s">
        <v>466</v>
      </c>
      <c r="P115" s="15" t="s">
        <v>348</v>
      </c>
      <c r="Q115" s="16">
        <v>21902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s="6" t="s">
        <v>119</v>
      </c>
      <c r="B116" s="11">
        <v>0</v>
      </c>
      <c r="C116" s="11">
        <v>0</v>
      </c>
      <c r="D116" s="11">
        <v>0</v>
      </c>
      <c r="E116" s="1">
        <v>3</v>
      </c>
      <c r="F116" s="1">
        <v>2</v>
      </c>
      <c r="G116" s="1">
        <v>1</v>
      </c>
      <c r="H116" s="1">
        <v>3</v>
      </c>
      <c r="I116" s="1">
        <v>1</v>
      </c>
      <c r="N116" s="15" t="s">
        <v>133</v>
      </c>
      <c r="O116" s="15" t="s">
        <v>111</v>
      </c>
      <c r="P116" s="15" t="s">
        <v>111</v>
      </c>
      <c r="Q116" s="16">
        <v>22001</v>
      </c>
      <c r="R116">
        <v>1</v>
      </c>
      <c r="S116">
        <v>5</v>
      </c>
      <c r="T116">
        <v>4</v>
      </c>
      <c r="U116">
        <v>16</v>
      </c>
      <c r="V116">
        <v>25</v>
      </c>
      <c r="W116">
        <v>15</v>
      </c>
    </row>
    <row r="117" spans="1:23">
      <c r="A117" s="6" t="s">
        <v>120</v>
      </c>
      <c r="B117" s="11">
        <v>0</v>
      </c>
      <c r="C117" s="11">
        <v>0</v>
      </c>
      <c r="D117" s="1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1</v>
      </c>
      <c r="N117" s="15" t="s">
        <v>133</v>
      </c>
      <c r="O117" s="15" t="s">
        <v>111</v>
      </c>
      <c r="P117" s="15" t="s">
        <v>375</v>
      </c>
      <c r="Q117" s="16">
        <v>22002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s="6" t="s">
        <v>121</v>
      </c>
      <c r="B118" s="11">
        <v>0</v>
      </c>
      <c r="C118" s="11">
        <v>0</v>
      </c>
      <c r="D118" s="11">
        <v>0</v>
      </c>
      <c r="E118" s="1">
        <v>5</v>
      </c>
      <c r="F118" s="1">
        <v>5</v>
      </c>
      <c r="G118" s="1">
        <v>5</v>
      </c>
      <c r="H118" s="1">
        <v>2</v>
      </c>
      <c r="I118" s="1">
        <v>3</v>
      </c>
      <c r="N118" s="15" t="s">
        <v>65</v>
      </c>
      <c r="O118" s="15" t="s">
        <v>467</v>
      </c>
      <c r="P118" s="15" t="s">
        <v>65</v>
      </c>
      <c r="Q118" s="16">
        <v>30101</v>
      </c>
      <c r="R118">
        <v>196</v>
      </c>
      <c r="S118">
        <v>213</v>
      </c>
      <c r="T118">
        <v>286</v>
      </c>
      <c r="U118">
        <v>321</v>
      </c>
      <c r="V118">
        <v>350</v>
      </c>
      <c r="W118">
        <v>319</v>
      </c>
    </row>
    <row r="119" spans="1:23">
      <c r="A119" s="6" t="s">
        <v>122</v>
      </c>
      <c r="B119" s="11">
        <v>0</v>
      </c>
      <c r="C119" s="11">
        <v>0</v>
      </c>
      <c r="D119" s="1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N119" s="15" t="s">
        <v>65</v>
      </c>
      <c r="O119" s="15" t="s">
        <v>468</v>
      </c>
      <c r="P119" s="15" t="s">
        <v>55</v>
      </c>
      <c r="Q119" s="16">
        <v>30201</v>
      </c>
      <c r="R119">
        <v>10</v>
      </c>
      <c r="S119">
        <v>19</v>
      </c>
      <c r="T119">
        <v>10</v>
      </c>
      <c r="U119">
        <v>7</v>
      </c>
      <c r="V119">
        <v>5</v>
      </c>
      <c r="W119">
        <v>2</v>
      </c>
    </row>
    <row r="120" spans="1:23">
      <c r="A120" s="6" t="s">
        <v>123</v>
      </c>
      <c r="B120" s="11">
        <v>0</v>
      </c>
      <c r="C120" s="11">
        <v>0</v>
      </c>
      <c r="D120" s="11">
        <v>0</v>
      </c>
      <c r="E120" s="1">
        <v>1</v>
      </c>
      <c r="F120" s="1">
        <v>0</v>
      </c>
      <c r="G120" s="1">
        <v>1</v>
      </c>
      <c r="H120" s="1">
        <v>0</v>
      </c>
      <c r="I120" s="1">
        <v>0</v>
      </c>
      <c r="N120" s="15" t="s">
        <v>65</v>
      </c>
      <c r="O120" s="15" t="s">
        <v>468</v>
      </c>
      <c r="P120" s="15" t="s">
        <v>71</v>
      </c>
      <c r="Q120" s="16">
        <v>30202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1</v>
      </c>
    </row>
    <row r="121" spans="1:23">
      <c r="A121" s="6" t="s">
        <v>124</v>
      </c>
      <c r="B121" s="11">
        <v>77</v>
      </c>
      <c r="C121" s="11">
        <v>115</v>
      </c>
      <c r="D121" s="11">
        <v>153</v>
      </c>
      <c r="E121" s="1">
        <v>223</v>
      </c>
      <c r="F121" s="1">
        <v>285</v>
      </c>
      <c r="G121" s="1">
        <v>391</v>
      </c>
      <c r="H121" s="1">
        <v>391</v>
      </c>
      <c r="I121" s="1">
        <v>388</v>
      </c>
      <c r="N121" s="15" t="s">
        <v>65</v>
      </c>
      <c r="O121" s="15" t="s">
        <v>468</v>
      </c>
      <c r="P121" s="15" t="s">
        <v>70</v>
      </c>
      <c r="Q121" s="16">
        <v>30203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</row>
    <row r="122" spans="1:23">
      <c r="A122" s="6" t="s">
        <v>125</v>
      </c>
      <c r="B122" s="11">
        <v>1</v>
      </c>
      <c r="C122" s="11">
        <v>3</v>
      </c>
      <c r="D122" s="11">
        <v>1</v>
      </c>
      <c r="E122" s="1">
        <v>4</v>
      </c>
      <c r="F122" s="1">
        <v>6</v>
      </c>
      <c r="G122" s="1">
        <v>8</v>
      </c>
      <c r="H122" s="1">
        <v>9</v>
      </c>
      <c r="I122" s="1">
        <v>10</v>
      </c>
      <c r="N122" s="15" t="s">
        <v>65</v>
      </c>
      <c r="O122" s="15" t="s">
        <v>394</v>
      </c>
      <c r="P122" s="15" t="s">
        <v>469</v>
      </c>
      <c r="Q122" s="16">
        <v>30301</v>
      </c>
      <c r="R122">
        <v>0</v>
      </c>
      <c r="S122">
        <v>0</v>
      </c>
      <c r="T122">
        <v>0</v>
      </c>
      <c r="U122">
        <v>2</v>
      </c>
      <c r="V122">
        <v>1</v>
      </c>
      <c r="W122">
        <v>4</v>
      </c>
    </row>
    <row r="123" spans="1:23">
      <c r="A123" s="6" t="s">
        <v>126</v>
      </c>
      <c r="B123" s="11">
        <v>1</v>
      </c>
      <c r="C123" s="11">
        <v>0</v>
      </c>
      <c r="D123" s="1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N123" s="15" t="s">
        <v>65</v>
      </c>
      <c r="O123" s="15" t="s">
        <v>394</v>
      </c>
      <c r="P123" s="15" t="s">
        <v>69</v>
      </c>
      <c r="Q123" s="16">
        <v>30302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</row>
    <row r="124" spans="1:23">
      <c r="A124" s="6" t="s">
        <v>127</v>
      </c>
      <c r="B124" s="11">
        <v>0</v>
      </c>
      <c r="C124" s="11">
        <v>0</v>
      </c>
      <c r="D124" s="1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N124" s="15" t="s">
        <v>65</v>
      </c>
      <c r="O124" s="15" t="s">
        <v>394</v>
      </c>
      <c r="P124" s="15" t="s">
        <v>381</v>
      </c>
      <c r="Q124" s="16">
        <v>30303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s="6" t="s">
        <v>128</v>
      </c>
      <c r="B125" s="11">
        <v>1</v>
      </c>
      <c r="C125" s="11">
        <v>2</v>
      </c>
      <c r="D125" s="11">
        <v>0</v>
      </c>
      <c r="E125" s="1">
        <v>1</v>
      </c>
      <c r="F125" s="1">
        <v>2</v>
      </c>
      <c r="G125" s="1">
        <v>0</v>
      </c>
      <c r="H125" s="1">
        <v>0</v>
      </c>
      <c r="I125" s="1">
        <v>1</v>
      </c>
      <c r="N125" s="15" t="s">
        <v>65</v>
      </c>
      <c r="O125" s="15" t="s">
        <v>471</v>
      </c>
      <c r="P125" s="15" t="s">
        <v>86</v>
      </c>
      <c r="Q125" s="16">
        <v>30401</v>
      </c>
      <c r="R125">
        <v>1</v>
      </c>
      <c r="S125">
        <v>2</v>
      </c>
      <c r="T125">
        <v>1</v>
      </c>
      <c r="U125">
        <v>0</v>
      </c>
      <c r="V125">
        <v>3</v>
      </c>
      <c r="W125">
        <v>2</v>
      </c>
    </row>
    <row r="126" spans="1:23">
      <c r="A126" s="6" t="s">
        <v>129</v>
      </c>
      <c r="B126" s="11">
        <v>0</v>
      </c>
      <c r="C126" s="11">
        <v>0</v>
      </c>
      <c r="D126" s="11">
        <v>0</v>
      </c>
      <c r="E126" s="1">
        <v>0</v>
      </c>
      <c r="F126" s="1">
        <v>1</v>
      </c>
      <c r="G126" s="1">
        <v>1</v>
      </c>
      <c r="H126" s="1">
        <v>3</v>
      </c>
      <c r="I126" s="1">
        <v>2</v>
      </c>
      <c r="N126" s="15" t="s">
        <v>65</v>
      </c>
      <c r="O126" s="15" t="s">
        <v>471</v>
      </c>
      <c r="P126" s="15" t="s">
        <v>57</v>
      </c>
      <c r="Q126" s="16">
        <v>30402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</row>
    <row r="127" spans="1:23">
      <c r="A127" s="6" t="s">
        <v>130</v>
      </c>
      <c r="B127" s="11">
        <v>1</v>
      </c>
      <c r="C127" s="11">
        <v>0</v>
      </c>
      <c r="D127" s="1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N127" s="15" t="s">
        <v>65</v>
      </c>
      <c r="O127" s="15" t="s">
        <v>471</v>
      </c>
      <c r="P127" s="15" t="s">
        <v>59</v>
      </c>
      <c r="Q127" s="16">
        <v>30403</v>
      </c>
      <c r="R127">
        <v>0</v>
      </c>
      <c r="S127">
        <v>0</v>
      </c>
      <c r="T127">
        <v>0</v>
      </c>
      <c r="U127">
        <v>4</v>
      </c>
      <c r="V127">
        <v>1</v>
      </c>
      <c r="W127">
        <v>0</v>
      </c>
    </row>
    <row r="128" spans="1:23">
      <c r="A128" s="6" t="s">
        <v>131</v>
      </c>
      <c r="B128" s="11">
        <v>0</v>
      </c>
      <c r="C128" s="11">
        <v>0</v>
      </c>
      <c r="D128" s="11">
        <v>1</v>
      </c>
      <c r="E128" s="1">
        <v>0</v>
      </c>
      <c r="F128" s="1">
        <v>0</v>
      </c>
      <c r="G128" s="1">
        <v>1</v>
      </c>
      <c r="H128" s="1">
        <v>1</v>
      </c>
      <c r="I128" s="1">
        <v>1</v>
      </c>
      <c r="N128" s="15" t="s">
        <v>65</v>
      </c>
      <c r="O128" s="15" t="s">
        <v>471</v>
      </c>
      <c r="P128" s="15" t="s">
        <v>78</v>
      </c>
      <c r="Q128" s="16">
        <v>30404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</row>
    <row r="129" spans="1:23">
      <c r="A129" s="6" t="s">
        <v>132</v>
      </c>
      <c r="B129" s="11">
        <v>1</v>
      </c>
      <c r="C129" s="11">
        <v>0</v>
      </c>
      <c r="D129" s="11">
        <v>0</v>
      </c>
      <c r="E129" s="1">
        <v>4</v>
      </c>
      <c r="F129" s="1">
        <v>7</v>
      </c>
      <c r="G129" s="1">
        <v>3</v>
      </c>
      <c r="H129" s="1">
        <v>2</v>
      </c>
      <c r="I129" s="1">
        <v>5</v>
      </c>
      <c r="N129" s="15" t="s">
        <v>65</v>
      </c>
      <c r="O129" s="15" t="s">
        <v>58</v>
      </c>
      <c r="P129" s="15" t="s">
        <v>58</v>
      </c>
      <c r="Q129" s="16">
        <v>30501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1</v>
      </c>
    </row>
    <row r="130" spans="1:23">
      <c r="A130" s="6" t="s">
        <v>133</v>
      </c>
      <c r="B130" s="11">
        <v>139</v>
      </c>
      <c r="C130" s="11">
        <v>157</v>
      </c>
      <c r="D130" s="11">
        <v>182</v>
      </c>
      <c r="E130" s="1">
        <v>224</v>
      </c>
      <c r="F130" s="1">
        <v>270</v>
      </c>
      <c r="G130" s="1">
        <v>299</v>
      </c>
      <c r="H130" s="1">
        <v>298</v>
      </c>
      <c r="I130" s="1">
        <v>298</v>
      </c>
      <c r="N130" s="15" t="s">
        <v>65</v>
      </c>
      <c r="O130" s="15" t="s">
        <v>58</v>
      </c>
      <c r="P130" s="15" t="s">
        <v>92</v>
      </c>
      <c r="Q130" s="16">
        <v>30502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</row>
    <row r="131" spans="1:23">
      <c r="A131" s="6" t="s">
        <v>134</v>
      </c>
      <c r="B131" s="11">
        <v>0</v>
      </c>
      <c r="C131" s="11">
        <v>0</v>
      </c>
      <c r="D131" s="11">
        <v>0</v>
      </c>
      <c r="E131" s="1">
        <v>1</v>
      </c>
      <c r="F131" s="1">
        <v>2</v>
      </c>
      <c r="G131" s="1">
        <v>0</v>
      </c>
      <c r="H131" s="1">
        <v>1</v>
      </c>
      <c r="I131" s="1">
        <v>0</v>
      </c>
      <c r="N131" s="15" t="s">
        <v>65</v>
      </c>
      <c r="O131" s="15" t="s">
        <v>60</v>
      </c>
      <c r="P131" s="15" t="s">
        <v>60</v>
      </c>
      <c r="Q131" s="16">
        <v>30601</v>
      </c>
      <c r="R131">
        <v>0</v>
      </c>
      <c r="S131">
        <v>0</v>
      </c>
      <c r="T131">
        <v>0</v>
      </c>
      <c r="U131">
        <v>2</v>
      </c>
      <c r="V131">
        <v>2</v>
      </c>
      <c r="W131">
        <v>1</v>
      </c>
    </row>
    <row r="132" spans="1:23">
      <c r="A132" s="6" t="s">
        <v>135</v>
      </c>
      <c r="B132" s="11">
        <v>0</v>
      </c>
      <c r="C132" s="11">
        <v>0</v>
      </c>
      <c r="D132" s="11">
        <v>0</v>
      </c>
      <c r="E132" s="1">
        <v>0</v>
      </c>
      <c r="F132" s="1">
        <v>1</v>
      </c>
      <c r="G132" s="1">
        <v>0</v>
      </c>
      <c r="H132" s="1">
        <v>2</v>
      </c>
      <c r="I132" s="1">
        <v>1</v>
      </c>
      <c r="N132" s="15" t="s">
        <v>65</v>
      </c>
      <c r="O132" s="15" t="s">
        <v>60</v>
      </c>
      <c r="P132" s="15" t="s">
        <v>84</v>
      </c>
      <c r="Q132" s="16">
        <v>30602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1</v>
      </c>
    </row>
    <row r="133" spans="1:23">
      <c r="A133" s="6" t="s">
        <v>136</v>
      </c>
      <c r="B133" s="11">
        <v>0</v>
      </c>
      <c r="C133" s="11">
        <v>0</v>
      </c>
      <c r="D133" s="1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0</v>
      </c>
      <c r="N133" s="15" t="s">
        <v>65</v>
      </c>
      <c r="O133" s="15" t="s">
        <v>62</v>
      </c>
      <c r="P133" s="15" t="s">
        <v>62</v>
      </c>
      <c r="Q133" s="16">
        <v>30701</v>
      </c>
      <c r="R133">
        <v>0</v>
      </c>
      <c r="S133">
        <v>2</v>
      </c>
      <c r="T133">
        <v>1</v>
      </c>
      <c r="U133">
        <v>0</v>
      </c>
      <c r="V133">
        <v>0</v>
      </c>
      <c r="W133">
        <v>3</v>
      </c>
    </row>
    <row r="134" spans="1:23">
      <c r="A134" s="6" t="s">
        <v>137</v>
      </c>
      <c r="B134" s="11">
        <v>0</v>
      </c>
      <c r="C134" s="11">
        <v>0</v>
      </c>
      <c r="D134" s="11">
        <v>0</v>
      </c>
      <c r="E134" s="1">
        <v>0</v>
      </c>
      <c r="F134" s="1">
        <v>2</v>
      </c>
      <c r="G134" s="1">
        <v>1</v>
      </c>
      <c r="H134" s="1">
        <v>4</v>
      </c>
      <c r="I134" s="1">
        <v>0</v>
      </c>
      <c r="N134" s="15" t="s">
        <v>65</v>
      </c>
      <c r="O134" s="15" t="s">
        <v>62</v>
      </c>
      <c r="P134" s="15" t="s">
        <v>80</v>
      </c>
      <c r="Q134" s="16">
        <v>30702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1</v>
      </c>
    </row>
    <row r="135" spans="1:23">
      <c r="A135" s="6" t="s">
        <v>138</v>
      </c>
      <c r="B135" s="11">
        <v>0</v>
      </c>
      <c r="C135" s="11">
        <v>0</v>
      </c>
      <c r="D135" s="11">
        <v>0</v>
      </c>
      <c r="E135" s="1">
        <v>0</v>
      </c>
      <c r="F135" s="1">
        <v>1</v>
      </c>
      <c r="G135" s="1">
        <v>0</v>
      </c>
      <c r="H135" s="1">
        <v>2</v>
      </c>
      <c r="I135" s="1">
        <v>0</v>
      </c>
      <c r="N135" s="15" t="s">
        <v>65</v>
      </c>
      <c r="O135" s="15" t="s">
        <v>62</v>
      </c>
      <c r="P135" s="15" t="s">
        <v>81</v>
      </c>
      <c r="Q135" s="16">
        <v>30703</v>
      </c>
      <c r="R135">
        <v>0</v>
      </c>
      <c r="S135">
        <v>1</v>
      </c>
      <c r="T135">
        <v>0</v>
      </c>
      <c r="U135">
        <v>1</v>
      </c>
      <c r="V135">
        <v>2</v>
      </c>
      <c r="W135">
        <v>2</v>
      </c>
    </row>
    <row r="136" spans="1:23">
      <c r="A136" s="6" t="s">
        <v>139</v>
      </c>
      <c r="B136" s="11">
        <v>0</v>
      </c>
      <c r="C136" s="11">
        <v>0</v>
      </c>
      <c r="D136" s="1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N136" s="15" t="s">
        <v>65</v>
      </c>
      <c r="O136" s="15" t="s">
        <v>475</v>
      </c>
      <c r="P136" s="15" t="s">
        <v>64</v>
      </c>
      <c r="Q136" s="16">
        <v>30801</v>
      </c>
      <c r="R136">
        <v>1</v>
      </c>
      <c r="S136">
        <v>1</v>
      </c>
      <c r="T136">
        <v>3</v>
      </c>
      <c r="U136">
        <v>5</v>
      </c>
      <c r="V136">
        <v>5</v>
      </c>
      <c r="W136">
        <v>3</v>
      </c>
    </row>
    <row r="137" spans="1:23">
      <c r="A137" s="6" t="s">
        <v>140</v>
      </c>
      <c r="B137" s="11">
        <v>0</v>
      </c>
      <c r="C137" s="11">
        <v>0</v>
      </c>
      <c r="D137" s="11">
        <v>0</v>
      </c>
      <c r="E137" s="1">
        <v>0</v>
      </c>
      <c r="F137" s="1">
        <v>1</v>
      </c>
      <c r="G137" s="1">
        <v>1</v>
      </c>
      <c r="H137" s="1">
        <v>5</v>
      </c>
      <c r="I137" s="1">
        <v>5</v>
      </c>
      <c r="N137" s="15" t="s">
        <v>65</v>
      </c>
      <c r="O137" s="15" t="s">
        <v>475</v>
      </c>
      <c r="P137" s="15" t="s">
        <v>342</v>
      </c>
      <c r="Q137" s="16">
        <v>30802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</row>
    <row r="138" spans="1:23">
      <c r="A138" s="6" t="s">
        <v>141</v>
      </c>
      <c r="B138" s="11">
        <v>0</v>
      </c>
      <c r="C138" s="11">
        <v>0</v>
      </c>
      <c r="D138" s="11">
        <v>0</v>
      </c>
      <c r="E138" s="1">
        <v>4</v>
      </c>
      <c r="F138" s="1">
        <v>2</v>
      </c>
      <c r="G138" s="1">
        <v>5</v>
      </c>
      <c r="H138" s="1">
        <v>4</v>
      </c>
      <c r="I138" s="1">
        <v>4</v>
      </c>
      <c r="N138" s="15" t="s">
        <v>65</v>
      </c>
      <c r="O138" s="15" t="s">
        <v>475</v>
      </c>
      <c r="P138" s="15" t="s">
        <v>90</v>
      </c>
      <c r="Q138" s="16">
        <v>30803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2</v>
      </c>
    </row>
    <row r="139" spans="1:23">
      <c r="A139" s="6" t="s">
        <v>142</v>
      </c>
      <c r="B139" s="11">
        <v>0</v>
      </c>
      <c r="C139" s="11">
        <v>0</v>
      </c>
      <c r="D139" s="1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N139" s="15" t="s">
        <v>65</v>
      </c>
      <c r="O139" s="15" t="s">
        <v>76</v>
      </c>
      <c r="P139" s="15" t="s">
        <v>76</v>
      </c>
      <c r="Q139" s="16">
        <v>30901</v>
      </c>
      <c r="R139">
        <v>23</v>
      </c>
      <c r="S139">
        <v>14</v>
      </c>
      <c r="T139">
        <v>16</v>
      </c>
      <c r="U139">
        <v>40</v>
      </c>
      <c r="V139">
        <v>63</v>
      </c>
      <c r="W139">
        <v>31</v>
      </c>
    </row>
    <row r="140" spans="1:23">
      <c r="A140" s="6" t="s">
        <v>143</v>
      </c>
      <c r="B140" s="11">
        <v>1</v>
      </c>
      <c r="C140" s="11">
        <v>2</v>
      </c>
      <c r="D140" s="11">
        <v>6</v>
      </c>
      <c r="E140" s="1">
        <v>4</v>
      </c>
      <c r="F140" s="1">
        <v>1</v>
      </c>
      <c r="G140" s="1">
        <v>1</v>
      </c>
      <c r="H140" s="1">
        <v>2</v>
      </c>
      <c r="I140" s="1">
        <v>1</v>
      </c>
      <c r="N140" s="15" t="s">
        <v>65</v>
      </c>
      <c r="O140" s="15" t="s">
        <v>76</v>
      </c>
      <c r="P140" s="15" t="s">
        <v>327</v>
      </c>
      <c r="Q140" s="16">
        <v>30902</v>
      </c>
      <c r="R140">
        <v>2</v>
      </c>
      <c r="S140">
        <v>0</v>
      </c>
      <c r="T140">
        <v>0</v>
      </c>
      <c r="U140">
        <v>2</v>
      </c>
      <c r="V140">
        <v>7</v>
      </c>
      <c r="W140">
        <v>9</v>
      </c>
    </row>
    <row r="141" spans="1:23">
      <c r="A141" s="6" t="s">
        <v>144</v>
      </c>
      <c r="B141" s="11">
        <v>0</v>
      </c>
      <c r="C141" s="11">
        <v>0</v>
      </c>
      <c r="D141" s="11">
        <v>0</v>
      </c>
      <c r="E141" s="1">
        <v>1</v>
      </c>
      <c r="F141" s="1">
        <v>5</v>
      </c>
      <c r="G141" s="1">
        <v>0</v>
      </c>
      <c r="H141" s="1">
        <v>0</v>
      </c>
      <c r="I141" s="1">
        <v>1</v>
      </c>
      <c r="N141" s="15" t="s">
        <v>65</v>
      </c>
      <c r="O141" s="15" t="s">
        <v>76</v>
      </c>
      <c r="P141" s="15" t="s">
        <v>87</v>
      </c>
      <c r="Q141" s="16">
        <v>30903</v>
      </c>
      <c r="R141">
        <v>6</v>
      </c>
      <c r="S141">
        <v>6</v>
      </c>
      <c r="T141">
        <v>6</v>
      </c>
      <c r="U141">
        <v>20</v>
      </c>
      <c r="V141">
        <v>10</v>
      </c>
      <c r="W141">
        <v>11</v>
      </c>
    </row>
    <row r="142" spans="1:23">
      <c r="A142" s="6" t="s">
        <v>145</v>
      </c>
      <c r="B142" s="11">
        <v>0</v>
      </c>
      <c r="C142" s="11">
        <v>0</v>
      </c>
      <c r="D142" s="11">
        <v>0</v>
      </c>
      <c r="E142" s="1">
        <v>0</v>
      </c>
      <c r="F142" s="1">
        <v>0</v>
      </c>
      <c r="G142" s="1">
        <v>1</v>
      </c>
      <c r="H142" s="1">
        <v>3</v>
      </c>
      <c r="I142" s="1">
        <v>0</v>
      </c>
      <c r="N142" s="15" t="s">
        <v>65</v>
      </c>
      <c r="O142" s="15" t="s">
        <v>76</v>
      </c>
      <c r="P142" s="15" t="s">
        <v>96</v>
      </c>
      <c r="Q142" s="16">
        <v>30904</v>
      </c>
      <c r="R142">
        <v>3</v>
      </c>
      <c r="S142">
        <v>2</v>
      </c>
      <c r="T142">
        <v>6</v>
      </c>
      <c r="U142">
        <v>17</v>
      </c>
      <c r="V142">
        <v>14</v>
      </c>
      <c r="W142">
        <v>20</v>
      </c>
    </row>
    <row r="143" spans="1:23">
      <c r="A143" s="6" t="s">
        <v>146</v>
      </c>
      <c r="B143" s="11">
        <v>0</v>
      </c>
      <c r="C143" s="11">
        <v>0</v>
      </c>
      <c r="D143" s="11">
        <v>0</v>
      </c>
      <c r="E143" s="1">
        <v>0</v>
      </c>
      <c r="F143" s="1">
        <v>0</v>
      </c>
      <c r="G143" s="1">
        <v>4</v>
      </c>
      <c r="H143" s="1">
        <v>0</v>
      </c>
      <c r="I143" s="1">
        <v>1</v>
      </c>
      <c r="N143" s="15" t="s">
        <v>65</v>
      </c>
      <c r="O143" s="15" t="s">
        <v>76</v>
      </c>
      <c r="P143" s="15" t="s">
        <v>66</v>
      </c>
      <c r="Q143" s="16">
        <v>30905</v>
      </c>
      <c r="R143">
        <v>4</v>
      </c>
      <c r="S143">
        <v>6</v>
      </c>
      <c r="T143">
        <v>5</v>
      </c>
      <c r="U143">
        <v>12</v>
      </c>
      <c r="V143">
        <v>17</v>
      </c>
      <c r="W143">
        <v>20</v>
      </c>
    </row>
    <row r="144" spans="1:23">
      <c r="A144" s="6" t="s">
        <v>147</v>
      </c>
      <c r="B144" s="11">
        <v>0</v>
      </c>
      <c r="C144" s="11">
        <v>0</v>
      </c>
      <c r="D144" s="11">
        <v>0</v>
      </c>
      <c r="E144" s="1">
        <v>1</v>
      </c>
      <c r="F144" s="1">
        <v>0</v>
      </c>
      <c r="G144" s="1">
        <v>0</v>
      </c>
      <c r="H144" s="1">
        <v>1</v>
      </c>
      <c r="I144" s="1">
        <v>1</v>
      </c>
      <c r="N144" s="15" t="s">
        <v>65</v>
      </c>
      <c r="O144" s="15" t="s">
        <v>476</v>
      </c>
      <c r="P144" s="15" t="s">
        <v>77</v>
      </c>
      <c r="Q144" s="16">
        <v>31001</v>
      </c>
      <c r="R144">
        <v>13</v>
      </c>
      <c r="S144">
        <v>15</v>
      </c>
      <c r="T144">
        <v>12</v>
      </c>
      <c r="U144">
        <v>26</v>
      </c>
      <c r="V144">
        <v>53</v>
      </c>
      <c r="W144">
        <v>65</v>
      </c>
    </row>
    <row r="145" spans="1:23">
      <c r="A145" s="6" t="s">
        <v>148</v>
      </c>
      <c r="B145" s="11">
        <v>0</v>
      </c>
      <c r="C145" s="11">
        <v>0</v>
      </c>
      <c r="D145" s="1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N145" s="15" t="s">
        <v>65</v>
      </c>
      <c r="O145" s="15" t="s">
        <v>476</v>
      </c>
      <c r="P145" s="15" t="s">
        <v>67</v>
      </c>
      <c r="Q145" s="16">
        <v>31002</v>
      </c>
      <c r="R145">
        <v>0</v>
      </c>
      <c r="S145">
        <v>1</v>
      </c>
      <c r="T145">
        <v>0</v>
      </c>
      <c r="U145">
        <v>2</v>
      </c>
      <c r="V145">
        <v>5</v>
      </c>
      <c r="W145">
        <v>3</v>
      </c>
    </row>
    <row r="146" spans="1:23">
      <c r="A146" s="6" t="s">
        <v>149</v>
      </c>
      <c r="B146" s="11">
        <v>0</v>
      </c>
      <c r="C146" s="11">
        <v>0</v>
      </c>
      <c r="D146" s="1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N146" s="15" t="s">
        <v>65</v>
      </c>
      <c r="O146" s="15" t="s">
        <v>476</v>
      </c>
      <c r="P146" s="15" t="s">
        <v>95</v>
      </c>
      <c r="Q146" s="16">
        <v>31003</v>
      </c>
      <c r="R146">
        <v>6</v>
      </c>
      <c r="S146">
        <v>5</v>
      </c>
      <c r="T146">
        <v>9</v>
      </c>
      <c r="U146">
        <v>19</v>
      </c>
      <c r="V146">
        <v>21</v>
      </c>
      <c r="W146">
        <v>18</v>
      </c>
    </row>
    <row r="147" spans="1:23">
      <c r="A147" s="6" t="s">
        <v>150</v>
      </c>
      <c r="B147" s="11">
        <v>0</v>
      </c>
      <c r="C147" s="11">
        <v>2</v>
      </c>
      <c r="D147" s="11">
        <v>0</v>
      </c>
      <c r="E147" s="1">
        <v>0</v>
      </c>
      <c r="F147" s="1">
        <v>0</v>
      </c>
      <c r="G147" s="1">
        <v>2</v>
      </c>
      <c r="H147" s="1">
        <v>1</v>
      </c>
      <c r="I147" s="1">
        <v>0</v>
      </c>
      <c r="N147" s="15" t="s">
        <v>65</v>
      </c>
      <c r="O147" s="15" t="s">
        <v>85</v>
      </c>
      <c r="P147" s="15" t="s">
        <v>85</v>
      </c>
      <c r="Q147" s="16">
        <v>31101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2</v>
      </c>
    </row>
    <row r="148" spans="1:23">
      <c r="A148" s="6" t="s">
        <v>151</v>
      </c>
      <c r="B148" s="11">
        <v>0</v>
      </c>
      <c r="C148" s="11">
        <v>0</v>
      </c>
      <c r="D148" s="11">
        <v>0</v>
      </c>
      <c r="E148" s="1">
        <v>3</v>
      </c>
      <c r="F148" s="1">
        <v>1</v>
      </c>
      <c r="G148" s="1">
        <v>1</v>
      </c>
      <c r="H148" s="1">
        <v>2</v>
      </c>
      <c r="I148" s="1">
        <v>4</v>
      </c>
      <c r="N148" s="15" t="s">
        <v>65</v>
      </c>
      <c r="O148" s="15" t="s">
        <v>477</v>
      </c>
      <c r="P148" s="15" t="s">
        <v>91</v>
      </c>
      <c r="Q148" s="16">
        <v>31201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1</v>
      </c>
    </row>
    <row r="149" spans="1:23">
      <c r="A149" s="6" t="s">
        <v>152</v>
      </c>
      <c r="B149" s="11">
        <v>0</v>
      </c>
      <c r="C149" s="11">
        <v>0</v>
      </c>
      <c r="D149" s="11">
        <v>0</v>
      </c>
      <c r="E149" s="1">
        <v>0</v>
      </c>
      <c r="F149" s="1">
        <v>2</v>
      </c>
      <c r="G149" s="1">
        <v>1</v>
      </c>
      <c r="H149" s="1">
        <v>1</v>
      </c>
      <c r="I149" s="1">
        <v>0</v>
      </c>
      <c r="N149" s="15" t="s">
        <v>65</v>
      </c>
      <c r="O149" s="15" t="s">
        <v>477</v>
      </c>
      <c r="P149" s="15" t="s">
        <v>73</v>
      </c>
      <c r="Q149" s="16">
        <v>31202</v>
      </c>
      <c r="R149">
        <v>0</v>
      </c>
      <c r="S149">
        <v>0</v>
      </c>
      <c r="T149">
        <v>0</v>
      </c>
      <c r="U149">
        <v>28</v>
      </c>
      <c r="V149">
        <v>20</v>
      </c>
      <c r="W149">
        <v>18</v>
      </c>
    </row>
    <row r="150" spans="1:23">
      <c r="A150" s="6" t="s">
        <v>153</v>
      </c>
      <c r="B150" s="11">
        <v>0</v>
      </c>
      <c r="C150" s="11">
        <v>0</v>
      </c>
      <c r="D150" s="1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1</v>
      </c>
      <c r="N150" s="15" t="s">
        <v>65</v>
      </c>
      <c r="O150" s="15" t="s">
        <v>477</v>
      </c>
      <c r="P150" s="15" t="s">
        <v>72</v>
      </c>
      <c r="Q150" s="16">
        <v>31203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4</v>
      </c>
    </row>
    <row r="151" spans="1:23">
      <c r="A151" s="6" t="s">
        <v>154</v>
      </c>
      <c r="B151" s="11">
        <v>0</v>
      </c>
      <c r="C151" s="11">
        <v>0</v>
      </c>
      <c r="D151" s="11">
        <v>0</v>
      </c>
      <c r="E151" s="1">
        <v>0</v>
      </c>
      <c r="F151" s="1">
        <v>0</v>
      </c>
      <c r="G151" s="1">
        <v>2</v>
      </c>
      <c r="H151" s="1">
        <v>1</v>
      </c>
      <c r="I151" s="1">
        <v>0</v>
      </c>
      <c r="N151" s="15" t="s">
        <v>65</v>
      </c>
      <c r="O151" s="15" t="s">
        <v>477</v>
      </c>
      <c r="P151" s="15" t="s">
        <v>63</v>
      </c>
      <c r="Q151" s="16">
        <v>31204</v>
      </c>
      <c r="R151">
        <v>7</v>
      </c>
      <c r="S151">
        <v>2</v>
      </c>
      <c r="T151">
        <v>2</v>
      </c>
      <c r="U151">
        <v>20</v>
      </c>
      <c r="V151">
        <v>9</v>
      </c>
      <c r="W151">
        <v>18</v>
      </c>
    </row>
    <row r="152" spans="1:23">
      <c r="A152" s="6" t="s">
        <v>155</v>
      </c>
      <c r="B152" s="11">
        <v>0</v>
      </c>
      <c r="C152" s="11">
        <v>0</v>
      </c>
      <c r="D152" s="11">
        <v>0</v>
      </c>
      <c r="E152" s="1">
        <v>2</v>
      </c>
      <c r="F152" s="1">
        <v>0</v>
      </c>
      <c r="G152" s="1">
        <v>1</v>
      </c>
      <c r="H152" s="1">
        <v>1</v>
      </c>
      <c r="I152" s="1">
        <v>2</v>
      </c>
      <c r="N152" s="15" t="s">
        <v>65</v>
      </c>
      <c r="O152" s="15" t="s">
        <v>477</v>
      </c>
      <c r="P152" s="15" t="s">
        <v>74</v>
      </c>
      <c r="Q152" s="16">
        <v>31205</v>
      </c>
      <c r="R152">
        <v>1</v>
      </c>
      <c r="S152">
        <v>6</v>
      </c>
      <c r="T152">
        <v>4</v>
      </c>
      <c r="U152">
        <v>53</v>
      </c>
      <c r="V152">
        <v>77</v>
      </c>
      <c r="W152">
        <v>66</v>
      </c>
    </row>
    <row r="153" spans="1:23">
      <c r="A153" s="6" t="s">
        <v>156</v>
      </c>
      <c r="B153" s="11">
        <v>0</v>
      </c>
      <c r="C153" s="11">
        <v>0</v>
      </c>
      <c r="D153" s="1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1</v>
      </c>
      <c r="N153" s="15" t="s">
        <v>65</v>
      </c>
      <c r="O153" s="15" t="s">
        <v>477</v>
      </c>
      <c r="P153" s="15" t="s">
        <v>281</v>
      </c>
      <c r="Q153" s="16">
        <v>31206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s="6" t="s">
        <v>82</v>
      </c>
      <c r="B154" s="11">
        <v>0</v>
      </c>
      <c r="C154" s="11">
        <v>0</v>
      </c>
      <c r="D154" s="1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N154" s="15" t="s">
        <v>65</v>
      </c>
      <c r="O154" s="15" t="s">
        <v>68</v>
      </c>
      <c r="P154" s="15" t="s">
        <v>68</v>
      </c>
      <c r="Q154" s="16">
        <v>31301</v>
      </c>
      <c r="R154">
        <v>1</v>
      </c>
      <c r="S154">
        <v>1</v>
      </c>
      <c r="T154">
        <v>1</v>
      </c>
      <c r="U154">
        <v>6</v>
      </c>
      <c r="V154">
        <v>2</v>
      </c>
      <c r="W154">
        <v>1</v>
      </c>
    </row>
    <row r="155" spans="1:23">
      <c r="A155" s="6" t="s">
        <v>157</v>
      </c>
      <c r="B155" s="11">
        <v>0</v>
      </c>
      <c r="C155" s="11">
        <v>0</v>
      </c>
      <c r="D155" s="11">
        <v>0</v>
      </c>
      <c r="E155" s="1">
        <v>3</v>
      </c>
      <c r="F155" s="1">
        <v>1</v>
      </c>
      <c r="G155" s="1">
        <v>1</v>
      </c>
      <c r="H155" s="1">
        <v>4</v>
      </c>
      <c r="I155" s="1">
        <v>2</v>
      </c>
      <c r="N155" s="15" t="s">
        <v>65</v>
      </c>
      <c r="O155" s="15" t="s">
        <v>68</v>
      </c>
      <c r="P155" s="15" t="s">
        <v>93</v>
      </c>
      <c r="Q155" s="16">
        <v>31302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s="6" t="s">
        <v>158</v>
      </c>
      <c r="B156" s="11">
        <v>0</v>
      </c>
      <c r="C156" s="11">
        <v>0</v>
      </c>
      <c r="D156" s="11">
        <v>0</v>
      </c>
      <c r="E156" s="1">
        <v>0</v>
      </c>
      <c r="F156" s="1">
        <v>0</v>
      </c>
      <c r="G156" s="1">
        <v>2</v>
      </c>
      <c r="H156" s="1">
        <v>2</v>
      </c>
      <c r="I156" s="1">
        <v>3</v>
      </c>
      <c r="N156" s="15" t="s">
        <v>65</v>
      </c>
      <c r="O156" s="15" t="s">
        <v>68</v>
      </c>
      <c r="P156" s="15" t="s">
        <v>56</v>
      </c>
      <c r="Q156" s="16">
        <v>31303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 s="6" t="s">
        <v>159</v>
      </c>
      <c r="B157" s="11">
        <v>0</v>
      </c>
      <c r="C157" s="11">
        <v>0</v>
      </c>
      <c r="D157" s="11">
        <v>0</v>
      </c>
      <c r="E157" s="1">
        <v>0</v>
      </c>
      <c r="F157" s="1">
        <v>1</v>
      </c>
      <c r="G157" s="1">
        <v>2</v>
      </c>
      <c r="H157" s="1">
        <v>3</v>
      </c>
      <c r="I157" s="1">
        <v>1</v>
      </c>
      <c r="N157" s="15" t="s">
        <v>65</v>
      </c>
      <c r="O157" s="15" t="s">
        <v>68</v>
      </c>
      <c r="P157" s="15" t="s">
        <v>301</v>
      </c>
      <c r="Q157" s="16">
        <v>31304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s="6" t="s">
        <v>160</v>
      </c>
      <c r="B158" s="11">
        <v>0</v>
      </c>
      <c r="C158" s="11">
        <v>1</v>
      </c>
      <c r="D158" s="11">
        <v>1</v>
      </c>
      <c r="E158" s="1">
        <v>3</v>
      </c>
      <c r="F158" s="1">
        <v>4</v>
      </c>
      <c r="G158" s="1">
        <v>4</v>
      </c>
      <c r="H158" s="1">
        <v>1</v>
      </c>
      <c r="I158" s="1">
        <v>2</v>
      </c>
      <c r="N158" s="15" t="s">
        <v>65</v>
      </c>
      <c r="O158" s="15" t="s">
        <v>349</v>
      </c>
      <c r="P158" s="15" t="s">
        <v>349</v>
      </c>
      <c r="Q158" s="16">
        <v>31401</v>
      </c>
      <c r="R158">
        <v>3</v>
      </c>
      <c r="S158">
        <v>6</v>
      </c>
      <c r="T158">
        <v>1</v>
      </c>
      <c r="U158">
        <v>8</v>
      </c>
      <c r="V158">
        <v>6</v>
      </c>
      <c r="W158">
        <v>7</v>
      </c>
    </row>
    <row r="159" spans="1:23">
      <c r="A159" s="6" t="s">
        <v>161</v>
      </c>
      <c r="B159" s="11">
        <v>0</v>
      </c>
      <c r="C159" s="11">
        <v>0</v>
      </c>
      <c r="D159" s="1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N159" s="15" t="s">
        <v>65</v>
      </c>
      <c r="O159" s="15" t="s">
        <v>349</v>
      </c>
      <c r="P159" s="15" t="s">
        <v>94</v>
      </c>
      <c r="Q159" s="16">
        <v>31402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</row>
    <row r="160" spans="1:23">
      <c r="A160" s="6" t="s">
        <v>162</v>
      </c>
      <c r="B160" s="11">
        <v>2</v>
      </c>
      <c r="C160" s="11">
        <v>0</v>
      </c>
      <c r="D160" s="11">
        <v>6</v>
      </c>
      <c r="E160" s="1">
        <v>4</v>
      </c>
      <c r="F160" s="1">
        <v>11</v>
      </c>
      <c r="G160" s="1">
        <v>9</v>
      </c>
      <c r="H160" s="1">
        <v>12</v>
      </c>
      <c r="I160" s="1">
        <v>25</v>
      </c>
      <c r="N160" s="15" t="s">
        <v>65</v>
      </c>
      <c r="O160" s="15" t="s">
        <v>349</v>
      </c>
      <c r="P160" s="15" t="s">
        <v>311</v>
      </c>
      <c r="Q160" s="16">
        <v>31403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</row>
    <row r="161" spans="1:23">
      <c r="A161" s="6" t="s">
        <v>163</v>
      </c>
      <c r="B161" s="11">
        <v>0</v>
      </c>
      <c r="C161" s="11">
        <v>0</v>
      </c>
      <c r="D161" s="1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N161" s="15" t="s">
        <v>65</v>
      </c>
      <c r="O161" s="15" t="s">
        <v>349</v>
      </c>
      <c r="P161" s="15" t="s">
        <v>345</v>
      </c>
      <c r="Q161" s="16">
        <v>31404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s="6" t="s">
        <v>164</v>
      </c>
      <c r="B162" s="11">
        <v>0</v>
      </c>
      <c r="C162" s="11">
        <v>0</v>
      </c>
      <c r="D162" s="1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N162" s="15" t="s">
        <v>65</v>
      </c>
      <c r="O162" s="15" t="s">
        <v>349</v>
      </c>
      <c r="P162" s="15" t="s">
        <v>481</v>
      </c>
      <c r="Q162" s="16">
        <v>31405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s="6" t="s">
        <v>165</v>
      </c>
      <c r="B163" s="11">
        <v>0</v>
      </c>
      <c r="C163" s="11">
        <v>0</v>
      </c>
      <c r="D163" s="11">
        <v>0</v>
      </c>
      <c r="E163" s="1">
        <v>0</v>
      </c>
      <c r="F163" s="1">
        <v>2</v>
      </c>
      <c r="G163" s="1">
        <v>0</v>
      </c>
      <c r="H163" s="1">
        <v>0</v>
      </c>
      <c r="I163" s="1">
        <v>0</v>
      </c>
      <c r="N163" s="15" t="s">
        <v>65</v>
      </c>
      <c r="O163" s="15" t="s">
        <v>291</v>
      </c>
      <c r="P163" s="15" t="s">
        <v>291</v>
      </c>
      <c r="Q163" s="16">
        <v>31501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</row>
    <row r="164" spans="1:23">
      <c r="A164" s="4" t="s">
        <v>166</v>
      </c>
      <c r="B164" s="5">
        <v>34</v>
      </c>
      <c r="C164" s="5">
        <v>45</v>
      </c>
      <c r="D164" s="5">
        <v>57</v>
      </c>
      <c r="E164" s="5">
        <v>81</v>
      </c>
      <c r="F164" s="5">
        <v>87</v>
      </c>
      <c r="G164" s="5">
        <v>122</v>
      </c>
      <c r="H164" s="5">
        <v>129</v>
      </c>
      <c r="I164" s="5">
        <v>132</v>
      </c>
      <c r="N164" s="15" t="s">
        <v>65</v>
      </c>
      <c r="O164" s="15" t="s">
        <v>88</v>
      </c>
      <c r="P164" s="15" t="s">
        <v>88</v>
      </c>
      <c r="Q164" s="16">
        <v>31601</v>
      </c>
      <c r="R164">
        <v>0</v>
      </c>
      <c r="S164">
        <v>0</v>
      </c>
      <c r="T164">
        <v>1</v>
      </c>
      <c r="U164">
        <v>15</v>
      </c>
      <c r="V164">
        <v>11</v>
      </c>
      <c r="W164">
        <v>9</v>
      </c>
    </row>
    <row r="165" spans="1:23">
      <c r="A165" s="6" t="s">
        <v>167</v>
      </c>
      <c r="B165" s="11">
        <v>1</v>
      </c>
      <c r="C165" s="11">
        <v>2</v>
      </c>
      <c r="D165" s="11">
        <v>5</v>
      </c>
      <c r="E165" s="1">
        <v>2</v>
      </c>
      <c r="F165" s="1">
        <v>3</v>
      </c>
      <c r="G165" s="1">
        <v>0</v>
      </c>
      <c r="H165" s="1">
        <v>0</v>
      </c>
      <c r="I165" s="1">
        <v>0</v>
      </c>
      <c r="N165" s="15" t="s">
        <v>65</v>
      </c>
      <c r="O165" s="15" t="s">
        <v>88</v>
      </c>
      <c r="P165" s="15" t="s">
        <v>385</v>
      </c>
      <c r="Q165" s="16">
        <v>31602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 s="6" t="s">
        <v>168</v>
      </c>
      <c r="B166" s="11">
        <v>0</v>
      </c>
      <c r="C166" s="11">
        <v>0</v>
      </c>
      <c r="D166" s="1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N166" s="15" t="s">
        <v>179</v>
      </c>
      <c r="O166" s="15" t="s">
        <v>467</v>
      </c>
      <c r="P166" s="15" t="s">
        <v>179</v>
      </c>
      <c r="Q166" s="16">
        <v>40101</v>
      </c>
      <c r="R166">
        <v>31</v>
      </c>
      <c r="S166">
        <v>41</v>
      </c>
      <c r="T166">
        <v>44</v>
      </c>
      <c r="U166">
        <v>102</v>
      </c>
      <c r="V166">
        <v>114</v>
      </c>
      <c r="W166">
        <v>116</v>
      </c>
    </row>
    <row r="167" spans="1:23">
      <c r="A167" s="6" t="s">
        <v>169</v>
      </c>
      <c r="B167" s="11">
        <v>0</v>
      </c>
      <c r="C167" s="11">
        <v>0</v>
      </c>
      <c r="D167" s="1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2</v>
      </c>
      <c r="N167" s="15" t="s">
        <v>179</v>
      </c>
      <c r="O167" s="15" t="s">
        <v>467</v>
      </c>
      <c r="P167" s="15" t="s">
        <v>169</v>
      </c>
      <c r="Q167" s="16">
        <v>40102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2</v>
      </c>
    </row>
    <row r="168" spans="1:23">
      <c r="A168" s="6" t="s">
        <v>170</v>
      </c>
      <c r="B168" s="11">
        <v>0</v>
      </c>
      <c r="C168" s="11">
        <v>0</v>
      </c>
      <c r="D168" s="11">
        <v>2</v>
      </c>
      <c r="E168" s="1">
        <v>1</v>
      </c>
      <c r="F168" s="1">
        <v>0</v>
      </c>
      <c r="G168" s="1">
        <v>2</v>
      </c>
      <c r="H168" s="1">
        <v>7</v>
      </c>
      <c r="I168" s="1">
        <v>5</v>
      </c>
      <c r="N168" s="15" t="s">
        <v>179</v>
      </c>
      <c r="O168" s="15" t="s">
        <v>467</v>
      </c>
      <c r="P168" s="15" t="s">
        <v>173</v>
      </c>
      <c r="Q168" s="16">
        <v>40103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</row>
    <row r="169" spans="1:23">
      <c r="A169" s="6" t="s">
        <v>171</v>
      </c>
      <c r="B169" s="11">
        <v>0</v>
      </c>
      <c r="C169" s="11">
        <v>0</v>
      </c>
      <c r="D169" s="1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</v>
      </c>
      <c r="N169" s="15" t="s">
        <v>179</v>
      </c>
      <c r="O169" s="15" t="s">
        <v>467</v>
      </c>
      <c r="P169" s="15" t="s">
        <v>347</v>
      </c>
      <c r="Q169" s="16">
        <v>40104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s="6" t="s">
        <v>172</v>
      </c>
      <c r="B170" s="11">
        <v>0</v>
      </c>
      <c r="C170" s="11">
        <v>0</v>
      </c>
      <c r="D170" s="1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N170" s="15" t="s">
        <v>179</v>
      </c>
      <c r="O170" s="15" t="s">
        <v>483</v>
      </c>
      <c r="P170" s="15" t="s">
        <v>170</v>
      </c>
      <c r="Q170" s="16">
        <v>40201</v>
      </c>
      <c r="R170">
        <v>0</v>
      </c>
      <c r="S170">
        <v>0</v>
      </c>
      <c r="T170">
        <v>2</v>
      </c>
      <c r="U170">
        <v>2</v>
      </c>
      <c r="V170">
        <v>7</v>
      </c>
      <c r="W170">
        <v>5</v>
      </c>
    </row>
    <row r="171" spans="1:23">
      <c r="A171" s="6" t="s">
        <v>173</v>
      </c>
      <c r="B171" s="11">
        <v>0</v>
      </c>
      <c r="C171" s="11">
        <v>0</v>
      </c>
      <c r="D171" s="11">
        <v>0</v>
      </c>
      <c r="E171" s="1">
        <v>1</v>
      </c>
      <c r="F171" s="1">
        <v>0</v>
      </c>
      <c r="G171" s="1">
        <v>1</v>
      </c>
      <c r="H171" s="1">
        <v>0</v>
      </c>
      <c r="I171" s="1">
        <v>0</v>
      </c>
      <c r="N171" s="15" t="s">
        <v>179</v>
      </c>
      <c r="O171" s="15" t="s">
        <v>483</v>
      </c>
      <c r="P171" s="15" t="s">
        <v>184</v>
      </c>
      <c r="Q171" s="16">
        <v>40202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s="6" t="s">
        <v>174</v>
      </c>
      <c r="B172" s="11">
        <v>0</v>
      </c>
      <c r="C172" s="11">
        <v>0</v>
      </c>
      <c r="D172" s="1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N172" s="15" t="s">
        <v>179</v>
      </c>
      <c r="O172" s="15" t="s">
        <v>335</v>
      </c>
      <c r="P172" s="15" t="s">
        <v>171</v>
      </c>
      <c r="Q172" s="16">
        <v>40301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</row>
    <row r="173" spans="1:23">
      <c r="A173" s="6" t="s">
        <v>175</v>
      </c>
      <c r="B173" s="11">
        <v>0</v>
      </c>
      <c r="C173" s="11">
        <v>0</v>
      </c>
      <c r="D173" s="1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N173" s="15" t="s">
        <v>179</v>
      </c>
      <c r="O173" s="15" t="s">
        <v>335</v>
      </c>
      <c r="P173" s="15" t="s">
        <v>396</v>
      </c>
      <c r="Q173" s="16">
        <v>40302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s="6" t="s">
        <v>176</v>
      </c>
      <c r="B174" s="11">
        <v>0</v>
      </c>
      <c r="C174" s="11">
        <v>1</v>
      </c>
      <c r="D174" s="11">
        <v>3</v>
      </c>
      <c r="E174" s="1">
        <v>10</v>
      </c>
      <c r="F174" s="1">
        <v>2</v>
      </c>
      <c r="G174" s="1">
        <v>12</v>
      </c>
      <c r="H174" s="1">
        <v>4</v>
      </c>
      <c r="I174" s="1">
        <v>4</v>
      </c>
      <c r="N174" s="15" t="s">
        <v>179</v>
      </c>
      <c r="O174" s="15" t="s">
        <v>484</v>
      </c>
      <c r="P174" s="15" t="s">
        <v>172</v>
      </c>
      <c r="Q174" s="16">
        <v>40401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</row>
    <row r="175" spans="1:23">
      <c r="A175" s="6" t="s">
        <v>177</v>
      </c>
      <c r="B175" s="11">
        <v>0</v>
      </c>
      <c r="C175" s="11">
        <v>0</v>
      </c>
      <c r="D175" s="11">
        <v>0</v>
      </c>
      <c r="E175" s="1">
        <v>0</v>
      </c>
      <c r="F175" s="1">
        <v>0</v>
      </c>
      <c r="G175" s="1">
        <v>2</v>
      </c>
      <c r="H175" s="1">
        <v>1</v>
      </c>
      <c r="I175" s="1">
        <v>0</v>
      </c>
      <c r="N175" s="15" t="s">
        <v>179</v>
      </c>
      <c r="O175" s="15" t="s">
        <v>484</v>
      </c>
      <c r="P175" s="15" t="s">
        <v>185</v>
      </c>
      <c r="Q175" s="16">
        <v>40402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 s="6" t="s">
        <v>178</v>
      </c>
      <c r="B176" s="11">
        <v>1</v>
      </c>
      <c r="C176" s="11">
        <v>1</v>
      </c>
      <c r="D176" s="11">
        <v>1</v>
      </c>
      <c r="E176" s="1">
        <v>0</v>
      </c>
      <c r="F176" s="1">
        <v>1</v>
      </c>
      <c r="G176" s="1">
        <v>1</v>
      </c>
      <c r="H176" s="1">
        <v>1</v>
      </c>
      <c r="I176" s="1">
        <v>0</v>
      </c>
      <c r="N176" s="15" t="s">
        <v>179</v>
      </c>
      <c r="O176" s="15" t="s">
        <v>485</v>
      </c>
      <c r="P176" s="15" t="s">
        <v>175</v>
      </c>
      <c r="Q176" s="16">
        <v>40501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</row>
    <row r="177" spans="1:23">
      <c r="A177" s="6" t="s">
        <v>179</v>
      </c>
      <c r="B177" s="11">
        <v>31</v>
      </c>
      <c r="C177" s="11">
        <v>41</v>
      </c>
      <c r="D177" s="11">
        <v>44</v>
      </c>
      <c r="E177" s="1">
        <v>64</v>
      </c>
      <c r="F177" s="1">
        <v>78</v>
      </c>
      <c r="G177" s="1">
        <v>102</v>
      </c>
      <c r="H177" s="1">
        <v>114</v>
      </c>
      <c r="I177" s="1">
        <v>116</v>
      </c>
      <c r="N177" s="15" t="s">
        <v>179</v>
      </c>
      <c r="O177" s="15" t="s">
        <v>485</v>
      </c>
      <c r="P177" s="15" t="s">
        <v>397</v>
      </c>
      <c r="Q177" s="16">
        <v>40502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s="6" t="s">
        <v>180</v>
      </c>
      <c r="B178" s="11">
        <v>0</v>
      </c>
      <c r="C178" s="11">
        <v>0</v>
      </c>
      <c r="D178" s="1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0</v>
      </c>
      <c r="N178" s="15" t="s">
        <v>179</v>
      </c>
      <c r="O178" s="15" t="s">
        <v>485</v>
      </c>
      <c r="P178" s="15" t="s">
        <v>337</v>
      </c>
      <c r="Q178" s="16">
        <v>40503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s="6" t="s">
        <v>181</v>
      </c>
      <c r="B179" s="11">
        <v>0</v>
      </c>
      <c r="C179" s="11">
        <v>0</v>
      </c>
      <c r="D179" s="11">
        <v>1</v>
      </c>
      <c r="E179" s="1">
        <v>1</v>
      </c>
      <c r="F179" s="1">
        <v>1</v>
      </c>
      <c r="G179" s="1">
        <v>0</v>
      </c>
      <c r="H179" s="1">
        <v>0</v>
      </c>
      <c r="I179" s="1">
        <v>1</v>
      </c>
      <c r="N179" s="15" t="s">
        <v>179</v>
      </c>
      <c r="O179" s="15" t="s">
        <v>485</v>
      </c>
      <c r="P179" s="15" t="s">
        <v>336</v>
      </c>
      <c r="Q179" s="16">
        <v>40504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 s="6" t="s">
        <v>182</v>
      </c>
      <c r="B180" s="11">
        <v>0</v>
      </c>
      <c r="C180" s="11">
        <v>0</v>
      </c>
      <c r="D180" s="1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N180" s="15" t="s">
        <v>179</v>
      </c>
      <c r="O180" s="15" t="s">
        <v>485</v>
      </c>
      <c r="P180" s="15" t="s">
        <v>302</v>
      </c>
      <c r="Q180" s="16">
        <v>40505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 s="6" t="s">
        <v>183</v>
      </c>
      <c r="B181" s="11">
        <v>1</v>
      </c>
      <c r="C181" s="11">
        <v>0</v>
      </c>
      <c r="D181" s="1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N181" s="15" t="s">
        <v>179</v>
      </c>
      <c r="O181" s="15" t="s">
        <v>323</v>
      </c>
      <c r="P181" s="15" t="s">
        <v>323</v>
      </c>
      <c r="Q181" s="16">
        <v>40601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</row>
    <row r="182" spans="1:23">
      <c r="A182" s="6" t="s">
        <v>184</v>
      </c>
      <c r="B182" s="11">
        <v>0</v>
      </c>
      <c r="C182" s="11">
        <v>0</v>
      </c>
      <c r="D182" s="1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N182" s="15" t="s">
        <v>179</v>
      </c>
      <c r="O182" s="15" t="s">
        <v>323</v>
      </c>
      <c r="P182" s="15" t="s">
        <v>180</v>
      </c>
      <c r="Q182" s="16">
        <v>40602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</row>
    <row r="183" spans="1:23">
      <c r="A183" s="6" t="s">
        <v>82</v>
      </c>
      <c r="B183" s="11">
        <v>0</v>
      </c>
      <c r="C183" s="11">
        <v>0</v>
      </c>
      <c r="D183" s="1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N183" s="15" t="s">
        <v>179</v>
      </c>
      <c r="O183" s="15" t="s">
        <v>323</v>
      </c>
      <c r="P183" s="15" t="s">
        <v>168</v>
      </c>
      <c r="Q183" s="16">
        <v>40603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s="6" t="s">
        <v>91</v>
      </c>
      <c r="B184" s="11">
        <v>0</v>
      </c>
      <c r="C184" s="11">
        <v>0</v>
      </c>
      <c r="D184" s="1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N184" s="15" t="s">
        <v>179</v>
      </c>
      <c r="O184" s="15" t="s">
        <v>487</v>
      </c>
      <c r="P184" s="15" t="s">
        <v>176</v>
      </c>
      <c r="Q184" s="16">
        <v>40701</v>
      </c>
      <c r="R184">
        <v>0</v>
      </c>
      <c r="S184">
        <v>1</v>
      </c>
      <c r="T184">
        <v>3</v>
      </c>
      <c r="U184">
        <v>12</v>
      </c>
      <c r="V184">
        <v>4</v>
      </c>
      <c r="W184">
        <v>4</v>
      </c>
    </row>
    <row r="185" spans="1:23">
      <c r="A185" s="6" t="s">
        <v>185</v>
      </c>
      <c r="B185" s="11">
        <v>0</v>
      </c>
      <c r="C185" s="11">
        <v>0</v>
      </c>
      <c r="D185" s="1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N185" s="15" t="s">
        <v>179</v>
      </c>
      <c r="O185" s="15" t="s">
        <v>487</v>
      </c>
      <c r="P185" s="15" t="s">
        <v>178</v>
      </c>
      <c r="Q185" s="16">
        <v>40702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0</v>
      </c>
    </row>
    <row r="186" spans="1:23">
      <c r="A186" s="4" t="s">
        <v>186</v>
      </c>
      <c r="B186" s="5">
        <v>6</v>
      </c>
      <c r="C186" s="5">
        <v>4</v>
      </c>
      <c r="D186" s="5">
        <v>6</v>
      </c>
      <c r="E186" s="5">
        <v>15</v>
      </c>
      <c r="F186" s="5">
        <v>28</v>
      </c>
      <c r="G186" s="5">
        <v>42</v>
      </c>
      <c r="H186" s="5">
        <v>55</v>
      </c>
      <c r="I186" s="5">
        <v>35</v>
      </c>
      <c r="N186" s="15" t="s">
        <v>179</v>
      </c>
      <c r="O186" s="15" t="s">
        <v>489</v>
      </c>
      <c r="P186" s="15" t="s">
        <v>490</v>
      </c>
      <c r="Q186" s="16">
        <v>40801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s="6" t="s">
        <v>187</v>
      </c>
      <c r="B187" s="11">
        <v>1</v>
      </c>
      <c r="C187" s="11">
        <v>1</v>
      </c>
      <c r="D187" s="1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N187" s="15" t="s">
        <v>179</v>
      </c>
      <c r="O187" s="15" t="s">
        <v>489</v>
      </c>
      <c r="P187" s="15" t="s">
        <v>303</v>
      </c>
      <c r="Q187" s="16">
        <v>40802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 s="6" t="s">
        <v>188</v>
      </c>
      <c r="B188" s="11">
        <v>0</v>
      </c>
      <c r="C188" s="11">
        <v>0</v>
      </c>
      <c r="D188" s="1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N188" s="15" t="s">
        <v>179</v>
      </c>
      <c r="O188" s="15" t="s">
        <v>182</v>
      </c>
      <c r="P188" s="15" t="s">
        <v>182</v>
      </c>
      <c r="Q188" s="16">
        <v>40901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</row>
    <row r="189" spans="1:23">
      <c r="A189" s="6" t="s">
        <v>189</v>
      </c>
      <c r="B189" s="11">
        <v>3</v>
      </c>
      <c r="C189" s="11">
        <v>3</v>
      </c>
      <c r="D189" s="11">
        <v>6</v>
      </c>
      <c r="E189" s="1">
        <v>14</v>
      </c>
      <c r="F189" s="1">
        <v>23</v>
      </c>
      <c r="G189" s="1">
        <v>30</v>
      </c>
      <c r="H189" s="1">
        <v>49</v>
      </c>
      <c r="I189" s="1">
        <v>30</v>
      </c>
      <c r="N189" s="15" t="s">
        <v>179</v>
      </c>
      <c r="O189" s="15" t="s">
        <v>182</v>
      </c>
      <c r="P189" s="15" t="s">
        <v>398</v>
      </c>
      <c r="Q189" s="16">
        <v>40902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 s="6" t="s">
        <v>190</v>
      </c>
      <c r="B190" s="11">
        <v>2</v>
      </c>
      <c r="C190" s="11">
        <v>0</v>
      </c>
      <c r="D190" s="11">
        <v>0</v>
      </c>
      <c r="E190" s="1">
        <v>0</v>
      </c>
      <c r="F190" s="1">
        <v>0</v>
      </c>
      <c r="G190" s="1">
        <v>2</v>
      </c>
      <c r="H190" s="1">
        <v>1</v>
      </c>
      <c r="I190" s="1">
        <v>1</v>
      </c>
      <c r="N190" s="15" t="s">
        <v>179</v>
      </c>
      <c r="O190" s="15" t="s">
        <v>182</v>
      </c>
      <c r="P190" s="15" t="s">
        <v>491</v>
      </c>
      <c r="Q190" s="16">
        <v>40903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s="6" t="s">
        <v>191</v>
      </c>
      <c r="B191" s="11">
        <v>0</v>
      </c>
      <c r="C191" s="11">
        <v>0</v>
      </c>
      <c r="D191" s="11">
        <v>0</v>
      </c>
      <c r="E191" s="1">
        <v>0</v>
      </c>
      <c r="F191" s="1">
        <v>2</v>
      </c>
      <c r="G191" s="1">
        <v>0</v>
      </c>
      <c r="H191" s="1">
        <v>0</v>
      </c>
      <c r="I191" s="1">
        <v>0</v>
      </c>
      <c r="N191" s="15" t="s">
        <v>179</v>
      </c>
      <c r="O191" s="15" t="s">
        <v>492</v>
      </c>
      <c r="P191" s="15" t="s">
        <v>346</v>
      </c>
      <c r="Q191" s="16">
        <v>41001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s="6" t="s">
        <v>192</v>
      </c>
      <c r="B192" s="11">
        <v>0</v>
      </c>
      <c r="C192" s="11">
        <v>0</v>
      </c>
      <c r="D192" s="11">
        <v>0</v>
      </c>
      <c r="E192" s="1">
        <v>0</v>
      </c>
      <c r="F192" s="1">
        <v>2</v>
      </c>
      <c r="G192" s="1">
        <v>2</v>
      </c>
      <c r="H192" s="1">
        <v>1</v>
      </c>
      <c r="I192" s="1">
        <v>4</v>
      </c>
      <c r="N192" s="15" t="s">
        <v>179</v>
      </c>
      <c r="O192" s="15" t="s">
        <v>493</v>
      </c>
      <c r="P192" s="15" t="s">
        <v>174</v>
      </c>
      <c r="Q192" s="16">
        <v>41101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s="6" t="s">
        <v>193</v>
      </c>
      <c r="B193" s="11">
        <v>0</v>
      </c>
      <c r="C193" s="11">
        <v>0</v>
      </c>
      <c r="D193" s="11">
        <v>0</v>
      </c>
      <c r="E193" s="1">
        <v>0</v>
      </c>
      <c r="F193" s="1">
        <v>0</v>
      </c>
      <c r="G193" s="1">
        <v>3</v>
      </c>
      <c r="H193" s="1">
        <v>2</v>
      </c>
      <c r="I193" s="1">
        <v>0</v>
      </c>
      <c r="N193" s="15" t="s">
        <v>179</v>
      </c>
      <c r="O193" s="15" t="s">
        <v>494</v>
      </c>
      <c r="P193" s="15" t="s">
        <v>305</v>
      </c>
      <c r="Q193" s="16">
        <v>41201</v>
      </c>
      <c r="R193">
        <v>1</v>
      </c>
      <c r="S193">
        <v>2</v>
      </c>
      <c r="T193">
        <v>5</v>
      </c>
      <c r="U193">
        <v>0</v>
      </c>
      <c r="V193">
        <v>0</v>
      </c>
      <c r="W193">
        <v>0</v>
      </c>
    </row>
    <row r="194" spans="1:23">
      <c r="A194" s="6" t="s">
        <v>194</v>
      </c>
      <c r="B194" s="11">
        <v>0</v>
      </c>
      <c r="C194" s="11">
        <v>0</v>
      </c>
      <c r="D194" s="11">
        <v>0</v>
      </c>
      <c r="E194" s="1">
        <v>1</v>
      </c>
      <c r="F194" s="1">
        <v>0</v>
      </c>
      <c r="G194" s="1">
        <v>0</v>
      </c>
      <c r="H194" s="1">
        <v>1</v>
      </c>
      <c r="I194" s="1">
        <v>0</v>
      </c>
      <c r="N194" s="15" t="s">
        <v>179</v>
      </c>
      <c r="O194" s="15" t="s">
        <v>494</v>
      </c>
      <c r="P194" s="15" t="s">
        <v>339</v>
      </c>
      <c r="Q194" s="16">
        <v>41202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s="6" t="s">
        <v>195</v>
      </c>
      <c r="B195" s="11">
        <v>0</v>
      </c>
      <c r="C195" s="11">
        <v>0</v>
      </c>
      <c r="D195" s="11">
        <v>0</v>
      </c>
      <c r="E195" s="1">
        <v>0</v>
      </c>
      <c r="F195" s="1">
        <v>1</v>
      </c>
      <c r="G195" s="1">
        <v>1</v>
      </c>
      <c r="H195" s="1">
        <v>0</v>
      </c>
      <c r="I195" s="1">
        <v>0</v>
      </c>
      <c r="N195" s="15" t="s">
        <v>179</v>
      </c>
      <c r="O195" s="15" t="s">
        <v>496</v>
      </c>
      <c r="P195" s="15" t="s">
        <v>91</v>
      </c>
      <c r="Q195" s="16">
        <v>41301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s="6" t="s">
        <v>196</v>
      </c>
      <c r="B196" s="11">
        <v>0</v>
      </c>
      <c r="C196" s="11">
        <v>0</v>
      </c>
      <c r="D196" s="11">
        <v>0</v>
      </c>
      <c r="E196" s="1">
        <v>0</v>
      </c>
      <c r="F196" s="1">
        <v>0</v>
      </c>
      <c r="G196" s="1">
        <v>4</v>
      </c>
      <c r="H196" s="1">
        <v>0</v>
      </c>
      <c r="I196" s="1">
        <v>0</v>
      </c>
      <c r="N196" s="15" t="s">
        <v>179</v>
      </c>
      <c r="O196" s="15" t="s">
        <v>497</v>
      </c>
      <c r="P196" s="15" t="s">
        <v>183</v>
      </c>
      <c r="Q196" s="16">
        <v>41401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 s="6" t="s">
        <v>197</v>
      </c>
      <c r="B197" s="11">
        <v>0</v>
      </c>
      <c r="C197" s="11">
        <v>0</v>
      </c>
      <c r="D197" s="1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0</v>
      </c>
      <c r="N197" s="15" t="s">
        <v>179</v>
      </c>
      <c r="O197" s="15" t="s">
        <v>498</v>
      </c>
      <c r="P197" s="15" t="s">
        <v>177</v>
      </c>
      <c r="Q197" s="16">
        <v>41501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0</v>
      </c>
    </row>
    <row r="198" spans="1:23">
      <c r="A198" s="4" t="s">
        <v>198</v>
      </c>
      <c r="B198" s="5">
        <v>24</v>
      </c>
      <c r="C198" s="5">
        <v>23</v>
      </c>
      <c r="D198" s="5">
        <v>30</v>
      </c>
      <c r="E198" s="5">
        <v>78</v>
      </c>
      <c r="F198" s="5">
        <v>98</v>
      </c>
      <c r="G198" s="5">
        <v>123</v>
      </c>
      <c r="H198" s="5">
        <v>171</v>
      </c>
      <c r="I198" s="5">
        <v>158</v>
      </c>
      <c r="N198" s="15" t="s">
        <v>179</v>
      </c>
      <c r="O198" s="15" t="s">
        <v>498</v>
      </c>
      <c r="P198" s="15" t="s">
        <v>324</v>
      </c>
      <c r="Q198" s="16">
        <v>41502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 s="6" t="s">
        <v>199</v>
      </c>
      <c r="B199" s="11">
        <v>8</v>
      </c>
      <c r="C199" s="11">
        <v>5</v>
      </c>
      <c r="D199" s="11">
        <v>6</v>
      </c>
      <c r="E199" s="1">
        <v>3</v>
      </c>
      <c r="F199" s="1">
        <v>0</v>
      </c>
      <c r="G199" s="1">
        <v>0</v>
      </c>
      <c r="H199" s="1">
        <v>0</v>
      </c>
      <c r="I199" s="1">
        <v>2</v>
      </c>
      <c r="N199" s="15" t="s">
        <v>179</v>
      </c>
      <c r="O199" s="15" t="s">
        <v>498</v>
      </c>
      <c r="P199" s="15" t="s">
        <v>335</v>
      </c>
      <c r="Q199" s="16">
        <v>41503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>
      <c r="A200" s="6" t="s">
        <v>200</v>
      </c>
      <c r="B200" s="11">
        <v>0</v>
      </c>
      <c r="C200" s="11">
        <v>0</v>
      </c>
      <c r="D200" s="1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N200" s="15" t="s">
        <v>179</v>
      </c>
      <c r="O200" s="15" t="s">
        <v>499</v>
      </c>
      <c r="P200" s="15" t="s">
        <v>500</v>
      </c>
      <c r="Q200" s="16">
        <v>41601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>
      <c r="A201" s="6" t="s">
        <v>201</v>
      </c>
      <c r="B201" s="11">
        <v>0</v>
      </c>
      <c r="C201" s="11">
        <v>0</v>
      </c>
      <c r="D201" s="1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1</v>
      </c>
      <c r="N201" s="15" t="s">
        <v>294</v>
      </c>
      <c r="O201" s="15" t="s">
        <v>501</v>
      </c>
      <c r="P201" s="15" t="s">
        <v>294</v>
      </c>
      <c r="Q201" s="16">
        <v>50101</v>
      </c>
      <c r="R201">
        <v>7</v>
      </c>
      <c r="S201">
        <v>6</v>
      </c>
      <c r="T201">
        <v>12</v>
      </c>
      <c r="U201">
        <v>66</v>
      </c>
      <c r="V201">
        <v>101</v>
      </c>
      <c r="W201">
        <v>73</v>
      </c>
    </row>
    <row r="202" spans="1:23">
      <c r="A202" s="6" t="s">
        <v>202</v>
      </c>
      <c r="B202" s="11">
        <v>0</v>
      </c>
      <c r="C202" s="11">
        <v>0</v>
      </c>
      <c r="D202" s="11">
        <v>0</v>
      </c>
      <c r="E202" s="1">
        <v>3</v>
      </c>
      <c r="F202" s="1">
        <v>1</v>
      </c>
      <c r="G202" s="1">
        <v>3</v>
      </c>
      <c r="H202" s="1">
        <v>4</v>
      </c>
      <c r="I202" s="1">
        <v>2</v>
      </c>
      <c r="N202" s="15" t="s">
        <v>294</v>
      </c>
      <c r="O202" s="15" t="s">
        <v>501</v>
      </c>
      <c r="P202" s="15" t="s">
        <v>222</v>
      </c>
      <c r="Q202" s="16">
        <v>50102</v>
      </c>
      <c r="R202">
        <v>0</v>
      </c>
      <c r="S202">
        <v>0</v>
      </c>
      <c r="T202">
        <v>0</v>
      </c>
      <c r="U202">
        <v>2</v>
      </c>
      <c r="V202">
        <v>3</v>
      </c>
      <c r="W202">
        <v>2</v>
      </c>
    </row>
    <row r="203" spans="1:23">
      <c r="A203" s="6" t="s">
        <v>203</v>
      </c>
      <c r="B203" s="11">
        <v>0</v>
      </c>
      <c r="C203" s="11">
        <v>0</v>
      </c>
      <c r="D203" s="11">
        <v>0</v>
      </c>
      <c r="E203" s="1">
        <v>2</v>
      </c>
      <c r="F203" s="1">
        <v>0</v>
      </c>
      <c r="G203" s="1">
        <v>2</v>
      </c>
      <c r="H203" s="1">
        <v>0</v>
      </c>
      <c r="I203" s="1">
        <v>0</v>
      </c>
      <c r="N203" s="15" t="s">
        <v>294</v>
      </c>
      <c r="O203" s="15" t="s">
        <v>501</v>
      </c>
      <c r="P203" s="15" t="s">
        <v>230</v>
      </c>
      <c r="Q203" s="16">
        <v>50103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</row>
    <row r="204" spans="1:23">
      <c r="A204" s="6" t="s">
        <v>204</v>
      </c>
      <c r="B204" s="11">
        <v>0</v>
      </c>
      <c r="C204" s="11">
        <v>0</v>
      </c>
      <c r="D204" s="11">
        <v>0</v>
      </c>
      <c r="E204" s="1">
        <v>0</v>
      </c>
      <c r="F204" s="1">
        <v>0</v>
      </c>
      <c r="G204" s="1">
        <v>0</v>
      </c>
      <c r="H204" s="1">
        <v>2</v>
      </c>
      <c r="I204" s="1">
        <v>1</v>
      </c>
      <c r="N204" s="15" t="s">
        <v>294</v>
      </c>
      <c r="O204" s="15" t="s">
        <v>501</v>
      </c>
      <c r="P204" s="15" t="s">
        <v>319</v>
      </c>
      <c r="Q204" s="16">
        <v>50104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>
      <c r="A205" s="6" t="s">
        <v>205</v>
      </c>
      <c r="B205" s="11">
        <v>0</v>
      </c>
      <c r="C205" s="11">
        <v>0</v>
      </c>
      <c r="D205" s="11">
        <v>0</v>
      </c>
      <c r="E205" s="1">
        <v>1</v>
      </c>
      <c r="F205" s="1">
        <v>1</v>
      </c>
      <c r="G205" s="1">
        <v>2</v>
      </c>
      <c r="H205" s="1">
        <v>2</v>
      </c>
      <c r="I205" s="1">
        <v>1</v>
      </c>
      <c r="N205" s="15" t="s">
        <v>294</v>
      </c>
      <c r="O205" s="15" t="s">
        <v>504</v>
      </c>
      <c r="P205" s="15" t="s">
        <v>226</v>
      </c>
      <c r="Q205" s="16">
        <v>50201</v>
      </c>
      <c r="R205">
        <v>0</v>
      </c>
      <c r="S205">
        <v>1</v>
      </c>
      <c r="T205">
        <v>0</v>
      </c>
      <c r="U205">
        <v>1</v>
      </c>
      <c r="V205">
        <v>4</v>
      </c>
      <c r="W205">
        <v>6</v>
      </c>
    </row>
    <row r="206" spans="1:23">
      <c r="A206" s="6" t="s">
        <v>206</v>
      </c>
      <c r="B206" s="11">
        <v>0</v>
      </c>
      <c r="C206" s="11">
        <v>0</v>
      </c>
      <c r="D206" s="11">
        <v>0</v>
      </c>
      <c r="E206" s="1">
        <v>1</v>
      </c>
      <c r="F206" s="1">
        <v>0</v>
      </c>
      <c r="G206" s="1">
        <v>2</v>
      </c>
      <c r="H206" s="1">
        <v>0</v>
      </c>
      <c r="I206" s="1">
        <v>0</v>
      </c>
      <c r="N206" s="15" t="s">
        <v>294</v>
      </c>
      <c r="O206" s="15" t="s">
        <v>504</v>
      </c>
      <c r="P206" s="15" t="s">
        <v>205</v>
      </c>
      <c r="Q206" s="16">
        <v>50202</v>
      </c>
      <c r="R206">
        <v>0</v>
      </c>
      <c r="S206">
        <v>0</v>
      </c>
      <c r="T206">
        <v>0</v>
      </c>
      <c r="U206">
        <v>2</v>
      </c>
      <c r="V206">
        <v>2</v>
      </c>
      <c r="W206">
        <v>1</v>
      </c>
    </row>
    <row r="207" spans="1:23">
      <c r="A207" s="6" t="s">
        <v>207</v>
      </c>
      <c r="B207" s="11">
        <v>0</v>
      </c>
      <c r="C207" s="11">
        <v>0</v>
      </c>
      <c r="D207" s="11">
        <v>1</v>
      </c>
      <c r="E207" s="1">
        <v>0</v>
      </c>
      <c r="F207" s="1">
        <v>1</v>
      </c>
      <c r="G207" s="1">
        <v>3</v>
      </c>
      <c r="H207" s="1">
        <v>2</v>
      </c>
      <c r="I207" s="1">
        <v>4</v>
      </c>
      <c r="N207" s="15" t="s">
        <v>294</v>
      </c>
      <c r="O207" s="15" t="s">
        <v>504</v>
      </c>
      <c r="P207" s="15" t="s">
        <v>209</v>
      </c>
      <c r="Q207" s="16">
        <v>50203</v>
      </c>
      <c r="R207">
        <v>3</v>
      </c>
      <c r="S207">
        <v>5</v>
      </c>
      <c r="T207">
        <v>2</v>
      </c>
      <c r="U207">
        <v>4</v>
      </c>
      <c r="V207">
        <v>11</v>
      </c>
      <c r="W207">
        <v>12</v>
      </c>
    </row>
    <row r="208" spans="1:23">
      <c r="A208" s="6" t="s">
        <v>208</v>
      </c>
      <c r="B208" s="11">
        <v>1</v>
      </c>
      <c r="C208" s="11">
        <v>0</v>
      </c>
      <c r="D208" s="11">
        <v>0</v>
      </c>
      <c r="E208" s="1">
        <v>2</v>
      </c>
      <c r="F208" s="1">
        <v>0</v>
      </c>
      <c r="G208" s="1">
        <v>0</v>
      </c>
      <c r="H208" s="1">
        <v>1</v>
      </c>
      <c r="I208" s="1">
        <v>1</v>
      </c>
      <c r="N208" s="15" t="s">
        <v>294</v>
      </c>
      <c r="O208" s="15" t="s">
        <v>504</v>
      </c>
      <c r="P208" s="15" t="s">
        <v>374</v>
      </c>
      <c r="Q208" s="16">
        <v>50204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>
      <c r="A209" s="6" t="s">
        <v>209</v>
      </c>
      <c r="B209" s="11">
        <v>3</v>
      </c>
      <c r="C209" s="11">
        <v>5</v>
      </c>
      <c r="D209" s="11">
        <v>2</v>
      </c>
      <c r="E209" s="1">
        <v>6</v>
      </c>
      <c r="F209" s="1">
        <v>8</v>
      </c>
      <c r="G209" s="1">
        <v>4</v>
      </c>
      <c r="H209" s="1">
        <v>11</v>
      </c>
      <c r="I209" s="1">
        <v>12</v>
      </c>
      <c r="N209" s="15" t="s">
        <v>294</v>
      </c>
      <c r="O209" s="15" t="s">
        <v>505</v>
      </c>
      <c r="P209" s="15" t="s">
        <v>202</v>
      </c>
      <c r="Q209" s="16">
        <v>50301</v>
      </c>
      <c r="R209">
        <v>0</v>
      </c>
      <c r="S209">
        <v>0</v>
      </c>
      <c r="T209">
        <v>0</v>
      </c>
      <c r="U209">
        <v>3</v>
      </c>
      <c r="V209">
        <v>4</v>
      </c>
      <c r="W209">
        <v>2</v>
      </c>
    </row>
    <row r="210" spans="1:23">
      <c r="A210" s="6" t="s">
        <v>210</v>
      </c>
      <c r="B210" s="11">
        <v>0</v>
      </c>
      <c r="C210" s="11">
        <v>0</v>
      </c>
      <c r="D210" s="1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N210" s="15" t="s">
        <v>294</v>
      </c>
      <c r="O210" s="15" t="s">
        <v>505</v>
      </c>
      <c r="P210" s="15" t="s">
        <v>358</v>
      </c>
      <c r="Q210" s="16">
        <v>50302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1</v>
      </c>
    </row>
    <row r="211" spans="1:23">
      <c r="A211" s="6" t="s">
        <v>211</v>
      </c>
      <c r="B211" s="11">
        <v>0</v>
      </c>
      <c r="C211" s="11">
        <v>0</v>
      </c>
      <c r="D211" s="11">
        <v>1</v>
      </c>
      <c r="E211" s="1">
        <v>1</v>
      </c>
      <c r="F211" s="1">
        <v>2</v>
      </c>
      <c r="G211" s="1">
        <v>4</v>
      </c>
      <c r="H211" s="1">
        <v>1</v>
      </c>
      <c r="I211" s="1">
        <v>0</v>
      </c>
      <c r="N211" s="15" t="s">
        <v>294</v>
      </c>
      <c r="O211" s="15" t="s">
        <v>505</v>
      </c>
      <c r="P211" s="15" t="s">
        <v>220</v>
      </c>
      <c r="Q211" s="16">
        <v>50303</v>
      </c>
      <c r="R211">
        <v>1</v>
      </c>
      <c r="S211">
        <v>0</v>
      </c>
      <c r="T211">
        <v>0</v>
      </c>
      <c r="U211">
        <v>2</v>
      </c>
      <c r="V211">
        <v>0</v>
      </c>
      <c r="W211">
        <v>0</v>
      </c>
    </row>
    <row r="212" spans="1:23">
      <c r="A212" s="6" t="s">
        <v>212</v>
      </c>
      <c r="B212" s="11">
        <v>0</v>
      </c>
      <c r="C212" s="11">
        <v>0</v>
      </c>
      <c r="D212" s="11">
        <v>0</v>
      </c>
      <c r="E212" s="1">
        <v>0</v>
      </c>
      <c r="F212" s="1">
        <v>0</v>
      </c>
      <c r="G212" s="1">
        <v>5</v>
      </c>
      <c r="H212" s="1">
        <v>3</v>
      </c>
      <c r="I212" s="1">
        <v>4</v>
      </c>
      <c r="N212" s="15" t="s">
        <v>294</v>
      </c>
      <c r="O212" s="15" t="s">
        <v>205</v>
      </c>
      <c r="P212" s="15" t="s">
        <v>207</v>
      </c>
      <c r="Q212" s="16">
        <v>50401</v>
      </c>
      <c r="R212">
        <v>0</v>
      </c>
      <c r="S212">
        <v>0</v>
      </c>
      <c r="T212">
        <v>1</v>
      </c>
      <c r="U212">
        <v>3</v>
      </c>
      <c r="V212">
        <v>2</v>
      </c>
      <c r="W212">
        <v>4</v>
      </c>
    </row>
    <row r="213" spans="1:23">
      <c r="A213" s="6" t="s">
        <v>213</v>
      </c>
      <c r="B213" s="11">
        <v>0</v>
      </c>
      <c r="C213" s="11">
        <v>0</v>
      </c>
      <c r="D213" s="11">
        <v>2</v>
      </c>
      <c r="E213" s="1">
        <v>1</v>
      </c>
      <c r="F213" s="1">
        <v>0</v>
      </c>
      <c r="G213" s="1">
        <v>0</v>
      </c>
      <c r="H213" s="1">
        <v>2</v>
      </c>
      <c r="I213" s="1">
        <v>3</v>
      </c>
      <c r="N213" s="15" t="s">
        <v>294</v>
      </c>
      <c r="O213" s="15" t="s">
        <v>205</v>
      </c>
      <c r="P213" s="15" t="s">
        <v>216</v>
      </c>
      <c r="Q213" s="16">
        <v>50402</v>
      </c>
      <c r="R213">
        <v>0</v>
      </c>
      <c r="S213">
        <v>0</v>
      </c>
      <c r="T213">
        <v>0</v>
      </c>
      <c r="U213">
        <v>2</v>
      </c>
      <c r="V213">
        <v>3</v>
      </c>
      <c r="W213">
        <v>7</v>
      </c>
    </row>
    <row r="214" spans="1:23">
      <c r="A214" s="6" t="s">
        <v>214</v>
      </c>
      <c r="B214" s="11">
        <v>7</v>
      </c>
      <c r="C214" s="11">
        <v>6</v>
      </c>
      <c r="D214" s="11">
        <v>12</v>
      </c>
      <c r="E214" s="1">
        <v>34</v>
      </c>
      <c r="F214" s="1">
        <v>51</v>
      </c>
      <c r="G214" s="1">
        <v>66</v>
      </c>
      <c r="H214" s="1">
        <v>101</v>
      </c>
      <c r="I214" s="1">
        <v>73</v>
      </c>
      <c r="N214" s="15" t="s">
        <v>294</v>
      </c>
      <c r="O214" s="15" t="s">
        <v>205</v>
      </c>
      <c r="P214" s="15" t="s">
        <v>212</v>
      </c>
      <c r="Q214" s="16">
        <v>50403</v>
      </c>
      <c r="R214">
        <v>0</v>
      </c>
      <c r="S214">
        <v>0</v>
      </c>
      <c r="T214">
        <v>0</v>
      </c>
      <c r="U214">
        <v>5</v>
      </c>
      <c r="V214">
        <v>3</v>
      </c>
      <c r="W214">
        <v>4</v>
      </c>
    </row>
    <row r="215" spans="1:23">
      <c r="A215" s="6" t="s">
        <v>215</v>
      </c>
      <c r="B215" s="11">
        <v>0</v>
      </c>
      <c r="C215" s="11">
        <v>0</v>
      </c>
      <c r="D215" s="11">
        <v>0</v>
      </c>
      <c r="E215" s="1">
        <v>4</v>
      </c>
      <c r="F215" s="1">
        <v>1</v>
      </c>
      <c r="G215" s="1">
        <v>0</v>
      </c>
      <c r="H215" s="1">
        <v>0</v>
      </c>
      <c r="I215" s="1">
        <v>2</v>
      </c>
      <c r="N215" s="15" t="s">
        <v>294</v>
      </c>
      <c r="O215" s="15" t="s">
        <v>205</v>
      </c>
      <c r="P215" s="15" t="s">
        <v>211</v>
      </c>
      <c r="Q215" s="16">
        <v>50404</v>
      </c>
      <c r="R215">
        <v>0</v>
      </c>
      <c r="S215">
        <v>0</v>
      </c>
      <c r="T215">
        <v>1</v>
      </c>
      <c r="U215">
        <v>4</v>
      </c>
      <c r="V215">
        <v>1</v>
      </c>
      <c r="W215">
        <v>0</v>
      </c>
    </row>
    <row r="216" spans="1:23">
      <c r="A216" s="6" t="s">
        <v>216</v>
      </c>
      <c r="B216" s="11">
        <v>0</v>
      </c>
      <c r="C216" s="11">
        <v>0</v>
      </c>
      <c r="D216" s="11">
        <v>0</v>
      </c>
      <c r="E216" s="1">
        <v>0</v>
      </c>
      <c r="F216" s="1">
        <v>2</v>
      </c>
      <c r="G216" s="1">
        <v>2</v>
      </c>
      <c r="H216" s="1">
        <v>3</v>
      </c>
      <c r="I216" s="1">
        <v>7</v>
      </c>
      <c r="N216" s="15" t="s">
        <v>294</v>
      </c>
      <c r="O216" s="15" t="s">
        <v>205</v>
      </c>
      <c r="P216" s="15" t="s">
        <v>300</v>
      </c>
      <c r="Q216" s="16">
        <v>50405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>
      <c r="A217" s="6" t="s">
        <v>217</v>
      </c>
      <c r="B217" s="11">
        <v>0</v>
      </c>
      <c r="C217" s="11">
        <v>0</v>
      </c>
      <c r="D217" s="11">
        <v>1</v>
      </c>
      <c r="E217" s="1">
        <v>0</v>
      </c>
      <c r="F217" s="1">
        <v>1</v>
      </c>
      <c r="G217" s="1">
        <v>0</v>
      </c>
      <c r="H217" s="1">
        <v>0</v>
      </c>
      <c r="I217" s="1">
        <v>3</v>
      </c>
      <c r="N217" s="15" t="s">
        <v>294</v>
      </c>
      <c r="O217" s="15" t="s">
        <v>507</v>
      </c>
      <c r="P217" s="15" t="s">
        <v>314</v>
      </c>
      <c r="Q217" s="16">
        <v>50501</v>
      </c>
      <c r="R217">
        <v>0</v>
      </c>
      <c r="S217">
        <v>0</v>
      </c>
      <c r="T217">
        <v>1</v>
      </c>
      <c r="U217">
        <v>11</v>
      </c>
      <c r="V217">
        <v>2</v>
      </c>
      <c r="W217">
        <v>10</v>
      </c>
    </row>
    <row r="218" spans="1:23">
      <c r="A218" s="6" t="s">
        <v>218</v>
      </c>
      <c r="B218" s="11">
        <v>0</v>
      </c>
      <c r="C218" s="11">
        <v>0</v>
      </c>
      <c r="D218" s="1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N218" s="15" t="s">
        <v>294</v>
      </c>
      <c r="O218" s="15" t="s">
        <v>507</v>
      </c>
      <c r="P218" s="15" t="s">
        <v>224</v>
      </c>
      <c r="Q218" s="16">
        <v>50502</v>
      </c>
      <c r="R218">
        <v>0</v>
      </c>
      <c r="S218">
        <v>0</v>
      </c>
      <c r="T218">
        <v>0</v>
      </c>
      <c r="U218">
        <v>5</v>
      </c>
      <c r="V218">
        <v>10</v>
      </c>
      <c r="W218">
        <v>2</v>
      </c>
    </row>
    <row r="219" spans="1:23">
      <c r="A219" s="6" t="s">
        <v>219</v>
      </c>
      <c r="B219" s="11">
        <v>0</v>
      </c>
      <c r="C219" s="11">
        <v>0</v>
      </c>
      <c r="D219" s="11">
        <v>1</v>
      </c>
      <c r="E219" s="1">
        <v>1</v>
      </c>
      <c r="F219" s="1">
        <v>16</v>
      </c>
      <c r="G219" s="1">
        <v>11</v>
      </c>
      <c r="H219" s="1">
        <v>2</v>
      </c>
      <c r="I219" s="1">
        <v>10</v>
      </c>
      <c r="N219" s="15" t="s">
        <v>294</v>
      </c>
      <c r="O219" s="15" t="s">
        <v>508</v>
      </c>
      <c r="P219" s="15" t="s">
        <v>208</v>
      </c>
      <c r="Q219" s="16">
        <v>50601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1</v>
      </c>
    </row>
    <row r="220" spans="1:23">
      <c r="A220" s="6" t="s">
        <v>220</v>
      </c>
      <c r="B220" s="11">
        <v>1</v>
      </c>
      <c r="C220" s="11">
        <v>0</v>
      </c>
      <c r="D220" s="11">
        <v>0</v>
      </c>
      <c r="E220" s="1">
        <v>0</v>
      </c>
      <c r="F220" s="1">
        <v>0</v>
      </c>
      <c r="G220" s="1">
        <v>2</v>
      </c>
      <c r="H220" s="1">
        <v>0</v>
      </c>
      <c r="I220" s="1">
        <v>0</v>
      </c>
      <c r="N220" s="15" t="s">
        <v>294</v>
      </c>
      <c r="O220" s="15" t="s">
        <v>508</v>
      </c>
      <c r="P220" s="15" t="s">
        <v>340</v>
      </c>
      <c r="Q220" s="16">
        <v>50602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</row>
    <row r="221" spans="1:23">
      <c r="A221" s="6" t="s">
        <v>221</v>
      </c>
      <c r="B221" s="11">
        <v>0</v>
      </c>
      <c r="C221" s="11">
        <v>0</v>
      </c>
      <c r="D221" s="11">
        <v>0</v>
      </c>
      <c r="E221" s="1">
        <v>2</v>
      </c>
      <c r="F221" s="1">
        <v>0</v>
      </c>
      <c r="G221" s="1">
        <v>0</v>
      </c>
      <c r="H221" s="1">
        <v>0</v>
      </c>
      <c r="I221" s="1">
        <v>0</v>
      </c>
      <c r="N221" s="15" t="s">
        <v>294</v>
      </c>
      <c r="O221" s="15" t="s">
        <v>509</v>
      </c>
      <c r="P221" s="15" t="s">
        <v>304</v>
      </c>
      <c r="Q221" s="16">
        <v>50701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3</v>
      </c>
    </row>
    <row r="222" spans="1:23">
      <c r="A222" s="6" t="s">
        <v>222</v>
      </c>
      <c r="B222" s="11">
        <v>0</v>
      </c>
      <c r="C222" s="11">
        <v>0</v>
      </c>
      <c r="D222" s="11">
        <v>0</v>
      </c>
      <c r="E222" s="1">
        <v>0</v>
      </c>
      <c r="F222" s="1">
        <v>0</v>
      </c>
      <c r="G222" s="1">
        <v>2</v>
      </c>
      <c r="H222" s="1">
        <v>3</v>
      </c>
      <c r="I222" s="1">
        <v>2</v>
      </c>
      <c r="N222" s="15" t="s">
        <v>294</v>
      </c>
      <c r="O222" s="15" t="s">
        <v>509</v>
      </c>
      <c r="P222" s="15" t="s">
        <v>203</v>
      </c>
      <c r="Q222" s="16">
        <v>50702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</row>
    <row r="223" spans="1:23">
      <c r="A223" s="6" t="s">
        <v>223</v>
      </c>
      <c r="B223" s="11">
        <v>0</v>
      </c>
      <c r="C223" s="11">
        <v>0</v>
      </c>
      <c r="D223" s="1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N223" s="15" t="s">
        <v>294</v>
      </c>
      <c r="O223" s="15" t="s">
        <v>511</v>
      </c>
      <c r="P223" s="15" t="s">
        <v>225</v>
      </c>
      <c r="Q223" s="16">
        <v>50801</v>
      </c>
      <c r="R223">
        <v>1</v>
      </c>
      <c r="S223">
        <v>1</v>
      </c>
      <c r="T223">
        <v>2</v>
      </c>
      <c r="U223">
        <v>3</v>
      </c>
      <c r="V223">
        <v>6</v>
      </c>
      <c r="W223">
        <v>6</v>
      </c>
    </row>
    <row r="224" spans="1:23">
      <c r="A224" s="6" t="s">
        <v>224</v>
      </c>
      <c r="B224" s="11">
        <v>0</v>
      </c>
      <c r="C224" s="11">
        <v>0</v>
      </c>
      <c r="D224" s="11">
        <v>0</v>
      </c>
      <c r="E224" s="1">
        <v>0</v>
      </c>
      <c r="F224" s="1">
        <v>1</v>
      </c>
      <c r="G224" s="1">
        <v>5</v>
      </c>
      <c r="H224" s="1">
        <v>10</v>
      </c>
      <c r="I224" s="1">
        <v>2</v>
      </c>
      <c r="N224" s="15" t="s">
        <v>294</v>
      </c>
      <c r="O224" s="15" t="s">
        <v>511</v>
      </c>
      <c r="P224" s="15" t="s">
        <v>201</v>
      </c>
      <c r="Q224" s="16">
        <v>50802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</row>
    <row r="225" spans="1:23">
      <c r="A225" s="6" t="s">
        <v>225</v>
      </c>
      <c r="B225" s="11">
        <v>1</v>
      </c>
      <c r="C225" s="11">
        <v>1</v>
      </c>
      <c r="D225" s="11">
        <v>2</v>
      </c>
      <c r="E225" s="1">
        <v>6</v>
      </c>
      <c r="F225" s="1">
        <v>3</v>
      </c>
      <c r="G225" s="1">
        <v>3</v>
      </c>
      <c r="H225" s="1">
        <v>6</v>
      </c>
      <c r="I225" s="1">
        <v>6</v>
      </c>
      <c r="N225" s="15" t="s">
        <v>294</v>
      </c>
      <c r="O225" s="15" t="s">
        <v>512</v>
      </c>
      <c r="P225" s="15" t="s">
        <v>316</v>
      </c>
      <c r="Q225" s="16">
        <v>50901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0</v>
      </c>
    </row>
    <row r="226" spans="1:23">
      <c r="A226" s="6" t="s">
        <v>226</v>
      </c>
      <c r="B226" s="11">
        <v>0</v>
      </c>
      <c r="C226" s="11">
        <v>1</v>
      </c>
      <c r="D226" s="11">
        <v>0</v>
      </c>
      <c r="E226" s="1">
        <v>3</v>
      </c>
      <c r="F226" s="1">
        <v>1</v>
      </c>
      <c r="G226" s="1">
        <v>1</v>
      </c>
      <c r="H226" s="1">
        <v>4</v>
      </c>
      <c r="I226" s="1">
        <v>6</v>
      </c>
      <c r="N226" s="15" t="s">
        <v>294</v>
      </c>
      <c r="O226" s="15" t="s">
        <v>512</v>
      </c>
      <c r="P226" s="15" t="s">
        <v>399</v>
      </c>
      <c r="Q226" s="16">
        <v>50902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>
      <c r="A227" s="6" t="s">
        <v>227</v>
      </c>
      <c r="B227" s="11">
        <v>0</v>
      </c>
      <c r="C227" s="11">
        <v>1</v>
      </c>
      <c r="D227" s="11">
        <v>0</v>
      </c>
      <c r="E227" s="1">
        <v>4</v>
      </c>
      <c r="F227" s="1">
        <v>2</v>
      </c>
      <c r="G227" s="1">
        <v>4</v>
      </c>
      <c r="H227" s="1">
        <v>6</v>
      </c>
      <c r="I227" s="1">
        <v>7</v>
      </c>
      <c r="N227" s="15" t="s">
        <v>294</v>
      </c>
      <c r="O227" s="15" t="s">
        <v>515</v>
      </c>
      <c r="P227" s="15" t="s">
        <v>333</v>
      </c>
      <c r="Q227" s="16">
        <v>51001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>
      <c r="A228" s="6" t="s">
        <v>228</v>
      </c>
      <c r="B228" s="11">
        <v>3</v>
      </c>
      <c r="C228" s="11">
        <v>3</v>
      </c>
      <c r="D228" s="11">
        <v>2</v>
      </c>
      <c r="E228" s="1">
        <v>4</v>
      </c>
      <c r="F228" s="1">
        <v>3</v>
      </c>
      <c r="G228" s="1">
        <v>1</v>
      </c>
      <c r="H228" s="1">
        <v>8</v>
      </c>
      <c r="I228" s="1">
        <v>7</v>
      </c>
      <c r="N228" s="15" t="s">
        <v>294</v>
      </c>
      <c r="O228" s="15" t="s">
        <v>515</v>
      </c>
      <c r="P228" s="15" t="s">
        <v>329</v>
      </c>
      <c r="Q228" s="16">
        <v>51002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>
      <c r="A229" s="6" t="s">
        <v>229</v>
      </c>
      <c r="B229" s="11">
        <v>0</v>
      </c>
      <c r="C229" s="11">
        <v>1</v>
      </c>
      <c r="D229" s="11">
        <v>0</v>
      </c>
      <c r="E229" s="1">
        <v>0</v>
      </c>
      <c r="F229" s="1">
        <v>1</v>
      </c>
      <c r="G229" s="1">
        <v>0</v>
      </c>
      <c r="H229" s="1">
        <v>0</v>
      </c>
      <c r="I229" s="1">
        <v>1</v>
      </c>
      <c r="N229" s="15" t="s">
        <v>294</v>
      </c>
      <c r="O229" s="15" t="s">
        <v>515</v>
      </c>
      <c r="P229" s="15" t="s">
        <v>325</v>
      </c>
      <c r="Q229" s="16">
        <v>51003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>
      <c r="A230" s="6" t="s">
        <v>230</v>
      </c>
      <c r="B230" s="11">
        <v>0</v>
      </c>
      <c r="C230" s="11">
        <v>0</v>
      </c>
      <c r="D230" s="1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</v>
      </c>
      <c r="N230" s="15" t="s">
        <v>294</v>
      </c>
      <c r="O230" s="15" t="s">
        <v>516</v>
      </c>
      <c r="P230" s="15" t="s">
        <v>359</v>
      </c>
      <c r="Q230" s="16">
        <v>51101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</row>
    <row r="231" spans="1:23">
      <c r="A231" s="4" t="s">
        <v>231</v>
      </c>
      <c r="B231" s="5">
        <v>746</v>
      </c>
      <c r="C231" s="5">
        <v>734</v>
      </c>
      <c r="D231" s="5">
        <v>765</v>
      </c>
      <c r="E231" s="5">
        <v>993</v>
      </c>
      <c r="F231" s="5">
        <v>1139</v>
      </c>
      <c r="G231" s="5">
        <v>1277</v>
      </c>
      <c r="H231" s="5">
        <v>1410</v>
      </c>
      <c r="I231" s="5">
        <v>1256</v>
      </c>
      <c r="N231" s="15" t="s">
        <v>294</v>
      </c>
      <c r="O231" s="15" t="s">
        <v>516</v>
      </c>
      <c r="P231" s="15" t="s">
        <v>356</v>
      </c>
      <c r="Q231" s="16">
        <v>51102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>
      <c r="A232" s="6" t="s">
        <v>232</v>
      </c>
      <c r="B232" s="11">
        <v>98</v>
      </c>
      <c r="C232" s="11">
        <v>279</v>
      </c>
      <c r="D232" s="11">
        <v>117</v>
      </c>
      <c r="E232" s="1">
        <v>25</v>
      </c>
      <c r="F232" s="1">
        <v>31</v>
      </c>
      <c r="G232" s="1">
        <v>23</v>
      </c>
      <c r="H232" s="1">
        <v>5</v>
      </c>
      <c r="I232" s="1">
        <v>19</v>
      </c>
      <c r="N232" s="15" t="s">
        <v>294</v>
      </c>
      <c r="O232" s="15" t="s">
        <v>516</v>
      </c>
      <c r="P232" s="15" t="s">
        <v>360</v>
      </c>
      <c r="Q232" s="16">
        <v>51103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 s="6" t="s">
        <v>233</v>
      </c>
      <c r="B233" s="11">
        <v>5</v>
      </c>
      <c r="C233" s="11">
        <v>4</v>
      </c>
      <c r="D233" s="11">
        <v>7</v>
      </c>
      <c r="E233" s="1">
        <v>2</v>
      </c>
      <c r="F233" s="1">
        <v>2</v>
      </c>
      <c r="G233" s="1">
        <v>5</v>
      </c>
      <c r="H233" s="1">
        <v>14</v>
      </c>
      <c r="I233" s="1">
        <v>8</v>
      </c>
      <c r="N233" s="15" t="s">
        <v>294</v>
      </c>
      <c r="O233" s="15" t="s">
        <v>518</v>
      </c>
      <c r="P233" s="15" t="s">
        <v>227</v>
      </c>
      <c r="Q233" s="16">
        <v>51201</v>
      </c>
      <c r="R233">
        <v>0</v>
      </c>
      <c r="S233">
        <v>1</v>
      </c>
      <c r="T233">
        <v>0</v>
      </c>
      <c r="U233">
        <v>4</v>
      </c>
      <c r="V233">
        <v>6</v>
      </c>
      <c r="W233">
        <v>7</v>
      </c>
    </row>
    <row r="234" spans="1:23">
      <c r="A234" s="6" t="s">
        <v>234</v>
      </c>
      <c r="B234" s="11">
        <v>0</v>
      </c>
      <c r="C234" s="11">
        <v>0</v>
      </c>
      <c r="D234" s="11">
        <v>0</v>
      </c>
      <c r="E234" s="1">
        <v>2</v>
      </c>
      <c r="F234" s="1">
        <v>3</v>
      </c>
      <c r="G234" s="1">
        <v>2</v>
      </c>
      <c r="H234" s="1">
        <v>4</v>
      </c>
      <c r="I234" s="1">
        <v>0</v>
      </c>
      <c r="N234" s="15" t="s">
        <v>294</v>
      </c>
      <c r="O234" s="15" t="s">
        <v>518</v>
      </c>
      <c r="P234" s="15" t="s">
        <v>223</v>
      </c>
      <c r="Q234" s="16">
        <v>51202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>
      <c r="A235" s="6" t="s">
        <v>235</v>
      </c>
      <c r="B235" s="11">
        <v>0</v>
      </c>
      <c r="C235" s="11">
        <v>0</v>
      </c>
      <c r="D235" s="1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1</v>
      </c>
      <c r="N235" s="15" t="s">
        <v>294</v>
      </c>
      <c r="O235" s="15" t="s">
        <v>518</v>
      </c>
      <c r="P235" s="15" t="s">
        <v>213</v>
      </c>
      <c r="Q235" s="16">
        <v>51203</v>
      </c>
      <c r="R235">
        <v>0</v>
      </c>
      <c r="S235">
        <v>0</v>
      </c>
      <c r="T235">
        <v>2</v>
      </c>
      <c r="U235">
        <v>0</v>
      </c>
      <c r="V235">
        <v>2</v>
      </c>
      <c r="W235">
        <v>3</v>
      </c>
    </row>
    <row r="236" spans="1:23">
      <c r="A236" s="6" t="s">
        <v>236</v>
      </c>
      <c r="B236" s="11">
        <v>3</v>
      </c>
      <c r="C236" s="11">
        <v>0</v>
      </c>
      <c r="D236" s="11">
        <v>0</v>
      </c>
      <c r="E236" s="1">
        <v>3</v>
      </c>
      <c r="F236" s="1">
        <v>0</v>
      </c>
      <c r="G236" s="1">
        <v>1</v>
      </c>
      <c r="H236" s="1">
        <v>2</v>
      </c>
      <c r="I236" s="1">
        <v>1</v>
      </c>
      <c r="N236" s="15" t="s">
        <v>294</v>
      </c>
      <c r="O236" s="15" t="s">
        <v>223</v>
      </c>
      <c r="P236" s="15" t="s">
        <v>519</v>
      </c>
      <c r="Q236" s="16">
        <v>51204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>
      <c r="A237" s="6" t="s">
        <v>237</v>
      </c>
      <c r="B237" s="11">
        <v>0</v>
      </c>
      <c r="C237" s="11">
        <v>0</v>
      </c>
      <c r="D237" s="11">
        <v>0</v>
      </c>
      <c r="E237" s="1">
        <v>2</v>
      </c>
      <c r="F237" s="1">
        <v>2</v>
      </c>
      <c r="G237" s="1">
        <v>1</v>
      </c>
      <c r="H237" s="1">
        <v>2</v>
      </c>
      <c r="I237" s="1">
        <v>5</v>
      </c>
      <c r="N237" s="15" t="s">
        <v>294</v>
      </c>
      <c r="O237" s="15" t="s">
        <v>520</v>
      </c>
      <c r="P237" s="15" t="s">
        <v>200</v>
      </c>
      <c r="Q237" s="16">
        <v>51301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>
      <c r="A238" s="6" t="s">
        <v>238</v>
      </c>
      <c r="B238" s="11">
        <v>2</v>
      </c>
      <c r="C238" s="11">
        <v>1</v>
      </c>
      <c r="D238" s="11">
        <v>2</v>
      </c>
      <c r="E238" s="1">
        <v>4</v>
      </c>
      <c r="F238" s="1">
        <v>3</v>
      </c>
      <c r="G238" s="1">
        <v>8</v>
      </c>
      <c r="H238" s="1">
        <v>4</v>
      </c>
      <c r="I238" s="1">
        <v>7</v>
      </c>
      <c r="N238" s="15" t="s">
        <v>294</v>
      </c>
      <c r="O238" s="15" t="s">
        <v>520</v>
      </c>
      <c r="P238" s="15" t="s">
        <v>199</v>
      </c>
      <c r="Q238" s="16">
        <v>51302</v>
      </c>
      <c r="R238">
        <v>8</v>
      </c>
      <c r="S238">
        <v>5</v>
      </c>
      <c r="T238">
        <v>6</v>
      </c>
      <c r="U238">
        <v>0</v>
      </c>
      <c r="V238">
        <v>0</v>
      </c>
      <c r="W238">
        <v>2</v>
      </c>
    </row>
    <row r="239" spans="1:23">
      <c r="A239" s="6" t="s">
        <v>239</v>
      </c>
      <c r="B239" s="11">
        <v>1</v>
      </c>
      <c r="C239" s="11">
        <v>0</v>
      </c>
      <c r="D239" s="11">
        <v>0</v>
      </c>
      <c r="E239" s="1">
        <v>0</v>
      </c>
      <c r="F239" s="1">
        <v>3</v>
      </c>
      <c r="G239" s="1">
        <v>0</v>
      </c>
      <c r="H239" s="1">
        <v>4</v>
      </c>
      <c r="I239" s="1">
        <v>3</v>
      </c>
      <c r="N239" s="15" t="s">
        <v>294</v>
      </c>
      <c r="O239" s="15" t="s">
        <v>521</v>
      </c>
      <c r="P239" s="15" t="s">
        <v>210</v>
      </c>
      <c r="Q239" s="16">
        <v>51401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</row>
    <row r="240" spans="1:23">
      <c r="A240" s="6" t="s">
        <v>240</v>
      </c>
      <c r="B240" s="11">
        <v>0</v>
      </c>
      <c r="C240" s="11">
        <v>0</v>
      </c>
      <c r="D240" s="11">
        <v>1</v>
      </c>
      <c r="E240" s="1">
        <v>2</v>
      </c>
      <c r="F240" s="1">
        <v>0</v>
      </c>
      <c r="G240" s="1">
        <v>3</v>
      </c>
      <c r="H240" s="1">
        <v>1</v>
      </c>
      <c r="I240" s="1">
        <v>0</v>
      </c>
      <c r="N240" s="15" t="s">
        <v>294</v>
      </c>
      <c r="O240" s="15" t="s">
        <v>521</v>
      </c>
      <c r="P240" s="15" t="s">
        <v>221</v>
      </c>
      <c r="Q240" s="16">
        <v>51402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>
      <c r="A241" s="6" t="s">
        <v>241</v>
      </c>
      <c r="B241" s="11">
        <v>0</v>
      </c>
      <c r="C241" s="11">
        <v>1</v>
      </c>
      <c r="D241" s="11">
        <v>1</v>
      </c>
      <c r="E241" s="1">
        <v>0</v>
      </c>
      <c r="F241" s="1">
        <v>2</v>
      </c>
      <c r="G241" s="1">
        <v>0</v>
      </c>
      <c r="H241" s="1">
        <v>2</v>
      </c>
      <c r="I241" s="1">
        <v>2</v>
      </c>
      <c r="N241" s="15" t="s">
        <v>294</v>
      </c>
      <c r="O241" s="15" t="s">
        <v>522</v>
      </c>
      <c r="P241" s="15" t="s">
        <v>406</v>
      </c>
      <c r="Q241" s="16">
        <v>51501</v>
      </c>
      <c r="R241">
        <v>3</v>
      </c>
      <c r="S241">
        <v>3</v>
      </c>
      <c r="T241">
        <v>2</v>
      </c>
      <c r="U241">
        <v>1</v>
      </c>
      <c r="V241">
        <v>8</v>
      </c>
      <c r="W241">
        <v>7</v>
      </c>
    </row>
    <row r="242" spans="1:23">
      <c r="A242" s="6" t="s">
        <v>242</v>
      </c>
      <c r="B242" s="11">
        <v>0</v>
      </c>
      <c r="C242" s="11">
        <v>2</v>
      </c>
      <c r="D242" s="11">
        <v>0</v>
      </c>
      <c r="E242" s="1">
        <v>5</v>
      </c>
      <c r="F242" s="1">
        <v>2</v>
      </c>
      <c r="G242" s="1">
        <v>5</v>
      </c>
      <c r="H242" s="1">
        <v>4</v>
      </c>
      <c r="I242" s="1">
        <v>4</v>
      </c>
      <c r="N242" s="15" t="s">
        <v>294</v>
      </c>
      <c r="O242" s="15" t="s">
        <v>523</v>
      </c>
      <c r="P242" s="15" t="s">
        <v>332</v>
      </c>
      <c r="Q242" s="16">
        <v>51601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s="6" t="s">
        <v>243</v>
      </c>
      <c r="B243" s="11">
        <v>1</v>
      </c>
      <c r="C243" s="11">
        <v>4</v>
      </c>
      <c r="D243" s="11">
        <v>6</v>
      </c>
      <c r="E243" s="1">
        <v>17</v>
      </c>
      <c r="F243" s="1">
        <v>18</v>
      </c>
      <c r="G243" s="1">
        <v>26</v>
      </c>
      <c r="H243" s="1">
        <v>34</v>
      </c>
      <c r="I243" s="1">
        <v>30</v>
      </c>
      <c r="N243" s="15" t="s">
        <v>283</v>
      </c>
      <c r="O243" s="15" t="s">
        <v>467</v>
      </c>
      <c r="P243" s="15" t="s">
        <v>283</v>
      </c>
      <c r="Q243" s="16">
        <v>60101</v>
      </c>
      <c r="R243">
        <v>10</v>
      </c>
      <c r="S243">
        <v>10</v>
      </c>
      <c r="T243">
        <v>15</v>
      </c>
      <c r="U243">
        <v>48</v>
      </c>
      <c r="V243">
        <v>68</v>
      </c>
      <c r="W243">
        <v>65</v>
      </c>
    </row>
    <row r="244" spans="1:23">
      <c r="A244" s="6" t="s">
        <v>244</v>
      </c>
      <c r="B244" s="11">
        <v>0</v>
      </c>
      <c r="C244" s="11">
        <v>0</v>
      </c>
      <c r="D244" s="1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N244" s="15" t="s">
        <v>283</v>
      </c>
      <c r="O244" s="15" t="s">
        <v>524</v>
      </c>
      <c r="P244" s="15" t="s">
        <v>282</v>
      </c>
      <c r="Q244" s="16">
        <v>60201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</row>
    <row r="245" spans="1:23">
      <c r="A245" s="6" t="s">
        <v>245</v>
      </c>
      <c r="B245" s="11">
        <v>0</v>
      </c>
      <c r="C245" s="11">
        <v>1</v>
      </c>
      <c r="D245" s="11">
        <v>2</v>
      </c>
      <c r="E245" s="1">
        <v>0</v>
      </c>
      <c r="F245" s="1">
        <v>1</v>
      </c>
      <c r="G245" s="1">
        <v>1</v>
      </c>
      <c r="H245" s="1">
        <v>3</v>
      </c>
      <c r="I245" s="1">
        <v>2</v>
      </c>
      <c r="N245" s="15" t="s">
        <v>283</v>
      </c>
      <c r="O245" s="15" t="s">
        <v>524</v>
      </c>
      <c r="P245" s="15" t="s">
        <v>279</v>
      </c>
      <c r="Q245" s="16">
        <v>60202</v>
      </c>
      <c r="R245">
        <v>8</v>
      </c>
      <c r="S245">
        <v>2</v>
      </c>
      <c r="T245">
        <v>2</v>
      </c>
      <c r="U245">
        <v>6</v>
      </c>
      <c r="V245">
        <v>9</v>
      </c>
      <c r="W245">
        <v>6</v>
      </c>
    </row>
    <row r="246" spans="1:23">
      <c r="A246" s="6" t="s">
        <v>246</v>
      </c>
      <c r="B246" s="11">
        <v>4</v>
      </c>
      <c r="C246" s="11">
        <v>7</v>
      </c>
      <c r="D246" s="11">
        <v>7</v>
      </c>
      <c r="E246" s="1">
        <v>9</v>
      </c>
      <c r="F246" s="1">
        <v>12</v>
      </c>
      <c r="G246" s="1">
        <v>25</v>
      </c>
      <c r="H246" s="1">
        <v>18</v>
      </c>
      <c r="I246" s="1">
        <v>13</v>
      </c>
      <c r="N246" s="15" t="s">
        <v>283</v>
      </c>
      <c r="O246" s="15" t="s">
        <v>525</v>
      </c>
      <c r="P246" s="15" t="s">
        <v>287</v>
      </c>
      <c r="Q246" s="16">
        <v>60301</v>
      </c>
      <c r="R246">
        <v>2</v>
      </c>
      <c r="S246">
        <v>22</v>
      </c>
      <c r="T246">
        <v>10</v>
      </c>
      <c r="U246">
        <v>26</v>
      </c>
      <c r="V246">
        <v>17</v>
      </c>
      <c r="W246">
        <v>21</v>
      </c>
    </row>
    <row r="247" spans="1:23">
      <c r="A247" s="6" t="s">
        <v>247</v>
      </c>
      <c r="B247" s="11">
        <v>1</v>
      </c>
      <c r="C247" s="11">
        <v>1</v>
      </c>
      <c r="D247" s="1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3</v>
      </c>
      <c r="N247" s="15" t="s">
        <v>283</v>
      </c>
      <c r="O247" s="15" t="s">
        <v>525</v>
      </c>
      <c r="P247" s="15" t="s">
        <v>331</v>
      </c>
      <c r="Q247" s="16">
        <v>60302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</row>
    <row r="248" spans="1:23">
      <c r="A248" s="6" t="s">
        <v>248</v>
      </c>
      <c r="B248" s="11">
        <v>2</v>
      </c>
      <c r="C248" s="11">
        <v>0</v>
      </c>
      <c r="D248" s="11">
        <v>6</v>
      </c>
      <c r="E248" s="1">
        <v>19</v>
      </c>
      <c r="F248" s="1">
        <v>18</v>
      </c>
      <c r="G248" s="1">
        <v>35</v>
      </c>
      <c r="H248" s="1">
        <v>32</v>
      </c>
      <c r="I248" s="1">
        <v>37</v>
      </c>
      <c r="N248" s="15" t="s">
        <v>283</v>
      </c>
      <c r="O248" s="15" t="s">
        <v>525</v>
      </c>
      <c r="P248" s="15" t="s">
        <v>318</v>
      </c>
      <c r="Q248" s="16">
        <v>60303</v>
      </c>
      <c r="R248">
        <v>5</v>
      </c>
      <c r="S248">
        <v>3</v>
      </c>
      <c r="T248">
        <v>3</v>
      </c>
      <c r="U248">
        <v>8</v>
      </c>
      <c r="V248">
        <v>10</v>
      </c>
      <c r="W248">
        <v>5</v>
      </c>
    </row>
    <row r="249" spans="1:23">
      <c r="A249" s="6" t="s">
        <v>249</v>
      </c>
      <c r="B249" s="11">
        <v>0</v>
      </c>
      <c r="C249" s="11">
        <v>0</v>
      </c>
      <c r="D249" s="1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</v>
      </c>
      <c r="N249" s="15" t="s">
        <v>283</v>
      </c>
      <c r="O249" s="15" t="s">
        <v>526</v>
      </c>
      <c r="P249" s="15" t="s">
        <v>328</v>
      </c>
      <c r="Q249" s="16">
        <v>60401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</row>
    <row r="250" spans="1:23">
      <c r="A250" s="6" t="s">
        <v>250</v>
      </c>
      <c r="B250" s="11">
        <v>0</v>
      </c>
      <c r="C250" s="11">
        <v>2</v>
      </c>
      <c r="D250" s="11">
        <v>2</v>
      </c>
      <c r="E250" s="1">
        <v>2</v>
      </c>
      <c r="F250" s="1">
        <v>1</v>
      </c>
      <c r="G250" s="1">
        <v>1</v>
      </c>
      <c r="H250" s="1">
        <v>6</v>
      </c>
      <c r="I250" s="1">
        <v>1</v>
      </c>
      <c r="N250" s="15" t="s">
        <v>283</v>
      </c>
      <c r="O250" s="15" t="s">
        <v>526</v>
      </c>
      <c r="P250" s="15" t="s">
        <v>330</v>
      </c>
      <c r="Q250" s="16">
        <v>60402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>
      <c r="A251" s="6" t="s">
        <v>251</v>
      </c>
      <c r="B251" s="11">
        <v>11</v>
      </c>
      <c r="C251" s="11">
        <v>3</v>
      </c>
      <c r="D251" s="11">
        <v>3</v>
      </c>
      <c r="E251" s="1">
        <v>11</v>
      </c>
      <c r="F251" s="1">
        <v>7</v>
      </c>
      <c r="G251" s="1">
        <v>11</v>
      </c>
      <c r="H251" s="1">
        <v>13</v>
      </c>
      <c r="I251" s="1">
        <v>10</v>
      </c>
      <c r="N251" s="15" t="s">
        <v>283</v>
      </c>
      <c r="O251" s="15" t="s">
        <v>527</v>
      </c>
      <c r="P251" s="15" t="s">
        <v>195</v>
      </c>
      <c r="Q251" s="16">
        <v>60501</v>
      </c>
      <c r="R251">
        <v>1</v>
      </c>
      <c r="S251">
        <v>0</v>
      </c>
      <c r="T251">
        <v>0</v>
      </c>
      <c r="U251">
        <v>2</v>
      </c>
      <c r="V251">
        <v>0</v>
      </c>
      <c r="W251">
        <v>1</v>
      </c>
    </row>
    <row r="252" spans="1:23">
      <c r="A252" s="6" t="s">
        <v>252</v>
      </c>
      <c r="B252" s="11">
        <v>31</v>
      </c>
      <c r="C252" s="11">
        <v>21</v>
      </c>
      <c r="D252" s="11">
        <v>42</v>
      </c>
      <c r="E252" s="1">
        <v>32</v>
      </c>
      <c r="F252" s="1">
        <v>51</v>
      </c>
      <c r="G252" s="1">
        <v>56</v>
      </c>
      <c r="H252" s="1">
        <v>40</v>
      </c>
      <c r="I252" s="1">
        <v>52</v>
      </c>
      <c r="N252" s="15" t="s">
        <v>283</v>
      </c>
      <c r="O252" s="15" t="s">
        <v>527</v>
      </c>
      <c r="P252" s="15" t="s">
        <v>245</v>
      </c>
      <c r="Q252" s="16">
        <v>60502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</row>
    <row r="253" spans="1:23">
      <c r="A253" s="6" t="s">
        <v>253</v>
      </c>
      <c r="B253" s="11">
        <v>1</v>
      </c>
      <c r="C253" s="11">
        <v>0</v>
      </c>
      <c r="D253" s="11">
        <v>0</v>
      </c>
      <c r="E253" s="1">
        <v>0</v>
      </c>
      <c r="F253" s="1">
        <v>0</v>
      </c>
      <c r="G253" s="1">
        <v>0</v>
      </c>
      <c r="H253" s="1">
        <v>3</v>
      </c>
      <c r="I253" s="1">
        <v>2</v>
      </c>
      <c r="N253" s="15" t="s">
        <v>283</v>
      </c>
      <c r="O253" s="15" t="s">
        <v>528</v>
      </c>
      <c r="P253" s="15" t="s">
        <v>281</v>
      </c>
      <c r="Q253" s="16">
        <v>60601</v>
      </c>
      <c r="R253">
        <v>0</v>
      </c>
      <c r="S253">
        <v>1</v>
      </c>
      <c r="T253">
        <v>0</v>
      </c>
      <c r="U253">
        <v>4</v>
      </c>
      <c r="V253">
        <v>2</v>
      </c>
      <c r="W253">
        <v>1</v>
      </c>
    </row>
    <row r="254" spans="1:23">
      <c r="A254" s="6" t="s">
        <v>254</v>
      </c>
      <c r="B254" s="11">
        <v>4</v>
      </c>
      <c r="C254" s="11">
        <v>4</v>
      </c>
      <c r="D254" s="11">
        <v>5</v>
      </c>
      <c r="E254" s="1">
        <v>8</v>
      </c>
      <c r="F254" s="1">
        <v>3</v>
      </c>
      <c r="G254" s="1">
        <v>5</v>
      </c>
      <c r="H254" s="1">
        <v>7</v>
      </c>
      <c r="I254" s="1">
        <v>10</v>
      </c>
      <c r="N254" s="15" t="s">
        <v>295</v>
      </c>
      <c r="O254" s="15" t="s">
        <v>529</v>
      </c>
      <c r="P254" s="15" t="s">
        <v>272</v>
      </c>
      <c r="Q254" s="16">
        <v>70101</v>
      </c>
      <c r="R254">
        <v>526</v>
      </c>
      <c r="S254">
        <v>355</v>
      </c>
      <c r="T254">
        <v>494</v>
      </c>
      <c r="U254">
        <v>913</v>
      </c>
      <c r="V254">
        <v>1034</v>
      </c>
      <c r="W254">
        <v>907</v>
      </c>
    </row>
    <row r="255" spans="1:23">
      <c r="A255" s="6" t="s">
        <v>255</v>
      </c>
      <c r="B255" s="11">
        <v>0</v>
      </c>
      <c r="C255" s="11">
        <v>0</v>
      </c>
      <c r="D255" s="11">
        <v>0</v>
      </c>
      <c r="E255" s="1">
        <v>1</v>
      </c>
      <c r="F255" s="1">
        <v>1</v>
      </c>
      <c r="G255" s="1">
        <v>0</v>
      </c>
      <c r="H255" s="1">
        <v>0</v>
      </c>
      <c r="I255" s="1">
        <v>0</v>
      </c>
      <c r="N255" s="15" t="s">
        <v>295</v>
      </c>
      <c r="O255" s="15" t="s">
        <v>529</v>
      </c>
      <c r="P255" s="15" t="s">
        <v>243</v>
      </c>
      <c r="Q255" s="16">
        <v>70102</v>
      </c>
      <c r="R255">
        <v>1</v>
      </c>
      <c r="S255">
        <v>4</v>
      </c>
      <c r="T255">
        <v>6</v>
      </c>
      <c r="U255">
        <v>26</v>
      </c>
      <c r="V255">
        <v>34</v>
      </c>
      <c r="W255">
        <v>30</v>
      </c>
    </row>
    <row r="256" spans="1:23">
      <c r="A256" s="6" t="s">
        <v>256</v>
      </c>
      <c r="B256" s="11">
        <v>3</v>
      </c>
      <c r="C256" s="11">
        <v>3</v>
      </c>
      <c r="D256" s="11">
        <v>4</v>
      </c>
      <c r="E256" s="1">
        <v>2</v>
      </c>
      <c r="F256" s="1">
        <v>1</v>
      </c>
      <c r="G256" s="1">
        <v>9</v>
      </c>
      <c r="H256" s="1">
        <v>8</v>
      </c>
      <c r="I256" s="1">
        <v>6</v>
      </c>
      <c r="N256" s="15" t="s">
        <v>295</v>
      </c>
      <c r="O256" s="15" t="s">
        <v>529</v>
      </c>
      <c r="P256" s="15" t="s">
        <v>320</v>
      </c>
      <c r="Q256" s="16">
        <v>70103</v>
      </c>
      <c r="R256">
        <v>0</v>
      </c>
      <c r="S256">
        <v>0</v>
      </c>
      <c r="T256">
        <v>0</v>
      </c>
      <c r="U256">
        <v>2</v>
      </c>
      <c r="V256">
        <v>4</v>
      </c>
      <c r="W256">
        <v>0</v>
      </c>
    </row>
    <row r="257" spans="1:23">
      <c r="A257" s="6" t="s">
        <v>257</v>
      </c>
      <c r="B257" s="11">
        <v>0</v>
      </c>
      <c r="C257" s="11">
        <v>0</v>
      </c>
      <c r="D257" s="11">
        <v>0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N257" s="15" t="s">
        <v>295</v>
      </c>
      <c r="O257" s="15" t="s">
        <v>529</v>
      </c>
      <c r="P257" s="15" t="s">
        <v>248</v>
      </c>
      <c r="Q257" s="16">
        <v>70104</v>
      </c>
      <c r="R257">
        <v>2</v>
      </c>
      <c r="S257">
        <v>0</v>
      </c>
      <c r="T257">
        <v>6</v>
      </c>
      <c r="U257">
        <v>35</v>
      </c>
      <c r="V257">
        <v>32</v>
      </c>
      <c r="W257">
        <v>37</v>
      </c>
    </row>
    <row r="258" spans="1:23">
      <c r="A258" s="6" t="s">
        <v>258</v>
      </c>
      <c r="B258" s="11">
        <v>2</v>
      </c>
      <c r="C258" s="11">
        <v>0</v>
      </c>
      <c r="D258" s="11">
        <v>5</v>
      </c>
      <c r="E258" s="1">
        <v>5</v>
      </c>
      <c r="F258" s="1">
        <v>1</v>
      </c>
      <c r="G258" s="1">
        <v>5</v>
      </c>
      <c r="H258" s="1">
        <v>15</v>
      </c>
      <c r="I258" s="1">
        <v>5</v>
      </c>
      <c r="N258" s="15" t="s">
        <v>295</v>
      </c>
      <c r="O258" s="15" t="s">
        <v>529</v>
      </c>
      <c r="P258" s="15" t="s">
        <v>246</v>
      </c>
      <c r="Q258" s="16">
        <v>70105</v>
      </c>
      <c r="R258">
        <v>4</v>
      </c>
      <c r="S258">
        <v>7</v>
      </c>
      <c r="T258">
        <v>7</v>
      </c>
      <c r="U258">
        <v>25</v>
      </c>
      <c r="V258">
        <v>18</v>
      </c>
      <c r="W258">
        <v>13</v>
      </c>
    </row>
    <row r="259" spans="1:23">
      <c r="A259" s="6" t="s">
        <v>259</v>
      </c>
      <c r="B259" s="11">
        <v>4</v>
      </c>
      <c r="C259" s="11">
        <v>1</v>
      </c>
      <c r="D259" s="11">
        <v>5</v>
      </c>
      <c r="E259" s="1">
        <v>5</v>
      </c>
      <c r="F259" s="1">
        <v>10</v>
      </c>
      <c r="G259" s="1">
        <v>6</v>
      </c>
      <c r="H259" s="1">
        <v>12</v>
      </c>
      <c r="I259" s="1">
        <v>6</v>
      </c>
      <c r="N259" s="15" t="s">
        <v>295</v>
      </c>
      <c r="O259" s="15" t="s">
        <v>276</v>
      </c>
      <c r="P259" s="15" t="s">
        <v>276</v>
      </c>
      <c r="Q259" s="16">
        <v>70201</v>
      </c>
      <c r="R259">
        <v>11</v>
      </c>
      <c r="S259">
        <v>13</v>
      </c>
      <c r="T259">
        <v>27</v>
      </c>
      <c r="U259">
        <v>58</v>
      </c>
      <c r="V259">
        <v>69</v>
      </c>
      <c r="W259">
        <v>50</v>
      </c>
    </row>
    <row r="260" spans="1:23">
      <c r="A260" s="6" t="s">
        <v>260</v>
      </c>
      <c r="B260" s="11">
        <v>0</v>
      </c>
      <c r="C260" s="11">
        <v>0</v>
      </c>
      <c r="D260" s="1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N260" s="15" t="s">
        <v>295</v>
      </c>
      <c r="O260" s="15" t="s">
        <v>276</v>
      </c>
      <c r="P260" s="15" t="s">
        <v>253</v>
      </c>
      <c r="Q260" s="16">
        <v>70202</v>
      </c>
      <c r="R260">
        <v>1</v>
      </c>
      <c r="S260">
        <v>0</v>
      </c>
      <c r="T260">
        <v>0</v>
      </c>
      <c r="U260">
        <v>0</v>
      </c>
      <c r="V260">
        <v>3</v>
      </c>
      <c r="W260">
        <v>2</v>
      </c>
    </row>
    <row r="261" spans="1:23">
      <c r="A261" s="6" t="s">
        <v>261</v>
      </c>
      <c r="B261" s="11">
        <v>0</v>
      </c>
      <c r="C261" s="11">
        <v>0</v>
      </c>
      <c r="D261" s="11">
        <v>0</v>
      </c>
      <c r="E261" s="1">
        <v>1</v>
      </c>
      <c r="F261" s="1">
        <v>1</v>
      </c>
      <c r="G261" s="1">
        <v>3</v>
      </c>
      <c r="H261" s="1">
        <v>2</v>
      </c>
      <c r="I261" s="1">
        <v>4</v>
      </c>
      <c r="N261" s="15" t="s">
        <v>295</v>
      </c>
      <c r="O261" s="15" t="s">
        <v>531</v>
      </c>
      <c r="P261" s="15" t="s">
        <v>266</v>
      </c>
      <c r="Q261" s="16">
        <v>70301</v>
      </c>
      <c r="R261">
        <v>9</v>
      </c>
      <c r="S261">
        <v>5</v>
      </c>
      <c r="T261">
        <v>0</v>
      </c>
      <c r="U261">
        <v>8</v>
      </c>
      <c r="V261">
        <v>10</v>
      </c>
      <c r="W261">
        <v>10</v>
      </c>
    </row>
    <row r="262" spans="1:23">
      <c r="A262" s="6" t="s">
        <v>262</v>
      </c>
      <c r="B262" s="11">
        <v>0</v>
      </c>
      <c r="C262" s="11">
        <v>1</v>
      </c>
      <c r="D262" s="1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0</v>
      </c>
      <c r="N262" s="15" t="s">
        <v>295</v>
      </c>
      <c r="O262" s="15" t="s">
        <v>531</v>
      </c>
      <c r="P262" s="15" t="s">
        <v>270</v>
      </c>
      <c r="Q262" s="16">
        <v>70302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</row>
    <row r="263" spans="1:23">
      <c r="A263" s="6" t="s">
        <v>263</v>
      </c>
      <c r="B263" s="11">
        <v>0</v>
      </c>
      <c r="C263" s="11">
        <v>0</v>
      </c>
      <c r="D263" s="11">
        <v>0</v>
      </c>
      <c r="E263" s="1">
        <v>1</v>
      </c>
      <c r="F263" s="1">
        <v>2</v>
      </c>
      <c r="G263" s="1">
        <v>4</v>
      </c>
      <c r="H263" s="1">
        <v>0</v>
      </c>
      <c r="I263" s="1">
        <v>0</v>
      </c>
      <c r="N263" s="15" t="s">
        <v>295</v>
      </c>
      <c r="O263" s="15" t="s">
        <v>531</v>
      </c>
      <c r="P263" s="15" t="s">
        <v>271</v>
      </c>
      <c r="Q263" s="16">
        <v>70303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1</v>
      </c>
    </row>
    <row r="264" spans="1:23">
      <c r="A264" s="6" t="s">
        <v>264</v>
      </c>
      <c r="B264" s="11">
        <v>0</v>
      </c>
      <c r="C264" s="11">
        <v>1</v>
      </c>
      <c r="D264" s="1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N264" s="15" t="s">
        <v>295</v>
      </c>
      <c r="O264" s="15" t="s">
        <v>533</v>
      </c>
      <c r="P264" s="15" t="s">
        <v>236</v>
      </c>
      <c r="Q264" s="16">
        <v>70401</v>
      </c>
      <c r="R264">
        <v>3</v>
      </c>
      <c r="S264">
        <v>0</v>
      </c>
      <c r="T264">
        <v>0</v>
      </c>
      <c r="U264">
        <v>1</v>
      </c>
      <c r="V264">
        <v>2</v>
      </c>
      <c r="W264">
        <v>1</v>
      </c>
    </row>
    <row r="265" spans="1:23">
      <c r="A265" s="6" t="s">
        <v>265</v>
      </c>
      <c r="B265" s="11">
        <v>5</v>
      </c>
      <c r="C265" s="11">
        <v>1</v>
      </c>
      <c r="D265" s="11">
        <v>1</v>
      </c>
      <c r="E265" s="1">
        <v>7</v>
      </c>
      <c r="F265" s="1">
        <v>8</v>
      </c>
      <c r="G265" s="1">
        <v>11</v>
      </c>
      <c r="H265" s="1">
        <v>10</v>
      </c>
      <c r="I265" s="1">
        <v>3</v>
      </c>
      <c r="N265" s="15" t="s">
        <v>295</v>
      </c>
      <c r="O265" s="15" t="s">
        <v>533</v>
      </c>
      <c r="P265" s="15" t="s">
        <v>265</v>
      </c>
      <c r="Q265" s="16">
        <v>70402</v>
      </c>
      <c r="R265">
        <v>5</v>
      </c>
      <c r="S265">
        <v>1</v>
      </c>
      <c r="T265">
        <v>1</v>
      </c>
      <c r="U265">
        <v>11</v>
      </c>
      <c r="V265">
        <v>10</v>
      </c>
      <c r="W265">
        <v>3</v>
      </c>
    </row>
    <row r="266" spans="1:23">
      <c r="A266" s="6" t="s">
        <v>266</v>
      </c>
      <c r="B266" s="11">
        <v>9</v>
      </c>
      <c r="C266" s="11">
        <v>5</v>
      </c>
      <c r="D266" s="11">
        <v>0</v>
      </c>
      <c r="E266" s="1">
        <v>5</v>
      </c>
      <c r="F266" s="1">
        <v>8</v>
      </c>
      <c r="G266" s="1">
        <v>8</v>
      </c>
      <c r="H266" s="1">
        <v>10</v>
      </c>
      <c r="I266" s="1">
        <v>10</v>
      </c>
      <c r="N266" s="15" t="s">
        <v>295</v>
      </c>
      <c r="O266" s="15" t="s">
        <v>533</v>
      </c>
      <c r="P266" s="15" t="s">
        <v>277</v>
      </c>
      <c r="Q266" s="16">
        <v>70403</v>
      </c>
      <c r="R266">
        <v>6</v>
      </c>
      <c r="S266">
        <v>7</v>
      </c>
      <c r="T266">
        <v>8</v>
      </c>
      <c r="U266">
        <v>26</v>
      </c>
      <c r="V266">
        <v>25</v>
      </c>
      <c r="W266">
        <v>24</v>
      </c>
    </row>
    <row r="267" spans="1:23">
      <c r="A267" s="6" t="s">
        <v>20</v>
      </c>
      <c r="B267" s="11">
        <v>2</v>
      </c>
      <c r="C267" s="11">
        <v>0</v>
      </c>
      <c r="D267" s="11">
        <v>0</v>
      </c>
      <c r="E267" s="1">
        <v>2</v>
      </c>
      <c r="F267" s="1">
        <v>2</v>
      </c>
      <c r="G267" s="1">
        <v>2</v>
      </c>
      <c r="H267" s="1">
        <v>0</v>
      </c>
      <c r="I267" s="1">
        <v>0</v>
      </c>
      <c r="N267" s="15" t="s">
        <v>295</v>
      </c>
      <c r="O267" s="15" t="s">
        <v>533</v>
      </c>
      <c r="P267" s="15" t="s">
        <v>313</v>
      </c>
      <c r="Q267" s="16">
        <v>70404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>
      <c r="A268" s="6" t="s">
        <v>267</v>
      </c>
      <c r="B268" s="11">
        <v>1</v>
      </c>
      <c r="C268" s="11">
        <v>0</v>
      </c>
      <c r="D268" s="11">
        <v>2</v>
      </c>
      <c r="E268" s="1">
        <v>3</v>
      </c>
      <c r="F268" s="1">
        <v>1</v>
      </c>
      <c r="G268" s="1">
        <v>4</v>
      </c>
      <c r="H268" s="1">
        <v>5</v>
      </c>
      <c r="I268" s="1">
        <v>2</v>
      </c>
      <c r="N268" s="15" t="s">
        <v>295</v>
      </c>
      <c r="O268" s="15" t="s">
        <v>534</v>
      </c>
      <c r="P268" s="15" t="s">
        <v>393</v>
      </c>
      <c r="Q268" s="16">
        <v>70501</v>
      </c>
      <c r="R268">
        <v>1</v>
      </c>
      <c r="S268">
        <v>0</v>
      </c>
      <c r="T268">
        <v>2</v>
      </c>
      <c r="U268">
        <v>4</v>
      </c>
      <c r="V268">
        <v>5</v>
      </c>
      <c r="W268">
        <v>2</v>
      </c>
    </row>
    <row r="269" spans="1:23">
      <c r="A269" s="6" t="s">
        <v>268</v>
      </c>
      <c r="B269" s="11">
        <v>5</v>
      </c>
      <c r="C269" s="11">
        <v>5</v>
      </c>
      <c r="D269" s="11">
        <v>6</v>
      </c>
      <c r="E269" s="1">
        <v>10</v>
      </c>
      <c r="F269" s="1">
        <v>12</v>
      </c>
      <c r="G269" s="1">
        <v>14</v>
      </c>
      <c r="H269" s="1">
        <v>12</v>
      </c>
      <c r="I269" s="1">
        <v>20</v>
      </c>
      <c r="N269" s="15" t="s">
        <v>295</v>
      </c>
      <c r="O269" s="15" t="s">
        <v>534</v>
      </c>
      <c r="P269" s="15" t="s">
        <v>388</v>
      </c>
      <c r="Q269" s="16">
        <v>70502</v>
      </c>
      <c r="R269">
        <v>4</v>
      </c>
      <c r="S269">
        <v>4</v>
      </c>
      <c r="T269">
        <v>5</v>
      </c>
      <c r="U269">
        <v>5</v>
      </c>
      <c r="V269">
        <v>7</v>
      </c>
      <c r="W269">
        <v>10</v>
      </c>
    </row>
    <row r="270" spans="1:23">
      <c r="A270" s="6" t="s">
        <v>269</v>
      </c>
      <c r="B270" s="11">
        <v>4</v>
      </c>
      <c r="C270" s="11">
        <v>0</v>
      </c>
      <c r="D270" s="11">
        <v>1</v>
      </c>
      <c r="E270" s="1">
        <v>0</v>
      </c>
      <c r="F270" s="1">
        <v>1</v>
      </c>
      <c r="G270" s="1">
        <v>1</v>
      </c>
      <c r="H270" s="1">
        <v>2</v>
      </c>
      <c r="I270" s="1">
        <v>2</v>
      </c>
      <c r="N270" s="15" t="s">
        <v>295</v>
      </c>
      <c r="O270" s="15" t="s">
        <v>534</v>
      </c>
      <c r="P270" s="15" t="s">
        <v>392</v>
      </c>
      <c r="Q270" s="16">
        <v>70503</v>
      </c>
      <c r="R270">
        <v>0</v>
      </c>
      <c r="S270">
        <v>0</v>
      </c>
      <c r="T270">
        <v>0</v>
      </c>
      <c r="U270">
        <v>3</v>
      </c>
      <c r="V270">
        <v>2</v>
      </c>
      <c r="W270">
        <v>4</v>
      </c>
    </row>
    <row r="271" spans="1:23">
      <c r="A271" s="6" t="s">
        <v>270</v>
      </c>
      <c r="B271" s="11">
        <v>0</v>
      </c>
      <c r="C271" s="11">
        <v>0</v>
      </c>
      <c r="D271" s="11">
        <v>0</v>
      </c>
      <c r="E271" s="1">
        <v>1</v>
      </c>
      <c r="F271" s="1">
        <v>1</v>
      </c>
      <c r="G271" s="1">
        <v>2</v>
      </c>
      <c r="H271" s="1">
        <v>0</v>
      </c>
      <c r="I271" s="1">
        <v>0</v>
      </c>
      <c r="N271" s="15" t="s">
        <v>295</v>
      </c>
      <c r="O271" s="15" t="s">
        <v>536</v>
      </c>
      <c r="P271" s="15" t="s">
        <v>256</v>
      </c>
      <c r="Q271" s="16">
        <v>70601</v>
      </c>
      <c r="R271">
        <v>3</v>
      </c>
      <c r="S271">
        <v>3</v>
      </c>
      <c r="T271">
        <v>4</v>
      </c>
      <c r="U271">
        <v>9</v>
      </c>
      <c r="V271">
        <v>8</v>
      </c>
      <c r="W271">
        <v>6</v>
      </c>
    </row>
    <row r="272" spans="1:23">
      <c r="A272" s="6" t="s">
        <v>271</v>
      </c>
      <c r="B272" s="11">
        <v>0</v>
      </c>
      <c r="C272" s="11">
        <v>1</v>
      </c>
      <c r="D272" s="11">
        <v>0</v>
      </c>
      <c r="E272" s="1">
        <v>0</v>
      </c>
      <c r="F272" s="1">
        <v>1</v>
      </c>
      <c r="G272" s="1">
        <v>1</v>
      </c>
      <c r="H272" s="1">
        <v>0</v>
      </c>
      <c r="I272" s="1">
        <v>1</v>
      </c>
      <c r="N272" s="15" t="s">
        <v>295</v>
      </c>
      <c r="O272" s="15" t="s">
        <v>536</v>
      </c>
      <c r="P272" s="15" t="s">
        <v>273</v>
      </c>
      <c r="Q272" s="16">
        <v>70602</v>
      </c>
      <c r="R272">
        <v>2</v>
      </c>
      <c r="S272">
        <v>1</v>
      </c>
      <c r="T272">
        <v>0</v>
      </c>
      <c r="U272">
        <v>0</v>
      </c>
      <c r="V272">
        <v>1</v>
      </c>
      <c r="W272">
        <v>0</v>
      </c>
    </row>
    <row r="273" spans="1:23">
      <c r="A273" s="6" t="s">
        <v>22</v>
      </c>
      <c r="B273" s="11">
        <v>0</v>
      </c>
      <c r="C273" s="11">
        <v>0</v>
      </c>
      <c r="D273" s="11">
        <v>0</v>
      </c>
      <c r="E273" s="1">
        <v>4</v>
      </c>
      <c r="F273" s="1">
        <v>2</v>
      </c>
      <c r="G273" s="1">
        <v>0</v>
      </c>
      <c r="H273" s="1">
        <v>3</v>
      </c>
      <c r="I273" s="1">
        <v>1</v>
      </c>
      <c r="N273" s="15" t="s">
        <v>295</v>
      </c>
      <c r="O273" s="15" t="s">
        <v>536</v>
      </c>
      <c r="P273" s="15" t="s">
        <v>390</v>
      </c>
      <c r="Q273" s="16">
        <v>70603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 s="6" t="s">
        <v>272</v>
      </c>
      <c r="B274" s="11">
        <v>526</v>
      </c>
      <c r="C274" s="11">
        <v>355</v>
      </c>
      <c r="D274" s="11">
        <v>494</v>
      </c>
      <c r="E274" s="1">
        <v>743</v>
      </c>
      <c r="F274" s="1">
        <v>869</v>
      </c>
      <c r="G274" s="1">
        <v>913</v>
      </c>
      <c r="H274" s="1">
        <v>1034</v>
      </c>
      <c r="I274" s="1">
        <v>907</v>
      </c>
      <c r="N274" s="15" t="s">
        <v>295</v>
      </c>
      <c r="O274" s="15" t="s">
        <v>537</v>
      </c>
      <c r="P274" s="15" t="s">
        <v>249</v>
      </c>
      <c r="Q274" s="16">
        <v>70701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</row>
    <row r="275" spans="1:23">
      <c r="A275" s="6" t="s">
        <v>273</v>
      </c>
      <c r="B275" s="11">
        <v>2</v>
      </c>
      <c r="C275" s="11">
        <v>1</v>
      </c>
      <c r="D275" s="11">
        <v>0</v>
      </c>
      <c r="E275" s="1">
        <v>1</v>
      </c>
      <c r="F275" s="1">
        <v>2</v>
      </c>
      <c r="G275" s="1">
        <v>0</v>
      </c>
      <c r="H275" s="1">
        <v>1</v>
      </c>
      <c r="I275" s="1">
        <v>0</v>
      </c>
      <c r="N275" s="15" t="s">
        <v>295</v>
      </c>
      <c r="O275" s="15" t="s">
        <v>537</v>
      </c>
      <c r="P275" s="15" t="s">
        <v>240</v>
      </c>
      <c r="Q275" s="16">
        <v>70702</v>
      </c>
      <c r="R275">
        <v>0</v>
      </c>
      <c r="S275">
        <v>0</v>
      </c>
      <c r="T275">
        <v>1</v>
      </c>
      <c r="U275">
        <v>3</v>
      </c>
      <c r="V275">
        <v>1</v>
      </c>
      <c r="W275">
        <v>0</v>
      </c>
    </row>
    <row r="276" spans="1:23">
      <c r="A276" s="6" t="s">
        <v>82</v>
      </c>
      <c r="B276" s="11">
        <v>0</v>
      </c>
      <c r="C276" s="11">
        <v>0</v>
      </c>
      <c r="D276" s="1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N276" s="15" t="s">
        <v>295</v>
      </c>
      <c r="O276" s="15" t="s">
        <v>537</v>
      </c>
      <c r="P276" s="15" t="s">
        <v>237</v>
      </c>
      <c r="Q276" s="16">
        <v>70703</v>
      </c>
      <c r="R276">
        <v>0</v>
      </c>
      <c r="S276">
        <v>0</v>
      </c>
      <c r="T276">
        <v>0</v>
      </c>
      <c r="U276">
        <v>1</v>
      </c>
      <c r="V276">
        <v>2</v>
      </c>
      <c r="W276">
        <v>5</v>
      </c>
    </row>
    <row r="277" spans="1:23">
      <c r="A277" s="6" t="s">
        <v>274</v>
      </c>
      <c r="B277" s="11">
        <v>2</v>
      </c>
      <c r="C277" s="11">
        <v>10</v>
      </c>
      <c r="D277" s="11">
        <v>10</v>
      </c>
      <c r="E277" s="1">
        <v>1</v>
      </c>
      <c r="F277" s="1">
        <v>2</v>
      </c>
      <c r="G277" s="1">
        <v>1</v>
      </c>
      <c r="H277" s="1">
        <v>2</v>
      </c>
      <c r="I277" s="1">
        <v>0</v>
      </c>
      <c r="N277" s="15" t="s">
        <v>295</v>
      </c>
      <c r="O277" s="15" t="s">
        <v>537</v>
      </c>
      <c r="P277" s="15" t="s">
        <v>244</v>
      </c>
      <c r="Q277" s="16">
        <v>70704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>
      <c r="A278" s="6" t="s">
        <v>275</v>
      </c>
      <c r="B278" s="11">
        <v>0</v>
      </c>
      <c r="C278" s="11">
        <v>0</v>
      </c>
      <c r="D278" s="11">
        <v>1</v>
      </c>
      <c r="E278" s="1">
        <v>1</v>
      </c>
      <c r="F278" s="1">
        <v>0</v>
      </c>
      <c r="G278" s="1">
        <v>1</v>
      </c>
      <c r="H278" s="1">
        <v>0</v>
      </c>
      <c r="I278" s="1">
        <v>2</v>
      </c>
      <c r="N278" s="15" t="s">
        <v>295</v>
      </c>
      <c r="O278" s="15" t="s">
        <v>537</v>
      </c>
      <c r="P278" s="15" t="s">
        <v>538</v>
      </c>
      <c r="Q278" s="16">
        <v>70705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3</v>
      </c>
    </row>
    <row r="279" spans="1:23">
      <c r="A279" s="6" t="s">
        <v>276</v>
      </c>
      <c r="B279" s="11">
        <v>11</v>
      </c>
      <c r="C279" s="11">
        <v>13</v>
      </c>
      <c r="D279" s="11">
        <v>27</v>
      </c>
      <c r="E279" s="1">
        <v>31</v>
      </c>
      <c r="F279" s="1">
        <v>28</v>
      </c>
      <c r="G279" s="1">
        <v>58</v>
      </c>
      <c r="H279" s="1">
        <v>69</v>
      </c>
      <c r="I279" s="1">
        <v>50</v>
      </c>
      <c r="N279" s="15" t="s">
        <v>295</v>
      </c>
      <c r="O279" s="15" t="s">
        <v>537</v>
      </c>
      <c r="P279" s="15" t="s">
        <v>238</v>
      </c>
      <c r="Q279" s="16">
        <v>70706</v>
      </c>
      <c r="R279">
        <v>2</v>
      </c>
      <c r="S279">
        <v>1</v>
      </c>
      <c r="T279">
        <v>2</v>
      </c>
      <c r="U279">
        <v>8</v>
      </c>
      <c r="V279">
        <v>4</v>
      </c>
      <c r="W279">
        <v>7</v>
      </c>
    </row>
    <row r="280" spans="1:23">
      <c r="A280" s="6" t="s">
        <v>277</v>
      </c>
      <c r="B280" s="11">
        <v>6</v>
      </c>
      <c r="C280" s="11">
        <v>7</v>
      </c>
      <c r="D280" s="11">
        <v>8</v>
      </c>
      <c r="E280" s="1">
        <v>25</v>
      </c>
      <c r="F280" s="1">
        <v>26</v>
      </c>
      <c r="G280" s="1">
        <v>26</v>
      </c>
      <c r="H280" s="1">
        <v>25</v>
      </c>
      <c r="I280" s="1">
        <v>24</v>
      </c>
      <c r="N280" s="15" t="s">
        <v>295</v>
      </c>
      <c r="O280" s="15" t="s">
        <v>537</v>
      </c>
      <c r="P280" s="15" t="s">
        <v>235</v>
      </c>
      <c r="Q280" s="16">
        <v>70707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</row>
    <row r="281" spans="1:23">
      <c r="A281" s="4" t="s">
        <v>278</v>
      </c>
      <c r="B281" s="5">
        <v>27</v>
      </c>
      <c r="C281" s="5">
        <v>39</v>
      </c>
      <c r="D281" s="5">
        <v>30</v>
      </c>
      <c r="E281" s="5">
        <v>86</v>
      </c>
      <c r="F281" s="5">
        <v>96</v>
      </c>
      <c r="G281" s="5">
        <v>97</v>
      </c>
      <c r="H281" s="5">
        <v>107</v>
      </c>
      <c r="I281" s="5">
        <v>101</v>
      </c>
      <c r="N281" s="15" t="s">
        <v>295</v>
      </c>
      <c r="O281" s="15" t="s">
        <v>275</v>
      </c>
      <c r="P281" s="15" t="s">
        <v>275</v>
      </c>
      <c r="Q281" s="16">
        <v>70801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2</v>
      </c>
    </row>
    <row r="282" spans="1:23">
      <c r="A282" s="6" t="s">
        <v>279</v>
      </c>
      <c r="B282" s="11">
        <v>8</v>
      </c>
      <c r="C282" s="11">
        <v>2</v>
      </c>
      <c r="D282" s="11">
        <v>2</v>
      </c>
      <c r="E282" s="1">
        <v>2</v>
      </c>
      <c r="F282" s="1">
        <v>30</v>
      </c>
      <c r="G282" s="1">
        <v>6</v>
      </c>
      <c r="H282" s="1">
        <v>9</v>
      </c>
      <c r="I282" s="1">
        <v>6</v>
      </c>
      <c r="N282" s="15" t="s">
        <v>295</v>
      </c>
      <c r="O282" s="15" t="s">
        <v>275</v>
      </c>
      <c r="P282" s="15" t="s">
        <v>383</v>
      </c>
      <c r="Q282" s="16">
        <v>70802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 s="6" t="s">
        <v>280</v>
      </c>
      <c r="B283" s="11">
        <v>0</v>
      </c>
      <c r="C283" s="11">
        <v>0</v>
      </c>
      <c r="D283" s="11">
        <v>0</v>
      </c>
      <c r="E283" s="1">
        <v>2</v>
      </c>
      <c r="F283" s="1">
        <v>0</v>
      </c>
      <c r="G283" s="1">
        <v>1</v>
      </c>
      <c r="H283" s="1">
        <v>0</v>
      </c>
      <c r="I283" s="1">
        <v>1</v>
      </c>
      <c r="N283" s="15" t="s">
        <v>295</v>
      </c>
      <c r="O283" s="15" t="s">
        <v>275</v>
      </c>
      <c r="P283" s="15" t="s">
        <v>539</v>
      </c>
      <c r="Q283" s="16">
        <v>70803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 s="6" t="s">
        <v>245</v>
      </c>
      <c r="B284" s="11">
        <v>1</v>
      </c>
      <c r="C284" s="11">
        <v>0</v>
      </c>
      <c r="D284" s="1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N284" s="15" t="s">
        <v>295</v>
      </c>
      <c r="O284" s="15" t="s">
        <v>275</v>
      </c>
      <c r="P284" s="15" t="s">
        <v>382</v>
      </c>
      <c r="Q284" s="16">
        <v>70804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>
      <c r="A285" s="6" t="s">
        <v>281</v>
      </c>
      <c r="B285" s="11">
        <v>0</v>
      </c>
      <c r="C285" s="11">
        <v>1</v>
      </c>
      <c r="D285" s="11">
        <v>0</v>
      </c>
      <c r="E285" s="1">
        <v>1</v>
      </c>
      <c r="F285" s="1">
        <v>0</v>
      </c>
      <c r="G285" s="1">
        <v>4</v>
      </c>
      <c r="H285" s="1">
        <v>2</v>
      </c>
      <c r="I285" s="1">
        <v>1</v>
      </c>
      <c r="N285" s="15" t="s">
        <v>295</v>
      </c>
      <c r="O285" s="15" t="s">
        <v>275</v>
      </c>
      <c r="P285" s="15" t="s">
        <v>380</v>
      </c>
      <c r="Q285" s="16">
        <v>70805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 s="6" t="s">
        <v>282</v>
      </c>
      <c r="B286" s="11">
        <v>0</v>
      </c>
      <c r="C286" s="11">
        <v>0</v>
      </c>
      <c r="D286" s="11">
        <v>0</v>
      </c>
      <c r="E286" s="1">
        <v>0</v>
      </c>
      <c r="F286" s="1">
        <v>0</v>
      </c>
      <c r="G286" s="1">
        <v>1</v>
      </c>
      <c r="H286" s="1">
        <v>1</v>
      </c>
      <c r="I286" s="1">
        <v>0</v>
      </c>
      <c r="N286" s="15" t="s">
        <v>295</v>
      </c>
      <c r="O286" s="15" t="s">
        <v>540</v>
      </c>
      <c r="P286" s="15" t="s">
        <v>263</v>
      </c>
      <c r="Q286" s="16">
        <v>70901</v>
      </c>
      <c r="R286">
        <v>0</v>
      </c>
      <c r="S286">
        <v>0</v>
      </c>
      <c r="T286">
        <v>0</v>
      </c>
      <c r="U286">
        <v>4</v>
      </c>
      <c r="V286">
        <v>0</v>
      </c>
      <c r="W286">
        <v>0</v>
      </c>
    </row>
    <row r="287" spans="1:23">
      <c r="A287" s="6" t="s">
        <v>283</v>
      </c>
      <c r="B287" s="11">
        <v>10</v>
      </c>
      <c r="C287" s="11">
        <v>10</v>
      </c>
      <c r="D287" s="11">
        <v>15</v>
      </c>
      <c r="E287" s="1">
        <v>43</v>
      </c>
      <c r="F287" s="1">
        <v>40</v>
      </c>
      <c r="G287" s="1">
        <v>48</v>
      </c>
      <c r="H287" s="1">
        <v>68</v>
      </c>
      <c r="I287" s="1">
        <v>65</v>
      </c>
      <c r="N287" s="15" t="s">
        <v>295</v>
      </c>
      <c r="O287" s="15" t="s">
        <v>540</v>
      </c>
      <c r="P287" s="15" t="s">
        <v>255</v>
      </c>
      <c r="Q287" s="16">
        <v>70902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 s="6" t="s">
        <v>284</v>
      </c>
      <c r="B288" s="11">
        <v>0</v>
      </c>
      <c r="C288" s="11">
        <v>1</v>
      </c>
      <c r="D288" s="11">
        <v>0</v>
      </c>
      <c r="E288" s="1">
        <v>1</v>
      </c>
      <c r="F288" s="1">
        <v>0</v>
      </c>
      <c r="G288" s="1">
        <v>0</v>
      </c>
      <c r="H288" s="1">
        <v>0</v>
      </c>
      <c r="I288" s="1">
        <v>1</v>
      </c>
      <c r="N288" s="15" t="s">
        <v>295</v>
      </c>
      <c r="O288" s="15" t="s">
        <v>540</v>
      </c>
      <c r="P288" s="15" t="s">
        <v>250</v>
      </c>
      <c r="Q288" s="16">
        <v>70903</v>
      </c>
      <c r="R288">
        <v>0</v>
      </c>
      <c r="S288">
        <v>2</v>
      </c>
      <c r="T288">
        <v>2</v>
      </c>
      <c r="U288">
        <v>1</v>
      </c>
      <c r="V288">
        <v>6</v>
      </c>
      <c r="W288">
        <v>1</v>
      </c>
    </row>
    <row r="289" spans="1:23">
      <c r="A289" s="6" t="s">
        <v>285</v>
      </c>
      <c r="B289" s="11">
        <v>1</v>
      </c>
      <c r="C289" s="11">
        <v>0</v>
      </c>
      <c r="D289" s="11">
        <v>0</v>
      </c>
      <c r="E289" s="1">
        <v>2</v>
      </c>
      <c r="F289" s="1">
        <v>1</v>
      </c>
      <c r="G289" s="1">
        <v>2</v>
      </c>
      <c r="H289" s="1">
        <v>0</v>
      </c>
      <c r="I289" s="1">
        <v>1</v>
      </c>
      <c r="N289" s="15" t="s">
        <v>295</v>
      </c>
      <c r="O289" s="15" t="s">
        <v>540</v>
      </c>
      <c r="P289" s="15" t="s">
        <v>260</v>
      </c>
      <c r="Q289" s="16">
        <v>70904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 s="6" t="s">
        <v>286</v>
      </c>
      <c r="B290" s="11">
        <v>5</v>
      </c>
      <c r="C290" s="11">
        <v>3</v>
      </c>
      <c r="D290" s="11">
        <v>3</v>
      </c>
      <c r="E290" s="1">
        <v>7</v>
      </c>
      <c r="F290" s="1">
        <v>8</v>
      </c>
      <c r="G290" s="1">
        <v>8</v>
      </c>
      <c r="H290" s="1">
        <v>10</v>
      </c>
      <c r="I290" s="1">
        <v>5</v>
      </c>
      <c r="N290" s="15" t="s">
        <v>295</v>
      </c>
      <c r="O290" s="15" t="s">
        <v>541</v>
      </c>
      <c r="P290" s="15" t="s">
        <v>252</v>
      </c>
      <c r="Q290" s="16">
        <v>71001</v>
      </c>
      <c r="R290">
        <v>31</v>
      </c>
      <c r="S290">
        <v>21</v>
      </c>
      <c r="T290">
        <v>42</v>
      </c>
      <c r="U290">
        <v>56</v>
      </c>
      <c r="V290">
        <v>40</v>
      </c>
      <c r="W290">
        <v>52</v>
      </c>
    </row>
    <row r="291" spans="1:23">
      <c r="A291" s="6" t="s">
        <v>287</v>
      </c>
      <c r="B291" s="11">
        <v>2</v>
      </c>
      <c r="C291" s="11">
        <v>22</v>
      </c>
      <c r="D291" s="11">
        <v>10</v>
      </c>
      <c r="E291" s="1">
        <v>28</v>
      </c>
      <c r="F291" s="1">
        <v>17</v>
      </c>
      <c r="G291" s="1">
        <v>26</v>
      </c>
      <c r="H291" s="1">
        <v>17</v>
      </c>
      <c r="I291" s="1">
        <v>21</v>
      </c>
      <c r="N291" s="15" t="s">
        <v>295</v>
      </c>
      <c r="O291" s="15" t="s">
        <v>541</v>
      </c>
      <c r="P291" s="15" t="s">
        <v>387</v>
      </c>
      <c r="Q291" s="16">
        <v>71002</v>
      </c>
      <c r="R291">
        <v>98</v>
      </c>
      <c r="S291">
        <v>279</v>
      </c>
      <c r="T291">
        <v>117</v>
      </c>
      <c r="U291">
        <v>23</v>
      </c>
      <c r="V291">
        <v>5</v>
      </c>
      <c r="W291">
        <v>19</v>
      </c>
    </row>
    <row r="292" spans="1:23">
      <c r="A292" s="6" t="s">
        <v>288</v>
      </c>
      <c r="B292" s="11">
        <v>0</v>
      </c>
      <c r="C292" s="11">
        <v>0</v>
      </c>
      <c r="D292" s="1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N292" s="15" t="s">
        <v>295</v>
      </c>
      <c r="O292" s="15" t="s">
        <v>541</v>
      </c>
      <c r="P292" s="15" t="s">
        <v>251</v>
      </c>
      <c r="Q292" s="16">
        <v>71003</v>
      </c>
      <c r="R292">
        <v>11</v>
      </c>
      <c r="S292">
        <v>3</v>
      </c>
      <c r="T292">
        <v>3</v>
      </c>
      <c r="U292">
        <v>11</v>
      </c>
      <c r="V292">
        <v>13</v>
      </c>
      <c r="W292">
        <v>10</v>
      </c>
    </row>
    <row r="293" spans="1:23">
      <c r="A293" s="4" t="s">
        <v>289</v>
      </c>
      <c r="B293" s="5">
        <v>46</v>
      </c>
      <c r="C293" s="5">
        <v>23</v>
      </c>
      <c r="D293" s="5">
        <v>17</v>
      </c>
      <c r="E293" s="5">
        <v>14</v>
      </c>
      <c r="F293" s="5">
        <v>5</v>
      </c>
      <c r="G293" s="5">
        <v>23</v>
      </c>
      <c r="H293" s="5">
        <v>13</v>
      </c>
      <c r="I293" s="5">
        <v>11</v>
      </c>
      <c r="N293" s="15" t="s">
        <v>295</v>
      </c>
      <c r="O293" s="15" t="s">
        <v>541</v>
      </c>
      <c r="P293" s="15" t="s">
        <v>389</v>
      </c>
      <c r="Q293" s="16">
        <v>71004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 s="7" t="s">
        <v>290</v>
      </c>
      <c r="B294" s="8">
        <v>1432</v>
      </c>
      <c r="C294" s="8">
        <v>1573</v>
      </c>
      <c r="D294" s="9">
        <v>1763</v>
      </c>
      <c r="E294" s="8">
        <v>2469</v>
      </c>
      <c r="F294" s="8">
        <v>2980</v>
      </c>
      <c r="G294" s="9">
        <v>3428</v>
      </c>
      <c r="H294" s="9">
        <v>3778</v>
      </c>
      <c r="I294" s="9">
        <v>3508</v>
      </c>
      <c r="N294" s="15" t="s">
        <v>295</v>
      </c>
      <c r="O294" s="15" t="s">
        <v>541</v>
      </c>
      <c r="P294" s="15" t="s">
        <v>314</v>
      </c>
      <c r="Q294" s="16">
        <v>71005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N295" s="15" t="s">
        <v>295</v>
      </c>
      <c r="O295" s="15" t="s">
        <v>542</v>
      </c>
      <c r="P295" s="15" t="s">
        <v>242</v>
      </c>
      <c r="Q295" s="16">
        <v>71101</v>
      </c>
      <c r="R295">
        <v>0</v>
      </c>
      <c r="S295">
        <v>2</v>
      </c>
      <c r="T295">
        <v>0</v>
      </c>
      <c r="U295">
        <v>5</v>
      </c>
      <c r="V295">
        <v>4</v>
      </c>
      <c r="W295">
        <v>4</v>
      </c>
    </row>
    <row r="296" spans="1:23">
      <c r="N296" s="15" t="s">
        <v>295</v>
      </c>
      <c r="O296" s="15" t="s">
        <v>542</v>
      </c>
      <c r="P296" s="15" t="s">
        <v>20</v>
      </c>
      <c r="Q296" s="16">
        <v>71102</v>
      </c>
      <c r="R296">
        <v>2</v>
      </c>
      <c r="S296">
        <v>0</v>
      </c>
      <c r="T296">
        <v>0</v>
      </c>
      <c r="U296">
        <v>2</v>
      </c>
      <c r="V296">
        <v>0</v>
      </c>
      <c r="W296">
        <v>0</v>
      </c>
    </row>
    <row r="297" spans="1:23">
      <c r="N297" s="15" t="s">
        <v>295</v>
      </c>
      <c r="O297" s="15" t="s">
        <v>542</v>
      </c>
      <c r="P297" s="15" t="s">
        <v>326</v>
      </c>
      <c r="Q297" s="16">
        <v>71103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</v>
      </c>
    </row>
    <row r="298" spans="1:23">
      <c r="N298" s="15" t="s">
        <v>295</v>
      </c>
      <c r="O298" s="15" t="s">
        <v>542</v>
      </c>
      <c r="P298" s="15" t="s">
        <v>400</v>
      </c>
      <c r="Q298" s="16">
        <v>71104</v>
      </c>
      <c r="R298">
        <v>5</v>
      </c>
      <c r="S298">
        <v>5</v>
      </c>
      <c r="T298">
        <v>6</v>
      </c>
      <c r="U298">
        <v>14</v>
      </c>
      <c r="V298">
        <v>12</v>
      </c>
      <c r="W298">
        <v>20</v>
      </c>
    </row>
    <row r="299" spans="1:23">
      <c r="N299" s="15" t="s">
        <v>295</v>
      </c>
      <c r="O299" s="15" t="s">
        <v>542</v>
      </c>
      <c r="P299" s="15" t="s">
        <v>543</v>
      </c>
      <c r="Q299" s="16">
        <v>71105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</row>
    <row r="300" spans="1:23">
      <c r="N300" s="15" t="s">
        <v>295</v>
      </c>
      <c r="O300" s="15" t="s">
        <v>542</v>
      </c>
      <c r="P300" s="15" t="s">
        <v>384</v>
      </c>
      <c r="Q300" s="16">
        <v>71106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N301" s="15" t="s">
        <v>295</v>
      </c>
      <c r="O301" s="15" t="s">
        <v>544</v>
      </c>
      <c r="P301" s="15" t="s">
        <v>269</v>
      </c>
      <c r="Q301" s="16">
        <v>71201</v>
      </c>
      <c r="R301">
        <v>4</v>
      </c>
      <c r="S301">
        <v>0</v>
      </c>
      <c r="T301">
        <v>1</v>
      </c>
      <c r="U301">
        <v>1</v>
      </c>
      <c r="V301">
        <v>2</v>
      </c>
      <c r="W301">
        <v>2</v>
      </c>
    </row>
    <row r="302" spans="1:23">
      <c r="N302" s="15" t="s">
        <v>295</v>
      </c>
      <c r="O302" s="15" t="s">
        <v>545</v>
      </c>
      <c r="P302" s="15" t="s">
        <v>241</v>
      </c>
      <c r="Q302" s="16">
        <v>71301</v>
      </c>
      <c r="R302">
        <v>0</v>
      </c>
      <c r="S302">
        <v>1</v>
      </c>
      <c r="T302">
        <v>1</v>
      </c>
      <c r="U302">
        <v>0</v>
      </c>
      <c r="V302">
        <v>2</v>
      </c>
      <c r="W302">
        <v>2</v>
      </c>
    </row>
    <row r="303" spans="1:23">
      <c r="N303" s="15" t="s">
        <v>295</v>
      </c>
      <c r="O303" s="15" t="s">
        <v>545</v>
      </c>
      <c r="P303" s="15" t="s">
        <v>262</v>
      </c>
      <c r="Q303" s="16">
        <v>71302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0</v>
      </c>
    </row>
    <row r="304" spans="1:23">
      <c r="N304" s="15" t="s">
        <v>295</v>
      </c>
      <c r="O304" s="15" t="s">
        <v>546</v>
      </c>
      <c r="P304" s="15" t="s">
        <v>547</v>
      </c>
      <c r="Q304" s="16">
        <v>71401</v>
      </c>
      <c r="R304">
        <v>4</v>
      </c>
      <c r="S304">
        <v>1</v>
      </c>
      <c r="T304">
        <v>5</v>
      </c>
      <c r="U304">
        <v>6</v>
      </c>
      <c r="V304">
        <v>12</v>
      </c>
      <c r="W304">
        <v>6</v>
      </c>
    </row>
    <row r="305" spans="14:23">
      <c r="N305" s="15" t="s">
        <v>295</v>
      </c>
      <c r="O305" s="15" t="s">
        <v>546</v>
      </c>
      <c r="P305" s="15" t="s">
        <v>258</v>
      </c>
      <c r="Q305" s="16">
        <v>71402</v>
      </c>
      <c r="R305">
        <v>2</v>
      </c>
      <c r="S305">
        <v>0</v>
      </c>
      <c r="T305">
        <v>5</v>
      </c>
      <c r="U305">
        <v>5</v>
      </c>
      <c r="V305">
        <v>15</v>
      </c>
      <c r="W305">
        <v>5</v>
      </c>
    </row>
    <row r="306" spans="14:23">
      <c r="N306" s="15" t="s">
        <v>295</v>
      </c>
      <c r="O306" s="15" t="s">
        <v>546</v>
      </c>
      <c r="P306" s="15" t="s">
        <v>391</v>
      </c>
      <c r="Q306" s="16">
        <v>71403</v>
      </c>
      <c r="R306">
        <v>1</v>
      </c>
      <c r="S306">
        <v>0</v>
      </c>
      <c r="T306">
        <v>0</v>
      </c>
      <c r="U306">
        <v>0</v>
      </c>
      <c r="V306">
        <v>4</v>
      </c>
      <c r="W306">
        <v>3</v>
      </c>
    </row>
    <row r="307" spans="14:23">
      <c r="N307" s="15" t="s">
        <v>295</v>
      </c>
      <c r="O307" s="15" t="s">
        <v>548</v>
      </c>
      <c r="P307" s="15" t="s">
        <v>549</v>
      </c>
      <c r="Q307" s="16">
        <v>71501</v>
      </c>
      <c r="R307">
        <v>5</v>
      </c>
      <c r="S307">
        <v>4</v>
      </c>
      <c r="T307">
        <v>7</v>
      </c>
      <c r="U307">
        <v>5</v>
      </c>
      <c r="V307">
        <v>14</v>
      </c>
      <c r="W307">
        <v>8</v>
      </c>
    </row>
    <row r="308" spans="14:23">
      <c r="N308" s="15" t="s">
        <v>295</v>
      </c>
      <c r="O308" s="15" t="s">
        <v>548</v>
      </c>
      <c r="P308" s="15" t="s">
        <v>395</v>
      </c>
      <c r="Q308" s="16">
        <v>71502</v>
      </c>
      <c r="R308">
        <v>2</v>
      </c>
      <c r="S308">
        <v>10</v>
      </c>
      <c r="T308">
        <v>10</v>
      </c>
      <c r="U308">
        <v>1</v>
      </c>
      <c r="V308">
        <v>2</v>
      </c>
      <c r="W308">
        <v>0</v>
      </c>
    </row>
    <row r="309" spans="14:23">
      <c r="N309" s="15" t="s">
        <v>295</v>
      </c>
      <c r="O309" s="15" t="s">
        <v>548</v>
      </c>
      <c r="P309" s="15" t="s">
        <v>245</v>
      </c>
      <c r="Q309" s="16">
        <v>71503</v>
      </c>
      <c r="R309">
        <v>0</v>
      </c>
      <c r="S309">
        <v>1</v>
      </c>
      <c r="T309">
        <v>2</v>
      </c>
      <c r="U309">
        <v>1</v>
      </c>
      <c r="V309">
        <v>3</v>
      </c>
      <c r="W309">
        <v>2</v>
      </c>
    </row>
    <row r="310" spans="14:23">
      <c r="N310" s="15" t="s">
        <v>297</v>
      </c>
      <c r="O310" s="15" t="s">
        <v>467</v>
      </c>
      <c r="P310" s="15" t="s">
        <v>25</v>
      </c>
      <c r="Q310" s="16">
        <v>80101</v>
      </c>
      <c r="R310">
        <v>11</v>
      </c>
      <c r="S310">
        <v>27</v>
      </c>
      <c r="T310">
        <v>31</v>
      </c>
      <c r="U310">
        <v>88</v>
      </c>
      <c r="V310">
        <v>95</v>
      </c>
      <c r="W310">
        <v>83</v>
      </c>
    </row>
    <row r="311" spans="14:23">
      <c r="N311" s="15" t="s">
        <v>297</v>
      </c>
      <c r="O311" s="15" t="s">
        <v>467</v>
      </c>
      <c r="P311" s="15" t="s">
        <v>20</v>
      </c>
      <c r="Q311" s="16">
        <v>80102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</row>
    <row r="312" spans="14:23">
      <c r="N312" s="15" t="s">
        <v>297</v>
      </c>
      <c r="O312" s="15" t="s">
        <v>550</v>
      </c>
      <c r="P312" s="15" t="s">
        <v>16</v>
      </c>
      <c r="Q312" s="16">
        <v>80201</v>
      </c>
      <c r="R312">
        <v>1</v>
      </c>
      <c r="S312">
        <v>7</v>
      </c>
      <c r="T312">
        <v>2</v>
      </c>
      <c r="U312">
        <v>70</v>
      </c>
      <c r="V312">
        <v>79</v>
      </c>
      <c r="W312">
        <v>74</v>
      </c>
    </row>
    <row r="313" spans="14:23">
      <c r="N313" s="15" t="s">
        <v>297</v>
      </c>
      <c r="O313" s="15" t="s">
        <v>550</v>
      </c>
      <c r="P313" s="15" t="s">
        <v>368</v>
      </c>
      <c r="Q313" s="16">
        <v>80202</v>
      </c>
      <c r="R313">
        <v>2</v>
      </c>
      <c r="S313">
        <v>3</v>
      </c>
      <c r="T313">
        <v>3</v>
      </c>
      <c r="U313">
        <v>6</v>
      </c>
      <c r="V313">
        <v>18</v>
      </c>
      <c r="W313">
        <v>15</v>
      </c>
    </row>
    <row r="314" spans="14:23">
      <c r="N314" s="15" t="s">
        <v>297</v>
      </c>
      <c r="O314" s="15" t="s">
        <v>551</v>
      </c>
      <c r="P314" s="15" t="s">
        <v>15</v>
      </c>
      <c r="Q314" s="16">
        <v>80301</v>
      </c>
      <c r="R314">
        <v>0</v>
      </c>
      <c r="S314">
        <v>0</v>
      </c>
      <c r="T314">
        <v>0</v>
      </c>
      <c r="U314">
        <v>3</v>
      </c>
      <c r="V314">
        <v>3</v>
      </c>
      <c r="W314">
        <v>1</v>
      </c>
    </row>
    <row r="315" spans="14:23">
      <c r="N315" s="15" t="s">
        <v>297</v>
      </c>
      <c r="O315" s="15" t="s">
        <v>551</v>
      </c>
      <c r="P315" s="15" t="s">
        <v>18</v>
      </c>
      <c r="Q315" s="16">
        <v>80302</v>
      </c>
      <c r="R315">
        <v>0</v>
      </c>
      <c r="S315">
        <v>0</v>
      </c>
      <c r="T315">
        <v>3</v>
      </c>
      <c r="U315">
        <v>6</v>
      </c>
      <c r="V315">
        <v>6</v>
      </c>
      <c r="W315">
        <v>6</v>
      </c>
    </row>
    <row r="316" spans="14:23">
      <c r="N316" s="15" t="s">
        <v>297</v>
      </c>
      <c r="O316" s="15" t="s">
        <v>551</v>
      </c>
      <c r="P316" s="15" t="s">
        <v>24</v>
      </c>
      <c r="Q316" s="16">
        <v>80303</v>
      </c>
      <c r="R316">
        <v>0</v>
      </c>
      <c r="S316">
        <v>1</v>
      </c>
      <c r="T316">
        <v>0</v>
      </c>
      <c r="U316">
        <v>1</v>
      </c>
      <c r="V316">
        <v>3</v>
      </c>
      <c r="W316">
        <v>3</v>
      </c>
    </row>
    <row r="317" spans="14:23">
      <c r="N317" s="15" t="s">
        <v>297</v>
      </c>
      <c r="O317" s="15" t="s">
        <v>551</v>
      </c>
      <c r="P317" s="15" t="s">
        <v>363</v>
      </c>
      <c r="Q317" s="16">
        <v>80304</v>
      </c>
      <c r="R317">
        <v>0</v>
      </c>
      <c r="S317">
        <v>2</v>
      </c>
      <c r="T317">
        <v>1</v>
      </c>
      <c r="U317">
        <v>2</v>
      </c>
      <c r="V317">
        <v>10</v>
      </c>
      <c r="W317">
        <v>6</v>
      </c>
    </row>
    <row r="318" spans="14:23">
      <c r="N318" s="15" t="s">
        <v>297</v>
      </c>
      <c r="O318" s="15" t="s">
        <v>553</v>
      </c>
      <c r="P318" s="15" t="s">
        <v>364</v>
      </c>
      <c r="Q318" s="16">
        <v>80401</v>
      </c>
      <c r="R318">
        <v>0</v>
      </c>
      <c r="S318">
        <v>1</v>
      </c>
      <c r="T318">
        <v>2</v>
      </c>
      <c r="U318">
        <v>7</v>
      </c>
      <c r="V318">
        <v>18</v>
      </c>
      <c r="W318">
        <v>14</v>
      </c>
    </row>
    <row r="319" spans="14:23">
      <c r="N319" s="15" t="s">
        <v>297</v>
      </c>
      <c r="O319" s="15" t="s">
        <v>553</v>
      </c>
      <c r="P319" s="15" t="s">
        <v>366</v>
      </c>
      <c r="Q319" s="16">
        <v>80402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4:23">
      <c r="N320" s="15" t="s">
        <v>297</v>
      </c>
      <c r="O320" s="15" t="s">
        <v>555</v>
      </c>
      <c r="P320" s="15" t="s">
        <v>19</v>
      </c>
      <c r="Q320" s="16">
        <v>80501</v>
      </c>
      <c r="R320">
        <v>1</v>
      </c>
      <c r="S320">
        <v>2</v>
      </c>
      <c r="T320">
        <v>0</v>
      </c>
      <c r="U320">
        <v>8</v>
      </c>
      <c r="V320">
        <v>5</v>
      </c>
      <c r="W320">
        <v>7</v>
      </c>
    </row>
    <row r="321" spans="14:23">
      <c r="N321" s="15" t="s">
        <v>297</v>
      </c>
      <c r="O321" s="15" t="s">
        <v>556</v>
      </c>
      <c r="P321" s="15" t="s">
        <v>11</v>
      </c>
      <c r="Q321" s="16">
        <v>80601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</row>
    <row r="322" spans="14:23">
      <c r="N322" s="15" t="s">
        <v>297</v>
      </c>
      <c r="O322" s="15" t="s">
        <v>556</v>
      </c>
      <c r="P322" s="15" t="s">
        <v>386</v>
      </c>
      <c r="Q322" s="16">
        <v>80602</v>
      </c>
      <c r="R322">
        <v>0</v>
      </c>
      <c r="S322">
        <v>0</v>
      </c>
      <c r="T322">
        <v>0</v>
      </c>
      <c r="U322">
        <v>2</v>
      </c>
      <c r="V322">
        <v>2</v>
      </c>
      <c r="W322">
        <v>2</v>
      </c>
    </row>
    <row r="323" spans="14:23">
      <c r="N323" s="15" t="s">
        <v>297</v>
      </c>
      <c r="O323" s="15" t="s">
        <v>557</v>
      </c>
      <c r="P323" s="15" t="s">
        <v>21</v>
      </c>
      <c r="Q323" s="16">
        <v>80701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</row>
    <row r="324" spans="14:23">
      <c r="N324" s="15" t="s">
        <v>297</v>
      </c>
      <c r="O324" s="15" t="s">
        <v>557</v>
      </c>
      <c r="P324" s="15" t="s">
        <v>326</v>
      </c>
      <c r="Q324" s="16">
        <v>80702</v>
      </c>
      <c r="R324">
        <v>0</v>
      </c>
      <c r="S324">
        <v>1</v>
      </c>
      <c r="T324">
        <v>0</v>
      </c>
      <c r="U324">
        <v>2</v>
      </c>
      <c r="V324">
        <v>0</v>
      </c>
      <c r="W324">
        <v>1</v>
      </c>
    </row>
    <row r="325" spans="14:23">
      <c r="N325" s="15" t="s">
        <v>297</v>
      </c>
      <c r="O325" s="15" t="s">
        <v>557</v>
      </c>
      <c r="P325" s="15" t="s">
        <v>365</v>
      </c>
      <c r="Q325" s="16">
        <v>80703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4:23">
      <c r="N326" s="15" t="s">
        <v>297</v>
      </c>
      <c r="O326" s="15" t="s">
        <v>558</v>
      </c>
      <c r="P326" s="15" t="s">
        <v>12</v>
      </c>
      <c r="Q326" s="16">
        <v>80801</v>
      </c>
      <c r="R326">
        <v>1</v>
      </c>
      <c r="S326">
        <v>0</v>
      </c>
      <c r="T326">
        <v>1</v>
      </c>
      <c r="U326">
        <v>1</v>
      </c>
      <c r="V326">
        <v>2</v>
      </c>
      <c r="W326">
        <v>0</v>
      </c>
    </row>
    <row r="327" spans="14:23">
      <c r="N327" s="15" t="s">
        <v>297</v>
      </c>
      <c r="O327" s="15" t="s">
        <v>558</v>
      </c>
      <c r="P327" s="15" t="s">
        <v>8</v>
      </c>
      <c r="Q327" s="16">
        <v>80802</v>
      </c>
      <c r="R327">
        <v>2</v>
      </c>
      <c r="S327">
        <v>7</v>
      </c>
      <c r="T327">
        <v>7</v>
      </c>
      <c r="U327">
        <v>20</v>
      </c>
      <c r="V327">
        <v>33</v>
      </c>
      <c r="W327">
        <v>28</v>
      </c>
    </row>
    <row r="328" spans="14:23">
      <c r="N328" s="15" t="s">
        <v>297</v>
      </c>
      <c r="O328" s="15" t="s">
        <v>558</v>
      </c>
      <c r="P328" s="15" t="s">
        <v>10</v>
      </c>
      <c r="Q328" s="16">
        <v>80803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4:23">
      <c r="N329" s="15" t="s">
        <v>297</v>
      </c>
      <c r="O329" s="15" t="s">
        <v>555</v>
      </c>
      <c r="P329" s="15" t="s">
        <v>559</v>
      </c>
      <c r="Q329" s="16">
        <v>80901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4:23">
      <c r="N330" s="15" t="s">
        <v>298</v>
      </c>
      <c r="O330" s="15" t="s">
        <v>560</v>
      </c>
      <c r="P330" s="15" t="s">
        <v>189</v>
      </c>
      <c r="Q330" s="16">
        <v>90101</v>
      </c>
      <c r="R330">
        <v>3</v>
      </c>
      <c r="S330">
        <v>3</v>
      </c>
      <c r="T330">
        <v>6</v>
      </c>
      <c r="U330">
        <v>30</v>
      </c>
      <c r="V330">
        <v>49</v>
      </c>
      <c r="W330">
        <v>30</v>
      </c>
    </row>
    <row r="331" spans="14:23">
      <c r="N331" s="15" t="s">
        <v>298</v>
      </c>
      <c r="O331" s="15" t="s">
        <v>560</v>
      </c>
      <c r="P331" s="15" t="s">
        <v>192</v>
      </c>
      <c r="Q331" s="16">
        <v>90102</v>
      </c>
      <c r="R331">
        <v>0</v>
      </c>
      <c r="S331">
        <v>0</v>
      </c>
      <c r="T331">
        <v>0</v>
      </c>
      <c r="U331">
        <v>2</v>
      </c>
      <c r="V331">
        <v>1</v>
      </c>
      <c r="W331">
        <v>4</v>
      </c>
    </row>
    <row r="332" spans="14:23">
      <c r="N332" s="15" t="s">
        <v>298</v>
      </c>
      <c r="O332" s="15" t="s">
        <v>560</v>
      </c>
      <c r="P332" s="15" t="s">
        <v>188</v>
      </c>
      <c r="Q332" s="16">
        <v>90103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4:23">
      <c r="N333" s="15" t="s">
        <v>298</v>
      </c>
      <c r="O333" s="15" t="s">
        <v>560</v>
      </c>
      <c r="P333" s="15" t="s">
        <v>187</v>
      </c>
      <c r="Q333" s="16">
        <v>90104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</row>
    <row r="334" spans="14:23">
      <c r="N334" s="15" t="s">
        <v>298</v>
      </c>
      <c r="O334" s="15" t="s">
        <v>561</v>
      </c>
      <c r="P334" s="15" t="s">
        <v>194</v>
      </c>
      <c r="Q334" s="16">
        <v>90201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</row>
    <row r="335" spans="14:23">
      <c r="N335" s="15" t="s">
        <v>298</v>
      </c>
      <c r="O335" s="15" t="s">
        <v>561</v>
      </c>
      <c r="P335" s="15" t="s">
        <v>314</v>
      </c>
      <c r="Q335" s="16">
        <v>90202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4:23">
      <c r="N336" s="15" t="s">
        <v>298</v>
      </c>
      <c r="O336" s="15" t="s">
        <v>561</v>
      </c>
      <c r="P336" s="15" t="s">
        <v>190</v>
      </c>
      <c r="Q336" s="16">
        <v>90203</v>
      </c>
      <c r="R336">
        <v>2</v>
      </c>
      <c r="S336">
        <v>0</v>
      </c>
      <c r="T336">
        <v>0</v>
      </c>
      <c r="U336">
        <v>2</v>
      </c>
      <c r="V336">
        <v>1</v>
      </c>
      <c r="W336">
        <v>1</v>
      </c>
    </row>
    <row r="337" spans="14:23">
      <c r="N337" s="15" t="s">
        <v>298</v>
      </c>
      <c r="O337" s="15" t="s">
        <v>562</v>
      </c>
      <c r="P337" s="15" t="s">
        <v>193</v>
      </c>
      <c r="Q337" s="16">
        <v>90301</v>
      </c>
      <c r="R337">
        <v>0</v>
      </c>
      <c r="S337">
        <v>0</v>
      </c>
      <c r="T337">
        <v>0</v>
      </c>
      <c r="U337">
        <v>3</v>
      </c>
      <c r="V337">
        <v>2</v>
      </c>
      <c r="W337">
        <v>0</v>
      </c>
    </row>
    <row r="338" spans="14:23">
      <c r="N338" s="15" t="s">
        <v>298</v>
      </c>
      <c r="O338" s="15" t="s">
        <v>562</v>
      </c>
      <c r="P338" s="15" t="s">
        <v>195</v>
      </c>
      <c r="Q338" s="16">
        <v>90302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</row>
    <row r="339" spans="14:23">
      <c r="N339" s="15" t="s">
        <v>298</v>
      </c>
      <c r="O339" s="15" t="s">
        <v>562</v>
      </c>
      <c r="P339" s="15" t="s">
        <v>196</v>
      </c>
      <c r="Q339" s="16">
        <v>90303</v>
      </c>
      <c r="R339">
        <v>0</v>
      </c>
      <c r="S339">
        <v>0</v>
      </c>
      <c r="T339">
        <v>0</v>
      </c>
      <c r="U339">
        <v>4</v>
      </c>
      <c r="V339">
        <v>0</v>
      </c>
      <c r="W339">
        <v>0</v>
      </c>
    </row>
    <row r="340" spans="14:23">
      <c r="N340" s="15" t="s">
        <v>298</v>
      </c>
      <c r="O340" s="15" t="s">
        <v>563</v>
      </c>
      <c r="P340" s="15" t="s">
        <v>24</v>
      </c>
      <c r="Q340" s="16">
        <v>90401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4:23">
      <c r="N341" s="15" t="s">
        <v>298</v>
      </c>
      <c r="O341" s="15" t="s">
        <v>563</v>
      </c>
      <c r="P341" s="15" t="s">
        <v>367</v>
      </c>
      <c r="Q341" s="16">
        <v>90402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4:23">
      <c r="N342" s="15" t="s">
        <v>298</v>
      </c>
      <c r="O342" s="15" t="s">
        <v>564</v>
      </c>
      <c r="P342" s="15" t="s">
        <v>371</v>
      </c>
      <c r="Q342" s="16">
        <v>90501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4:23">
      <c r="N343" s="15" t="s">
        <v>298</v>
      </c>
      <c r="O343" s="15" t="s">
        <v>564</v>
      </c>
      <c r="P343" s="15" t="s">
        <v>369</v>
      </c>
      <c r="Q343" s="16">
        <v>90502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</row>
    <row r="344" spans="14:23">
      <c r="N344" s="15" t="s">
        <v>298</v>
      </c>
      <c r="O344" s="15" t="s">
        <v>564</v>
      </c>
      <c r="P344" s="15" t="s">
        <v>370</v>
      </c>
      <c r="Q344" s="16">
        <v>90503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92A1-CD13-4C25-BA56-E6957B9A825E}">
  <dimension ref="A1:Y353"/>
  <sheetViews>
    <sheetView workbookViewId="0">
      <pane xSplit="5" ySplit="1" topLeftCell="F326" activePane="bottomRight" state="frozen"/>
      <selection pane="topRight" activeCell="F1" sqref="F1"/>
      <selection pane="bottomLeft" activeCell="A2" sqref="A2"/>
      <selection pane="bottomRight" sqref="A1:E344"/>
    </sheetView>
  </sheetViews>
  <sheetFormatPr baseColWidth="10" defaultRowHeight="15"/>
  <cols>
    <col min="1" max="1" width="12.28515625" bestFit="1" customWidth="1"/>
    <col min="3" max="3" width="20.42578125" customWidth="1"/>
    <col min="4" max="4" width="18.28515625" customWidth="1"/>
    <col min="6" max="14" width="14.140625" customWidth="1"/>
    <col min="15" max="17" width="14" bestFit="1" customWidth="1"/>
    <col min="18" max="20" width="18.140625" style="17" bestFit="1" customWidth="1"/>
    <col min="21" max="21" width="18.85546875" style="17" customWidth="1"/>
    <col min="22" max="24" width="18.140625" style="17" bestFit="1" customWidth="1"/>
    <col min="25" max="25" width="19" customWidth="1"/>
  </cols>
  <sheetData>
    <row r="1" spans="1:25" s="21" customFormat="1" ht="30" customHeight="1">
      <c r="A1" s="19" t="s">
        <v>293</v>
      </c>
      <c r="B1" s="19" t="s">
        <v>413</v>
      </c>
      <c r="C1" s="19" t="s">
        <v>299</v>
      </c>
      <c r="D1" s="19" t="s">
        <v>414</v>
      </c>
      <c r="E1" s="19" t="s">
        <v>415</v>
      </c>
      <c r="F1" s="19" t="s">
        <v>416</v>
      </c>
      <c r="G1" s="19" t="s">
        <v>417</v>
      </c>
      <c r="H1" s="19" t="s">
        <v>418</v>
      </c>
      <c r="I1" s="19" t="s">
        <v>419</v>
      </c>
      <c r="J1" s="19" t="s">
        <v>420</v>
      </c>
      <c r="K1" s="19" t="s">
        <v>421</v>
      </c>
      <c r="L1" s="19" t="s">
        <v>407</v>
      </c>
      <c r="M1" s="19" t="s">
        <v>408</v>
      </c>
      <c r="N1" s="19" t="s">
        <v>409</v>
      </c>
      <c r="O1" s="19" t="s">
        <v>410</v>
      </c>
      <c r="P1" s="19" t="s">
        <v>411</v>
      </c>
      <c r="Q1" s="19" t="s">
        <v>412</v>
      </c>
      <c r="R1" s="20" t="s">
        <v>568</v>
      </c>
      <c r="S1" s="20" t="s">
        <v>569</v>
      </c>
      <c r="T1" s="20" t="s">
        <v>570</v>
      </c>
      <c r="U1" s="20" t="s">
        <v>566</v>
      </c>
      <c r="V1" s="20" t="s">
        <v>571</v>
      </c>
      <c r="W1" s="20" t="s">
        <v>572</v>
      </c>
      <c r="X1" s="20" t="s">
        <v>573</v>
      </c>
      <c r="Y1" s="20" t="s">
        <v>567</v>
      </c>
    </row>
    <row r="2" spans="1:25">
      <c r="A2" s="15" t="s">
        <v>296</v>
      </c>
      <c r="B2" s="15" t="s">
        <v>422</v>
      </c>
      <c r="C2" s="15" t="s">
        <v>42</v>
      </c>
      <c r="D2" s="15" t="s">
        <v>42</v>
      </c>
      <c r="E2" s="16">
        <v>10101</v>
      </c>
      <c r="F2" s="16">
        <v>257376</v>
      </c>
      <c r="G2" s="16">
        <v>261622</v>
      </c>
      <c r="H2" s="16">
        <v>264549</v>
      </c>
      <c r="I2" s="16">
        <v>290892</v>
      </c>
      <c r="J2" s="16">
        <v>293819</v>
      </c>
      <c r="K2" s="16">
        <v>296746</v>
      </c>
      <c r="L2" s="16">
        <v>11</v>
      </c>
      <c r="M2" s="16">
        <v>28</v>
      </c>
      <c r="N2" s="16">
        <v>29</v>
      </c>
      <c r="O2" s="16">
        <v>78</v>
      </c>
      <c r="P2" s="16">
        <v>72</v>
      </c>
      <c r="Q2" s="16">
        <v>76</v>
      </c>
      <c r="R2" s="18">
        <f t="shared" ref="R2:R65" si="0">(L2/F2)*1000000</f>
        <v>42.739027725972896</v>
      </c>
      <c r="S2" s="18">
        <f t="shared" ref="S2:S65" si="1">(M2/G2)*1000000</f>
        <v>107.0246386007293</v>
      </c>
      <c r="T2" s="18">
        <f t="shared" ref="T2:T65" si="2">(N2/H2)*1000000</f>
        <v>109.62052398610466</v>
      </c>
      <c r="U2" s="18">
        <f t="shared" ref="U2:U65" si="3">AVERAGE(R2:T2)</f>
        <v>86.461396770935622</v>
      </c>
      <c r="V2" s="18">
        <f t="shared" ref="V2:V65" si="4">(O2/I2)*1000000</f>
        <v>268.14075326925456</v>
      </c>
      <c r="W2" s="18">
        <f t="shared" ref="W2:W65" si="5">(P2/J2)*1000000</f>
        <v>245.04882257444208</v>
      </c>
      <c r="X2" s="18">
        <f t="shared" ref="X2:X65" si="6">(Q2/K2)*1000000</f>
        <v>256.11128709401305</v>
      </c>
      <c r="Y2" s="18">
        <f t="shared" ref="Y2:Y65" si="7">AVERAGE(V2:X2)</f>
        <v>256.43362097923654</v>
      </c>
    </row>
    <row r="3" spans="1:25">
      <c r="A3" s="15" t="s">
        <v>296</v>
      </c>
      <c r="B3" s="15" t="s">
        <v>422</v>
      </c>
      <c r="C3" s="15" t="s">
        <v>53</v>
      </c>
      <c r="D3" s="15" t="s">
        <v>53</v>
      </c>
      <c r="E3" s="16">
        <v>10102</v>
      </c>
      <c r="F3" s="16">
        <v>9464</v>
      </c>
      <c r="G3" s="16">
        <v>9461</v>
      </c>
      <c r="H3" s="16">
        <v>9444</v>
      </c>
      <c r="I3" s="16">
        <v>9290</v>
      </c>
      <c r="J3" s="16">
        <v>9273</v>
      </c>
      <c r="K3" s="16">
        <v>9256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2</v>
      </c>
      <c r="R3" s="18">
        <f t="shared" si="0"/>
        <v>0</v>
      </c>
      <c r="S3" s="18">
        <f t="shared" si="1"/>
        <v>0</v>
      </c>
      <c r="T3" s="18">
        <f t="shared" si="2"/>
        <v>0</v>
      </c>
      <c r="U3" s="18">
        <f t="shared" si="3"/>
        <v>0</v>
      </c>
      <c r="V3" s="18">
        <f t="shared" si="4"/>
        <v>0</v>
      </c>
      <c r="W3" s="18">
        <f t="shared" si="5"/>
        <v>0</v>
      </c>
      <c r="X3" s="18">
        <f t="shared" si="6"/>
        <v>216.07605877268799</v>
      </c>
      <c r="Y3" s="18">
        <f t="shared" si="7"/>
        <v>72.025352924229324</v>
      </c>
    </row>
    <row r="4" spans="1:25">
      <c r="A4" s="15" t="s">
        <v>296</v>
      </c>
      <c r="B4" s="15" t="s">
        <v>422</v>
      </c>
      <c r="C4" s="15" t="s">
        <v>38</v>
      </c>
      <c r="D4" s="15" t="s">
        <v>38</v>
      </c>
      <c r="E4" s="16">
        <v>10103</v>
      </c>
      <c r="F4" s="16">
        <v>16571</v>
      </c>
      <c r="G4" s="16">
        <v>16532</v>
      </c>
      <c r="H4" s="16">
        <v>16292</v>
      </c>
      <c r="I4" s="16">
        <v>14130</v>
      </c>
      <c r="J4" s="16">
        <v>13889</v>
      </c>
      <c r="K4" s="16">
        <v>13649</v>
      </c>
      <c r="L4" s="16">
        <v>0</v>
      </c>
      <c r="M4" s="16">
        <v>0</v>
      </c>
      <c r="N4" s="16">
        <v>0</v>
      </c>
      <c r="O4" s="16">
        <v>3</v>
      </c>
      <c r="P4" s="16">
        <v>1</v>
      </c>
      <c r="Q4" s="16">
        <v>3</v>
      </c>
      <c r="R4" s="18">
        <f t="shared" si="0"/>
        <v>0</v>
      </c>
      <c r="S4" s="18">
        <f t="shared" si="1"/>
        <v>0</v>
      </c>
      <c r="T4" s="18">
        <f t="shared" si="2"/>
        <v>0</v>
      </c>
      <c r="U4" s="18">
        <f t="shared" si="3"/>
        <v>0</v>
      </c>
      <c r="V4" s="18">
        <f t="shared" si="4"/>
        <v>212.31422505307856</v>
      </c>
      <c r="W4" s="18">
        <f t="shared" si="5"/>
        <v>71.999424004607974</v>
      </c>
      <c r="X4" s="18">
        <f t="shared" si="6"/>
        <v>219.79632207487728</v>
      </c>
      <c r="Y4" s="18">
        <f t="shared" si="7"/>
        <v>168.03665704418793</v>
      </c>
    </row>
    <row r="5" spans="1:25">
      <c r="A5" s="15" t="s">
        <v>296</v>
      </c>
      <c r="B5" s="15" t="s">
        <v>341</v>
      </c>
      <c r="C5" s="15" t="s">
        <v>47</v>
      </c>
      <c r="D5" s="15" t="s">
        <v>47</v>
      </c>
      <c r="E5" s="16">
        <v>10201</v>
      </c>
      <c r="F5" s="16">
        <v>10715</v>
      </c>
      <c r="G5" s="16">
        <v>10652</v>
      </c>
      <c r="H5" s="16">
        <v>10423</v>
      </c>
      <c r="I5" s="16">
        <v>8361</v>
      </c>
      <c r="J5" s="16">
        <v>8132</v>
      </c>
      <c r="K5" s="16">
        <v>7903</v>
      </c>
      <c r="L5" s="16">
        <v>0</v>
      </c>
      <c r="M5" s="16">
        <v>0</v>
      </c>
      <c r="N5" s="16">
        <v>2</v>
      </c>
      <c r="O5" s="16">
        <v>1</v>
      </c>
      <c r="P5" s="16">
        <v>1</v>
      </c>
      <c r="Q5" s="16">
        <v>4</v>
      </c>
      <c r="R5" s="18">
        <f t="shared" si="0"/>
        <v>0</v>
      </c>
      <c r="S5" s="18">
        <f t="shared" si="1"/>
        <v>0</v>
      </c>
      <c r="T5" s="18">
        <f t="shared" si="2"/>
        <v>191.88333493236112</v>
      </c>
      <c r="U5" s="18">
        <f t="shared" si="3"/>
        <v>63.961111644120372</v>
      </c>
      <c r="V5" s="18">
        <f t="shared" si="4"/>
        <v>119.60291831120679</v>
      </c>
      <c r="W5" s="18">
        <f t="shared" si="5"/>
        <v>122.97097884899163</v>
      </c>
      <c r="X5" s="18">
        <f t="shared" si="6"/>
        <v>506.13691003416426</v>
      </c>
      <c r="Y5" s="18">
        <f t="shared" si="7"/>
        <v>249.57026906478757</v>
      </c>
    </row>
    <row r="6" spans="1:25">
      <c r="A6" s="15" t="s">
        <v>296</v>
      </c>
      <c r="B6" s="15" t="s">
        <v>341</v>
      </c>
      <c r="C6" s="15" t="s">
        <v>357</v>
      </c>
      <c r="D6" s="15" t="s">
        <v>423</v>
      </c>
      <c r="E6" s="16">
        <v>10202</v>
      </c>
      <c r="F6" s="16">
        <v>14440</v>
      </c>
      <c r="G6" s="16">
        <v>14261</v>
      </c>
      <c r="H6" s="16">
        <v>14474</v>
      </c>
      <c r="I6" s="16">
        <v>16387</v>
      </c>
      <c r="J6" s="16">
        <v>16599</v>
      </c>
      <c r="K6" s="16">
        <v>16812</v>
      </c>
      <c r="L6" s="16">
        <v>0</v>
      </c>
      <c r="M6" s="16">
        <v>0</v>
      </c>
      <c r="N6" s="16">
        <v>2</v>
      </c>
      <c r="O6" s="16">
        <v>5</v>
      </c>
      <c r="P6" s="16">
        <v>1</v>
      </c>
      <c r="Q6" s="16">
        <v>1</v>
      </c>
      <c r="R6" s="18">
        <f t="shared" si="0"/>
        <v>0</v>
      </c>
      <c r="S6" s="18">
        <f t="shared" si="1"/>
        <v>0</v>
      </c>
      <c r="T6" s="18">
        <f t="shared" si="2"/>
        <v>138.17880337156279</v>
      </c>
      <c r="U6" s="18">
        <f t="shared" si="3"/>
        <v>46.059601123854264</v>
      </c>
      <c r="V6" s="18">
        <f t="shared" si="4"/>
        <v>305.11991212546531</v>
      </c>
      <c r="W6" s="18">
        <f t="shared" si="5"/>
        <v>60.244593047773961</v>
      </c>
      <c r="X6" s="18">
        <f t="shared" si="6"/>
        <v>59.481322864620509</v>
      </c>
      <c r="Y6" s="18">
        <f t="shared" si="7"/>
        <v>141.61527601261992</v>
      </c>
    </row>
    <row r="7" spans="1:25">
      <c r="A7" s="15" t="s">
        <v>296</v>
      </c>
      <c r="B7" s="15" t="s">
        <v>343</v>
      </c>
      <c r="C7" s="15" t="s">
        <v>424</v>
      </c>
      <c r="D7" s="15" t="s">
        <v>425</v>
      </c>
      <c r="E7" s="16">
        <v>10301</v>
      </c>
      <c r="F7" s="16">
        <v>11004</v>
      </c>
      <c r="G7" s="16">
        <v>11362</v>
      </c>
      <c r="H7" s="16">
        <v>11556</v>
      </c>
      <c r="I7" s="16">
        <v>13305</v>
      </c>
      <c r="J7" s="16">
        <v>13500</v>
      </c>
      <c r="K7" s="16">
        <v>13694</v>
      </c>
      <c r="L7" s="16">
        <v>0</v>
      </c>
      <c r="M7" s="16">
        <v>1</v>
      </c>
      <c r="N7" s="16">
        <v>1</v>
      </c>
      <c r="O7" s="16">
        <v>1</v>
      </c>
      <c r="P7" s="16">
        <v>2</v>
      </c>
      <c r="Q7" s="16">
        <v>1</v>
      </c>
      <c r="R7" s="18">
        <f t="shared" si="0"/>
        <v>0</v>
      </c>
      <c r="S7" s="18">
        <f t="shared" si="1"/>
        <v>88.012673825030802</v>
      </c>
      <c r="T7" s="18">
        <f t="shared" si="2"/>
        <v>86.535133264105227</v>
      </c>
      <c r="U7" s="18">
        <f t="shared" si="3"/>
        <v>58.182602363045341</v>
      </c>
      <c r="V7" s="18">
        <f t="shared" si="4"/>
        <v>75.159714393085295</v>
      </c>
      <c r="W7" s="18">
        <f t="shared" si="5"/>
        <v>148.14814814814815</v>
      </c>
      <c r="X7" s="18">
        <f t="shared" si="6"/>
        <v>73.024682342631806</v>
      </c>
      <c r="Y7" s="18">
        <f t="shared" si="7"/>
        <v>98.777514961288418</v>
      </c>
    </row>
    <row r="8" spans="1:25">
      <c r="A8" s="15" t="s">
        <v>296</v>
      </c>
      <c r="B8" s="15" t="s">
        <v>343</v>
      </c>
      <c r="C8" s="15" t="s">
        <v>39</v>
      </c>
      <c r="D8" s="15" t="s">
        <v>39</v>
      </c>
      <c r="E8" s="16">
        <v>10302</v>
      </c>
      <c r="F8" s="16">
        <v>12067</v>
      </c>
      <c r="G8" s="16">
        <v>12385</v>
      </c>
      <c r="H8" s="16">
        <v>12398</v>
      </c>
      <c r="I8" s="16">
        <v>12513</v>
      </c>
      <c r="J8" s="16">
        <v>12526</v>
      </c>
      <c r="K8" s="16">
        <v>12539</v>
      </c>
      <c r="L8" s="16">
        <v>0</v>
      </c>
      <c r="M8" s="16">
        <v>0</v>
      </c>
      <c r="N8" s="16">
        <v>0</v>
      </c>
      <c r="O8" s="16">
        <v>2</v>
      </c>
      <c r="P8" s="16">
        <v>2</v>
      </c>
      <c r="Q8" s="16">
        <v>1</v>
      </c>
      <c r="R8" s="18">
        <f t="shared" si="0"/>
        <v>0</v>
      </c>
      <c r="S8" s="18">
        <f t="shared" si="1"/>
        <v>0</v>
      </c>
      <c r="T8" s="18">
        <f t="shared" si="2"/>
        <v>0</v>
      </c>
      <c r="U8" s="18">
        <f t="shared" si="3"/>
        <v>0</v>
      </c>
      <c r="V8" s="18">
        <f t="shared" si="4"/>
        <v>159.83377287620874</v>
      </c>
      <c r="W8" s="18">
        <f t="shared" si="5"/>
        <v>159.66789078716269</v>
      </c>
      <c r="X8" s="18">
        <f t="shared" si="6"/>
        <v>79.751176329850864</v>
      </c>
      <c r="Y8" s="18">
        <f t="shared" si="7"/>
        <v>133.08427999774077</v>
      </c>
    </row>
    <row r="9" spans="1:25">
      <c r="A9" s="15" t="s">
        <v>296</v>
      </c>
      <c r="B9" s="15" t="s">
        <v>343</v>
      </c>
      <c r="C9" s="15" t="s">
        <v>426</v>
      </c>
      <c r="D9" s="15" t="s">
        <v>427</v>
      </c>
      <c r="E9" s="16">
        <v>10303</v>
      </c>
      <c r="F9" s="16">
        <v>8055</v>
      </c>
      <c r="G9" s="16">
        <v>8068</v>
      </c>
      <c r="H9" s="16">
        <v>8150</v>
      </c>
      <c r="I9" s="16">
        <v>8891</v>
      </c>
      <c r="J9" s="16">
        <v>8973</v>
      </c>
      <c r="K9" s="16">
        <v>9055</v>
      </c>
      <c r="L9" s="16">
        <v>0</v>
      </c>
      <c r="M9" s="16">
        <v>1</v>
      </c>
      <c r="N9" s="16">
        <v>0</v>
      </c>
      <c r="O9" s="16">
        <v>0</v>
      </c>
      <c r="P9" s="16">
        <v>0</v>
      </c>
      <c r="Q9" s="16">
        <v>0</v>
      </c>
      <c r="R9" s="18">
        <f t="shared" si="0"/>
        <v>0</v>
      </c>
      <c r="S9" s="18">
        <f t="shared" si="1"/>
        <v>123.94645513138323</v>
      </c>
      <c r="T9" s="18">
        <f t="shared" si="2"/>
        <v>0</v>
      </c>
      <c r="U9" s="18">
        <f t="shared" si="3"/>
        <v>41.315485043794411</v>
      </c>
      <c r="V9" s="18">
        <f t="shared" si="4"/>
        <v>0</v>
      </c>
      <c r="W9" s="18">
        <f t="shared" si="5"/>
        <v>0</v>
      </c>
      <c r="X9" s="18">
        <f t="shared" si="6"/>
        <v>0</v>
      </c>
      <c r="Y9" s="18">
        <f t="shared" si="7"/>
        <v>0</v>
      </c>
    </row>
    <row r="10" spans="1:25">
      <c r="A10" s="15" t="s">
        <v>296</v>
      </c>
      <c r="B10" s="15" t="s">
        <v>343</v>
      </c>
      <c r="C10" s="15" t="s">
        <v>31</v>
      </c>
      <c r="D10" s="15" t="s">
        <v>31</v>
      </c>
      <c r="E10" s="16">
        <v>10304</v>
      </c>
      <c r="F10" s="16">
        <v>7811</v>
      </c>
      <c r="G10" s="16">
        <v>7774</v>
      </c>
      <c r="H10" s="16">
        <v>7889</v>
      </c>
      <c r="I10" s="16">
        <v>8925</v>
      </c>
      <c r="J10" s="16">
        <v>9040</v>
      </c>
      <c r="K10" s="16">
        <v>9155</v>
      </c>
      <c r="L10" s="16">
        <v>0</v>
      </c>
      <c r="M10" s="16">
        <v>1</v>
      </c>
      <c r="N10" s="16">
        <v>0</v>
      </c>
      <c r="O10" s="16">
        <v>0</v>
      </c>
      <c r="P10" s="16">
        <v>0</v>
      </c>
      <c r="Q10" s="16">
        <v>0</v>
      </c>
      <c r="R10" s="18">
        <f t="shared" si="0"/>
        <v>0</v>
      </c>
      <c r="S10" s="18">
        <f t="shared" si="1"/>
        <v>128.63390789812195</v>
      </c>
      <c r="T10" s="18">
        <f t="shared" si="2"/>
        <v>0</v>
      </c>
      <c r="U10" s="18">
        <f t="shared" si="3"/>
        <v>42.87796929937398</v>
      </c>
      <c r="V10" s="18">
        <f t="shared" si="4"/>
        <v>0</v>
      </c>
      <c r="W10" s="18">
        <f t="shared" si="5"/>
        <v>0</v>
      </c>
      <c r="X10" s="18">
        <f t="shared" si="6"/>
        <v>0</v>
      </c>
      <c r="Y10" s="18">
        <f t="shared" si="7"/>
        <v>0</v>
      </c>
    </row>
    <row r="11" spans="1:25">
      <c r="A11" s="15" t="s">
        <v>296</v>
      </c>
      <c r="B11" s="15" t="s">
        <v>45</v>
      </c>
      <c r="C11" s="15" t="s">
        <v>37</v>
      </c>
      <c r="D11" s="15" t="s">
        <v>37</v>
      </c>
      <c r="E11" s="16">
        <v>10401</v>
      </c>
      <c r="F11" s="16">
        <v>10571</v>
      </c>
      <c r="G11" s="16">
        <v>10383</v>
      </c>
      <c r="H11" s="16">
        <v>10284</v>
      </c>
      <c r="I11" s="16">
        <v>9391</v>
      </c>
      <c r="J11" s="16">
        <v>9291</v>
      </c>
      <c r="K11" s="16">
        <v>9192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1</v>
      </c>
      <c r="R11" s="18">
        <f t="shared" si="0"/>
        <v>0</v>
      </c>
      <c r="S11" s="18">
        <f t="shared" si="1"/>
        <v>0</v>
      </c>
      <c r="T11" s="18">
        <f t="shared" si="2"/>
        <v>0</v>
      </c>
      <c r="U11" s="18">
        <f t="shared" si="3"/>
        <v>0</v>
      </c>
      <c r="V11" s="18">
        <f t="shared" si="4"/>
        <v>0</v>
      </c>
      <c r="W11" s="18">
        <f t="shared" si="5"/>
        <v>0</v>
      </c>
      <c r="X11" s="18">
        <f t="shared" si="6"/>
        <v>108.79025239338554</v>
      </c>
      <c r="Y11" s="18">
        <f t="shared" si="7"/>
        <v>36.263417464461845</v>
      </c>
    </row>
    <row r="12" spans="1:25">
      <c r="A12" s="15" t="s">
        <v>296</v>
      </c>
      <c r="B12" s="15" t="s">
        <v>45</v>
      </c>
      <c r="C12" s="15" t="s">
        <v>45</v>
      </c>
      <c r="D12" s="15" t="s">
        <v>428</v>
      </c>
      <c r="E12" s="16">
        <v>10402</v>
      </c>
      <c r="F12" s="16">
        <v>8545</v>
      </c>
      <c r="G12" s="16">
        <v>8494</v>
      </c>
      <c r="H12" s="16">
        <v>8495</v>
      </c>
      <c r="I12" s="16">
        <v>8507</v>
      </c>
      <c r="J12" s="16">
        <v>8508</v>
      </c>
      <c r="K12" s="16">
        <v>8509</v>
      </c>
      <c r="L12" s="16">
        <v>1</v>
      </c>
      <c r="M12" s="16">
        <v>0</v>
      </c>
      <c r="N12" s="16">
        <v>0</v>
      </c>
      <c r="O12" s="16">
        <v>1</v>
      </c>
      <c r="P12" s="16">
        <v>2</v>
      </c>
      <c r="Q12" s="16">
        <v>2</v>
      </c>
      <c r="R12" s="18">
        <f t="shared" si="0"/>
        <v>117.02750146284377</v>
      </c>
      <c r="S12" s="18">
        <f t="shared" si="1"/>
        <v>0</v>
      </c>
      <c r="T12" s="18">
        <f t="shared" si="2"/>
        <v>0</v>
      </c>
      <c r="U12" s="18">
        <f t="shared" si="3"/>
        <v>39.009167154281258</v>
      </c>
      <c r="V12" s="18">
        <f t="shared" si="4"/>
        <v>117.55025273304338</v>
      </c>
      <c r="W12" s="18">
        <f t="shared" si="5"/>
        <v>235.07287259050304</v>
      </c>
      <c r="X12" s="18">
        <f t="shared" si="6"/>
        <v>235.0452462098954</v>
      </c>
      <c r="Y12" s="18">
        <f t="shared" si="7"/>
        <v>195.88945717781394</v>
      </c>
    </row>
    <row r="13" spans="1:25">
      <c r="A13" s="15" t="s">
        <v>296</v>
      </c>
      <c r="B13" s="15" t="s">
        <v>45</v>
      </c>
      <c r="C13" s="15" t="s">
        <v>41</v>
      </c>
      <c r="D13" s="15" t="s">
        <v>429</v>
      </c>
      <c r="E13" s="16">
        <v>10403</v>
      </c>
      <c r="F13" s="16">
        <v>7306</v>
      </c>
      <c r="G13" s="16">
        <v>7312</v>
      </c>
      <c r="H13" s="16">
        <v>7281</v>
      </c>
      <c r="I13" s="16">
        <v>7004</v>
      </c>
      <c r="J13" s="16">
        <v>6973</v>
      </c>
      <c r="K13" s="16">
        <v>6942</v>
      </c>
      <c r="L13" s="16">
        <v>0</v>
      </c>
      <c r="M13" s="16">
        <v>3</v>
      </c>
      <c r="N13" s="16">
        <v>6</v>
      </c>
      <c r="O13" s="16">
        <v>0</v>
      </c>
      <c r="P13" s="16">
        <v>1</v>
      </c>
      <c r="Q13" s="16">
        <v>0</v>
      </c>
      <c r="R13" s="18">
        <f t="shared" si="0"/>
        <v>0</v>
      </c>
      <c r="S13" s="18">
        <f t="shared" si="1"/>
        <v>410.28446389496719</v>
      </c>
      <c r="T13" s="18">
        <f t="shared" si="2"/>
        <v>824.06262875978575</v>
      </c>
      <c r="U13" s="18">
        <f t="shared" si="3"/>
        <v>411.44903088491765</v>
      </c>
      <c r="V13" s="18">
        <f t="shared" si="4"/>
        <v>0</v>
      </c>
      <c r="W13" s="18">
        <f t="shared" si="5"/>
        <v>143.41029685931451</v>
      </c>
      <c r="X13" s="18">
        <f t="shared" si="6"/>
        <v>0</v>
      </c>
      <c r="Y13" s="18">
        <f t="shared" si="7"/>
        <v>47.803432286438174</v>
      </c>
    </row>
    <row r="14" spans="1:25">
      <c r="A14" s="15" t="s">
        <v>296</v>
      </c>
      <c r="B14" s="15" t="s">
        <v>45</v>
      </c>
      <c r="C14" s="15" t="s">
        <v>430</v>
      </c>
      <c r="D14" s="15" t="s">
        <v>362</v>
      </c>
      <c r="E14" s="16">
        <v>10404</v>
      </c>
      <c r="F14" s="16">
        <v>4823</v>
      </c>
      <c r="G14" s="16">
        <v>4902</v>
      </c>
      <c r="H14" s="16">
        <v>4808</v>
      </c>
      <c r="I14" s="16">
        <v>3957</v>
      </c>
      <c r="J14" s="16">
        <v>3863</v>
      </c>
      <c r="K14" s="16">
        <v>3768</v>
      </c>
      <c r="L14" s="16">
        <v>0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8">
        <f t="shared" si="0"/>
        <v>0</v>
      </c>
      <c r="S14" s="18">
        <f t="shared" si="1"/>
        <v>0</v>
      </c>
      <c r="T14" s="18">
        <f t="shared" si="2"/>
        <v>0</v>
      </c>
      <c r="U14" s="18">
        <f t="shared" si="3"/>
        <v>0</v>
      </c>
      <c r="V14" s="18">
        <f t="shared" si="4"/>
        <v>252.71670457417233</v>
      </c>
      <c r="W14" s="18">
        <f t="shared" si="5"/>
        <v>0</v>
      </c>
      <c r="X14" s="18">
        <f t="shared" si="6"/>
        <v>0</v>
      </c>
      <c r="Y14" s="18">
        <f t="shared" si="7"/>
        <v>84.238901524724113</v>
      </c>
    </row>
    <row r="15" spans="1:25">
      <c r="A15" s="15" t="s">
        <v>296</v>
      </c>
      <c r="B15" s="15" t="s">
        <v>45</v>
      </c>
      <c r="C15" s="15" t="s">
        <v>361</v>
      </c>
      <c r="D15" s="15" t="s">
        <v>361</v>
      </c>
      <c r="E15" s="16">
        <v>10405</v>
      </c>
      <c r="F15" s="16">
        <v>4476</v>
      </c>
      <c r="G15" s="16">
        <v>4465</v>
      </c>
      <c r="H15" s="16">
        <v>4564</v>
      </c>
      <c r="I15" s="16">
        <v>5456</v>
      </c>
      <c r="J15" s="16">
        <v>5555</v>
      </c>
      <c r="K15" s="16">
        <v>5654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8">
        <f t="shared" si="0"/>
        <v>0</v>
      </c>
      <c r="S15" s="18">
        <f t="shared" si="1"/>
        <v>0</v>
      </c>
      <c r="T15" s="18">
        <f t="shared" si="2"/>
        <v>0</v>
      </c>
      <c r="U15" s="18">
        <f t="shared" si="3"/>
        <v>0</v>
      </c>
      <c r="V15" s="18">
        <f t="shared" si="4"/>
        <v>0</v>
      </c>
      <c r="W15" s="18">
        <f t="shared" si="5"/>
        <v>0</v>
      </c>
      <c r="X15" s="18">
        <f t="shared" si="6"/>
        <v>0</v>
      </c>
      <c r="Y15" s="18">
        <f t="shared" si="7"/>
        <v>0</v>
      </c>
    </row>
    <row r="16" spans="1:25">
      <c r="A16" s="15" t="s">
        <v>296</v>
      </c>
      <c r="B16" s="15" t="s">
        <v>431</v>
      </c>
      <c r="C16" s="15" t="s">
        <v>36</v>
      </c>
      <c r="D16" s="15" t="s">
        <v>36</v>
      </c>
      <c r="E16" s="16">
        <v>10501</v>
      </c>
      <c r="F16" s="16">
        <v>24503</v>
      </c>
      <c r="G16" s="16">
        <v>24303</v>
      </c>
      <c r="H16" s="16">
        <v>24323</v>
      </c>
      <c r="I16" s="16">
        <v>24506</v>
      </c>
      <c r="J16" s="16">
        <v>24526</v>
      </c>
      <c r="K16" s="16">
        <v>24546</v>
      </c>
      <c r="L16" s="16">
        <v>0</v>
      </c>
      <c r="M16" s="16">
        <v>0</v>
      </c>
      <c r="N16" s="16">
        <v>0</v>
      </c>
      <c r="O16" s="16">
        <v>4</v>
      </c>
      <c r="P16" s="16">
        <v>3</v>
      </c>
      <c r="Q16" s="16">
        <v>1</v>
      </c>
      <c r="R16" s="18">
        <f t="shared" si="0"/>
        <v>0</v>
      </c>
      <c r="S16" s="18">
        <f t="shared" si="1"/>
        <v>0</v>
      </c>
      <c r="T16" s="18">
        <f t="shared" si="2"/>
        <v>0</v>
      </c>
      <c r="U16" s="18">
        <f t="shared" si="3"/>
        <v>0</v>
      </c>
      <c r="V16" s="18">
        <f t="shared" si="4"/>
        <v>163.22533257161513</v>
      </c>
      <c r="W16" s="18">
        <f t="shared" si="5"/>
        <v>122.31917149147843</v>
      </c>
      <c r="X16" s="18">
        <f t="shared" si="6"/>
        <v>40.739835411064945</v>
      </c>
      <c r="Y16" s="18">
        <f t="shared" si="7"/>
        <v>108.76144649138617</v>
      </c>
    </row>
    <row r="17" spans="1:25">
      <c r="A17" s="15" t="s">
        <v>296</v>
      </c>
      <c r="B17" s="15" t="s">
        <v>431</v>
      </c>
      <c r="C17" s="15" t="s">
        <v>432</v>
      </c>
      <c r="D17" s="15" t="s">
        <v>432</v>
      </c>
      <c r="E17" s="16">
        <v>10502</v>
      </c>
      <c r="F17" s="16">
        <v>8500</v>
      </c>
      <c r="G17" s="16">
        <v>8349</v>
      </c>
      <c r="H17" s="16">
        <v>8253</v>
      </c>
      <c r="I17" s="16">
        <v>7392</v>
      </c>
      <c r="J17" s="16">
        <v>7296</v>
      </c>
      <c r="K17" s="16">
        <v>7200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8">
        <f t="shared" si="0"/>
        <v>0</v>
      </c>
      <c r="S17" s="18">
        <f t="shared" si="1"/>
        <v>0</v>
      </c>
      <c r="T17" s="18">
        <f t="shared" si="2"/>
        <v>0</v>
      </c>
      <c r="U17" s="18">
        <f t="shared" si="3"/>
        <v>0</v>
      </c>
      <c r="V17" s="18">
        <f t="shared" si="4"/>
        <v>0</v>
      </c>
      <c r="W17" s="18">
        <f t="shared" si="5"/>
        <v>0</v>
      </c>
      <c r="X17" s="18">
        <f t="shared" si="6"/>
        <v>0</v>
      </c>
      <c r="Y17" s="18">
        <f t="shared" si="7"/>
        <v>0</v>
      </c>
    </row>
    <row r="18" spans="1:25">
      <c r="A18" s="15" t="s">
        <v>296</v>
      </c>
      <c r="B18" s="15" t="s">
        <v>52</v>
      </c>
      <c r="C18" s="15" t="s">
        <v>43</v>
      </c>
      <c r="D18" s="15" t="s">
        <v>43</v>
      </c>
      <c r="E18" s="16">
        <v>10601</v>
      </c>
      <c r="F18" s="16">
        <v>17181</v>
      </c>
      <c r="G18" s="16">
        <v>16944</v>
      </c>
      <c r="H18" s="16">
        <v>16642</v>
      </c>
      <c r="I18" s="16">
        <v>13927</v>
      </c>
      <c r="J18" s="16">
        <v>13625</v>
      </c>
      <c r="K18" s="16">
        <v>13323</v>
      </c>
      <c r="L18" s="16">
        <v>1</v>
      </c>
      <c r="M18" s="16">
        <v>2</v>
      </c>
      <c r="N18" s="16">
        <v>3</v>
      </c>
      <c r="O18" s="16">
        <v>4</v>
      </c>
      <c r="P18" s="16">
        <v>3</v>
      </c>
      <c r="Q18" s="16">
        <v>2</v>
      </c>
      <c r="R18" s="18">
        <f t="shared" si="0"/>
        <v>58.203829812001629</v>
      </c>
      <c r="S18" s="18">
        <f t="shared" si="1"/>
        <v>118.03588290840416</v>
      </c>
      <c r="T18" s="18">
        <f t="shared" si="2"/>
        <v>180.26679485638743</v>
      </c>
      <c r="U18" s="18">
        <f t="shared" si="3"/>
        <v>118.83550252559775</v>
      </c>
      <c r="V18" s="18">
        <f t="shared" si="4"/>
        <v>287.21189057226968</v>
      </c>
      <c r="W18" s="18">
        <f t="shared" si="5"/>
        <v>220.18348623853211</v>
      </c>
      <c r="X18" s="18">
        <f t="shared" si="6"/>
        <v>150.1163401636268</v>
      </c>
      <c r="Y18" s="18">
        <f t="shared" si="7"/>
        <v>219.17057232480954</v>
      </c>
    </row>
    <row r="19" spans="1:25">
      <c r="A19" s="15" t="s">
        <v>296</v>
      </c>
      <c r="B19" s="15" t="s">
        <v>52</v>
      </c>
      <c r="C19" s="15" t="s">
        <v>52</v>
      </c>
      <c r="D19" s="15" t="s">
        <v>52</v>
      </c>
      <c r="E19" s="16">
        <v>10602</v>
      </c>
      <c r="F19" s="16">
        <v>10102</v>
      </c>
      <c r="G19" s="16">
        <v>10111</v>
      </c>
      <c r="H19" s="16">
        <v>9975</v>
      </c>
      <c r="I19" s="16">
        <v>8752</v>
      </c>
      <c r="J19" s="16">
        <v>8616</v>
      </c>
      <c r="K19" s="16">
        <v>8480</v>
      </c>
      <c r="L19" s="16">
        <v>0</v>
      </c>
      <c r="M19" s="16">
        <v>2</v>
      </c>
      <c r="N19" s="16">
        <v>2</v>
      </c>
      <c r="O19" s="16">
        <v>1</v>
      </c>
      <c r="P19" s="16">
        <v>0</v>
      </c>
      <c r="Q19" s="16">
        <v>1</v>
      </c>
      <c r="R19" s="18">
        <f t="shared" si="0"/>
        <v>0</v>
      </c>
      <c r="S19" s="18">
        <f t="shared" si="1"/>
        <v>197.80437147660965</v>
      </c>
      <c r="T19" s="18">
        <f t="shared" si="2"/>
        <v>200.50125313283209</v>
      </c>
      <c r="U19" s="18">
        <f t="shared" si="3"/>
        <v>132.76854153648057</v>
      </c>
      <c r="V19" s="18">
        <f t="shared" si="4"/>
        <v>114.25959780621572</v>
      </c>
      <c r="W19" s="18">
        <f t="shared" si="5"/>
        <v>0</v>
      </c>
      <c r="X19" s="18">
        <f t="shared" si="6"/>
        <v>117.9245283018868</v>
      </c>
      <c r="Y19" s="18">
        <f t="shared" si="7"/>
        <v>77.394708702700839</v>
      </c>
    </row>
    <row r="20" spans="1:25">
      <c r="A20" s="15" t="s">
        <v>296</v>
      </c>
      <c r="B20" s="15" t="s">
        <v>433</v>
      </c>
      <c r="C20" s="15" t="s">
        <v>27</v>
      </c>
      <c r="D20" s="15" t="s">
        <v>27</v>
      </c>
      <c r="E20" s="16">
        <v>10701</v>
      </c>
      <c r="F20" s="16">
        <v>15530</v>
      </c>
      <c r="G20" s="16">
        <v>15644</v>
      </c>
      <c r="H20" s="16">
        <v>15566</v>
      </c>
      <c r="I20" s="16">
        <v>14868</v>
      </c>
      <c r="J20" s="16">
        <v>14791</v>
      </c>
      <c r="K20" s="16">
        <v>14713</v>
      </c>
      <c r="L20" s="16">
        <v>1</v>
      </c>
      <c r="M20" s="16">
        <v>7</v>
      </c>
      <c r="N20" s="16">
        <v>1</v>
      </c>
      <c r="O20" s="16">
        <v>0</v>
      </c>
      <c r="P20" s="16">
        <v>2</v>
      </c>
      <c r="Q20" s="16">
        <v>1</v>
      </c>
      <c r="R20" s="18">
        <f t="shared" si="0"/>
        <v>64.391500321957508</v>
      </c>
      <c r="S20" s="18">
        <f t="shared" si="1"/>
        <v>447.45589363334182</v>
      </c>
      <c r="T20" s="18">
        <f t="shared" si="2"/>
        <v>64.242579982012089</v>
      </c>
      <c r="U20" s="18">
        <f t="shared" si="3"/>
        <v>192.02999131243712</v>
      </c>
      <c r="V20" s="18">
        <f t="shared" si="4"/>
        <v>0</v>
      </c>
      <c r="W20" s="18">
        <f t="shared" si="5"/>
        <v>135.21736190926916</v>
      </c>
      <c r="X20" s="18">
        <f t="shared" si="6"/>
        <v>67.967103921701906</v>
      </c>
      <c r="Y20" s="18">
        <f t="shared" si="7"/>
        <v>67.728155276990364</v>
      </c>
    </row>
    <row r="21" spans="1:25">
      <c r="A21" s="15" t="s">
        <v>296</v>
      </c>
      <c r="B21" s="15" t="s">
        <v>433</v>
      </c>
      <c r="C21" s="15" t="s">
        <v>40</v>
      </c>
      <c r="D21" s="15" t="s">
        <v>40</v>
      </c>
      <c r="E21" s="16">
        <v>10702</v>
      </c>
      <c r="F21" s="16">
        <v>32483</v>
      </c>
      <c r="G21" s="16">
        <v>32520</v>
      </c>
      <c r="H21" s="16">
        <v>32036</v>
      </c>
      <c r="I21" s="16">
        <v>27683</v>
      </c>
      <c r="J21" s="16">
        <v>27199</v>
      </c>
      <c r="K21" s="16">
        <v>26715</v>
      </c>
      <c r="L21" s="16">
        <v>0</v>
      </c>
      <c r="M21" s="16">
        <v>0</v>
      </c>
      <c r="N21" s="16">
        <v>0</v>
      </c>
      <c r="O21" s="16">
        <v>2</v>
      </c>
      <c r="P21" s="16">
        <v>7</v>
      </c>
      <c r="Q21" s="16">
        <v>9</v>
      </c>
      <c r="R21" s="18">
        <f t="shared" si="0"/>
        <v>0</v>
      </c>
      <c r="S21" s="18">
        <f t="shared" si="1"/>
        <v>0</v>
      </c>
      <c r="T21" s="18">
        <f t="shared" si="2"/>
        <v>0</v>
      </c>
      <c r="U21" s="18">
        <f t="shared" si="3"/>
        <v>0</v>
      </c>
      <c r="V21" s="18">
        <f t="shared" si="4"/>
        <v>72.246505075316975</v>
      </c>
      <c r="W21" s="18">
        <f t="shared" si="5"/>
        <v>257.36240302952314</v>
      </c>
      <c r="X21" s="18">
        <f t="shared" si="6"/>
        <v>336.88938798427847</v>
      </c>
      <c r="Y21" s="18">
        <f t="shared" si="7"/>
        <v>222.16609869637287</v>
      </c>
    </row>
    <row r="22" spans="1:25">
      <c r="A22" s="15" t="s">
        <v>296</v>
      </c>
      <c r="B22" s="15" t="s">
        <v>433</v>
      </c>
      <c r="C22" s="15" t="s">
        <v>32</v>
      </c>
      <c r="D22" s="15" t="s">
        <v>32</v>
      </c>
      <c r="E22" s="16">
        <v>10703</v>
      </c>
      <c r="F22" s="16">
        <v>12843</v>
      </c>
      <c r="G22" s="16">
        <v>13056</v>
      </c>
      <c r="H22" s="16">
        <v>13342</v>
      </c>
      <c r="I22" s="16">
        <v>15913</v>
      </c>
      <c r="J22" s="16">
        <v>16198</v>
      </c>
      <c r="K22" s="16">
        <v>16484</v>
      </c>
      <c r="L22" s="16">
        <v>0</v>
      </c>
      <c r="M22" s="16">
        <v>0</v>
      </c>
      <c r="N22" s="16">
        <v>0</v>
      </c>
      <c r="O22" s="16">
        <v>0</v>
      </c>
      <c r="P22" s="16">
        <v>6</v>
      </c>
      <c r="Q22" s="16">
        <v>4</v>
      </c>
      <c r="R22" s="18">
        <f t="shared" si="0"/>
        <v>0</v>
      </c>
      <c r="S22" s="18">
        <f t="shared" si="1"/>
        <v>0</v>
      </c>
      <c r="T22" s="18">
        <f t="shared" si="2"/>
        <v>0</v>
      </c>
      <c r="U22" s="18">
        <f t="shared" si="3"/>
        <v>0</v>
      </c>
      <c r="V22" s="18">
        <f t="shared" si="4"/>
        <v>0</v>
      </c>
      <c r="W22" s="18">
        <f t="shared" si="5"/>
        <v>370.41610075317936</v>
      </c>
      <c r="X22" s="18">
        <f t="shared" si="6"/>
        <v>242.65954865323951</v>
      </c>
      <c r="Y22" s="18">
        <f t="shared" si="7"/>
        <v>204.35854980213961</v>
      </c>
    </row>
    <row r="23" spans="1:25">
      <c r="A23" s="15" t="s">
        <v>296</v>
      </c>
      <c r="B23" s="15" t="s">
        <v>433</v>
      </c>
      <c r="C23" s="15" t="s">
        <v>401</v>
      </c>
      <c r="D23" s="15" t="s">
        <v>401</v>
      </c>
      <c r="E23" s="16">
        <v>10704</v>
      </c>
      <c r="F23" s="16">
        <v>15800</v>
      </c>
      <c r="G23" s="16">
        <v>16150</v>
      </c>
      <c r="H23" s="16">
        <v>15994</v>
      </c>
      <c r="I23" s="16">
        <v>14593</v>
      </c>
      <c r="J23" s="16">
        <v>14438</v>
      </c>
      <c r="K23" s="16">
        <v>14282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8">
        <f t="shared" si="0"/>
        <v>0</v>
      </c>
      <c r="S23" s="18">
        <f t="shared" si="1"/>
        <v>0</v>
      </c>
      <c r="T23" s="18">
        <f t="shared" si="2"/>
        <v>0</v>
      </c>
      <c r="U23" s="18">
        <f t="shared" si="3"/>
        <v>0</v>
      </c>
      <c r="V23" s="18">
        <f t="shared" si="4"/>
        <v>0</v>
      </c>
      <c r="W23" s="18">
        <f t="shared" si="5"/>
        <v>0</v>
      </c>
      <c r="X23" s="18">
        <f t="shared" si="6"/>
        <v>0</v>
      </c>
      <c r="Y23" s="18">
        <f t="shared" si="7"/>
        <v>0</v>
      </c>
    </row>
    <row r="24" spans="1:25">
      <c r="A24" s="15" t="s">
        <v>296</v>
      </c>
      <c r="B24" s="15" t="s">
        <v>434</v>
      </c>
      <c r="C24" s="15" t="s">
        <v>49</v>
      </c>
      <c r="D24" s="15" t="s">
        <v>49</v>
      </c>
      <c r="E24" s="16">
        <v>10801</v>
      </c>
      <c r="F24" s="16">
        <v>11272</v>
      </c>
      <c r="G24" s="16">
        <v>11161</v>
      </c>
      <c r="H24" s="16">
        <v>10990</v>
      </c>
      <c r="I24" s="16">
        <v>9449</v>
      </c>
      <c r="J24" s="16">
        <v>9278</v>
      </c>
      <c r="K24" s="16">
        <v>9107</v>
      </c>
      <c r="L24" s="16">
        <v>0</v>
      </c>
      <c r="M24" s="16">
        <v>1</v>
      </c>
      <c r="N24" s="16">
        <v>0</v>
      </c>
      <c r="O24" s="16">
        <v>1</v>
      </c>
      <c r="P24" s="16">
        <v>2</v>
      </c>
      <c r="Q24" s="16">
        <v>1</v>
      </c>
      <c r="R24" s="18">
        <f t="shared" si="0"/>
        <v>0</v>
      </c>
      <c r="S24" s="18">
        <f t="shared" si="1"/>
        <v>89.597706298718748</v>
      </c>
      <c r="T24" s="18">
        <f t="shared" si="2"/>
        <v>0</v>
      </c>
      <c r="U24" s="18">
        <f t="shared" si="3"/>
        <v>29.865902099572917</v>
      </c>
      <c r="V24" s="18">
        <f t="shared" si="4"/>
        <v>105.83130489998942</v>
      </c>
      <c r="W24" s="18">
        <f t="shared" si="5"/>
        <v>215.56369907307609</v>
      </c>
      <c r="X24" s="18">
        <f t="shared" si="6"/>
        <v>109.80564401010211</v>
      </c>
      <c r="Y24" s="18">
        <f t="shared" si="7"/>
        <v>143.73354932772256</v>
      </c>
    </row>
    <row r="25" spans="1:25">
      <c r="A25" s="15" t="s">
        <v>296</v>
      </c>
      <c r="B25" s="15" t="s">
        <v>435</v>
      </c>
      <c r="C25" s="15" t="s">
        <v>334</v>
      </c>
      <c r="D25" s="15" t="s">
        <v>334</v>
      </c>
      <c r="E25" s="16">
        <v>10901</v>
      </c>
      <c r="F25" s="16">
        <v>3485</v>
      </c>
      <c r="G25" s="16">
        <v>3514</v>
      </c>
      <c r="H25" s="16">
        <v>3669</v>
      </c>
      <c r="I25" s="16">
        <v>5065</v>
      </c>
      <c r="J25" s="16">
        <v>5220</v>
      </c>
      <c r="K25" s="16">
        <v>5375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8">
        <f t="shared" si="0"/>
        <v>0</v>
      </c>
      <c r="S25" s="18">
        <f t="shared" si="1"/>
        <v>0</v>
      </c>
      <c r="T25" s="18">
        <f t="shared" si="2"/>
        <v>0</v>
      </c>
      <c r="U25" s="18">
        <f t="shared" si="3"/>
        <v>0</v>
      </c>
      <c r="V25" s="18">
        <f t="shared" si="4"/>
        <v>0</v>
      </c>
      <c r="W25" s="18">
        <f t="shared" si="5"/>
        <v>0</v>
      </c>
      <c r="X25" s="18">
        <f t="shared" si="6"/>
        <v>0</v>
      </c>
      <c r="Y25" s="18">
        <f t="shared" si="7"/>
        <v>0</v>
      </c>
    </row>
    <row r="26" spans="1:25">
      <c r="A26" s="15" t="s">
        <v>296</v>
      </c>
      <c r="B26" s="15" t="s">
        <v>435</v>
      </c>
      <c r="C26" s="15" t="s">
        <v>29</v>
      </c>
      <c r="D26" s="15" t="s">
        <v>29</v>
      </c>
      <c r="E26" s="16">
        <v>10902</v>
      </c>
      <c r="F26" s="16">
        <v>17716</v>
      </c>
      <c r="G26" s="16">
        <v>17731</v>
      </c>
      <c r="H26" s="16">
        <v>17491</v>
      </c>
      <c r="I26" s="16">
        <v>15329</v>
      </c>
      <c r="J26" s="16">
        <v>15088</v>
      </c>
      <c r="K26" s="16">
        <v>14848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8">
        <f t="shared" si="0"/>
        <v>0</v>
      </c>
      <c r="S26" s="18">
        <f t="shared" si="1"/>
        <v>0</v>
      </c>
      <c r="T26" s="18">
        <f t="shared" si="2"/>
        <v>0</v>
      </c>
      <c r="U26" s="18">
        <f t="shared" si="3"/>
        <v>0</v>
      </c>
      <c r="V26" s="18">
        <f t="shared" si="4"/>
        <v>0</v>
      </c>
      <c r="W26" s="18">
        <f t="shared" si="5"/>
        <v>0</v>
      </c>
      <c r="X26" s="18">
        <f t="shared" si="6"/>
        <v>0</v>
      </c>
      <c r="Y26" s="18">
        <f t="shared" si="7"/>
        <v>0</v>
      </c>
    </row>
    <row r="27" spans="1:25">
      <c r="A27" s="15" t="s">
        <v>296</v>
      </c>
      <c r="B27" s="15" t="s">
        <v>435</v>
      </c>
      <c r="C27" s="15" t="s">
        <v>33</v>
      </c>
      <c r="D27" s="15" t="s">
        <v>33</v>
      </c>
      <c r="E27" s="16">
        <v>10903</v>
      </c>
      <c r="F27" s="16">
        <v>4040</v>
      </c>
      <c r="G27" s="16">
        <v>4088</v>
      </c>
      <c r="H27" s="16">
        <v>4165</v>
      </c>
      <c r="I27" s="16">
        <v>4861</v>
      </c>
      <c r="J27" s="16">
        <v>4939</v>
      </c>
      <c r="K27" s="16">
        <v>5016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1</v>
      </c>
      <c r="R27" s="18">
        <f t="shared" si="0"/>
        <v>0</v>
      </c>
      <c r="S27" s="18">
        <f t="shared" si="1"/>
        <v>0</v>
      </c>
      <c r="T27" s="18">
        <f t="shared" si="2"/>
        <v>0</v>
      </c>
      <c r="U27" s="18">
        <f t="shared" si="3"/>
        <v>0</v>
      </c>
      <c r="V27" s="18">
        <f t="shared" si="4"/>
        <v>0</v>
      </c>
      <c r="W27" s="18">
        <f t="shared" si="5"/>
        <v>0</v>
      </c>
      <c r="X27" s="18">
        <f t="shared" si="6"/>
        <v>199.36204146730464</v>
      </c>
      <c r="Y27" s="18">
        <f t="shared" si="7"/>
        <v>66.454013822434874</v>
      </c>
    </row>
    <row r="28" spans="1:25">
      <c r="A28" s="15" t="s">
        <v>296</v>
      </c>
      <c r="B28" s="15" t="s">
        <v>436</v>
      </c>
      <c r="C28" s="15" t="s">
        <v>379</v>
      </c>
      <c r="D28" s="15" t="s">
        <v>379</v>
      </c>
      <c r="E28" s="16">
        <v>11001</v>
      </c>
      <c r="F28" s="16">
        <v>9813</v>
      </c>
      <c r="G28" s="16">
        <v>9720</v>
      </c>
      <c r="H28" s="16">
        <v>10017</v>
      </c>
      <c r="I28" s="16">
        <v>12688</v>
      </c>
      <c r="J28" s="16">
        <v>12985</v>
      </c>
      <c r="K28" s="16">
        <v>13282</v>
      </c>
      <c r="L28" s="16">
        <v>0</v>
      </c>
      <c r="M28" s="16">
        <v>0</v>
      </c>
      <c r="N28" s="16">
        <v>1</v>
      </c>
      <c r="O28" s="16">
        <v>1</v>
      </c>
      <c r="P28" s="16">
        <v>1</v>
      </c>
      <c r="Q28" s="16">
        <v>2</v>
      </c>
      <c r="R28" s="18">
        <f t="shared" si="0"/>
        <v>0</v>
      </c>
      <c r="S28" s="18">
        <f t="shared" si="1"/>
        <v>0</v>
      </c>
      <c r="T28" s="18">
        <f t="shared" si="2"/>
        <v>99.830288509533787</v>
      </c>
      <c r="U28" s="18">
        <f t="shared" si="3"/>
        <v>33.27676283651126</v>
      </c>
      <c r="V28" s="18">
        <f t="shared" si="4"/>
        <v>78.81462799495587</v>
      </c>
      <c r="W28" s="18">
        <f t="shared" si="5"/>
        <v>77.011936850211782</v>
      </c>
      <c r="X28" s="18">
        <f t="shared" si="6"/>
        <v>150.57973196807711</v>
      </c>
      <c r="Y28" s="18">
        <f t="shared" si="7"/>
        <v>102.13543227108158</v>
      </c>
    </row>
    <row r="29" spans="1:25">
      <c r="A29" s="15" t="s">
        <v>296</v>
      </c>
      <c r="B29" s="15" t="s">
        <v>436</v>
      </c>
      <c r="C29" s="15" t="s">
        <v>437</v>
      </c>
      <c r="D29" s="15" t="s">
        <v>48</v>
      </c>
      <c r="E29" s="16">
        <v>11002</v>
      </c>
      <c r="F29" s="16">
        <v>2523</v>
      </c>
      <c r="G29" s="16">
        <v>2541</v>
      </c>
      <c r="H29" s="16">
        <v>2542</v>
      </c>
      <c r="I29" s="16">
        <v>2546</v>
      </c>
      <c r="J29" s="16">
        <v>2547</v>
      </c>
      <c r="K29" s="16">
        <v>2547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8">
        <f t="shared" si="0"/>
        <v>0</v>
      </c>
      <c r="S29" s="18">
        <f t="shared" si="1"/>
        <v>0</v>
      </c>
      <c r="T29" s="18">
        <f t="shared" si="2"/>
        <v>0</v>
      </c>
      <c r="U29" s="18">
        <f t="shared" si="3"/>
        <v>0</v>
      </c>
      <c r="V29" s="18">
        <f t="shared" si="4"/>
        <v>0</v>
      </c>
      <c r="W29" s="18">
        <f t="shared" si="5"/>
        <v>0</v>
      </c>
      <c r="X29" s="18">
        <f t="shared" si="6"/>
        <v>0</v>
      </c>
      <c r="Y29" s="18">
        <f t="shared" si="7"/>
        <v>0</v>
      </c>
    </row>
    <row r="30" spans="1:25">
      <c r="A30" s="15" t="s">
        <v>296</v>
      </c>
      <c r="B30" s="15" t="s">
        <v>436</v>
      </c>
      <c r="C30" s="15" t="s">
        <v>34</v>
      </c>
      <c r="D30" s="15" t="s">
        <v>438</v>
      </c>
      <c r="E30" s="16">
        <v>11003</v>
      </c>
      <c r="F30" s="16">
        <v>7415</v>
      </c>
      <c r="G30" s="16">
        <v>7418</v>
      </c>
      <c r="H30" s="16">
        <v>7403</v>
      </c>
      <c r="I30" s="16">
        <v>7266</v>
      </c>
      <c r="J30" s="16">
        <v>7250</v>
      </c>
      <c r="K30" s="16">
        <v>7235</v>
      </c>
      <c r="L30" s="16">
        <v>0</v>
      </c>
      <c r="M30" s="16">
        <v>1</v>
      </c>
      <c r="N30" s="16">
        <v>0</v>
      </c>
      <c r="O30" s="16">
        <v>1</v>
      </c>
      <c r="P30" s="16">
        <v>1</v>
      </c>
      <c r="Q30" s="16">
        <v>0</v>
      </c>
      <c r="R30" s="18">
        <f t="shared" si="0"/>
        <v>0</v>
      </c>
      <c r="S30" s="18">
        <f t="shared" si="1"/>
        <v>134.80722566729577</v>
      </c>
      <c r="T30" s="18">
        <f t="shared" si="2"/>
        <v>0</v>
      </c>
      <c r="U30" s="18">
        <f t="shared" si="3"/>
        <v>44.935741889098587</v>
      </c>
      <c r="V30" s="18">
        <f t="shared" si="4"/>
        <v>137.62730525736308</v>
      </c>
      <c r="W30" s="18">
        <f t="shared" si="5"/>
        <v>137.93103448275863</v>
      </c>
      <c r="X30" s="18">
        <f t="shared" si="6"/>
        <v>0</v>
      </c>
      <c r="Y30" s="18">
        <f t="shared" si="7"/>
        <v>91.852779913373908</v>
      </c>
    </row>
    <row r="31" spans="1:25">
      <c r="A31" s="15" t="s">
        <v>133</v>
      </c>
      <c r="B31" s="15" t="s">
        <v>439</v>
      </c>
      <c r="C31" s="15" t="s">
        <v>353</v>
      </c>
      <c r="D31" s="15" t="s">
        <v>353</v>
      </c>
      <c r="E31" s="16">
        <v>20101</v>
      </c>
      <c r="F31" s="16">
        <v>768907</v>
      </c>
      <c r="G31" s="16">
        <v>766468</v>
      </c>
      <c r="H31" s="16">
        <v>765715</v>
      </c>
      <c r="I31" s="16">
        <v>758937</v>
      </c>
      <c r="J31" s="16">
        <v>758184</v>
      </c>
      <c r="K31" s="16">
        <v>757431</v>
      </c>
      <c r="L31" s="16">
        <v>139</v>
      </c>
      <c r="M31" s="16">
        <v>157</v>
      </c>
      <c r="N31" s="16">
        <v>182</v>
      </c>
      <c r="O31" s="16">
        <v>299</v>
      </c>
      <c r="P31" s="16">
        <v>298</v>
      </c>
      <c r="Q31" s="16">
        <v>298</v>
      </c>
      <c r="R31" s="18">
        <f t="shared" si="0"/>
        <v>180.77608865571517</v>
      </c>
      <c r="S31" s="18">
        <f t="shared" si="1"/>
        <v>204.83568785650542</v>
      </c>
      <c r="T31" s="18">
        <f t="shared" si="2"/>
        <v>237.68634544184192</v>
      </c>
      <c r="U31" s="18">
        <f t="shared" si="3"/>
        <v>207.76604065135416</v>
      </c>
      <c r="V31" s="18">
        <f t="shared" si="4"/>
        <v>393.9720951804959</v>
      </c>
      <c r="W31" s="18">
        <f t="shared" si="5"/>
        <v>393.04443248604559</v>
      </c>
      <c r="X31" s="18">
        <f t="shared" si="6"/>
        <v>393.43517759373464</v>
      </c>
      <c r="Y31" s="18">
        <f t="shared" si="7"/>
        <v>393.48390175342541</v>
      </c>
    </row>
    <row r="32" spans="1:25">
      <c r="A32" s="15" t="s">
        <v>133</v>
      </c>
      <c r="B32" s="15" t="s">
        <v>439</v>
      </c>
      <c r="C32" s="15" t="s">
        <v>140</v>
      </c>
      <c r="D32" s="15" t="s">
        <v>140</v>
      </c>
      <c r="E32" s="16">
        <v>20102</v>
      </c>
      <c r="F32" s="16">
        <v>16400</v>
      </c>
      <c r="G32" s="16">
        <v>16622</v>
      </c>
      <c r="H32" s="16">
        <v>17048</v>
      </c>
      <c r="I32" s="16">
        <v>20878</v>
      </c>
      <c r="J32" s="16">
        <v>21303</v>
      </c>
      <c r="K32" s="16">
        <v>21729</v>
      </c>
      <c r="L32" s="16">
        <v>0</v>
      </c>
      <c r="M32" s="16">
        <v>0</v>
      </c>
      <c r="N32" s="16">
        <v>0</v>
      </c>
      <c r="O32" s="16">
        <v>1</v>
      </c>
      <c r="P32" s="16">
        <v>5</v>
      </c>
      <c r="Q32" s="16">
        <v>5</v>
      </c>
      <c r="R32" s="18">
        <f t="shared" si="0"/>
        <v>0</v>
      </c>
      <c r="S32" s="18">
        <f t="shared" si="1"/>
        <v>0</v>
      </c>
      <c r="T32" s="18">
        <f t="shared" si="2"/>
        <v>0</v>
      </c>
      <c r="U32" s="18">
        <f t="shared" si="3"/>
        <v>0</v>
      </c>
      <c r="V32" s="18">
        <f t="shared" si="4"/>
        <v>47.897308171280777</v>
      </c>
      <c r="W32" s="18">
        <f t="shared" si="5"/>
        <v>234.70872647045019</v>
      </c>
      <c r="X32" s="18">
        <f t="shared" si="6"/>
        <v>230.10722996916562</v>
      </c>
      <c r="Y32" s="18">
        <f t="shared" si="7"/>
        <v>170.90442153696551</v>
      </c>
    </row>
    <row r="33" spans="1:25">
      <c r="A33" s="15" t="s">
        <v>133</v>
      </c>
      <c r="B33" s="15" t="s">
        <v>439</v>
      </c>
      <c r="C33" s="15" t="s">
        <v>137</v>
      </c>
      <c r="D33" s="15" t="s">
        <v>137</v>
      </c>
      <c r="E33" s="16">
        <v>20103</v>
      </c>
      <c r="F33" s="16">
        <v>15466</v>
      </c>
      <c r="G33" s="16">
        <v>15834</v>
      </c>
      <c r="H33" s="16">
        <v>16218</v>
      </c>
      <c r="I33" s="16">
        <v>19677</v>
      </c>
      <c r="J33" s="16">
        <v>20062</v>
      </c>
      <c r="K33" s="16">
        <v>20446</v>
      </c>
      <c r="L33" s="16">
        <v>0</v>
      </c>
      <c r="M33" s="16">
        <v>0</v>
      </c>
      <c r="N33" s="16">
        <v>0</v>
      </c>
      <c r="O33" s="16">
        <v>1</v>
      </c>
      <c r="P33" s="16">
        <v>4</v>
      </c>
      <c r="Q33" s="16">
        <v>0</v>
      </c>
      <c r="R33" s="18">
        <f t="shared" si="0"/>
        <v>0</v>
      </c>
      <c r="S33" s="18">
        <f t="shared" si="1"/>
        <v>0</v>
      </c>
      <c r="T33" s="18">
        <f t="shared" si="2"/>
        <v>0</v>
      </c>
      <c r="U33" s="18">
        <f t="shared" si="3"/>
        <v>0</v>
      </c>
      <c r="V33" s="18">
        <f t="shared" si="4"/>
        <v>50.820755196422219</v>
      </c>
      <c r="W33" s="18">
        <f t="shared" si="5"/>
        <v>199.38191606021334</v>
      </c>
      <c r="X33" s="18">
        <f t="shared" si="6"/>
        <v>0</v>
      </c>
      <c r="Y33" s="18">
        <f t="shared" si="7"/>
        <v>83.400890418878518</v>
      </c>
    </row>
    <row r="34" spans="1:25">
      <c r="A34" s="15" t="s">
        <v>133</v>
      </c>
      <c r="B34" s="15" t="s">
        <v>439</v>
      </c>
      <c r="C34" s="15" t="s">
        <v>99</v>
      </c>
      <c r="D34" s="15" t="s">
        <v>99</v>
      </c>
      <c r="E34" s="16">
        <v>20104</v>
      </c>
      <c r="F34" s="16">
        <v>21765</v>
      </c>
      <c r="G34" s="16">
        <v>22431</v>
      </c>
      <c r="H34" s="16">
        <v>24411</v>
      </c>
      <c r="I34" s="16">
        <v>42229</v>
      </c>
      <c r="J34" s="16">
        <v>44208</v>
      </c>
      <c r="K34" s="16">
        <v>46188</v>
      </c>
      <c r="L34" s="16">
        <v>0</v>
      </c>
      <c r="M34" s="16">
        <v>0</v>
      </c>
      <c r="N34" s="16">
        <v>0</v>
      </c>
      <c r="O34" s="16">
        <v>4</v>
      </c>
      <c r="P34" s="16">
        <v>1</v>
      </c>
      <c r="Q34" s="16">
        <v>8</v>
      </c>
      <c r="R34" s="18">
        <f t="shared" si="0"/>
        <v>0</v>
      </c>
      <c r="S34" s="18">
        <f t="shared" si="1"/>
        <v>0</v>
      </c>
      <c r="T34" s="18">
        <f t="shared" si="2"/>
        <v>0</v>
      </c>
      <c r="U34" s="18">
        <f t="shared" si="3"/>
        <v>0</v>
      </c>
      <c r="V34" s="18">
        <f t="shared" si="4"/>
        <v>94.721636789883732</v>
      </c>
      <c r="W34" s="18">
        <f t="shared" si="5"/>
        <v>22.620340209916758</v>
      </c>
      <c r="X34" s="18">
        <f t="shared" si="6"/>
        <v>173.2051615138131</v>
      </c>
      <c r="Y34" s="18">
        <f t="shared" si="7"/>
        <v>96.849046171204535</v>
      </c>
    </row>
    <row r="35" spans="1:25">
      <c r="A35" s="15" t="s">
        <v>133</v>
      </c>
      <c r="B35" s="15" t="s">
        <v>439</v>
      </c>
      <c r="C35" s="15" t="s">
        <v>124</v>
      </c>
      <c r="D35" s="15" t="s">
        <v>124</v>
      </c>
      <c r="E35" s="16">
        <v>20105</v>
      </c>
      <c r="F35" s="16">
        <v>830407</v>
      </c>
      <c r="G35" s="16">
        <v>848452</v>
      </c>
      <c r="H35" s="16">
        <v>851566</v>
      </c>
      <c r="I35" s="16">
        <v>879596</v>
      </c>
      <c r="J35" s="16">
        <v>882711</v>
      </c>
      <c r="K35" s="16">
        <v>885825</v>
      </c>
      <c r="L35" s="16">
        <v>77</v>
      </c>
      <c r="M35" s="16">
        <v>115</v>
      </c>
      <c r="N35" s="16">
        <v>153</v>
      </c>
      <c r="O35" s="16">
        <v>391</v>
      </c>
      <c r="P35" s="16">
        <v>391</v>
      </c>
      <c r="Q35" s="16">
        <v>388</v>
      </c>
      <c r="R35" s="18">
        <f t="shared" si="0"/>
        <v>92.725615270584186</v>
      </c>
      <c r="S35" s="18">
        <f t="shared" si="1"/>
        <v>135.54096165722987</v>
      </c>
      <c r="T35" s="18">
        <f t="shared" si="2"/>
        <v>179.66898631462507</v>
      </c>
      <c r="U35" s="18">
        <f t="shared" si="3"/>
        <v>135.97852108081304</v>
      </c>
      <c r="V35" s="18">
        <f t="shared" si="4"/>
        <v>444.5222579456933</v>
      </c>
      <c r="W35" s="18">
        <f t="shared" si="5"/>
        <v>442.95358276944552</v>
      </c>
      <c r="X35" s="18">
        <f t="shared" si="6"/>
        <v>438.00976490841873</v>
      </c>
      <c r="Y35" s="18">
        <f t="shared" si="7"/>
        <v>441.82853520785255</v>
      </c>
    </row>
    <row r="36" spans="1:25">
      <c r="A36" s="15" t="s">
        <v>133</v>
      </c>
      <c r="B36" s="15" t="s">
        <v>440</v>
      </c>
      <c r="C36" s="15" t="s">
        <v>98</v>
      </c>
      <c r="D36" s="15" t="s">
        <v>98</v>
      </c>
      <c r="E36" s="16">
        <v>20201</v>
      </c>
      <c r="F36" s="16">
        <v>46041</v>
      </c>
      <c r="G36" s="16">
        <v>46058</v>
      </c>
      <c r="H36" s="16">
        <v>46158</v>
      </c>
      <c r="I36" s="16">
        <v>47057</v>
      </c>
      <c r="J36" s="16">
        <v>47157</v>
      </c>
      <c r="K36" s="16">
        <v>47257</v>
      </c>
      <c r="L36" s="16">
        <v>13</v>
      </c>
      <c r="M36" s="16">
        <v>12</v>
      </c>
      <c r="N36" s="16">
        <v>41</v>
      </c>
      <c r="O36" s="16">
        <v>8</v>
      </c>
      <c r="P36" s="16">
        <v>6</v>
      </c>
      <c r="Q36" s="16">
        <v>8</v>
      </c>
      <c r="R36" s="18">
        <f t="shared" si="0"/>
        <v>282.35702960404853</v>
      </c>
      <c r="S36" s="18">
        <f t="shared" si="1"/>
        <v>260.54105692822094</v>
      </c>
      <c r="T36" s="18">
        <f t="shared" si="2"/>
        <v>888.25339052818583</v>
      </c>
      <c r="U36" s="18">
        <f t="shared" si="3"/>
        <v>477.05049235348514</v>
      </c>
      <c r="V36" s="18">
        <f t="shared" si="4"/>
        <v>170.00658775527552</v>
      </c>
      <c r="W36" s="18">
        <f t="shared" si="5"/>
        <v>127.23455690565557</v>
      </c>
      <c r="X36" s="18">
        <f t="shared" si="6"/>
        <v>169.28708974331843</v>
      </c>
      <c r="Y36" s="18">
        <f t="shared" si="7"/>
        <v>155.50941146808316</v>
      </c>
    </row>
    <row r="37" spans="1:25">
      <c r="A37" s="15" t="s">
        <v>133</v>
      </c>
      <c r="B37" s="15" t="s">
        <v>440</v>
      </c>
      <c r="C37" s="15" t="s">
        <v>100</v>
      </c>
      <c r="D37" s="15" t="s">
        <v>315</v>
      </c>
      <c r="E37" s="16">
        <v>20202</v>
      </c>
      <c r="F37" s="16">
        <v>13324</v>
      </c>
      <c r="G37" s="16">
        <v>13136</v>
      </c>
      <c r="H37" s="16">
        <v>13454</v>
      </c>
      <c r="I37" s="16">
        <v>16317</v>
      </c>
      <c r="J37" s="16">
        <v>16635</v>
      </c>
      <c r="K37" s="16">
        <v>16953</v>
      </c>
      <c r="L37" s="16">
        <v>0</v>
      </c>
      <c r="M37" s="16">
        <v>0</v>
      </c>
      <c r="N37" s="16">
        <v>0</v>
      </c>
      <c r="O37" s="16">
        <v>0</v>
      </c>
      <c r="P37" s="16">
        <v>2</v>
      </c>
      <c r="Q37" s="16">
        <v>0</v>
      </c>
      <c r="R37" s="18">
        <f t="shared" si="0"/>
        <v>0</v>
      </c>
      <c r="S37" s="18">
        <f t="shared" si="1"/>
        <v>0</v>
      </c>
      <c r="T37" s="18">
        <f t="shared" si="2"/>
        <v>0</v>
      </c>
      <c r="U37" s="18">
        <f t="shared" si="3"/>
        <v>0</v>
      </c>
      <c r="V37" s="18">
        <f t="shared" si="4"/>
        <v>0</v>
      </c>
      <c r="W37" s="18">
        <f t="shared" si="5"/>
        <v>120.22843402464683</v>
      </c>
      <c r="X37" s="18">
        <f t="shared" si="6"/>
        <v>0</v>
      </c>
      <c r="Y37" s="18">
        <f t="shared" si="7"/>
        <v>40.076144674882279</v>
      </c>
    </row>
    <row r="38" spans="1:25">
      <c r="A38" s="15" t="s">
        <v>133</v>
      </c>
      <c r="B38" s="15" t="s">
        <v>440</v>
      </c>
      <c r="C38" s="15" t="s">
        <v>377</v>
      </c>
      <c r="D38" s="15" t="s">
        <v>377</v>
      </c>
      <c r="E38" s="16">
        <v>20203</v>
      </c>
      <c r="F38" s="16">
        <v>5052</v>
      </c>
      <c r="G38" s="16">
        <v>5003</v>
      </c>
      <c r="H38" s="16">
        <v>5188</v>
      </c>
      <c r="I38" s="16">
        <v>6856</v>
      </c>
      <c r="J38" s="16">
        <v>7041</v>
      </c>
      <c r="K38" s="16">
        <v>7226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8">
        <f t="shared" si="0"/>
        <v>0</v>
      </c>
      <c r="S38" s="18">
        <f t="shared" si="1"/>
        <v>0</v>
      </c>
      <c r="T38" s="18">
        <f t="shared" si="2"/>
        <v>0</v>
      </c>
      <c r="U38" s="18">
        <f t="shared" si="3"/>
        <v>0</v>
      </c>
      <c r="V38" s="18">
        <f t="shared" si="4"/>
        <v>0</v>
      </c>
      <c r="W38" s="18">
        <f t="shared" si="5"/>
        <v>0</v>
      </c>
      <c r="X38" s="18">
        <f t="shared" si="6"/>
        <v>0</v>
      </c>
      <c r="Y38" s="18">
        <f t="shared" si="7"/>
        <v>0</v>
      </c>
    </row>
    <row r="39" spans="1:25">
      <c r="A39" s="15" t="s">
        <v>133</v>
      </c>
      <c r="B39" s="15" t="s">
        <v>440</v>
      </c>
      <c r="C39" s="15" t="s">
        <v>376</v>
      </c>
      <c r="D39" s="15" t="s">
        <v>376</v>
      </c>
      <c r="E39" s="16">
        <v>20204</v>
      </c>
      <c r="F39" s="16">
        <v>7979</v>
      </c>
      <c r="G39" s="16">
        <v>7948</v>
      </c>
      <c r="H39" s="16">
        <v>8009</v>
      </c>
      <c r="I39" s="16">
        <v>8557</v>
      </c>
      <c r="J39" s="16">
        <v>8618</v>
      </c>
      <c r="K39" s="16">
        <v>8679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8">
        <f t="shared" si="0"/>
        <v>0</v>
      </c>
      <c r="S39" s="18">
        <f t="shared" si="1"/>
        <v>0</v>
      </c>
      <c r="T39" s="18">
        <f t="shared" si="2"/>
        <v>0</v>
      </c>
      <c r="U39" s="18">
        <f t="shared" si="3"/>
        <v>0</v>
      </c>
      <c r="V39" s="18">
        <f t="shared" si="4"/>
        <v>0</v>
      </c>
      <c r="W39" s="18">
        <f t="shared" si="5"/>
        <v>0</v>
      </c>
      <c r="X39" s="18">
        <f t="shared" si="6"/>
        <v>0</v>
      </c>
      <c r="Y39" s="18">
        <f t="shared" si="7"/>
        <v>0</v>
      </c>
    </row>
    <row r="40" spans="1:25">
      <c r="A40" s="15" t="s">
        <v>133</v>
      </c>
      <c r="B40" s="15" t="s">
        <v>440</v>
      </c>
      <c r="C40" s="15" t="s">
        <v>372</v>
      </c>
      <c r="D40" s="15" t="s">
        <v>372</v>
      </c>
      <c r="E40" s="16">
        <v>20205</v>
      </c>
      <c r="F40" s="16">
        <v>8498</v>
      </c>
      <c r="G40" s="16">
        <v>8562</v>
      </c>
      <c r="H40" s="16">
        <v>8622</v>
      </c>
      <c r="I40" s="16">
        <v>9166</v>
      </c>
      <c r="J40" s="16">
        <v>9227</v>
      </c>
      <c r="K40" s="16">
        <v>9287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8">
        <f t="shared" si="0"/>
        <v>0</v>
      </c>
      <c r="S40" s="18">
        <f t="shared" si="1"/>
        <v>0</v>
      </c>
      <c r="T40" s="18">
        <f t="shared" si="2"/>
        <v>0</v>
      </c>
      <c r="U40" s="18">
        <f t="shared" si="3"/>
        <v>0</v>
      </c>
      <c r="V40" s="18">
        <f t="shared" si="4"/>
        <v>0</v>
      </c>
      <c r="W40" s="18">
        <f t="shared" si="5"/>
        <v>0</v>
      </c>
      <c r="X40" s="18">
        <f t="shared" si="6"/>
        <v>0</v>
      </c>
      <c r="Y40" s="18">
        <f t="shared" si="7"/>
        <v>0</v>
      </c>
    </row>
    <row r="41" spans="1:25">
      <c r="A41" s="15" t="s">
        <v>133</v>
      </c>
      <c r="B41" s="15" t="s">
        <v>440</v>
      </c>
      <c r="C41" s="15" t="s">
        <v>350</v>
      </c>
      <c r="D41" s="15" t="s">
        <v>350</v>
      </c>
      <c r="E41" s="16">
        <v>20206</v>
      </c>
      <c r="F41" s="16">
        <v>3825</v>
      </c>
      <c r="G41" s="16">
        <v>3927</v>
      </c>
      <c r="H41" s="16">
        <v>4026</v>
      </c>
      <c r="I41" s="16">
        <v>4920</v>
      </c>
      <c r="J41" s="16">
        <v>5019</v>
      </c>
      <c r="K41" s="16">
        <v>5118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8">
        <f t="shared" si="0"/>
        <v>0</v>
      </c>
      <c r="S41" s="18">
        <f t="shared" si="1"/>
        <v>0</v>
      </c>
      <c r="T41" s="18">
        <f t="shared" si="2"/>
        <v>0</v>
      </c>
      <c r="U41" s="18">
        <f t="shared" si="3"/>
        <v>0</v>
      </c>
      <c r="V41" s="18">
        <f t="shared" si="4"/>
        <v>0</v>
      </c>
      <c r="W41" s="18">
        <f t="shared" si="5"/>
        <v>0</v>
      </c>
      <c r="X41" s="18">
        <f t="shared" si="6"/>
        <v>0</v>
      </c>
      <c r="Y41" s="18">
        <f t="shared" si="7"/>
        <v>0</v>
      </c>
    </row>
    <row r="42" spans="1:25">
      <c r="A42" s="15" t="s">
        <v>133</v>
      </c>
      <c r="B42" s="15" t="s">
        <v>441</v>
      </c>
      <c r="C42" s="15" t="s">
        <v>120</v>
      </c>
      <c r="D42" s="15" t="s">
        <v>310</v>
      </c>
      <c r="E42" s="16">
        <v>20301</v>
      </c>
      <c r="F42" s="16">
        <v>10753</v>
      </c>
      <c r="G42" s="16">
        <v>10647</v>
      </c>
      <c r="H42" s="16">
        <v>10889</v>
      </c>
      <c r="I42" s="16">
        <v>13067</v>
      </c>
      <c r="J42" s="16">
        <v>13309</v>
      </c>
      <c r="K42" s="16">
        <v>13551</v>
      </c>
      <c r="L42" s="16">
        <v>0</v>
      </c>
      <c r="M42" s="16">
        <v>0</v>
      </c>
      <c r="N42" s="16">
        <v>0</v>
      </c>
      <c r="O42" s="16">
        <v>1</v>
      </c>
      <c r="P42" s="16">
        <v>0</v>
      </c>
      <c r="Q42" s="16">
        <v>1</v>
      </c>
      <c r="R42" s="18">
        <f t="shared" si="0"/>
        <v>0</v>
      </c>
      <c r="S42" s="18">
        <f t="shared" si="1"/>
        <v>0</v>
      </c>
      <c r="T42" s="18">
        <f t="shared" si="2"/>
        <v>0</v>
      </c>
      <c r="U42" s="18">
        <f t="shared" si="3"/>
        <v>0</v>
      </c>
      <c r="V42" s="18">
        <f t="shared" si="4"/>
        <v>76.528659983163692</v>
      </c>
      <c r="W42" s="18">
        <f t="shared" si="5"/>
        <v>0</v>
      </c>
      <c r="X42" s="18">
        <f t="shared" si="6"/>
        <v>73.795291860379308</v>
      </c>
      <c r="Y42" s="18">
        <f t="shared" si="7"/>
        <v>50.107983947847664</v>
      </c>
    </row>
    <row r="43" spans="1:25">
      <c r="A43" s="15" t="s">
        <v>133</v>
      </c>
      <c r="B43" s="15" t="s">
        <v>441</v>
      </c>
      <c r="C43" s="15" t="s">
        <v>110</v>
      </c>
      <c r="D43" s="15" t="s">
        <v>110</v>
      </c>
      <c r="E43" s="16">
        <v>20302</v>
      </c>
      <c r="F43" s="16">
        <v>14434</v>
      </c>
      <c r="G43" s="16">
        <v>14687</v>
      </c>
      <c r="H43" s="16">
        <v>14761</v>
      </c>
      <c r="I43" s="16">
        <v>15423</v>
      </c>
      <c r="J43" s="16">
        <v>15496</v>
      </c>
      <c r="K43" s="16">
        <v>15570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8">
        <f t="shared" si="0"/>
        <v>0</v>
      </c>
      <c r="S43" s="18">
        <f t="shared" si="1"/>
        <v>0</v>
      </c>
      <c r="T43" s="18">
        <f t="shared" si="2"/>
        <v>0</v>
      </c>
      <c r="U43" s="18">
        <f t="shared" si="3"/>
        <v>0</v>
      </c>
      <c r="V43" s="18">
        <f t="shared" si="4"/>
        <v>0</v>
      </c>
      <c r="W43" s="18">
        <f t="shared" si="5"/>
        <v>0</v>
      </c>
      <c r="X43" s="18">
        <f t="shared" si="6"/>
        <v>0</v>
      </c>
      <c r="Y43" s="18">
        <f t="shared" si="7"/>
        <v>0</v>
      </c>
    </row>
    <row r="44" spans="1:25">
      <c r="A44" s="15" t="s">
        <v>133</v>
      </c>
      <c r="B44" s="15" t="s">
        <v>441</v>
      </c>
      <c r="C44" s="15" t="s">
        <v>108</v>
      </c>
      <c r="D44" s="15" t="s">
        <v>108</v>
      </c>
      <c r="E44" s="16">
        <v>20303</v>
      </c>
      <c r="F44" s="16">
        <v>9783</v>
      </c>
      <c r="G44" s="16">
        <v>9879</v>
      </c>
      <c r="H44" s="16">
        <v>10074</v>
      </c>
      <c r="I44" s="16">
        <v>11829</v>
      </c>
      <c r="J44" s="16">
        <v>12024</v>
      </c>
      <c r="K44" s="16">
        <v>12219</v>
      </c>
      <c r="L44" s="16">
        <v>0</v>
      </c>
      <c r="M44" s="16">
        <v>0</v>
      </c>
      <c r="N44" s="16">
        <v>0</v>
      </c>
      <c r="O44" s="16">
        <v>1</v>
      </c>
      <c r="P44" s="16">
        <v>0</v>
      </c>
      <c r="Q44" s="16">
        <v>0</v>
      </c>
      <c r="R44" s="18">
        <f t="shared" si="0"/>
        <v>0</v>
      </c>
      <c r="S44" s="18">
        <f t="shared" si="1"/>
        <v>0</v>
      </c>
      <c r="T44" s="18">
        <f t="shared" si="2"/>
        <v>0</v>
      </c>
      <c r="U44" s="18">
        <f t="shared" si="3"/>
        <v>0</v>
      </c>
      <c r="V44" s="18">
        <f t="shared" si="4"/>
        <v>84.537999830924008</v>
      </c>
      <c r="W44" s="18">
        <f t="shared" si="5"/>
        <v>0</v>
      </c>
      <c r="X44" s="18">
        <f t="shared" si="6"/>
        <v>0</v>
      </c>
      <c r="Y44" s="18">
        <f t="shared" si="7"/>
        <v>28.17933327697467</v>
      </c>
    </row>
    <row r="45" spans="1:25">
      <c r="A45" s="15" t="s">
        <v>133</v>
      </c>
      <c r="B45" s="15" t="s">
        <v>441</v>
      </c>
      <c r="C45" s="15" t="s">
        <v>117</v>
      </c>
      <c r="D45" s="15" t="s">
        <v>117</v>
      </c>
      <c r="E45" s="16">
        <v>20304</v>
      </c>
      <c r="F45" s="16">
        <v>3878</v>
      </c>
      <c r="G45" s="16">
        <v>3880</v>
      </c>
      <c r="H45" s="16">
        <v>3993</v>
      </c>
      <c r="I45" s="16">
        <v>5012</v>
      </c>
      <c r="J45" s="16">
        <v>5125</v>
      </c>
      <c r="K45" s="16">
        <v>5238</v>
      </c>
      <c r="L45" s="16">
        <v>0</v>
      </c>
      <c r="M45" s="16">
        <v>0</v>
      </c>
      <c r="N45" s="16">
        <v>0</v>
      </c>
      <c r="O45" s="16">
        <v>1</v>
      </c>
      <c r="P45" s="16">
        <v>0</v>
      </c>
      <c r="Q45" s="16">
        <v>1</v>
      </c>
      <c r="R45" s="18">
        <f t="shared" si="0"/>
        <v>0</v>
      </c>
      <c r="S45" s="18">
        <f t="shared" si="1"/>
        <v>0</v>
      </c>
      <c r="T45" s="18">
        <f t="shared" si="2"/>
        <v>0</v>
      </c>
      <c r="U45" s="18">
        <f t="shared" si="3"/>
        <v>0</v>
      </c>
      <c r="V45" s="18">
        <f t="shared" si="4"/>
        <v>199.52114924181964</v>
      </c>
      <c r="W45" s="18">
        <f t="shared" si="5"/>
        <v>0</v>
      </c>
      <c r="X45" s="18">
        <f t="shared" si="6"/>
        <v>190.91256204658268</v>
      </c>
      <c r="Y45" s="18">
        <f t="shared" si="7"/>
        <v>130.14457042946745</v>
      </c>
    </row>
    <row r="46" spans="1:25">
      <c r="A46" s="15" t="s">
        <v>133</v>
      </c>
      <c r="B46" s="15" t="s">
        <v>441</v>
      </c>
      <c r="C46" s="15" t="s">
        <v>403</v>
      </c>
      <c r="D46" s="15" t="s">
        <v>403</v>
      </c>
      <c r="E46" s="16">
        <v>20305</v>
      </c>
      <c r="F46" s="16">
        <v>3202</v>
      </c>
      <c r="G46" s="16">
        <v>3246</v>
      </c>
      <c r="H46" s="16">
        <v>3327</v>
      </c>
      <c r="I46" s="16">
        <v>4059</v>
      </c>
      <c r="J46" s="16">
        <v>4140</v>
      </c>
      <c r="K46" s="16">
        <v>4221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8">
        <f t="shared" si="0"/>
        <v>0</v>
      </c>
      <c r="S46" s="18">
        <f t="shared" si="1"/>
        <v>0</v>
      </c>
      <c r="T46" s="18">
        <f t="shared" si="2"/>
        <v>0</v>
      </c>
      <c r="U46" s="18">
        <f t="shared" si="3"/>
        <v>0</v>
      </c>
      <c r="V46" s="18">
        <f t="shared" si="4"/>
        <v>0</v>
      </c>
      <c r="W46" s="18">
        <f t="shared" si="5"/>
        <v>0</v>
      </c>
      <c r="X46" s="18">
        <f t="shared" si="6"/>
        <v>0</v>
      </c>
      <c r="Y46" s="18">
        <f t="shared" si="7"/>
        <v>0</v>
      </c>
    </row>
    <row r="47" spans="1:25">
      <c r="A47" s="15" t="s">
        <v>133</v>
      </c>
      <c r="B47" s="15" t="s">
        <v>441</v>
      </c>
      <c r="C47" s="15" t="s">
        <v>442</v>
      </c>
      <c r="D47" s="15" t="s">
        <v>442</v>
      </c>
      <c r="E47" s="16">
        <v>20306</v>
      </c>
      <c r="F47" s="16">
        <v>4759</v>
      </c>
      <c r="G47" s="16">
        <v>5069</v>
      </c>
      <c r="H47" s="16">
        <v>5183</v>
      </c>
      <c r="I47" s="16">
        <v>6213</v>
      </c>
      <c r="J47" s="16">
        <v>6328</v>
      </c>
      <c r="K47" s="16">
        <v>6442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8">
        <f t="shared" si="0"/>
        <v>0</v>
      </c>
      <c r="S47" s="18">
        <f t="shared" si="1"/>
        <v>0</v>
      </c>
      <c r="T47" s="18">
        <f t="shared" si="2"/>
        <v>0</v>
      </c>
      <c r="U47" s="18">
        <f t="shared" si="3"/>
        <v>0</v>
      </c>
      <c r="V47" s="18">
        <f t="shared" si="4"/>
        <v>0</v>
      </c>
      <c r="W47" s="18">
        <f t="shared" si="5"/>
        <v>0</v>
      </c>
      <c r="X47" s="18">
        <f t="shared" si="6"/>
        <v>0</v>
      </c>
      <c r="Y47" s="18">
        <f t="shared" si="7"/>
        <v>0</v>
      </c>
    </row>
    <row r="48" spans="1:25">
      <c r="A48" s="15" t="s">
        <v>133</v>
      </c>
      <c r="B48" s="15" t="s">
        <v>441</v>
      </c>
      <c r="C48" s="15" t="s">
        <v>139</v>
      </c>
      <c r="D48" s="15" t="s">
        <v>139</v>
      </c>
      <c r="E48" s="16">
        <v>20307</v>
      </c>
      <c r="F48" s="16">
        <v>587</v>
      </c>
      <c r="G48" s="16">
        <v>619</v>
      </c>
      <c r="H48" s="16">
        <v>903</v>
      </c>
      <c r="I48" s="16">
        <v>3455</v>
      </c>
      <c r="J48" s="16">
        <v>3738</v>
      </c>
      <c r="K48" s="16">
        <v>4022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1</v>
      </c>
      <c r="R48" s="18">
        <f t="shared" si="0"/>
        <v>0</v>
      </c>
      <c r="S48" s="18">
        <f t="shared" si="1"/>
        <v>0</v>
      </c>
      <c r="T48" s="18">
        <f t="shared" si="2"/>
        <v>0</v>
      </c>
      <c r="U48" s="18">
        <f t="shared" si="3"/>
        <v>0</v>
      </c>
      <c r="V48" s="18">
        <f t="shared" si="4"/>
        <v>0</v>
      </c>
      <c r="W48" s="18">
        <f t="shared" si="5"/>
        <v>0</v>
      </c>
      <c r="X48" s="18">
        <f t="shared" si="6"/>
        <v>248.63252113376427</v>
      </c>
      <c r="Y48" s="18">
        <f t="shared" si="7"/>
        <v>82.877507044588086</v>
      </c>
    </row>
    <row r="49" spans="1:25">
      <c r="A49" s="15" t="s">
        <v>133</v>
      </c>
      <c r="B49" s="15" t="s">
        <v>441</v>
      </c>
      <c r="C49" s="15" t="s">
        <v>153</v>
      </c>
      <c r="D49" s="15" t="s">
        <v>153</v>
      </c>
      <c r="E49" s="16">
        <v>20308</v>
      </c>
      <c r="F49" s="16">
        <v>7363</v>
      </c>
      <c r="G49" s="16">
        <v>7289</v>
      </c>
      <c r="H49" s="16">
        <v>7351</v>
      </c>
      <c r="I49" s="16">
        <v>7912</v>
      </c>
      <c r="J49" s="16">
        <v>7975</v>
      </c>
      <c r="K49" s="16">
        <v>8037</v>
      </c>
      <c r="L49" s="16">
        <v>0</v>
      </c>
      <c r="M49" s="16">
        <v>0</v>
      </c>
      <c r="N49" s="16">
        <v>0</v>
      </c>
      <c r="O49" s="16">
        <v>1</v>
      </c>
      <c r="P49" s="16">
        <v>0</v>
      </c>
      <c r="Q49" s="16">
        <v>1</v>
      </c>
      <c r="R49" s="18">
        <f t="shared" si="0"/>
        <v>0</v>
      </c>
      <c r="S49" s="18">
        <f t="shared" si="1"/>
        <v>0</v>
      </c>
      <c r="T49" s="18">
        <f t="shared" si="2"/>
        <v>0</v>
      </c>
      <c r="U49" s="18">
        <f t="shared" si="3"/>
        <v>0</v>
      </c>
      <c r="V49" s="18">
        <f t="shared" si="4"/>
        <v>126.39029322548029</v>
      </c>
      <c r="W49" s="18">
        <f t="shared" si="5"/>
        <v>0</v>
      </c>
      <c r="X49" s="18">
        <f t="shared" si="6"/>
        <v>124.42453651860149</v>
      </c>
      <c r="Y49" s="18">
        <f t="shared" si="7"/>
        <v>83.604943248027254</v>
      </c>
    </row>
    <row r="50" spans="1:25">
      <c r="A50" s="15" t="s">
        <v>133</v>
      </c>
      <c r="B50" s="15" t="s">
        <v>443</v>
      </c>
      <c r="C50" s="15" t="s">
        <v>146</v>
      </c>
      <c r="D50" s="15" t="s">
        <v>146</v>
      </c>
      <c r="E50" s="16">
        <v>20401</v>
      </c>
      <c r="F50" s="16">
        <v>11453</v>
      </c>
      <c r="G50" s="16">
        <v>11290</v>
      </c>
      <c r="H50" s="16">
        <v>11517</v>
      </c>
      <c r="I50" s="16">
        <v>13558</v>
      </c>
      <c r="J50" s="16">
        <v>13785</v>
      </c>
      <c r="K50" s="16">
        <v>14012</v>
      </c>
      <c r="L50" s="16">
        <v>0</v>
      </c>
      <c r="M50" s="16">
        <v>0</v>
      </c>
      <c r="N50" s="16">
        <v>0</v>
      </c>
      <c r="O50" s="16">
        <v>4</v>
      </c>
      <c r="P50" s="16">
        <v>0</v>
      </c>
      <c r="Q50" s="16">
        <v>1</v>
      </c>
      <c r="R50" s="18">
        <f t="shared" si="0"/>
        <v>0</v>
      </c>
      <c r="S50" s="18">
        <f t="shared" si="1"/>
        <v>0</v>
      </c>
      <c r="T50" s="18">
        <f t="shared" si="2"/>
        <v>0</v>
      </c>
      <c r="U50" s="18">
        <f t="shared" si="3"/>
        <v>0</v>
      </c>
      <c r="V50" s="18">
        <f t="shared" si="4"/>
        <v>295.02876530461725</v>
      </c>
      <c r="W50" s="18">
        <f t="shared" si="5"/>
        <v>0</v>
      </c>
      <c r="X50" s="18">
        <f t="shared" si="6"/>
        <v>71.367399371966883</v>
      </c>
      <c r="Y50" s="18">
        <f t="shared" si="7"/>
        <v>122.13205489219472</v>
      </c>
    </row>
    <row r="51" spans="1:25">
      <c r="A51" s="15" t="s">
        <v>133</v>
      </c>
      <c r="B51" s="15" t="s">
        <v>443</v>
      </c>
      <c r="C51" s="15" t="s">
        <v>138</v>
      </c>
      <c r="D51" s="15" t="s">
        <v>138</v>
      </c>
      <c r="E51" s="16">
        <v>20402</v>
      </c>
      <c r="F51" s="16">
        <v>15808</v>
      </c>
      <c r="G51" s="16">
        <v>15665</v>
      </c>
      <c r="H51" s="16">
        <v>15844</v>
      </c>
      <c r="I51" s="16">
        <v>17453</v>
      </c>
      <c r="J51" s="16">
        <v>17632</v>
      </c>
      <c r="K51" s="16">
        <v>17811</v>
      </c>
      <c r="L51" s="16">
        <v>0</v>
      </c>
      <c r="M51" s="16">
        <v>0</v>
      </c>
      <c r="N51" s="16">
        <v>0</v>
      </c>
      <c r="O51" s="16">
        <v>0</v>
      </c>
      <c r="P51" s="16">
        <v>2</v>
      </c>
      <c r="Q51" s="16">
        <v>0</v>
      </c>
      <c r="R51" s="18">
        <f t="shared" si="0"/>
        <v>0</v>
      </c>
      <c r="S51" s="18">
        <f t="shared" si="1"/>
        <v>0</v>
      </c>
      <c r="T51" s="18">
        <f t="shared" si="2"/>
        <v>0</v>
      </c>
      <c r="U51" s="18">
        <f t="shared" si="3"/>
        <v>0</v>
      </c>
      <c r="V51" s="18">
        <f t="shared" si="4"/>
        <v>0</v>
      </c>
      <c r="W51" s="18">
        <f t="shared" si="5"/>
        <v>113.43012704174228</v>
      </c>
      <c r="X51" s="18">
        <f t="shared" si="6"/>
        <v>0</v>
      </c>
      <c r="Y51" s="18">
        <f t="shared" si="7"/>
        <v>37.810042347247425</v>
      </c>
    </row>
    <row r="52" spans="1:25">
      <c r="A52" s="15" t="s">
        <v>133</v>
      </c>
      <c r="B52" s="15" t="s">
        <v>443</v>
      </c>
      <c r="C52" s="15" t="s">
        <v>317</v>
      </c>
      <c r="D52" s="15" t="s">
        <v>444</v>
      </c>
      <c r="E52" s="16">
        <v>20403</v>
      </c>
      <c r="F52" s="16">
        <v>14601</v>
      </c>
      <c r="G52" s="16">
        <v>14589</v>
      </c>
      <c r="H52" s="16">
        <v>14818</v>
      </c>
      <c r="I52" s="16">
        <v>16878</v>
      </c>
      <c r="J52" s="16">
        <v>17107</v>
      </c>
      <c r="K52" s="16">
        <v>17336</v>
      </c>
      <c r="L52" s="16">
        <v>0</v>
      </c>
      <c r="M52" s="16">
        <v>0</v>
      </c>
      <c r="N52" s="16">
        <v>0</v>
      </c>
      <c r="O52" s="16">
        <v>0</v>
      </c>
      <c r="P52" s="16">
        <v>1</v>
      </c>
      <c r="Q52" s="16">
        <v>1</v>
      </c>
      <c r="R52" s="18">
        <f t="shared" si="0"/>
        <v>0</v>
      </c>
      <c r="S52" s="18">
        <f t="shared" si="1"/>
        <v>0</v>
      </c>
      <c r="T52" s="18">
        <f t="shared" si="2"/>
        <v>0</v>
      </c>
      <c r="U52" s="18">
        <f t="shared" si="3"/>
        <v>0</v>
      </c>
      <c r="V52" s="18">
        <f t="shared" si="4"/>
        <v>0</v>
      </c>
      <c r="W52" s="18">
        <f t="shared" si="5"/>
        <v>58.455602969544628</v>
      </c>
      <c r="X52" s="18">
        <f t="shared" si="6"/>
        <v>57.683433317951085</v>
      </c>
      <c r="Y52" s="18">
        <f t="shared" si="7"/>
        <v>38.713012095831907</v>
      </c>
    </row>
    <row r="53" spans="1:25">
      <c r="A53" s="15" t="s">
        <v>133</v>
      </c>
      <c r="B53" s="15" t="s">
        <v>443</v>
      </c>
      <c r="C53" s="15" t="s">
        <v>378</v>
      </c>
      <c r="D53" s="15" t="s">
        <v>378</v>
      </c>
      <c r="E53" s="16">
        <v>20404</v>
      </c>
      <c r="F53" s="16">
        <v>5365</v>
      </c>
      <c r="G53" s="16">
        <v>5342</v>
      </c>
      <c r="H53" s="16">
        <v>5368</v>
      </c>
      <c r="I53" s="16">
        <v>5605</v>
      </c>
      <c r="J53" s="16">
        <v>5632</v>
      </c>
      <c r="K53" s="16">
        <v>5658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8">
        <f t="shared" si="0"/>
        <v>0</v>
      </c>
      <c r="S53" s="18">
        <f t="shared" si="1"/>
        <v>0</v>
      </c>
      <c r="T53" s="18">
        <f t="shared" si="2"/>
        <v>0</v>
      </c>
      <c r="U53" s="18">
        <f t="shared" si="3"/>
        <v>0</v>
      </c>
      <c r="V53" s="18">
        <f t="shared" si="4"/>
        <v>0</v>
      </c>
      <c r="W53" s="18">
        <f t="shared" si="5"/>
        <v>0</v>
      </c>
      <c r="X53" s="18">
        <f t="shared" si="6"/>
        <v>0</v>
      </c>
      <c r="Y53" s="18">
        <f t="shared" si="7"/>
        <v>0</v>
      </c>
    </row>
    <row r="54" spans="1:25">
      <c r="A54" s="15" t="s">
        <v>133</v>
      </c>
      <c r="B54" s="15" t="s">
        <v>443</v>
      </c>
      <c r="C54" s="15" t="s">
        <v>402</v>
      </c>
      <c r="D54" s="15" t="s">
        <v>402</v>
      </c>
      <c r="E54" s="16">
        <v>20405</v>
      </c>
      <c r="F54" s="16">
        <v>7191</v>
      </c>
      <c r="G54" s="16">
        <v>7186</v>
      </c>
      <c r="H54" s="16">
        <v>7324</v>
      </c>
      <c r="I54" s="16">
        <v>8562</v>
      </c>
      <c r="J54" s="16">
        <v>8699</v>
      </c>
      <c r="K54" s="16">
        <v>8837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8">
        <f t="shared" si="0"/>
        <v>0</v>
      </c>
      <c r="S54" s="18">
        <f t="shared" si="1"/>
        <v>0</v>
      </c>
      <c r="T54" s="18">
        <f t="shared" si="2"/>
        <v>0</v>
      </c>
      <c r="U54" s="18">
        <f t="shared" si="3"/>
        <v>0</v>
      </c>
      <c r="V54" s="18">
        <f t="shared" si="4"/>
        <v>0</v>
      </c>
      <c r="W54" s="18">
        <f t="shared" si="5"/>
        <v>0</v>
      </c>
      <c r="X54" s="18">
        <f t="shared" si="6"/>
        <v>0</v>
      </c>
      <c r="Y54" s="18">
        <f t="shared" si="7"/>
        <v>0</v>
      </c>
    </row>
    <row r="55" spans="1:25">
      <c r="A55" s="15" t="s">
        <v>133</v>
      </c>
      <c r="B55" s="15" t="s">
        <v>445</v>
      </c>
      <c r="C55" s="15" t="s">
        <v>113</v>
      </c>
      <c r="D55" s="15" t="s">
        <v>113</v>
      </c>
      <c r="E55" s="16">
        <v>20501</v>
      </c>
      <c r="F55" s="16">
        <v>11598</v>
      </c>
      <c r="G55" s="16">
        <v>11473</v>
      </c>
      <c r="H55" s="16">
        <v>12003</v>
      </c>
      <c r="I55" s="16">
        <v>16771</v>
      </c>
      <c r="J55" s="16">
        <v>17300</v>
      </c>
      <c r="K55" s="16">
        <v>17830</v>
      </c>
      <c r="L55" s="16">
        <v>0</v>
      </c>
      <c r="M55" s="16">
        <v>0</v>
      </c>
      <c r="N55" s="16">
        <v>0</v>
      </c>
      <c r="O55" s="16">
        <v>1</v>
      </c>
      <c r="P55" s="16">
        <v>0</v>
      </c>
      <c r="Q55" s="16">
        <v>1</v>
      </c>
      <c r="R55" s="18">
        <f t="shared" si="0"/>
        <v>0</v>
      </c>
      <c r="S55" s="18">
        <f t="shared" si="1"/>
        <v>0</v>
      </c>
      <c r="T55" s="18">
        <f t="shared" si="2"/>
        <v>0</v>
      </c>
      <c r="U55" s="18">
        <f t="shared" si="3"/>
        <v>0</v>
      </c>
      <c r="V55" s="18">
        <f t="shared" si="4"/>
        <v>59.626736628704315</v>
      </c>
      <c r="W55" s="18">
        <f t="shared" si="5"/>
        <v>0</v>
      </c>
      <c r="X55" s="18">
        <f t="shared" si="6"/>
        <v>56.085249579360628</v>
      </c>
      <c r="Y55" s="18">
        <f t="shared" si="7"/>
        <v>38.570662069354981</v>
      </c>
    </row>
    <row r="56" spans="1:25">
      <c r="A56" s="15" t="s">
        <v>133</v>
      </c>
      <c r="B56" s="15" t="s">
        <v>445</v>
      </c>
      <c r="C56" s="15" t="s">
        <v>103</v>
      </c>
      <c r="D56" s="15" t="s">
        <v>103</v>
      </c>
      <c r="E56" s="16">
        <v>20502</v>
      </c>
      <c r="F56" s="16">
        <v>8386</v>
      </c>
      <c r="G56" s="16">
        <v>8410</v>
      </c>
      <c r="H56" s="16">
        <v>8462</v>
      </c>
      <c r="I56" s="16">
        <v>8926</v>
      </c>
      <c r="J56" s="16">
        <v>8977</v>
      </c>
      <c r="K56" s="16">
        <v>9029</v>
      </c>
      <c r="L56" s="16">
        <v>0</v>
      </c>
      <c r="M56" s="16">
        <v>0</v>
      </c>
      <c r="N56" s="16">
        <v>0</v>
      </c>
      <c r="O56" s="16">
        <v>1</v>
      </c>
      <c r="P56" s="16">
        <v>0</v>
      </c>
      <c r="Q56" s="16">
        <v>0</v>
      </c>
      <c r="R56" s="18">
        <f t="shared" si="0"/>
        <v>0</v>
      </c>
      <c r="S56" s="18">
        <f t="shared" si="1"/>
        <v>0</v>
      </c>
      <c r="T56" s="18">
        <f t="shared" si="2"/>
        <v>0</v>
      </c>
      <c r="U56" s="18">
        <f t="shared" si="3"/>
        <v>0</v>
      </c>
      <c r="V56" s="18">
        <f t="shared" si="4"/>
        <v>112.03226529240422</v>
      </c>
      <c r="W56" s="18">
        <f t="shared" si="5"/>
        <v>0</v>
      </c>
      <c r="X56" s="18">
        <f t="shared" si="6"/>
        <v>0</v>
      </c>
      <c r="Y56" s="18">
        <f t="shared" si="7"/>
        <v>37.344088430801406</v>
      </c>
    </row>
    <row r="57" spans="1:25">
      <c r="A57" s="15" t="s">
        <v>133</v>
      </c>
      <c r="B57" s="15" t="s">
        <v>445</v>
      </c>
      <c r="C57" s="15" t="s">
        <v>102</v>
      </c>
      <c r="D57" s="15" t="s">
        <v>102</v>
      </c>
      <c r="E57" s="16">
        <v>20503</v>
      </c>
      <c r="F57" s="16">
        <v>5372</v>
      </c>
      <c r="G57" s="16">
        <v>5495</v>
      </c>
      <c r="H57" s="16">
        <v>5597</v>
      </c>
      <c r="I57" s="16">
        <v>6517</v>
      </c>
      <c r="J57" s="16">
        <v>6619</v>
      </c>
      <c r="K57" s="16">
        <v>6721</v>
      </c>
      <c r="L57" s="16">
        <v>0</v>
      </c>
      <c r="M57" s="16">
        <v>1</v>
      </c>
      <c r="N57" s="16">
        <v>0</v>
      </c>
      <c r="O57" s="16">
        <v>0</v>
      </c>
      <c r="P57" s="16">
        <v>0</v>
      </c>
      <c r="Q57" s="16">
        <v>2</v>
      </c>
      <c r="R57" s="18">
        <f t="shared" si="0"/>
        <v>0</v>
      </c>
      <c r="S57" s="18">
        <f t="shared" si="1"/>
        <v>181.98362147406735</v>
      </c>
      <c r="T57" s="18">
        <f t="shared" si="2"/>
        <v>0</v>
      </c>
      <c r="U57" s="18">
        <f t="shared" si="3"/>
        <v>60.661207158022449</v>
      </c>
      <c r="V57" s="18">
        <f t="shared" si="4"/>
        <v>0</v>
      </c>
      <c r="W57" s="18">
        <f t="shared" si="5"/>
        <v>0</v>
      </c>
      <c r="X57" s="18">
        <f t="shared" si="6"/>
        <v>297.57476565987201</v>
      </c>
      <c r="Y57" s="18">
        <f t="shared" si="7"/>
        <v>99.191588553290671</v>
      </c>
    </row>
    <row r="58" spans="1:25">
      <c r="A58" s="15" t="s">
        <v>133</v>
      </c>
      <c r="B58" s="15" t="s">
        <v>446</v>
      </c>
      <c r="C58" s="15" t="s">
        <v>157</v>
      </c>
      <c r="D58" s="15" t="s">
        <v>157</v>
      </c>
      <c r="E58" s="16">
        <v>20601</v>
      </c>
      <c r="F58" s="16">
        <v>23096</v>
      </c>
      <c r="G58" s="16">
        <v>23512</v>
      </c>
      <c r="H58" s="16">
        <v>24060</v>
      </c>
      <c r="I58" s="16">
        <v>28988</v>
      </c>
      <c r="J58" s="16">
        <v>29535</v>
      </c>
      <c r="K58" s="16">
        <v>30083</v>
      </c>
      <c r="L58" s="16">
        <v>0</v>
      </c>
      <c r="M58" s="16">
        <v>0</v>
      </c>
      <c r="N58" s="16">
        <v>0</v>
      </c>
      <c r="O58" s="16">
        <v>1</v>
      </c>
      <c r="P58" s="16">
        <v>4</v>
      </c>
      <c r="Q58" s="16">
        <v>2</v>
      </c>
      <c r="R58" s="18">
        <f t="shared" si="0"/>
        <v>0</v>
      </c>
      <c r="S58" s="18">
        <f t="shared" si="1"/>
        <v>0</v>
      </c>
      <c r="T58" s="18">
        <f t="shared" si="2"/>
        <v>0</v>
      </c>
      <c r="U58" s="18">
        <f t="shared" si="3"/>
        <v>0</v>
      </c>
      <c r="V58" s="18">
        <f t="shared" si="4"/>
        <v>34.497033255140053</v>
      </c>
      <c r="W58" s="18">
        <f t="shared" si="5"/>
        <v>135.43253766717453</v>
      </c>
      <c r="X58" s="18">
        <f t="shared" si="6"/>
        <v>66.482731110594031</v>
      </c>
      <c r="Y58" s="18">
        <f t="shared" si="7"/>
        <v>78.8041006776362</v>
      </c>
    </row>
    <row r="59" spans="1:25">
      <c r="A59" s="15" t="s">
        <v>133</v>
      </c>
      <c r="B59" s="15" t="s">
        <v>446</v>
      </c>
      <c r="C59" s="15" t="s">
        <v>125</v>
      </c>
      <c r="D59" s="15" t="s">
        <v>125</v>
      </c>
      <c r="E59" s="16">
        <v>20602</v>
      </c>
      <c r="F59" s="16">
        <v>14492</v>
      </c>
      <c r="G59" s="16">
        <v>14788</v>
      </c>
      <c r="H59" s="16">
        <v>14921</v>
      </c>
      <c r="I59" s="16">
        <v>16120</v>
      </c>
      <c r="J59" s="16">
        <v>16253</v>
      </c>
      <c r="K59" s="16">
        <v>16386</v>
      </c>
      <c r="L59" s="16">
        <v>1</v>
      </c>
      <c r="M59" s="16">
        <v>3</v>
      </c>
      <c r="N59" s="16">
        <v>1</v>
      </c>
      <c r="O59" s="16">
        <v>8</v>
      </c>
      <c r="P59" s="16">
        <v>9</v>
      </c>
      <c r="Q59" s="16">
        <v>10</v>
      </c>
      <c r="R59" s="18">
        <f t="shared" si="0"/>
        <v>69.003588186585702</v>
      </c>
      <c r="S59" s="18">
        <f t="shared" si="1"/>
        <v>202.86718961319988</v>
      </c>
      <c r="T59" s="18">
        <f t="shared" si="2"/>
        <v>67.01963675356879</v>
      </c>
      <c r="U59" s="18">
        <f t="shared" si="3"/>
        <v>112.9634715177848</v>
      </c>
      <c r="V59" s="18">
        <f t="shared" si="4"/>
        <v>496.27791563275434</v>
      </c>
      <c r="W59" s="18">
        <f t="shared" si="5"/>
        <v>553.74392419860942</v>
      </c>
      <c r="X59" s="18">
        <f t="shared" si="6"/>
        <v>610.27706578786763</v>
      </c>
      <c r="Y59" s="18">
        <f t="shared" si="7"/>
        <v>553.4329685397438</v>
      </c>
    </row>
    <row r="60" spans="1:25">
      <c r="A60" s="15" t="s">
        <v>133</v>
      </c>
      <c r="B60" s="15" t="s">
        <v>446</v>
      </c>
      <c r="C60" s="15" t="s">
        <v>158</v>
      </c>
      <c r="D60" s="15" t="s">
        <v>158</v>
      </c>
      <c r="E60" s="16">
        <v>20603</v>
      </c>
      <c r="F60" s="16">
        <v>8008</v>
      </c>
      <c r="G60" s="16">
        <v>8182</v>
      </c>
      <c r="H60" s="16">
        <v>8314</v>
      </c>
      <c r="I60" s="16">
        <v>9498</v>
      </c>
      <c r="J60" s="16">
        <v>9629</v>
      </c>
      <c r="K60" s="16">
        <v>9761</v>
      </c>
      <c r="L60" s="16">
        <v>0</v>
      </c>
      <c r="M60" s="16">
        <v>0</v>
      </c>
      <c r="N60" s="16">
        <v>0</v>
      </c>
      <c r="O60" s="16">
        <v>2</v>
      </c>
      <c r="P60" s="16">
        <v>2</v>
      </c>
      <c r="Q60" s="16">
        <v>3</v>
      </c>
      <c r="R60" s="18">
        <f t="shared" si="0"/>
        <v>0</v>
      </c>
      <c r="S60" s="18">
        <f t="shared" si="1"/>
        <v>0</v>
      </c>
      <c r="T60" s="18">
        <f t="shared" si="2"/>
        <v>0</v>
      </c>
      <c r="U60" s="18">
        <f t="shared" si="3"/>
        <v>0</v>
      </c>
      <c r="V60" s="18">
        <f t="shared" si="4"/>
        <v>210.57064645188461</v>
      </c>
      <c r="W60" s="18">
        <f t="shared" si="5"/>
        <v>207.70588846193789</v>
      </c>
      <c r="X60" s="18">
        <f t="shared" si="6"/>
        <v>307.34555885667453</v>
      </c>
      <c r="Y60" s="18">
        <f t="shared" si="7"/>
        <v>241.87403125683235</v>
      </c>
    </row>
    <row r="61" spans="1:25">
      <c r="A61" s="15" t="s">
        <v>133</v>
      </c>
      <c r="B61" s="15" t="s">
        <v>446</v>
      </c>
      <c r="C61" s="15" t="s">
        <v>149</v>
      </c>
      <c r="D61" s="15" t="s">
        <v>149</v>
      </c>
      <c r="E61" s="16">
        <v>20604</v>
      </c>
      <c r="F61" s="16">
        <v>2675</v>
      </c>
      <c r="G61" s="16">
        <v>2684</v>
      </c>
      <c r="H61" s="16">
        <v>2812</v>
      </c>
      <c r="I61" s="16">
        <v>3967</v>
      </c>
      <c r="J61" s="16">
        <v>4096</v>
      </c>
      <c r="K61" s="16">
        <v>4224</v>
      </c>
      <c r="L61" s="16">
        <v>0</v>
      </c>
      <c r="M61" s="16">
        <v>0</v>
      </c>
      <c r="N61" s="16">
        <v>0</v>
      </c>
      <c r="O61" s="16">
        <v>0</v>
      </c>
      <c r="P61" s="16">
        <v>1</v>
      </c>
      <c r="Q61" s="16">
        <v>0</v>
      </c>
      <c r="R61" s="18">
        <f t="shared" si="0"/>
        <v>0</v>
      </c>
      <c r="S61" s="18">
        <f t="shared" si="1"/>
        <v>0</v>
      </c>
      <c r="T61" s="18">
        <f t="shared" si="2"/>
        <v>0</v>
      </c>
      <c r="U61" s="18">
        <f t="shared" si="3"/>
        <v>0</v>
      </c>
      <c r="V61" s="18">
        <f t="shared" si="4"/>
        <v>0</v>
      </c>
      <c r="W61" s="18">
        <f t="shared" si="5"/>
        <v>244.140625</v>
      </c>
      <c r="X61" s="18">
        <f t="shared" si="6"/>
        <v>0</v>
      </c>
      <c r="Y61" s="18">
        <f t="shared" si="7"/>
        <v>81.380208333333329</v>
      </c>
    </row>
    <row r="62" spans="1:25">
      <c r="A62" s="15" t="s">
        <v>133</v>
      </c>
      <c r="B62" s="15" t="s">
        <v>446</v>
      </c>
      <c r="C62" s="15" t="s">
        <v>338</v>
      </c>
      <c r="D62" s="15" t="s">
        <v>338</v>
      </c>
      <c r="E62" s="16">
        <v>20605</v>
      </c>
      <c r="F62" s="16">
        <v>3636</v>
      </c>
      <c r="G62" s="16">
        <v>3731</v>
      </c>
      <c r="H62" s="16">
        <v>3714</v>
      </c>
      <c r="I62" s="16">
        <v>3563</v>
      </c>
      <c r="J62" s="16">
        <v>3546</v>
      </c>
      <c r="K62" s="16">
        <v>3529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8">
        <f t="shared" si="0"/>
        <v>0</v>
      </c>
      <c r="S62" s="18">
        <f t="shared" si="1"/>
        <v>0</v>
      </c>
      <c r="T62" s="18">
        <f t="shared" si="2"/>
        <v>0</v>
      </c>
      <c r="U62" s="18">
        <f t="shared" si="3"/>
        <v>0</v>
      </c>
      <c r="V62" s="18">
        <f t="shared" si="4"/>
        <v>0</v>
      </c>
      <c r="W62" s="18">
        <f t="shared" si="5"/>
        <v>0</v>
      </c>
      <c r="X62" s="18">
        <f t="shared" si="6"/>
        <v>0</v>
      </c>
      <c r="Y62" s="18">
        <f t="shared" si="7"/>
        <v>0</v>
      </c>
    </row>
    <row r="63" spans="1:25">
      <c r="A63" s="15" t="s">
        <v>133</v>
      </c>
      <c r="B63" s="15" t="s">
        <v>446</v>
      </c>
      <c r="C63" s="15" t="s">
        <v>160</v>
      </c>
      <c r="D63" s="15" t="s">
        <v>160</v>
      </c>
      <c r="E63" s="16">
        <v>20606</v>
      </c>
      <c r="F63" s="16">
        <v>9925</v>
      </c>
      <c r="G63" s="16">
        <v>9985</v>
      </c>
      <c r="H63" s="16">
        <v>9796</v>
      </c>
      <c r="I63" s="16">
        <v>8094</v>
      </c>
      <c r="J63" s="16">
        <v>7905</v>
      </c>
      <c r="K63" s="16">
        <v>7716</v>
      </c>
      <c r="L63" s="16">
        <v>0</v>
      </c>
      <c r="M63" s="16">
        <v>1</v>
      </c>
      <c r="N63" s="16">
        <v>1</v>
      </c>
      <c r="O63" s="16">
        <v>4</v>
      </c>
      <c r="P63" s="16">
        <v>1</v>
      </c>
      <c r="Q63" s="16">
        <v>2</v>
      </c>
      <c r="R63" s="18">
        <f t="shared" si="0"/>
        <v>0</v>
      </c>
      <c r="S63" s="18">
        <f t="shared" si="1"/>
        <v>100.150225338007</v>
      </c>
      <c r="T63" s="18">
        <f t="shared" si="2"/>
        <v>102.08248264597796</v>
      </c>
      <c r="U63" s="18">
        <f t="shared" si="3"/>
        <v>67.410902661328322</v>
      </c>
      <c r="V63" s="18">
        <f t="shared" si="4"/>
        <v>494.19322955275516</v>
      </c>
      <c r="W63" s="18">
        <f t="shared" si="5"/>
        <v>126.50221378874132</v>
      </c>
      <c r="X63" s="18">
        <f t="shared" si="6"/>
        <v>259.2016588906169</v>
      </c>
      <c r="Y63" s="18">
        <f t="shared" si="7"/>
        <v>293.29903407737112</v>
      </c>
    </row>
    <row r="64" spans="1:25">
      <c r="A64" s="15" t="s">
        <v>133</v>
      </c>
      <c r="B64" s="15" t="s">
        <v>446</v>
      </c>
      <c r="C64" s="15" t="s">
        <v>355</v>
      </c>
      <c r="D64" s="15" t="s">
        <v>355</v>
      </c>
      <c r="E64" s="16">
        <v>20607</v>
      </c>
      <c r="F64" s="16">
        <v>13504</v>
      </c>
      <c r="G64" s="16">
        <v>13891</v>
      </c>
      <c r="H64" s="16">
        <v>14554</v>
      </c>
      <c r="I64" s="16">
        <v>20518</v>
      </c>
      <c r="J64" s="16">
        <v>21180</v>
      </c>
      <c r="K64" s="16">
        <v>21843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8">
        <f t="shared" si="0"/>
        <v>0</v>
      </c>
      <c r="S64" s="18">
        <f t="shared" si="1"/>
        <v>0</v>
      </c>
      <c r="T64" s="18">
        <f t="shared" si="2"/>
        <v>0</v>
      </c>
      <c r="U64" s="18">
        <f t="shared" si="3"/>
        <v>0</v>
      </c>
      <c r="V64" s="18">
        <f t="shared" si="4"/>
        <v>0</v>
      </c>
      <c r="W64" s="18">
        <f t="shared" si="5"/>
        <v>0</v>
      </c>
      <c r="X64" s="18">
        <f t="shared" si="6"/>
        <v>0</v>
      </c>
      <c r="Y64" s="18">
        <f t="shared" si="7"/>
        <v>0</v>
      </c>
    </row>
    <row r="65" spans="1:25">
      <c r="A65" s="15" t="s">
        <v>133</v>
      </c>
      <c r="B65" s="15" t="s">
        <v>446</v>
      </c>
      <c r="C65" s="15" t="s">
        <v>354</v>
      </c>
      <c r="D65" s="15" t="s">
        <v>354</v>
      </c>
      <c r="E65" s="16">
        <v>20608</v>
      </c>
      <c r="F65" s="16">
        <v>9145</v>
      </c>
      <c r="G65" s="16">
        <v>9349</v>
      </c>
      <c r="H65" s="16">
        <v>9685</v>
      </c>
      <c r="I65" s="16">
        <v>12707</v>
      </c>
      <c r="J65" s="16">
        <v>13043</v>
      </c>
      <c r="K65" s="16">
        <v>13379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8">
        <f t="shared" si="0"/>
        <v>0</v>
      </c>
      <c r="S65" s="18">
        <f t="shared" si="1"/>
        <v>0</v>
      </c>
      <c r="T65" s="18">
        <f t="shared" si="2"/>
        <v>0</v>
      </c>
      <c r="U65" s="18">
        <f t="shared" si="3"/>
        <v>0</v>
      </c>
      <c r="V65" s="18">
        <f t="shared" si="4"/>
        <v>0</v>
      </c>
      <c r="W65" s="18">
        <f t="shared" si="5"/>
        <v>0</v>
      </c>
      <c r="X65" s="18">
        <f t="shared" si="6"/>
        <v>0</v>
      </c>
      <c r="Y65" s="18">
        <f t="shared" si="7"/>
        <v>0</v>
      </c>
    </row>
    <row r="66" spans="1:25">
      <c r="A66" s="15" t="s">
        <v>133</v>
      </c>
      <c r="B66" s="15" t="s">
        <v>447</v>
      </c>
      <c r="C66" s="15" t="s">
        <v>101</v>
      </c>
      <c r="D66" s="15" t="s">
        <v>101</v>
      </c>
      <c r="E66" s="16">
        <v>20701</v>
      </c>
      <c r="F66" s="16">
        <v>19668</v>
      </c>
      <c r="G66" s="16">
        <v>20308</v>
      </c>
      <c r="H66" s="16">
        <v>20212</v>
      </c>
      <c r="I66" s="16">
        <v>19348</v>
      </c>
      <c r="J66" s="16">
        <v>19252</v>
      </c>
      <c r="K66" s="16">
        <v>19156</v>
      </c>
      <c r="L66" s="16">
        <v>0</v>
      </c>
      <c r="M66" s="16">
        <v>0</v>
      </c>
      <c r="N66" s="16">
        <v>0</v>
      </c>
      <c r="O66" s="16">
        <v>2</v>
      </c>
      <c r="P66" s="16">
        <v>4</v>
      </c>
      <c r="Q66" s="16">
        <v>1</v>
      </c>
      <c r="R66" s="18">
        <f t="shared" ref="R66:R129" si="8">(L66/F66)*1000000</f>
        <v>0</v>
      </c>
      <c r="S66" s="18">
        <f t="shared" ref="S66:S129" si="9">(M66/G66)*1000000</f>
        <v>0</v>
      </c>
      <c r="T66" s="18">
        <f t="shared" ref="T66:T129" si="10">(N66/H66)*1000000</f>
        <v>0</v>
      </c>
      <c r="U66" s="18">
        <f t="shared" ref="U66:U129" si="11">AVERAGE(R66:T66)</f>
        <v>0</v>
      </c>
      <c r="V66" s="18">
        <f t="shared" ref="V66:V129" si="12">(O66/I66)*1000000</f>
        <v>103.36985734959686</v>
      </c>
      <c r="W66" s="18">
        <f t="shared" ref="W66:W129" si="13">(P66/J66)*1000000</f>
        <v>207.77062123415749</v>
      </c>
      <c r="X66" s="18">
        <f t="shared" ref="X66:X129" si="14">(Q66/K66)*1000000</f>
        <v>52.202965128419294</v>
      </c>
      <c r="Y66" s="18">
        <f t="shared" ref="Y66:Y129" si="15">AVERAGE(V66:X66)</f>
        <v>121.1144812373912</v>
      </c>
    </row>
    <row r="67" spans="1:25">
      <c r="A67" s="15" t="s">
        <v>133</v>
      </c>
      <c r="B67" s="15" t="s">
        <v>447</v>
      </c>
      <c r="C67" s="15" t="s">
        <v>144</v>
      </c>
      <c r="D67" s="15" t="s">
        <v>144</v>
      </c>
      <c r="E67" s="16">
        <v>20702</v>
      </c>
      <c r="F67" s="16">
        <v>6629</v>
      </c>
      <c r="G67" s="16">
        <v>6780</v>
      </c>
      <c r="H67" s="16">
        <v>6970</v>
      </c>
      <c r="I67" s="16">
        <v>8680</v>
      </c>
      <c r="J67" s="16">
        <v>8870</v>
      </c>
      <c r="K67" s="16">
        <v>9060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1</v>
      </c>
      <c r="R67" s="18">
        <f t="shared" si="8"/>
        <v>0</v>
      </c>
      <c r="S67" s="18">
        <f t="shared" si="9"/>
        <v>0</v>
      </c>
      <c r="T67" s="18">
        <f t="shared" si="10"/>
        <v>0</v>
      </c>
      <c r="U67" s="18">
        <f t="shared" si="11"/>
        <v>0</v>
      </c>
      <c r="V67" s="18">
        <f t="shared" si="12"/>
        <v>0</v>
      </c>
      <c r="W67" s="18">
        <f t="shared" si="13"/>
        <v>0</v>
      </c>
      <c r="X67" s="18">
        <f t="shared" si="14"/>
        <v>110.37527593818984</v>
      </c>
      <c r="Y67" s="18">
        <f t="shared" si="15"/>
        <v>36.791758646063279</v>
      </c>
    </row>
    <row r="68" spans="1:25">
      <c r="A68" s="15" t="s">
        <v>133</v>
      </c>
      <c r="B68" s="15" t="s">
        <v>367</v>
      </c>
      <c r="C68" s="15" t="s">
        <v>162</v>
      </c>
      <c r="D68" s="15" t="s">
        <v>162</v>
      </c>
      <c r="E68" s="16">
        <v>20801</v>
      </c>
      <c r="F68" s="16">
        <v>77621</v>
      </c>
      <c r="G68" s="16">
        <v>80724</v>
      </c>
      <c r="H68" s="16">
        <v>83460</v>
      </c>
      <c r="I68" s="16">
        <v>108082</v>
      </c>
      <c r="J68" s="16">
        <v>110818</v>
      </c>
      <c r="K68" s="16">
        <v>113554</v>
      </c>
      <c r="L68" s="16">
        <v>2</v>
      </c>
      <c r="M68" s="16">
        <v>0</v>
      </c>
      <c r="N68" s="16">
        <v>6</v>
      </c>
      <c r="O68" s="16">
        <v>9</v>
      </c>
      <c r="P68" s="16">
        <v>12</v>
      </c>
      <c r="Q68" s="16">
        <v>25</v>
      </c>
      <c r="R68" s="18">
        <f t="shared" si="8"/>
        <v>25.766223058193013</v>
      </c>
      <c r="S68" s="18">
        <f t="shared" si="9"/>
        <v>0</v>
      </c>
      <c r="T68" s="18">
        <f t="shared" si="10"/>
        <v>71.89072609633358</v>
      </c>
      <c r="U68" s="18">
        <f t="shared" si="11"/>
        <v>32.552316384842193</v>
      </c>
      <c r="V68" s="18">
        <f t="shared" si="12"/>
        <v>83.270109731500156</v>
      </c>
      <c r="W68" s="18">
        <f t="shared" si="13"/>
        <v>108.28565756465555</v>
      </c>
      <c r="X68" s="18">
        <f t="shared" si="14"/>
        <v>220.15957165753738</v>
      </c>
      <c r="Y68" s="18">
        <f t="shared" si="15"/>
        <v>137.23844631789768</v>
      </c>
    </row>
    <row r="69" spans="1:25">
      <c r="A69" s="15" t="s">
        <v>133</v>
      </c>
      <c r="B69" s="15" t="s">
        <v>367</v>
      </c>
      <c r="C69" s="15" t="s">
        <v>352</v>
      </c>
      <c r="D69" s="15" t="s">
        <v>126</v>
      </c>
      <c r="E69" s="16">
        <v>20802</v>
      </c>
      <c r="F69" s="16">
        <v>7303</v>
      </c>
      <c r="G69" s="16">
        <v>7278</v>
      </c>
      <c r="H69" s="16">
        <v>7388</v>
      </c>
      <c r="I69" s="16">
        <v>8373</v>
      </c>
      <c r="J69" s="16">
        <v>8483</v>
      </c>
      <c r="K69" s="16">
        <v>8592</v>
      </c>
      <c r="L69" s="16">
        <v>1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8">
        <f t="shared" si="8"/>
        <v>136.93002875530604</v>
      </c>
      <c r="S69" s="18">
        <f t="shared" si="9"/>
        <v>0</v>
      </c>
      <c r="T69" s="18">
        <f t="shared" si="10"/>
        <v>0</v>
      </c>
      <c r="U69" s="18">
        <f t="shared" si="11"/>
        <v>45.643342918435344</v>
      </c>
      <c r="V69" s="18">
        <f t="shared" si="12"/>
        <v>0</v>
      </c>
      <c r="W69" s="18">
        <f t="shared" si="13"/>
        <v>0</v>
      </c>
      <c r="X69" s="18">
        <f t="shared" si="14"/>
        <v>0</v>
      </c>
      <c r="Y69" s="18">
        <f t="shared" si="15"/>
        <v>0</v>
      </c>
    </row>
    <row r="70" spans="1:25">
      <c r="A70" s="15" t="s">
        <v>133</v>
      </c>
      <c r="B70" s="15" t="s">
        <v>367</v>
      </c>
      <c r="C70" s="15" t="s">
        <v>159</v>
      </c>
      <c r="D70" s="15" t="s">
        <v>159</v>
      </c>
      <c r="E70" s="16">
        <v>20803</v>
      </c>
      <c r="F70" s="16">
        <v>12109</v>
      </c>
      <c r="G70" s="16">
        <v>12189</v>
      </c>
      <c r="H70" s="16">
        <v>12311</v>
      </c>
      <c r="I70" s="16">
        <v>13405</v>
      </c>
      <c r="J70" s="16">
        <v>13526</v>
      </c>
      <c r="K70" s="16">
        <v>13648</v>
      </c>
      <c r="L70" s="16">
        <v>0</v>
      </c>
      <c r="M70" s="16">
        <v>0</v>
      </c>
      <c r="N70" s="16">
        <v>0</v>
      </c>
      <c r="O70" s="16">
        <v>2</v>
      </c>
      <c r="P70" s="16">
        <v>3</v>
      </c>
      <c r="Q70" s="16">
        <v>1</v>
      </c>
      <c r="R70" s="18">
        <f t="shared" si="8"/>
        <v>0</v>
      </c>
      <c r="S70" s="18">
        <f t="shared" si="9"/>
        <v>0</v>
      </c>
      <c r="T70" s="18">
        <f t="shared" si="10"/>
        <v>0</v>
      </c>
      <c r="U70" s="18">
        <f t="shared" si="11"/>
        <v>0</v>
      </c>
      <c r="V70" s="18">
        <f t="shared" si="12"/>
        <v>149.19806042521446</v>
      </c>
      <c r="W70" s="18">
        <f t="shared" si="13"/>
        <v>221.79506136330031</v>
      </c>
      <c r="X70" s="18">
        <f t="shared" si="14"/>
        <v>73.270808909730363</v>
      </c>
      <c r="Y70" s="18">
        <f t="shared" si="15"/>
        <v>148.08797689941505</v>
      </c>
    </row>
    <row r="71" spans="1:25">
      <c r="A71" s="15" t="s">
        <v>133</v>
      </c>
      <c r="B71" s="15" t="s">
        <v>367</v>
      </c>
      <c r="C71" s="15" t="s">
        <v>123</v>
      </c>
      <c r="D71" s="15" t="s">
        <v>123</v>
      </c>
      <c r="E71" s="16">
        <v>20804</v>
      </c>
      <c r="F71" s="16">
        <v>6805</v>
      </c>
      <c r="G71" s="16">
        <v>6987</v>
      </c>
      <c r="H71" s="16">
        <v>7063</v>
      </c>
      <c r="I71" s="16">
        <v>7745</v>
      </c>
      <c r="J71" s="16">
        <v>7821</v>
      </c>
      <c r="K71" s="16">
        <v>7897</v>
      </c>
      <c r="L71" s="16">
        <v>0</v>
      </c>
      <c r="M71" s="16">
        <v>0</v>
      </c>
      <c r="N71" s="16">
        <v>0</v>
      </c>
      <c r="O71" s="16">
        <v>1</v>
      </c>
      <c r="P71" s="16">
        <v>0</v>
      </c>
      <c r="Q71" s="16">
        <v>0</v>
      </c>
      <c r="R71" s="18">
        <f t="shared" si="8"/>
        <v>0</v>
      </c>
      <c r="S71" s="18">
        <f t="shared" si="9"/>
        <v>0</v>
      </c>
      <c r="T71" s="18">
        <f t="shared" si="10"/>
        <v>0</v>
      </c>
      <c r="U71" s="18">
        <f t="shared" si="11"/>
        <v>0</v>
      </c>
      <c r="V71" s="18">
        <f t="shared" si="12"/>
        <v>129.11555842479021</v>
      </c>
      <c r="W71" s="18">
        <f t="shared" si="13"/>
        <v>0</v>
      </c>
      <c r="X71" s="18">
        <f t="shared" si="14"/>
        <v>0</v>
      </c>
      <c r="Y71" s="18">
        <f t="shared" si="15"/>
        <v>43.038519474930069</v>
      </c>
    </row>
    <row r="72" spans="1:25">
      <c r="A72" s="15" t="s">
        <v>133</v>
      </c>
      <c r="B72" s="15" t="s">
        <v>367</v>
      </c>
      <c r="C72" s="15" t="s">
        <v>448</v>
      </c>
      <c r="D72" s="15" t="s">
        <v>405</v>
      </c>
      <c r="E72" s="16">
        <v>20805</v>
      </c>
      <c r="F72" s="16">
        <v>6159</v>
      </c>
      <c r="G72" s="16">
        <v>6145</v>
      </c>
      <c r="H72" s="16">
        <v>6294</v>
      </c>
      <c r="I72" s="16">
        <v>7638</v>
      </c>
      <c r="J72" s="16">
        <v>7787</v>
      </c>
      <c r="K72" s="16">
        <v>7936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8">
        <f t="shared" si="8"/>
        <v>0</v>
      </c>
      <c r="S72" s="18">
        <f t="shared" si="9"/>
        <v>0</v>
      </c>
      <c r="T72" s="18">
        <f t="shared" si="10"/>
        <v>0</v>
      </c>
      <c r="U72" s="18">
        <f t="shared" si="11"/>
        <v>0</v>
      </c>
      <c r="V72" s="18">
        <f t="shared" si="12"/>
        <v>0</v>
      </c>
      <c r="W72" s="18">
        <f t="shared" si="13"/>
        <v>0</v>
      </c>
      <c r="X72" s="18">
        <f t="shared" si="14"/>
        <v>0</v>
      </c>
      <c r="Y72" s="18">
        <f t="shared" si="15"/>
        <v>0</v>
      </c>
    </row>
    <row r="73" spans="1:25">
      <c r="A73" s="15" t="s">
        <v>133</v>
      </c>
      <c r="B73" s="15" t="s">
        <v>367</v>
      </c>
      <c r="C73" s="15" t="s">
        <v>351</v>
      </c>
      <c r="D73" s="15" t="s">
        <v>449</v>
      </c>
      <c r="E73" s="16">
        <v>20806</v>
      </c>
      <c r="F73" s="16">
        <v>14876</v>
      </c>
      <c r="G73" s="16">
        <v>15039</v>
      </c>
      <c r="H73" s="16">
        <v>15204</v>
      </c>
      <c r="I73" s="16">
        <v>16687</v>
      </c>
      <c r="J73" s="16">
        <v>16851</v>
      </c>
      <c r="K73" s="16">
        <v>17016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8">
        <f t="shared" si="8"/>
        <v>0</v>
      </c>
      <c r="S73" s="18">
        <f t="shared" si="9"/>
        <v>0</v>
      </c>
      <c r="T73" s="18">
        <f t="shared" si="10"/>
        <v>0</v>
      </c>
      <c r="U73" s="18">
        <f t="shared" si="11"/>
        <v>0</v>
      </c>
      <c r="V73" s="18">
        <f t="shared" si="12"/>
        <v>0</v>
      </c>
      <c r="W73" s="18">
        <f t="shared" si="13"/>
        <v>0</v>
      </c>
      <c r="X73" s="18">
        <f t="shared" si="14"/>
        <v>0</v>
      </c>
      <c r="Y73" s="18">
        <f t="shared" si="15"/>
        <v>0</v>
      </c>
    </row>
    <row r="74" spans="1:25">
      <c r="A74" s="15" t="s">
        <v>133</v>
      </c>
      <c r="B74" s="15" t="s">
        <v>367</v>
      </c>
      <c r="C74" s="15" t="s">
        <v>404</v>
      </c>
      <c r="D74" s="15" t="s">
        <v>404</v>
      </c>
      <c r="E74" s="16">
        <v>20807</v>
      </c>
      <c r="F74" s="16">
        <v>6541</v>
      </c>
      <c r="G74" s="16">
        <v>6603</v>
      </c>
      <c r="H74" s="16">
        <v>6681</v>
      </c>
      <c r="I74" s="16">
        <v>7384</v>
      </c>
      <c r="J74" s="16">
        <v>7462</v>
      </c>
      <c r="K74" s="16">
        <v>7540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8">
        <f t="shared" si="8"/>
        <v>0</v>
      </c>
      <c r="S74" s="18">
        <f t="shared" si="9"/>
        <v>0</v>
      </c>
      <c r="T74" s="18">
        <f t="shared" si="10"/>
        <v>0</v>
      </c>
      <c r="U74" s="18">
        <f t="shared" si="11"/>
        <v>0</v>
      </c>
      <c r="V74" s="18">
        <f t="shared" si="12"/>
        <v>0</v>
      </c>
      <c r="W74" s="18">
        <f t="shared" si="13"/>
        <v>0</v>
      </c>
      <c r="X74" s="18">
        <f t="shared" si="14"/>
        <v>0</v>
      </c>
      <c r="Y74" s="18">
        <f t="shared" si="15"/>
        <v>0</v>
      </c>
    </row>
    <row r="75" spans="1:25">
      <c r="A75" s="15" t="s">
        <v>133</v>
      </c>
      <c r="B75" s="15" t="s">
        <v>450</v>
      </c>
      <c r="C75" s="15" t="s">
        <v>135</v>
      </c>
      <c r="D75" s="15" t="s">
        <v>135</v>
      </c>
      <c r="E75" s="16">
        <v>20901</v>
      </c>
      <c r="F75" s="16">
        <v>10945</v>
      </c>
      <c r="G75" s="16">
        <v>11139</v>
      </c>
      <c r="H75" s="16">
        <v>11103</v>
      </c>
      <c r="I75" s="16">
        <v>10776</v>
      </c>
      <c r="J75" s="16">
        <v>10739</v>
      </c>
      <c r="K75" s="16">
        <v>10703</v>
      </c>
      <c r="L75" s="16">
        <v>0</v>
      </c>
      <c r="M75" s="16">
        <v>0</v>
      </c>
      <c r="N75" s="16">
        <v>0</v>
      </c>
      <c r="O75" s="16">
        <v>0</v>
      </c>
      <c r="P75" s="16">
        <v>2</v>
      </c>
      <c r="Q75" s="16">
        <v>1</v>
      </c>
      <c r="R75" s="18">
        <f t="shared" si="8"/>
        <v>0</v>
      </c>
      <c r="S75" s="18">
        <f t="shared" si="9"/>
        <v>0</v>
      </c>
      <c r="T75" s="18">
        <f t="shared" si="10"/>
        <v>0</v>
      </c>
      <c r="U75" s="18">
        <f t="shared" si="11"/>
        <v>0</v>
      </c>
      <c r="V75" s="18">
        <f t="shared" si="12"/>
        <v>0</v>
      </c>
      <c r="W75" s="18">
        <f t="shared" si="13"/>
        <v>186.23707980258871</v>
      </c>
      <c r="X75" s="18">
        <f t="shared" si="14"/>
        <v>93.431748108007099</v>
      </c>
      <c r="Y75" s="18">
        <f t="shared" si="15"/>
        <v>93.222942636865284</v>
      </c>
    </row>
    <row r="76" spans="1:25">
      <c r="A76" s="15" t="s">
        <v>133</v>
      </c>
      <c r="B76" s="15" t="s">
        <v>450</v>
      </c>
      <c r="C76" s="15" t="s">
        <v>155</v>
      </c>
      <c r="D76" s="15" t="s">
        <v>155</v>
      </c>
      <c r="E76" s="16">
        <v>20902</v>
      </c>
      <c r="F76" s="16">
        <v>12421</v>
      </c>
      <c r="G76" s="16">
        <v>12484</v>
      </c>
      <c r="H76" s="16">
        <v>12818</v>
      </c>
      <c r="I76" s="16">
        <v>15828</v>
      </c>
      <c r="J76" s="16">
        <v>16163</v>
      </c>
      <c r="K76" s="16">
        <v>16497</v>
      </c>
      <c r="L76" s="16">
        <v>0</v>
      </c>
      <c r="M76" s="16">
        <v>0</v>
      </c>
      <c r="N76" s="16">
        <v>0</v>
      </c>
      <c r="O76" s="16">
        <v>1</v>
      </c>
      <c r="P76" s="16">
        <v>1</v>
      </c>
      <c r="Q76" s="16">
        <v>2</v>
      </c>
      <c r="R76" s="18">
        <f t="shared" si="8"/>
        <v>0</v>
      </c>
      <c r="S76" s="18">
        <f t="shared" si="9"/>
        <v>0</v>
      </c>
      <c r="T76" s="18">
        <f t="shared" si="10"/>
        <v>0</v>
      </c>
      <c r="U76" s="18">
        <f t="shared" si="11"/>
        <v>0</v>
      </c>
      <c r="V76" s="18">
        <f t="shared" si="12"/>
        <v>63.179176143543081</v>
      </c>
      <c r="W76" s="18">
        <f t="shared" si="13"/>
        <v>61.869702406731427</v>
      </c>
      <c r="X76" s="18">
        <f t="shared" si="14"/>
        <v>121.23416378735527</v>
      </c>
      <c r="Y76" s="18">
        <f t="shared" si="15"/>
        <v>82.094347445876593</v>
      </c>
    </row>
    <row r="77" spans="1:25">
      <c r="A77" s="15" t="s">
        <v>133</v>
      </c>
      <c r="B77" s="15" t="s">
        <v>450</v>
      </c>
      <c r="C77" s="15" t="s">
        <v>164</v>
      </c>
      <c r="D77" s="15" t="s">
        <v>164</v>
      </c>
      <c r="E77" s="16">
        <v>20903</v>
      </c>
      <c r="F77" s="16">
        <v>7365</v>
      </c>
      <c r="G77" s="16">
        <v>7315</v>
      </c>
      <c r="H77" s="16">
        <v>7730</v>
      </c>
      <c r="I77" s="16">
        <v>11466</v>
      </c>
      <c r="J77" s="16">
        <v>11881</v>
      </c>
      <c r="K77" s="16">
        <v>12296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8">
        <f t="shared" si="8"/>
        <v>0</v>
      </c>
      <c r="S77" s="18">
        <f t="shared" si="9"/>
        <v>0</v>
      </c>
      <c r="T77" s="18">
        <f t="shared" si="10"/>
        <v>0</v>
      </c>
      <c r="U77" s="18">
        <f t="shared" si="11"/>
        <v>0</v>
      </c>
      <c r="V77" s="18">
        <f t="shared" si="12"/>
        <v>0</v>
      </c>
      <c r="W77" s="18">
        <f t="shared" si="13"/>
        <v>0</v>
      </c>
      <c r="X77" s="18">
        <f t="shared" si="14"/>
        <v>0</v>
      </c>
      <c r="Y77" s="18">
        <f t="shared" si="15"/>
        <v>0</v>
      </c>
    </row>
    <row r="78" spans="1:25">
      <c r="A78" s="15" t="s">
        <v>133</v>
      </c>
      <c r="B78" s="15" t="s">
        <v>450</v>
      </c>
      <c r="C78" s="15" t="s">
        <v>136</v>
      </c>
      <c r="D78" s="15" t="s">
        <v>136</v>
      </c>
      <c r="E78" s="16">
        <v>20904</v>
      </c>
      <c r="F78" s="16">
        <v>5048</v>
      </c>
      <c r="G78" s="16">
        <v>5180</v>
      </c>
      <c r="H78" s="16">
        <v>5190</v>
      </c>
      <c r="I78" s="16">
        <v>5278</v>
      </c>
      <c r="J78" s="16">
        <v>5287</v>
      </c>
      <c r="K78" s="16">
        <v>5297</v>
      </c>
      <c r="L78" s="16">
        <v>0</v>
      </c>
      <c r="M78" s="16">
        <v>0</v>
      </c>
      <c r="N78" s="16">
        <v>0</v>
      </c>
      <c r="O78" s="16">
        <v>2</v>
      </c>
      <c r="P78" s="16">
        <v>0</v>
      </c>
      <c r="Q78" s="16">
        <v>0</v>
      </c>
      <c r="R78" s="18">
        <f t="shared" si="8"/>
        <v>0</v>
      </c>
      <c r="S78" s="18">
        <f t="shared" si="9"/>
        <v>0</v>
      </c>
      <c r="T78" s="18">
        <f t="shared" si="10"/>
        <v>0</v>
      </c>
      <c r="U78" s="18">
        <f t="shared" si="11"/>
        <v>0</v>
      </c>
      <c r="V78" s="18">
        <f t="shared" si="12"/>
        <v>378.93141341417203</v>
      </c>
      <c r="W78" s="18">
        <f t="shared" si="13"/>
        <v>0</v>
      </c>
      <c r="X78" s="18">
        <f t="shared" si="14"/>
        <v>0</v>
      </c>
      <c r="Y78" s="18">
        <f t="shared" si="15"/>
        <v>126.31047113805734</v>
      </c>
    </row>
    <row r="79" spans="1:25">
      <c r="A79" s="15" t="s">
        <v>133</v>
      </c>
      <c r="B79" s="15" t="s">
        <v>450</v>
      </c>
      <c r="C79" s="15" t="s">
        <v>106</v>
      </c>
      <c r="D79" s="15" t="s">
        <v>106</v>
      </c>
      <c r="E79" s="16">
        <v>20905</v>
      </c>
      <c r="F79" s="16">
        <v>11353</v>
      </c>
      <c r="G79" s="16">
        <v>11355</v>
      </c>
      <c r="H79" s="16">
        <v>11542</v>
      </c>
      <c r="I79" s="16">
        <v>13224</v>
      </c>
      <c r="J79" s="16">
        <v>13411</v>
      </c>
      <c r="K79" s="16">
        <v>13598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8">
        <f t="shared" si="8"/>
        <v>0</v>
      </c>
      <c r="S79" s="18">
        <f t="shared" si="9"/>
        <v>0</v>
      </c>
      <c r="T79" s="18">
        <f t="shared" si="10"/>
        <v>0</v>
      </c>
      <c r="U79" s="18">
        <f t="shared" si="11"/>
        <v>0</v>
      </c>
      <c r="V79" s="18">
        <f t="shared" si="12"/>
        <v>0</v>
      </c>
      <c r="W79" s="18">
        <f t="shared" si="13"/>
        <v>0</v>
      </c>
      <c r="X79" s="18">
        <f t="shared" si="14"/>
        <v>0</v>
      </c>
      <c r="Y79" s="18">
        <f t="shared" si="15"/>
        <v>0</v>
      </c>
    </row>
    <row r="80" spans="1:25">
      <c r="A80" s="15" t="s">
        <v>133</v>
      </c>
      <c r="B80" s="15" t="s">
        <v>128</v>
      </c>
      <c r="C80" s="15" t="s">
        <v>128</v>
      </c>
      <c r="D80" s="15" t="s">
        <v>128</v>
      </c>
      <c r="E80" s="16">
        <v>21001</v>
      </c>
      <c r="F80" s="16">
        <v>14847</v>
      </c>
      <c r="G80" s="16">
        <v>14717</v>
      </c>
      <c r="H80" s="16">
        <v>15047</v>
      </c>
      <c r="I80" s="16">
        <v>18019</v>
      </c>
      <c r="J80" s="16">
        <v>18349</v>
      </c>
      <c r="K80" s="16">
        <v>18679</v>
      </c>
      <c r="L80" s="16">
        <v>1</v>
      </c>
      <c r="M80" s="16">
        <v>2</v>
      </c>
      <c r="N80" s="16">
        <v>0</v>
      </c>
      <c r="O80" s="16">
        <v>0</v>
      </c>
      <c r="P80" s="16">
        <v>0</v>
      </c>
      <c r="Q80" s="16">
        <v>1</v>
      </c>
      <c r="R80" s="18">
        <f t="shared" si="8"/>
        <v>67.353674142924504</v>
      </c>
      <c r="S80" s="18">
        <f t="shared" si="9"/>
        <v>135.89726167017733</v>
      </c>
      <c r="T80" s="18">
        <f t="shared" si="10"/>
        <v>0</v>
      </c>
      <c r="U80" s="18">
        <f t="shared" si="11"/>
        <v>67.750311937700602</v>
      </c>
      <c r="V80" s="18">
        <f t="shared" si="12"/>
        <v>0</v>
      </c>
      <c r="W80" s="18">
        <f t="shared" si="13"/>
        <v>0</v>
      </c>
      <c r="X80" s="18">
        <f t="shared" si="14"/>
        <v>53.536056534075698</v>
      </c>
      <c r="Y80" s="18">
        <f t="shared" si="15"/>
        <v>17.845352178025234</v>
      </c>
    </row>
    <row r="81" spans="1:25">
      <c r="A81" s="15" t="s">
        <v>133</v>
      </c>
      <c r="B81" s="15" t="s">
        <v>128</v>
      </c>
      <c r="C81" s="15" t="s">
        <v>150</v>
      </c>
      <c r="D81" s="15" t="s">
        <v>150</v>
      </c>
      <c r="E81" s="16">
        <v>21002</v>
      </c>
      <c r="F81" s="16">
        <v>8182</v>
      </c>
      <c r="G81" s="16">
        <v>8266</v>
      </c>
      <c r="H81" s="16">
        <v>8484</v>
      </c>
      <c r="I81" s="16">
        <v>10450</v>
      </c>
      <c r="J81" s="16">
        <v>10669</v>
      </c>
      <c r="K81" s="16">
        <v>10887</v>
      </c>
      <c r="L81" s="16">
        <v>0</v>
      </c>
      <c r="M81" s="16">
        <v>2</v>
      </c>
      <c r="N81" s="16">
        <v>0</v>
      </c>
      <c r="O81" s="16">
        <v>2</v>
      </c>
      <c r="P81" s="16">
        <v>1</v>
      </c>
      <c r="Q81" s="16">
        <v>0</v>
      </c>
      <c r="R81" s="18">
        <f t="shared" si="8"/>
        <v>0</v>
      </c>
      <c r="S81" s="18">
        <f t="shared" si="9"/>
        <v>241.95499637067505</v>
      </c>
      <c r="T81" s="18">
        <f t="shared" si="10"/>
        <v>0</v>
      </c>
      <c r="U81" s="18">
        <f t="shared" si="11"/>
        <v>80.651665456891678</v>
      </c>
      <c r="V81" s="18">
        <f t="shared" si="12"/>
        <v>191.38755980861245</v>
      </c>
      <c r="W81" s="18">
        <f t="shared" si="13"/>
        <v>93.729496672602863</v>
      </c>
      <c r="X81" s="18">
        <f t="shared" si="14"/>
        <v>0</v>
      </c>
      <c r="Y81" s="18">
        <f t="shared" si="15"/>
        <v>95.039018827071757</v>
      </c>
    </row>
    <row r="82" spans="1:25">
      <c r="A82" s="15" t="s">
        <v>133</v>
      </c>
      <c r="B82" s="15" t="s">
        <v>128</v>
      </c>
      <c r="C82" s="15" t="s">
        <v>107</v>
      </c>
      <c r="D82" s="15" t="s">
        <v>107</v>
      </c>
      <c r="E82" s="16">
        <v>21003</v>
      </c>
      <c r="F82" s="16">
        <v>10212</v>
      </c>
      <c r="G82" s="16">
        <v>10458</v>
      </c>
      <c r="H82" s="16">
        <v>10884</v>
      </c>
      <c r="I82" s="16">
        <v>14714</v>
      </c>
      <c r="J82" s="16">
        <v>15139</v>
      </c>
      <c r="K82" s="16">
        <v>15565</v>
      </c>
      <c r="L82" s="16">
        <v>0</v>
      </c>
      <c r="M82" s="16">
        <v>0</v>
      </c>
      <c r="N82" s="16">
        <v>0</v>
      </c>
      <c r="O82" s="16">
        <v>0</v>
      </c>
      <c r="P82" s="16">
        <v>2</v>
      </c>
      <c r="Q82" s="16">
        <v>0</v>
      </c>
      <c r="R82" s="18">
        <f t="shared" si="8"/>
        <v>0</v>
      </c>
      <c r="S82" s="18">
        <f t="shared" si="9"/>
        <v>0</v>
      </c>
      <c r="T82" s="18">
        <f t="shared" si="10"/>
        <v>0</v>
      </c>
      <c r="U82" s="18">
        <f t="shared" si="11"/>
        <v>0</v>
      </c>
      <c r="V82" s="18">
        <f t="shared" si="12"/>
        <v>0</v>
      </c>
      <c r="W82" s="18">
        <f t="shared" si="13"/>
        <v>132.10912213488342</v>
      </c>
      <c r="X82" s="18">
        <f t="shared" si="14"/>
        <v>0</v>
      </c>
      <c r="Y82" s="18">
        <f t="shared" si="15"/>
        <v>44.036374044961143</v>
      </c>
    </row>
    <row r="83" spans="1:25">
      <c r="A83" s="15" t="s">
        <v>133</v>
      </c>
      <c r="B83" s="15" t="s">
        <v>128</v>
      </c>
      <c r="C83" s="15" t="s">
        <v>116</v>
      </c>
      <c r="D83" s="15" t="s">
        <v>116</v>
      </c>
      <c r="E83" s="16">
        <v>21004</v>
      </c>
      <c r="F83" s="16">
        <v>19505</v>
      </c>
      <c r="G83" s="16">
        <v>19620</v>
      </c>
      <c r="H83" s="16">
        <v>19944</v>
      </c>
      <c r="I83" s="16">
        <v>22858</v>
      </c>
      <c r="J83" s="16">
        <v>23181</v>
      </c>
      <c r="K83" s="16">
        <v>23505</v>
      </c>
      <c r="L83" s="16">
        <v>0</v>
      </c>
      <c r="M83" s="16">
        <v>1</v>
      </c>
      <c r="N83" s="16">
        <v>0</v>
      </c>
      <c r="O83" s="16">
        <v>2</v>
      </c>
      <c r="P83" s="16">
        <v>4</v>
      </c>
      <c r="Q83" s="16">
        <v>1</v>
      </c>
      <c r="R83" s="18">
        <f t="shared" si="8"/>
        <v>0</v>
      </c>
      <c r="S83" s="18">
        <f t="shared" si="9"/>
        <v>50.968399592252801</v>
      </c>
      <c r="T83" s="18">
        <f t="shared" si="10"/>
        <v>0</v>
      </c>
      <c r="U83" s="18">
        <f t="shared" si="11"/>
        <v>16.989466530750935</v>
      </c>
      <c r="V83" s="18">
        <f t="shared" si="12"/>
        <v>87.496718873042255</v>
      </c>
      <c r="W83" s="18">
        <f t="shared" si="13"/>
        <v>172.55510978818859</v>
      </c>
      <c r="X83" s="18">
        <f t="shared" si="14"/>
        <v>42.544139544777707</v>
      </c>
      <c r="Y83" s="18">
        <f t="shared" si="15"/>
        <v>100.86532273533618</v>
      </c>
    </row>
    <row r="84" spans="1:25">
      <c r="A84" s="15" t="s">
        <v>133</v>
      </c>
      <c r="B84" s="15" t="s">
        <v>128</v>
      </c>
      <c r="C84" s="15" t="s">
        <v>127</v>
      </c>
      <c r="D84" s="15" t="s">
        <v>127</v>
      </c>
      <c r="E84" s="16">
        <v>21005</v>
      </c>
      <c r="F84" s="16">
        <v>7815</v>
      </c>
      <c r="G84" s="16">
        <v>7913</v>
      </c>
      <c r="H84" s="16">
        <v>8050</v>
      </c>
      <c r="I84" s="16">
        <v>9279</v>
      </c>
      <c r="J84" s="16">
        <v>9415</v>
      </c>
      <c r="K84" s="16">
        <v>9552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8">
        <f t="shared" si="8"/>
        <v>0</v>
      </c>
      <c r="S84" s="18">
        <f t="shared" si="9"/>
        <v>0</v>
      </c>
      <c r="T84" s="18">
        <f t="shared" si="10"/>
        <v>0</v>
      </c>
      <c r="U84" s="18">
        <f t="shared" si="11"/>
        <v>0</v>
      </c>
      <c r="V84" s="18">
        <f t="shared" si="12"/>
        <v>0</v>
      </c>
      <c r="W84" s="18">
        <f t="shared" si="13"/>
        <v>0</v>
      </c>
      <c r="X84" s="18">
        <f t="shared" si="14"/>
        <v>0</v>
      </c>
      <c r="Y84" s="18">
        <f t="shared" si="15"/>
        <v>0</v>
      </c>
    </row>
    <row r="85" spans="1:25">
      <c r="A85" s="15" t="s">
        <v>133</v>
      </c>
      <c r="B85" s="15" t="s">
        <v>128</v>
      </c>
      <c r="C85" s="15" t="s">
        <v>163</v>
      </c>
      <c r="D85" s="15" t="s">
        <v>163</v>
      </c>
      <c r="E85" s="16">
        <v>21006</v>
      </c>
      <c r="F85" s="16">
        <v>5238</v>
      </c>
      <c r="G85" s="16">
        <v>5488</v>
      </c>
      <c r="H85" s="16">
        <v>5687</v>
      </c>
      <c r="I85" s="16">
        <v>7479</v>
      </c>
      <c r="J85" s="16">
        <v>7678</v>
      </c>
      <c r="K85" s="16">
        <v>7877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8">
        <f t="shared" si="8"/>
        <v>0</v>
      </c>
      <c r="S85" s="18">
        <f t="shared" si="9"/>
        <v>0</v>
      </c>
      <c r="T85" s="18">
        <f t="shared" si="10"/>
        <v>0</v>
      </c>
      <c r="U85" s="18">
        <f t="shared" si="11"/>
        <v>0</v>
      </c>
      <c r="V85" s="18">
        <f t="shared" si="12"/>
        <v>0</v>
      </c>
      <c r="W85" s="18">
        <f t="shared" si="13"/>
        <v>0</v>
      </c>
      <c r="X85" s="18">
        <f t="shared" si="14"/>
        <v>0</v>
      </c>
      <c r="Y85" s="18">
        <f t="shared" si="15"/>
        <v>0</v>
      </c>
    </row>
    <row r="86" spans="1:25">
      <c r="A86" s="15" t="s">
        <v>133</v>
      </c>
      <c r="B86" s="15" t="s">
        <v>451</v>
      </c>
      <c r="C86" s="15" t="s">
        <v>322</v>
      </c>
      <c r="D86" s="15" t="s">
        <v>452</v>
      </c>
      <c r="E86" s="16">
        <v>21101</v>
      </c>
      <c r="F86" s="16">
        <v>17403</v>
      </c>
      <c r="G86" s="16">
        <v>17823</v>
      </c>
      <c r="H86" s="16">
        <v>17863</v>
      </c>
      <c r="I86" s="16">
        <v>18223</v>
      </c>
      <c r="J86" s="16">
        <v>18263</v>
      </c>
      <c r="K86" s="16">
        <v>18303</v>
      </c>
      <c r="L86" s="16">
        <v>0</v>
      </c>
      <c r="M86" s="16">
        <v>3</v>
      </c>
      <c r="N86" s="16">
        <v>2</v>
      </c>
      <c r="O86" s="16">
        <v>4</v>
      </c>
      <c r="P86" s="16">
        <v>1</v>
      </c>
      <c r="Q86" s="16">
        <v>2</v>
      </c>
      <c r="R86" s="18">
        <f t="shared" si="8"/>
        <v>0</v>
      </c>
      <c r="S86" s="18">
        <f t="shared" si="9"/>
        <v>168.32183134152501</v>
      </c>
      <c r="T86" s="18">
        <f t="shared" si="10"/>
        <v>111.96327604545709</v>
      </c>
      <c r="U86" s="18">
        <f t="shared" si="11"/>
        <v>93.428369128994021</v>
      </c>
      <c r="V86" s="18">
        <f t="shared" si="12"/>
        <v>219.50282609888603</v>
      </c>
      <c r="W86" s="18">
        <f t="shared" si="13"/>
        <v>54.755516618299296</v>
      </c>
      <c r="X86" s="18">
        <f t="shared" si="14"/>
        <v>109.27170409222532</v>
      </c>
      <c r="Y86" s="18">
        <f t="shared" si="15"/>
        <v>127.84334893647021</v>
      </c>
    </row>
    <row r="87" spans="1:25">
      <c r="A87" s="15" t="s">
        <v>133</v>
      </c>
      <c r="B87" s="15" t="s">
        <v>451</v>
      </c>
      <c r="C87" s="15" t="s">
        <v>321</v>
      </c>
      <c r="D87" s="15" t="s">
        <v>453</v>
      </c>
      <c r="E87" s="16">
        <v>21102</v>
      </c>
      <c r="F87" s="16">
        <v>16740</v>
      </c>
      <c r="G87" s="16">
        <v>17276</v>
      </c>
      <c r="H87" s="16">
        <v>17776</v>
      </c>
      <c r="I87" s="16">
        <v>22279</v>
      </c>
      <c r="J87" s="16">
        <v>22779</v>
      </c>
      <c r="K87" s="16">
        <v>23279</v>
      </c>
      <c r="L87" s="16">
        <v>0</v>
      </c>
      <c r="M87" s="16">
        <v>0</v>
      </c>
      <c r="N87" s="16">
        <v>0</v>
      </c>
      <c r="O87" s="16">
        <v>1</v>
      </c>
      <c r="P87" s="16">
        <v>3</v>
      </c>
      <c r="Q87" s="16">
        <v>2</v>
      </c>
      <c r="R87" s="18">
        <f t="shared" si="8"/>
        <v>0</v>
      </c>
      <c r="S87" s="18">
        <f t="shared" si="9"/>
        <v>0</v>
      </c>
      <c r="T87" s="18">
        <f t="shared" si="10"/>
        <v>0</v>
      </c>
      <c r="U87" s="18">
        <f t="shared" si="11"/>
        <v>0</v>
      </c>
      <c r="V87" s="18">
        <f t="shared" si="12"/>
        <v>44.885318012478123</v>
      </c>
      <c r="W87" s="18">
        <f t="shared" si="13"/>
        <v>131.70025023047546</v>
      </c>
      <c r="X87" s="18">
        <f t="shared" si="14"/>
        <v>85.914343399630567</v>
      </c>
      <c r="Y87" s="18">
        <f t="shared" si="15"/>
        <v>87.499970547528051</v>
      </c>
    </row>
    <row r="88" spans="1:25">
      <c r="A88" s="15" t="s">
        <v>133</v>
      </c>
      <c r="B88" s="15" t="s">
        <v>451</v>
      </c>
      <c r="C88" s="15" t="s">
        <v>165</v>
      </c>
      <c r="D88" s="15" t="s">
        <v>165</v>
      </c>
      <c r="E88" s="16">
        <v>21103</v>
      </c>
      <c r="F88" s="16">
        <v>6223</v>
      </c>
      <c r="G88" s="16">
        <v>6420</v>
      </c>
      <c r="H88" s="16">
        <v>6520</v>
      </c>
      <c r="I88" s="16">
        <v>7416</v>
      </c>
      <c r="J88" s="16">
        <v>7515</v>
      </c>
      <c r="K88" s="16">
        <v>7615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8">
        <f t="shared" si="8"/>
        <v>0</v>
      </c>
      <c r="S88" s="18">
        <f t="shared" si="9"/>
        <v>0</v>
      </c>
      <c r="T88" s="18">
        <f t="shared" si="10"/>
        <v>0</v>
      </c>
      <c r="U88" s="18">
        <f t="shared" si="11"/>
        <v>0</v>
      </c>
      <c r="V88" s="18">
        <f t="shared" si="12"/>
        <v>0</v>
      </c>
      <c r="W88" s="18">
        <f t="shared" si="13"/>
        <v>0</v>
      </c>
      <c r="X88" s="18">
        <f t="shared" si="14"/>
        <v>0</v>
      </c>
      <c r="Y88" s="18">
        <f t="shared" si="15"/>
        <v>0</v>
      </c>
    </row>
    <row r="89" spans="1:25">
      <c r="A89" s="15" t="s">
        <v>133</v>
      </c>
      <c r="B89" s="15" t="s">
        <v>451</v>
      </c>
      <c r="C89" s="15" t="s">
        <v>141</v>
      </c>
      <c r="D89" s="15" t="s">
        <v>141</v>
      </c>
      <c r="E89" s="16">
        <v>21104</v>
      </c>
      <c r="F89" s="16">
        <v>24009</v>
      </c>
      <c r="G89" s="16">
        <v>24731</v>
      </c>
      <c r="H89" s="16">
        <v>24932</v>
      </c>
      <c r="I89" s="16">
        <v>26736</v>
      </c>
      <c r="J89" s="16">
        <v>26937</v>
      </c>
      <c r="K89" s="16">
        <v>27137</v>
      </c>
      <c r="L89" s="16">
        <v>0</v>
      </c>
      <c r="M89" s="16">
        <v>0</v>
      </c>
      <c r="N89" s="16">
        <v>0</v>
      </c>
      <c r="O89" s="16">
        <v>5</v>
      </c>
      <c r="P89" s="16">
        <v>4</v>
      </c>
      <c r="Q89" s="16">
        <v>4</v>
      </c>
      <c r="R89" s="18">
        <f t="shared" si="8"/>
        <v>0</v>
      </c>
      <c r="S89" s="18">
        <f t="shared" si="9"/>
        <v>0</v>
      </c>
      <c r="T89" s="18">
        <f t="shared" si="10"/>
        <v>0</v>
      </c>
      <c r="U89" s="18">
        <f t="shared" si="11"/>
        <v>0</v>
      </c>
      <c r="V89" s="18">
        <f t="shared" si="12"/>
        <v>187.01376421304607</v>
      </c>
      <c r="W89" s="18">
        <f t="shared" si="13"/>
        <v>148.49463563128782</v>
      </c>
      <c r="X89" s="18">
        <f t="shared" si="14"/>
        <v>147.40022847035414</v>
      </c>
      <c r="Y89" s="18">
        <f t="shared" si="15"/>
        <v>160.96954277156269</v>
      </c>
    </row>
    <row r="90" spans="1:25">
      <c r="A90" s="15" t="s">
        <v>133</v>
      </c>
      <c r="B90" s="15" t="s">
        <v>451</v>
      </c>
      <c r="C90" s="15" t="s">
        <v>132</v>
      </c>
      <c r="D90" s="15" t="s">
        <v>132</v>
      </c>
      <c r="E90" s="16">
        <v>21105</v>
      </c>
      <c r="F90" s="16">
        <v>38163</v>
      </c>
      <c r="G90" s="16">
        <v>40178</v>
      </c>
      <c r="H90" s="16">
        <v>40629</v>
      </c>
      <c r="I90" s="16">
        <v>44686</v>
      </c>
      <c r="J90" s="16">
        <v>45136</v>
      </c>
      <c r="K90" s="16">
        <v>45587</v>
      </c>
      <c r="L90" s="16">
        <v>1</v>
      </c>
      <c r="M90" s="16">
        <v>0</v>
      </c>
      <c r="N90" s="16">
        <v>0</v>
      </c>
      <c r="O90" s="16">
        <v>3</v>
      </c>
      <c r="P90" s="16">
        <v>2</v>
      </c>
      <c r="Q90" s="16">
        <v>5</v>
      </c>
      <c r="R90" s="18">
        <f t="shared" si="8"/>
        <v>26.203390718759007</v>
      </c>
      <c r="S90" s="18">
        <f t="shared" si="9"/>
        <v>0</v>
      </c>
      <c r="T90" s="18">
        <f t="shared" si="10"/>
        <v>0</v>
      </c>
      <c r="U90" s="18">
        <f t="shared" si="11"/>
        <v>8.7344635729196689</v>
      </c>
      <c r="V90" s="18">
        <f t="shared" si="12"/>
        <v>67.13512061943338</v>
      </c>
      <c r="W90" s="18">
        <f t="shared" si="13"/>
        <v>44.310528181495926</v>
      </c>
      <c r="X90" s="18">
        <f t="shared" si="14"/>
        <v>109.6803913396363</v>
      </c>
      <c r="Y90" s="18">
        <f t="shared" si="15"/>
        <v>73.708680046855207</v>
      </c>
    </row>
    <row r="91" spans="1:25">
      <c r="A91" s="15" t="s">
        <v>133</v>
      </c>
      <c r="B91" s="15" t="s">
        <v>454</v>
      </c>
      <c r="C91" s="15" t="s">
        <v>145</v>
      </c>
      <c r="D91" s="15" t="s">
        <v>145</v>
      </c>
      <c r="E91" s="16">
        <v>21201</v>
      </c>
      <c r="F91" s="16">
        <v>29619</v>
      </c>
      <c r="G91" s="16">
        <v>30124</v>
      </c>
      <c r="H91" s="16">
        <v>31768</v>
      </c>
      <c r="I91" s="16">
        <v>46562</v>
      </c>
      <c r="J91" s="16">
        <v>48206</v>
      </c>
      <c r="K91" s="16">
        <v>49850</v>
      </c>
      <c r="L91" s="16">
        <v>0</v>
      </c>
      <c r="M91" s="16">
        <v>0</v>
      </c>
      <c r="N91" s="16">
        <v>0</v>
      </c>
      <c r="O91" s="16">
        <v>1</v>
      </c>
      <c r="P91" s="16">
        <v>3</v>
      </c>
      <c r="Q91" s="16">
        <v>0</v>
      </c>
      <c r="R91" s="18">
        <f t="shared" si="8"/>
        <v>0</v>
      </c>
      <c r="S91" s="18">
        <f t="shared" si="9"/>
        <v>0</v>
      </c>
      <c r="T91" s="18">
        <f t="shared" si="10"/>
        <v>0</v>
      </c>
      <c r="U91" s="18">
        <f t="shared" si="11"/>
        <v>0</v>
      </c>
      <c r="V91" s="18">
        <f t="shared" si="12"/>
        <v>21.476740689832912</v>
      </c>
      <c r="W91" s="18">
        <f t="shared" si="13"/>
        <v>62.232917064265855</v>
      </c>
      <c r="X91" s="18">
        <f t="shared" si="14"/>
        <v>0</v>
      </c>
      <c r="Y91" s="18">
        <f t="shared" si="15"/>
        <v>27.903219251366256</v>
      </c>
    </row>
    <row r="92" spans="1:25">
      <c r="A92" s="15" t="s">
        <v>133</v>
      </c>
      <c r="B92" s="15" t="s">
        <v>454</v>
      </c>
      <c r="C92" s="15" t="s">
        <v>134</v>
      </c>
      <c r="D92" s="15" t="s">
        <v>134</v>
      </c>
      <c r="E92" s="16">
        <v>21202</v>
      </c>
      <c r="F92" s="16">
        <v>23784</v>
      </c>
      <c r="G92" s="16">
        <v>24531</v>
      </c>
      <c r="H92" s="16">
        <v>25708</v>
      </c>
      <c r="I92" s="16">
        <v>36299</v>
      </c>
      <c r="J92" s="16">
        <v>37475</v>
      </c>
      <c r="K92" s="16">
        <v>38652</v>
      </c>
      <c r="L92" s="16">
        <v>0</v>
      </c>
      <c r="M92" s="16">
        <v>0</v>
      </c>
      <c r="N92" s="16">
        <v>0</v>
      </c>
      <c r="O92" s="16">
        <v>0</v>
      </c>
      <c r="P92" s="16">
        <v>1</v>
      </c>
      <c r="Q92" s="16">
        <v>0</v>
      </c>
      <c r="R92" s="18">
        <f t="shared" si="8"/>
        <v>0</v>
      </c>
      <c r="S92" s="18">
        <f t="shared" si="9"/>
        <v>0</v>
      </c>
      <c r="T92" s="18">
        <f t="shared" si="10"/>
        <v>0</v>
      </c>
      <c r="U92" s="18">
        <f t="shared" si="11"/>
        <v>0</v>
      </c>
      <c r="V92" s="18">
        <f t="shared" si="12"/>
        <v>0</v>
      </c>
      <c r="W92" s="18">
        <f t="shared" si="13"/>
        <v>26.684456304202801</v>
      </c>
      <c r="X92" s="18">
        <f t="shared" si="14"/>
        <v>0</v>
      </c>
      <c r="Y92" s="18">
        <f t="shared" si="15"/>
        <v>8.8948187680675996</v>
      </c>
    </row>
    <row r="93" spans="1:25">
      <c r="A93" s="15" t="s">
        <v>133</v>
      </c>
      <c r="B93" s="15" t="s">
        <v>454</v>
      </c>
      <c r="C93" s="15" t="s">
        <v>105</v>
      </c>
      <c r="D93" s="15" t="s">
        <v>105</v>
      </c>
      <c r="E93" s="16">
        <v>21203</v>
      </c>
      <c r="F93" s="16">
        <v>17744</v>
      </c>
      <c r="G93" s="16">
        <v>17426</v>
      </c>
      <c r="H93" s="16">
        <v>17691</v>
      </c>
      <c r="I93" s="16">
        <v>20077</v>
      </c>
      <c r="J93" s="16">
        <v>20342</v>
      </c>
      <c r="K93" s="16">
        <v>20607</v>
      </c>
      <c r="L93" s="16">
        <v>0</v>
      </c>
      <c r="M93" s="16">
        <v>0</v>
      </c>
      <c r="N93" s="16">
        <v>0</v>
      </c>
      <c r="O93" s="16">
        <v>0</v>
      </c>
      <c r="P93" s="16">
        <v>3</v>
      </c>
      <c r="Q93" s="16">
        <v>0</v>
      </c>
      <c r="R93" s="18">
        <f t="shared" si="8"/>
        <v>0</v>
      </c>
      <c r="S93" s="18">
        <f t="shared" si="9"/>
        <v>0</v>
      </c>
      <c r="T93" s="18">
        <f t="shared" si="10"/>
        <v>0</v>
      </c>
      <c r="U93" s="18">
        <f t="shared" si="11"/>
        <v>0</v>
      </c>
      <c r="V93" s="18">
        <f t="shared" si="12"/>
        <v>0</v>
      </c>
      <c r="W93" s="18">
        <f t="shared" si="13"/>
        <v>147.47812407826174</v>
      </c>
      <c r="X93" s="18">
        <f t="shared" si="14"/>
        <v>0</v>
      </c>
      <c r="Y93" s="18">
        <f t="shared" si="15"/>
        <v>49.159374692753914</v>
      </c>
    </row>
    <row r="94" spans="1:25">
      <c r="A94" s="15" t="s">
        <v>133</v>
      </c>
      <c r="B94" s="15" t="s">
        <v>454</v>
      </c>
      <c r="C94" s="15" t="s">
        <v>373</v>
      </c>
      <c r="D94" s="15" t="s">
        <v>373</v>
      </c>
      <c r="E94" s="16">
        <v>21204</v>
      </c>
      <c r="F94" s="16">
        <v>6619</v>
      </c>
      <c r="G94" s="16">
        <v>6498</v>
      </c>
      <c r="H94" s="16">
        <v>6615</v>
      </c>
      <c r="I94" s="16">
        <v>7666</v>
      </c>
      <c r="J94" s="16">
        <v>7783</v>
      </c>
      <c r="K94" s="16">
        <v>7900</v>
      </c>
      <c r="L94" s="16">
        <v>0</v>
      </c>
      <c r="M94" s="16">
        <v>0</v>
      </c>
      <c r="N94" s="16">
        <v>0</v>
      </c>
      <c r="O94" s="16">
        <v>1</v>
      </c>
      <c r="P94" s="16">
        <v>0</v>
      </c>
      <c r="Q94" s="16">
        <v>0</v>
      </c>
      <c r="R94" s="18">
        <f t="shared" si="8"/>
        <v>0</v>
      </c>
      <c r="S94" s="18">
        <f t="shared" si="9"/>
        <v>0</v>
      </c>
      <c r="T94" s="18">
        <f t="shared" si="10"/>
        <v>0</v>
      </c>
      <c r="U94" s="18">
        <f t="shared" si="11"/>
        <v>0</v>
      </c>
      <c r="V94" s="18">
        <f t="shared" si="12"/>
        <v>130.44612575006522</v>
      </c>
      <c r="W94" s="18">
        <f t="shared" si="13"/>
        <v>0</v>
      </c>
      <c r="X94" s="18">
        <f t="shared" si="14"/>
        <v>0</v>
      </c>
      <c r="Y94" s="18">
        <f t="shared" si="15"/>
        <v>43.482041916688409</v>
      </c>
    </row>
    <row r="95" spans="1:25">
      <c r="A95" s="15" t="s">
        <v>133</v>
      </c>
      <c r="B95" s="15" t="s">
        <v>455</v>
      </c>
      <c r="C95" s="15" t="s">
        <v>456</v>
      </c>
      <c r="D95" s="15" t="s">
        <v>457</v>
      </c>
      <c r="E95" s="16">
        <v>21301</v>
      </c>
      <c r="F95" s="16">
        <v>30903</v>
      </c>
      <c r="G95" s="16">
        <v>31312</v>
      </c>
      <c r="H95" s="16">
        <v>31526</v>
      </c>
      <c r="I95" s="16">
        <v>33456</v>
      </c>
      <c r="J95" s="16">
        <v>33671</v>
      </c>
      <c r="K95" s="16">
        <v>33885</v>
      </c>
      <c r="L95" s="16">
        <v>0</v>
      </c>
      <c r="M95" s="16">
        <v>0</v>
      </c>
      <c r="N95" s="16">
        <v>0</v>
      </c>
      <c r="O95" s="16">
        <v>1</v>
      </c>
      <c r="P95" s="16">
        <v>0</v>
      </c>
      <c r="Q95" s="16">
        <v>1</v>
      </c>
      <c r="R95" s="18">
        <f t="shared" si="8"/>
        <v>0</v>
      </c>
      <c r="S95" s="18">
        <f t="shared" si="9"/>
        <v>0</v>
      </c>
      <c r="T95" s="18">
        <f t="shared" si="10"/>
        <v>0</v>
      </c>
      <c r="U95" s="18">
        <f t="shared" si="11"/>
        <v>0</v>
      </c>
      <c r="V95" s="18">
        <f t="shared" si="12"/>
        <v>29.890004782400766</v>
      </c>
      <c r="W95" s="18">
        <f t="shared" si="13"/>
        <v>0</v>
      </c>
      <c r="X95" s="18">
        <f t="shared" si="14"/>
        <v>29.511583296443852</v>
      </c>
      <c r="Y95" s="18">
        <f t="shared" si="15"/>
        <v>19.800529359614874</v>
      </c>
    </row>
    <row r="96" spans="1:25">
      <c r="A96" s="15" t="s">
        <v>133</v>
      </c>
      <c r="B96" s="15" t="s">
        <v>455</v>
      </c>
      <c r="C96" s="15" t="s">
        <v>307</v>
      </c>
      <c r="D96" s="15" t="s">
        <v>307</v>
      </c>
      <c r="E96" s="16">
        <v>21302</v>
      </c>
      <c r="F96" s="16">
        <v>8965</v>
      </c>
      <c r="G96" s="16">
        <v>8903</v>
      </c>
      <c r="H96" s="16">
        <v>8920</v>
      </c>
      <c r="I96" s="16">
        <v>9069</v>
      </c>
      <c r="J96" s="16">
        <v>9085</v>
      </c>
      <c r="K96" s="16">
        <v>9102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8">
        <f t="shared" si="8"/>
        <v>0</v>
      </c>
      <c r="S96" s="18">
        <f t="shared" si="9"/>
        <v>0</v>
      </c>
      <c r="T96" s="18">
        <f t="shared" si="10"/>
        <v>0</v>
      </c>
      <c r="U96" s="18">
        <f t="shared" si="11"/>
        <v>0</v>
      </c>
      <c r="V96" s="18">
        <f t="shared" si="12"/>
        <v>0</v>
      </c>
      <c r="W96" s="18">
        <f t="shared" si="13"/>
        <v>0</v>
      </c>
      <c r="X96" s="18">
        <f t="shared" si="14"/>
        <v>0</v>
      </c>
      <c r="Y96" s="18">
        <f t="shared" si="15"/>
        <v>0</v>
      </c>
    </row>
    <row r="97" spans="1:25">
      <c r="A97" s="15" t="s">
        <v>133</v>
      </c>
      <c r="B97" s="15" t="s">
        <v>455</v>
      </c>
      <c r="C97" s="15" t="s">
        <v>104</v>
      </c>
      <c r="D97" s="15" t="s">
        <v>104</v>
      </c>
      <c r="E97" s="16">
        <v>21303</v>
      </c>
      <c r="F97" s="16">
        <v>7724</v>
      </c>
      <c r="G97" s="16">
        <v>7798</v>
      </c>
      <c r="H97" s="16">
        <v>8086</v>
      </c>
      <c r="I97" s="16">
        <v>10681</v>
      </c>
      <c r="J97" s="16">
        <v>10970</v>
      </c>
      <c r="K97" s="16">
        <v>11258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1</v>
      </c>
      <c r="R97" s="18">
        <f t="shared" si="8"/>
        <v>0</v>
      </c>
      <c r="S97" s="18">
        <f t="shared" si="9"/>
        <v>0</v>
      </c>
      <c r="T97" s="18">
        <f t="shared" si="10"/>
        <v>0</v>
      </c>
      <c r="U97" s="18">
        <f t="shared" si="11"/>
        <v>0</v>
      </c>
      <c r="V97" s="18">
        <f t="shared" si="12"/>
        <v>0</v>
      </c>
      <c r="W97" s="18">
        <f t="shared" si="13"/>
        <v>0</v>
      </c>
      <c r="X97" s="18">
        <f t="shared" si="14"/>
        <v>88.825723929650025</v>
      </c>
      <c r="Y97" s="18">
        <f t="shared" si="15"/>
        <v>29.608574643216674</v>
      </c>
    </row>
    <row r="98" spans="1:25">
      <c r="A98" s="15" t="s">
        <v>133</v>
      </c>
      <c r="B98" s="15" t="s">
        <v>455</v>
      </c>
      <c r="C98" s="15" t="s">
        <v>109</v>
      </c>
      <c r="D98" s="15" t="s">
        <v>109</v>
      </c>
      <c r="E98" s="16">
        <v>21304</v>
      </c>
      <c r="F98" s="16">
        <v>12386</v>
      </c>
      <c r="G98" s="16">
        <v>12413</v>
      </c>
      <c r="H98" s="16">
        <v>12656</v>
      </c>
      <c r="I98" s="16">
        <v>14841</v>
      </c>
      <c r="J98" s="16">
        <v>15084</v>
      </c>
      <c r="K98" s="16">
        <v>15327</v>
      </c>
      <c r="L98" s="16">
        <v>0</v>
      </c>
      <c r="M98" s="16">
        <v>0</v>
      </c>
      <c r="N98" s="16">
        <v>0</v>
      </c>
      <c r="O98" s="16">
        <v>2</v>
      </c>
      <c r="P98" s="16">
        <v>2</v>
      </c>
      <c r="Q98" s="16">
        <v>2</v>
      </c>
      <c r="R98" s="18">
        <f t="shared" si="8"/>
        <v>0</v>
      </c>
      <c r="S98" s="18">
        <f t="shared" si="9"/>
        <v>0</v>
      </c>
      <c r="T98" s="18">
        <f t="shared" si="10"/>
        <v>0</v>
      </c>
      <c r="U98" s="18">
        <f t="shared" si="11"/>
        <v>0</v>
      </c>
      <c r="V98" s="18">
        <f t="shared" si="12"/>
        <v>134.76180850347012</v>
      </c>
      <c r="W98" s="18">
        <f t="shared" si="13"/>
        <v>132.59082471492974</v>
      </c>
      <c r="X98" s="18">
        <f t="shared" si="14"/>
        <v>130.48868010700073</v>
      </c>
      <c r="Y98" s="18">
        <f t="shared" si="15"/>
        <v>132.61377110846686</v>
      </c>
    </row>
    <row r="99" spans="1:25">
      <c r="A99" s="15" t="s">
        <v>133</v>
      </c>
      <c r="B99" s="15" t="s">
        <v>455</v>
      </c>
      <c r="C99" s="15" t="s">
        <v>143</v>
      </c>
      <c r="D99" s="15" t="s">
        <v>143</v>
      </c>
      <c r="E99" s="16">
        <v>21305</v>
      </c>
      <c r="F99" s="16">
        <v>22602</v>
      </c>
      <c r="G99" s="16">
        <v>22858</v>
      </c>
      <c r="H99" s="16">
        <v>23049</v>
      </c>
      <c r="I99" s="16">
        <v>24766</v>
      </c>
      <c r="J99" s="16">
        <v>24957</v>
      </c>
      <c r="K99" s="16">
        <v>25148</v>
      </c>
      <c r="L99" s="16">
        <v>1</v>
      </c>
      <c r="M99" s="16">
        <v>2</v>
      </c>
      <c r="N99" s="16">
        <v>6</v>
      </c>
      <c r="O99" s="16">
        <v>1</v>
      </c>
      <c r="P99" s="16">
        <v>2</v>
      </c>
      <c r="Q99" s="16">
        <v>1</v>
      </c>
      <c r="R99" s="18">
        <f t="shared" si="8"/>
        <v>44.243872223697018</v>
      </c>
      <c r="S99" s="18">
        <f t="shared" si="9"/>
        <v>87.496718873042255</v>
      </c>
      <c r="T99" s="18">
        <f t="shared" si="10"/>
        <v>260.31498112716389</v>
      </c>
      <c r="U99" s="18">
        <f t="shared" si="11"/>
        <v>130.68519074130106</v>
      </c>
      <c r="V99" s="18">
        <f t="shared" si="12"/>
        <v>40.377937494952761</v>
      </c>
      <c r="W99" s="18">
        <f t="shared" si="13"/>
        <v>80.137837079777213</v>
      </c>
      <c r="X99" s="18">
        <f t="shared" si="14"/>
        <v>39.764593605853349</v>
      </c>
      <c r="Y99" s="18">
        <f t="shared" si="15"/>
        <v>53.42678939352777</v>
      </c>
    </row>
    <row r="100" spans="1:25">
      <c r="A100" s="15" t="s">
        <v>133</v>
      </c>
      <c r="B100" s="15" t="s">
        <v>455</v>
      </c>
      <c r="C100" s="15" t="s">
        <v>115</v>
      </c>
      <c r="D100" s="15" t="s">
        <v>115</v>
      </c>
      <c r="E100" s="16">
        <v>21306</v>
      </c>
      <c r="F100" s="16">
        <v>9710</v>
      </c>
      <c r="G100" s="16">
        <v>9879</v>
      </c>
      <c r="H100" s="16">
        <v>10097</v>
      </c>
      <c r="I100" s="16">
        <v>12055</v>
      </c>
      <c r="J100" s="16">
        <v>12272</v>
      </c>
      <c r="K100" s="16">
        <v>12490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8">
        <f t="shared" si="8"/>
        <v>0</v>
      </c>
      <c r="S100" s="18">
        <f t="shared" si="9"/>
        <v>0</v>
      </c>
      <c r="T100" s="18">
        <f t="shared" si="10"/>
        <v>0</v>
      </c>
      <c r="U100" s="18">
        <f t="shared" si="11"/>
        <v>0</v>
      </c>
      <c r="V100" s="18">
        <f t="shared" si="12"/>
        <v>0</v>
      </c>
      <c r="W100" s="18">
        <f t="shared" si="13"/>
        <v>0</v>
      </c>
      <c r="X100" s="18">
        <f t="shared" si="14"/>
        <v>0</v>
      </c>
      <c r="Y100" s="18">
        <f t="shared" si="15"/>
        <v>0</v>
      </c>
    </row>
    <row r="101" spans="1:25">
      <c r="A101" s="15" t="s">
        <v>133</v>
      </c>
      <c r="B101" s="15" t="s">
        <v>455</v>
      </c>
      <c r="C101" s="15" t="s">
        <v>114</v>
      </c>
      <c r="D101" s="15" t="s">
        <v>114</v>
      </c>
      <c r="E101" s="16">
        <v>21307</v>
      </c>
      <c r="F101" s="16">
        <v>4850</v>
      </c>
      <c r="G101" s="16">
        <v>5042</v>
      </c>
      <c r="H101" s="16">
        <v>5082</v>
      </c>
      <c r="I101" s="16">
        <v>5445</v>
      </c>
      <c r="J101" s="16">
        <v>5486</v>
      </c>
      <c r="K101" s="16">
        <v>5526</v>
      </c>
      <c r="L101" s="16">
        <v>0</v>
      </c>
      <c r="M101" s="16">
        <v>0</v>
      </c>
      <c r="N101" s="16">
        <v>0</v>
      </c>
      <c r="O101" s="16">
        <v>1</v>
      </c>
      <c r="P101" s="16">
        <v>0</v>
      </c>
      <c r="Q101" s="16">
        <v>0</v>
      </c>
      <c r="R101" s="18">
        <f t="shared" si="8"/>
        <v>0</v>
      </c>
      <c r="S101" s="18">
        <f t="shared" si="9"/>
        <v>0</v>
      </c>
      <c r="T101" s="18">
        <f t="shared" si="10"/>
        <v>0</v>
      </c>
      <c r="U101" s="18">
        <f t="shared" si="11"/>
        <v>0</v>
      </c>
      <c r="V101" s="18">
        <f t="shared" si="12"/>
        <v>183.65472910927457</v>
      </c>
      <c r="W101" s="18">
        <f t="shared" si="13"/>
        <v>0</v>
      </c>
      <c r="X101" s="18">
        <f t="shared" si="14"/>
        <v>0</v>
      </c>
      <c r="Y101" s="18">
        <f t="shared" si="15"/>
        <v>61.218243036424859</v>
      </c>
    </row>
    <row r="102" spans="1:25">
      <c r="A102" s="15" t="s">
        <v>133</v>
      </c>
      <c r="B102" s="15" t="s">
        <v>458</v>
      </c>
      <c r="C102" s="15" t="s">
        <v>121</v>
      </c>
      <c r="D102" s="15" t="s">
        <v>121</v>
      </c>
      <c r="E102" s="16">
        <v>21401</v>
      </c>
      <c r="F102" s="16">
        <v>18746</v>
      </c>
      <c r="G102" s="16">
        <v>19397</v>
      </c>
      <c r="H102" s="16">
        <v>20090</v>
      </c>
      <c r="I102" s="16">
        <v>26325</v>
      </c>
      <c r="J102" s="16">
        <v>27018</v>
      </c>
      <c r="K102" s="16">
        <v>27711</v>
      </c>
      <c r="L102" s="16">
        <v>0</v>
      </c>
      <c r="M102" s="16">
        <v>0</v>
      </c>
      <c r="N102" s="16">
        <v>0</v>
      </c>
      <c r="O102" s="16">
        <v>5</v>
      </c>
      <c r="P102" s="16">
        <v>2</v>
      </c>
      <c r="Q102" s="16">
        <v>3</v>
      </c>
      <c r="R102" s="18">
        <f t="shared" si="8"/>
        <v>0</v>
      </c>
      <c r="S102" s="18">
        <f t="shared" si="9"/>
        <v>0</v>
      </c>
      <c r="T102" s="18">
        <f t="shared" si="10"/>
        <v>0</v>
      </c>
      <c r="U102" s="18">
        <f t="shared" si="11"/>
        <v>0</v>
      </c>
      <c r="V102" s="18">
        <f t="shared" si="12"/>
        <v>189.93352326685658</v>
      </c>
      <c r="W102" s="18">
        <f t="shared" si="13"/>
        <v>74.024724257902136</v>
      </c>
      <c r="X102" s="18">
        <f t="shared" si="14"/>
        <v>108.26025765941323</v>
      </c>
      <c r="Y102" s="18">
        <f t="shared" si="15"/>
        <v>124.07283506139065</v>
      </c>
    </row>
    <row r="103" spans="1:25">
      <c r="A103" s="15" t="s">
        <v>133</v>
      </c>
      <c r="B103" s="15" t="s">
        <v>458</v>
      </c>
      <c r="C103" s="15" t="s">
        <v>119</v>
      </c>
      <c r="D103" s="15" t="s">
        <v>119</v>
      </c>
      <c r="E103" s="16">
        <v>21402</v>
      </c>
      <c r="F103" s="16">
        <v>16431</v>
      </c>
      <c r="G103" s="16">
        <v>16930</v>
      </c>
      <c r="H103" s="16">
        <v>17480</v>
      </c>
      <c r="I103" s="16">
        <v>22430</v>
      </c>
      <c r="J103" s="16">
        <v>22980</v>
      </c>
      <c r="K103" s="16">
        <v>23530</v>
      </c>
      <c r="L103" s="16">
        <v>0</v>
      </c>
      <c r="M103" s="16">
        <v>0</v>
      </c>
      <c r="N103" s="16">
        <v>0</v>
      </c>
      <c r="O103" s="16">
        <v>1</v>
      </c>
      <c r="P103" s="16">
        <v>3</v>
      </c>
      <c r="Q103" s="16">
        <v>1</v>
      </c>
      <c r="R103" s="18">
        <f t="shared" si="8"/>
        <v>0</v>
      </c>
      <c r="S103" s="18">
        <f t="shared" si="9"/>
        <v>0</v>
      </c>
      <c r="T103" s="18">
        <f t="shared" si="10"/>
        <v>0</v>
      </c>
      <c r="U103" s="18">
        <f t="shared" si="11"/>
        <v>0</v>
      </c>
      <c r="V103" s="18">
        <f t="shared" si="12"/>
        <v>44.583147570218458</v>
      </c>
      <c r="W103" s="18">
        <f t="shared" si="13"/>
        <v>130.54830287206266</v>
      </c>
      <c r="X103" s="18">
        <f t="shared" si="14"/>
        <v>42.498937526561832</v>
      </c>
      <c r="Y103" s="18">
        <f t="shared" si="15"/>
        <v>72.54346265628098</v>
      </c>
    </row>
    <row r="104" spans="1:25">
      <c r="A104" s="15" t="s">
        <v>133</v>
      </c>
      <c r="B104" s="15" t="s">
        <v>459</v>
      </c>
      <c r="C104" s="15" t="s">
        <v>130</v>
      </c>
      <c r="D104" s="15" t="s">
        <v>130</v>
      </c>
      <c r="E104" s="16">
        <v>21501</v>
      </c>
      <c r="F104" s="16">
        <v>9022</v>
      </c>
      <c r="G104" s="16">
        <v>9362</v>
      </c>
      <c r="H104" s="16">
        <v>9631</v>
      </c>
      <c r="I104" s="16">
        <v>12056</v>
      </c>
      <c r="J104" s="16">
        <v>12326</v>
      </c>
      <c r="K104" s="16">
        <v>12595</v>
      </c>
      <c r="L104" s="16">
        <v>1</v>
      </c>
      <c r="M104" s="16">
        <v>0</v>
      </c>
      <c r="N104" s="16">
        <v>0</v>
      </c>
      <c r="O104" s="16">
        <v>0</v>
      </c>
      <c r="P104" s="16">
        <v>0</v>
      </c>
      <c r="Q104" s="16">
        <v>1</v>
      </c>
      <c r="R104" s="18">
        <f t="shared" si="8"/>
        <v>110.84016847705608</v>
      </c>
      <c r="S104" s="18">
        <f t="shared" si="9"/>
        <v>0</v>
      </c>
      <c r="T104" s="18">
        <f t="shared" si="10"/>
        <v>0</v>
      </c>
      <c r="U104" s="18">
        <f t="shared" si="11"/>
        <v>36.946722825685363</v>
      </c>
      <c r="V104" s="18">
        <f t="shared" si="12"/>
        <v>0</v>
      </c>
      <c r="W104" s="18">
        <f t="shared" si="13"/>
        <v>0</v>
      </c>
      <c r="X104" s="18">
        <f t="shared" si="14"/>
        <v>79.396585946804279</v>
      </c>
      <c r="Y104" s="18">
        <f t="shared" si="15"/>
        <v>26.465528648934761</v>
      </c>
    </row>
    <row r="105" spans="1:25">
      <c r="A105" s="15" t="s">
        <v>133</v>
      </c>
      <c r="B105" s="15" t="s">
        <v>459</v>
      </c>
      <c r="C105" s="15" t="s">
        <v>151</v>
      </c>
      <c r="D105" s="15" t="s">
        <v>151</v>
      </c>
      <c r="E105" s="16">
        <v>21502</v>
      </c>
      <c r="F105" s="16">
        <v>8483</v>
      </c>
      <c r="G105" s="16">
        <v>8711</v>
      </c>
      <c r="H105" s="16">
        <v>8827</v>
      </c>
      <c r="I105" s="16">
        <v>9873</v>
      </c>
      <c r="J105" s="16">
        <v>9989</v>
      </c>
      <c r="K105" s="16">
        <v>10105</v>
      </c>
      <c r="L105" s="16">
        <v>0</v>
      </c>
      <c r="M105" s="16">
        <v>0</v>
      </c>
      <c r="N105" s="16">
        <v>0</v>
      </c>
      <c r="O105" s="16">
        <v>1</v>
      </c>
      <c r="P105" s="16">
        <v>2</v>
      </c>
      <c r="Q105" s="16">
        <v>4</v>
      </c>
      <c r="R105" s="18">
        <f t="shared" si="8"/>
        <v>0</v>
      </c>
      <c r="S105" s="18">
        <f t="shared" si="9"/>
        <v>0</v>
      </c>
      <c r="T105" s="18">
        <f t="shared" si="10"/>
        <v>0</v>
      </c>
      <c r="U105" s="18">
        <f t="shared" si="11"/>
        <v>0</v>
      </c>
      <c r="V105" s="18">
        <f t="shared" si="12"/>
        <v>101.28633647320976</v>
      </c>
      <c r="W105" s="18">
        <f t="shared" si="13"/>
        <v>200.22024226649313</v>
      </c>
      <c r="X105" s="18">
        <f t="shared" si="14"/>
        <v>395.84364176150416</v>
      </c>
      <c r="Y105" s="18">
        <f t="shared" si="15"/>
        <v>232.45007350040237</v>
      </c>
    </row>
    <row r="106" spans="1:25">
      <c r="A106" s="15" t="s">
        <v>133</v>
      </c>
      <c r="B106" s="15" t="s">
        <v>460</v>
      </c>
      <c r="C106" s="15" t="s">
        <v>461</v>
      </c>
      <c r="D106" s="15" t="s">
        <v>462</v>
      </c>
      <c r="E106" s="16">
        <v>21601</v>
      </c>
      <c r="F106" s="16">
        <v>12672</v>
      </c>
      <c r="G106" s="16">
        <v>13023</v>
      </c>
      <c r="H106" s="16">
        <v>13251</v>
      </c>
      <c r="I106" s="16">
        <v>15306</v>
      </c>
      <c r="J106" s="16">
        <v>15535</v>
      </c>
      <c r="K106" s="16">
        <v>15763</v>
      </c>
      <c r="L106" s="16">
        <v>0</v>
      </c>
      <c r="M106" s="16">
        <v>0</v>
      </c>
      <c r="N106" s="16">
        <v>1</v>
      </c>
      <c r="O106" s="16">
        <v>1</v>
      </c>
      <c r="P106" s="16">
        <v>1</v>
      </c>
      <c r="Q106" s="16">
        <v>1</v>
      </c>
      <c r="R106" s="18">
        <f t="shared" si="8"/>
        <v>0</v>
      </c>
      <c r="S106" s="18">
        <f t="shared" si="9"/>
        <v>0</v>
      </c>
      <c r="T106" s="18">
        <f t="shared" si="10"/>
        <v>75.466002565844093</v>
      </c>
      <c r="U106" s="18">
        <f t="shared" si="11"/>
        <v>25.155334188614699</v>
      </c>
      <c r="V106" s="18">
        <f t="shared" si="12"/>
        <v>65.333856004181357</v>
      </c>
      <c r="W106" s="18">
        <f t="shared" si="13"/>
        <v>64.3707756678468</v>
      </c>
      <c r="X106" s="18">
        <f t="shared" si="14"/>
        <v>63.439700564613332</v>
      </c>
      <c r="Y106" s="18">
        <f t="shared" si="15"/>
        <v>64.381444078880492</v>
      </c>
    </row>
    <row r="107" spans="1:25">
      <c r="A107" s="15" t="s">
        <v>133</v>
      </c>
      <c r="B107" s="15" t="s">
        <v>460</v>
      </c>
      <c r="C107" s="15" t="s">
        <v>122</v>
      </c>
      <c r="D107" s="15" t="s">
        <v>122</v>
      </c>
      <c r="E107" s="16">
        <v>21602</v>
      </c>
      <c r="F107" s="16">
        <v>3188</v>
      </c>
      <c r="G107" s="16">
        <v>3285</v>
      </c>
      <c r="H107" s="16">
        <v>3562</v>
      </c>
      <c r="I107" s="16">
        <v>6057</v>
      </c>
      <c r="J107" s="16">
        <v>6334</v>
      </c>
      <c r="K107" s="16">
        <v>6611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8">
        <f t="shared" si="8"/>
        <v>0</v>
      </c>
      <c r="S107" s="18">
        <f t="shared" si="9"/>
        <v>0</v>
      </c>
      <c r="T107" s="18">
        <f t="shared" si="10"/>
        <v>0</v>
      </c>
      <c r="U107" s="18">
        <f t="shared" si="11"/>
        <v>0</v>
      </c>
      <c r="V107" s="18">
        <f t="shared" si="12"/>
        <v>0</v>
      </c>
      <c r="W107" s="18">
        <f t="shared" si="13"/>
        <v>0</v>
      </c>
      <c r="X107" s="18">
        <f t="shared" si="14"/>
        <v>0</v>
      </c>
      <c r="Y107" s="18">
        <f t="shared" si="15"/>
        <v>0</v>
      </c>
    </row>
    <row r="108" spans="1:25">
      <c r="A108" s="15" t="s">
        <v>133</v>
      </c>
      <c r="B108" s="15" t="s">
        <v>463</v>
      </c>
      <c r="C108" s="15" t="s">
        <v>118</v>
      </c>
      <c r="D108" s="15" t="s">
        <v>118</v>
      </c>
      <c r="E108" s="16">
        <v>21701</v>
      </c>
      <c r="F108" s="16">
        <v>14900</v>
      </c>
      <c r="G108" s="16">
        <v>14931</v>
      </c>
      <c r="H108" s="16">
        <v>15142</v>
      </c>
      <c r="I108" s="16">
        <v>17041</v>
      </c>
      <c r="J108" s="16">
        <v>17252</v>
      </c>
      <c r="K108" s="16">
        <v>17463</v>
      </c>
      <c r="L108" s="16">
        <v>0</v>
      </c>
      <c r="M108" s="16">
        <v>0</v>
      </c>
      <c r="N108" s="16">
        <v>0</v>
      </c>
      <c r="O108" s="16">
        <v>2</v>
      </c>
      <c r="P108" s="16">
        <v>0</v>
      </c>
      <c r="Q108" s="16">
        <v>0</v>
      </c>
      <c r="R108" s="18">
        <f t="shared" si="8"/>
        <v>0</v>
      </c>
      <c r="S108" s="18">
        <f t="shared" si="9"/>
        <v>0</v>
      </c>
      <c r="T108" s="18">
        <f t="shared" si="10"/>
        <v>0</v>
      </c>
      <c r="U108" s="18">
        <f t="shared" si="11"/>
        <v>0</v>
      </c>
      <c r="V108" s="18">
        <f t="shared" si="12"/>
        <v>117.36400445983217</v>
      </c>
      <c r="W108" s="18">
        <f t="shared" si="13"/>
        <v>0</v>
      </c>
      <c r="X108" s="18">
        <f t="shared" si="14"/>
        <v>0</v>
      </c>
      <c r="Y108" s="18">
        <f t="shared" si="15"/>
        <v>39.12133481994406</v>
      </c>
    </row>
    <row r="109" spans="1:25">
      <c r="A109" s="15" t="s">
        <v>133</v>
      </c>
      <c r="B109" s="15" t="s">
        <v>463</v>
      </c>
      <c r="C109" s="15" t="s">
        <v>152</v>
      </c>
      <c r="D109" s="15" t="s">
        <v>152</v>
      </c>
      <c r="E109" s="16">
        <v>21702</v>
      </c>
      <c r="F109" s="16">
        <v>6056</v>
      </c>
      <c r="G109" s="16">
        <v>6052</v>
      </c>
      <c r="H109" s="16">
        <v>6311</v>
      </c>
      <c r="I109" s="16">
        <v>8645</v>
      </c>
      <c r="J109" s="16">
        <v>8905</v>
      </c>
      <c r="K109" s="16">
        <v>9164</v>
      </c>
      <c r="L109" s="16">
        <v>0</v>
      </c>
      <c r="M109" s="16">
        <v>0</v>
      </c>
      <c r="N109" s="16">
        <v>0</v>
      </c>
      <c r="O109" s="16">
        <v>1</v>
      </c>
      <c r="P109" s="16">
        <v>1</v>
      </c>
      <c r="Q109" s="16">
        <v>0</v>
      </c>
      <c r="R109" s="18">
        <f t="shared" si="8"/>
        <v>0</v>
      </c>
      <c r="S109" s="18">
        <f t="shared" si="9"/>
        <v>0</v>
      </c>
      <c r="T109" s="18">
        <f t="shared" si="10"/>
        <v>0</v>
      </c>
      <c r="U109" s="18">
        <f t="shared" si="11"/>
        <v>0</v>
      </c>
      <c r="V109" s="18">
        <f t="shared" si="12"/>
        <v>115.6737998843262</v>
      </c>
      <c r="W109" s="18">
        <f t="shared" si="13"/>
        <v>112.29646266142616</v>
      </c>
      <c r="X109" s="18">
        <f t="shared" si="14"/>
        <v>0</v>
      </c>
      <c r="Y109" s="18">
        <f t="shared" si="15"/>
        <v>75.990087515250778</v>
      </c>
    </row>
    <row r="110" spans="1:25">
      <c r="A110" s="15" t="s">
        <v>133</v>
      </c>
      <c r="B110" s="15" t="s">
        <v>463</v>
      </c>
      <c r="C110" s="15" t="s">
        <v>161</v>
      </c>
      <c r="D110" s="15" t="s">
        <v>161</v>
      </c>
      <c r="E110" s="16">
        <v>21703</v>
      </c>
      <c r="F110" s="16">
        <v>5893</v>
      </c>
      <c r="G110" s="16">
        <v>6261</v>
      </c>
      <c r="H110" s="16">
        <v>6366</v>
      </c>
      <c r="I110" s="16">
        <v>7314</v>
      </c>
      <c r="J110" s="16">
        <v>7420</v>
      </c>
      <c r="K110" s="16">
        <v>7525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1</v>
      </c>
      <c r="R110" s="18">
        <f t="shared" si="8"/>
        <v>0</v>
      </c>
      <c r="S110" s="18">
        <f t="shared" si="9"/>
        <v>0</v>
      </c>
      <c r="T110" s="18">
        <f t="shared" si="10"/>
        <v>0</v>
      </c>
      <c r="U110" s="18">
        <f t="shared" si="11"/>
        <v>0</v>
      </c>
      <c r="V110" s="18">
        <f t="shared" si="12"/>
        <v>0</v>
      </c>
      <c r="W110" s="18">
        <f t="shared" si="13"/>
        <v>0</v>
      </c>
      <c r="X110" s="18">
        <f t="shared" si="14"/>
        <v>132.89036544850498</v>
      </c>
      <c r="Y110" s="18">
        <f t="shared" si="15"/>
        <v>44.296788482834991</v>
      </c>
    </row>
    <row r="111" spans="1:25">
      <c r="A111" s="15" t="s">
        <v>133</v>
      </c>
      <c r="B111" s="15" t="s">
        <v>464</v>
      </c>
      <c r="C111" s="15" t="s">
        <v>309</v>
      </c>
      <c r="D111" s="15" t="s">
        <v>309</v>
      </c>
      <c r="E111" s="16">
        <v>21801</v>
      </c>
      <c r="F111" s="16">
        <v>8789</v>
      </c>
      <c r="G111" s="16">
        <v>8858</v>
      </c>
      <c r="H111" s="16">
        <v>8888</v>
      </c>
      <c r="I111" s="16">
        <v>9157</v>
      </c>
      <c r="J111" s="16">
        <v>9187</v>
      </c>
      <c r="K111" s="16">
        <v>9217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8">
        <f t="shared" si="8"/>
        <v>0</v>
      </c>
      <c r="S111" s="18">
        <f t="shared" si="9"/>
        <v>0</v>
      </c>
      <c r="T111" s="18">
        <f t="shared" si="10"/>
        <v>0</v>
      </c>
      <c r="U111" s="18">
        <f t="shared" si="11"/>
        <v>0</v>
      </c>
      <c r="V111" s="18">
        <f t="shared" si="12"/>
        <v>0</v>
      </c>
      <c r="W111" s="18">
        <f t="shared" si="13"/>
        <v>0</v>
      </c>
      <c r="X111" s="18">
        <f t="shared" si="14"/>
        <v>0</v>
      </c>
      <c r="Y111" s="18">
        <f t="shared" si="15"/>
        <v>0</v>
      </c>
    </row>
    <row r="112" spans="1:25">
      <c r="A112" s="15" t="s">
        <v>133</v>
      </c>
      <c r="B112" s="15" t="s">
        <v>465</v>
      </c>
      <c r="C112" s="15" t="s">
        <v>142</v>
      </c>
      <c r="D112" s="15" t="s">
        <v>142</v>
      </c>
      <c r="E112" s="16">
        <v>21802</v>
      </c>
      <c r="F112" s="16">
        <v>6917</v>
      </c>
      <c r="G112" s="16">
        <v>7003</v>
      </c>
      <c r="H112" s="16">
        <v>6974</v>
      </c>
      <c r="I112" s="16">
        <v>6708</v>
      </c>
      <c r="J112" s="16">
        <v>6679</v>
      </c>
      <c r="K112" s="16">
        <v>6649</v>
      </c>
      <c r="L112" s="16">
        <v>0</v>
      </c>
      <c r="M112" s="16">
        <v>0</v>
      </c>
      <c r="N112" s="16">
        <v>0</v>
      </c>
      <c r="O112" s="16">
        <v>1</v>
      </c>
      <c r="P112" s="16">
        <v>0</v>
      </c>
      <c r="Q112" s="16">
        <v>0</v>
      </c>
      <c r="R112" s="18">
        <f t="shared" si="8"/>
        <v>0</v>
      </c>
      <c r="S112" s="18">
        <f t="shared" si="9"/>
        <v>0</v>
      </c>
      <c r="T112" s="18">
        <f t="shared" si="10"/>
        <v>0</v>
      </c>
      <c r="U112" s="18">
        <f t="shared" si="11"/>
        <v>0</v>
      </c>
      <c r="V112" s="18">
        <f t="shared" si="12"/>
        <v>149.07573047107931</v>
      </c>
      <c r="W112" s="18">
        <f t="shared" si="13"/>
        <v>0</v>
      </c>
      <c r="X112" s="18">
        <f t="shared" si="14"/>
        <v>0</v>
      </c>
      <c r="Y112" s="18">
        <f t="shared" si="15"/>
        <v>49.691910157026435</v>
      </c>
    </row>
    <row r="113" spans="1:25">
      <c r="A113" s="15" t="s">
        <v>133</v>
      </c>
      <c r="B113" s="15" t="s">
        <v>465</v>
      </c>
      <c r="C113" s="15" t="s">
        <v>306</v>
      </c>
      <c r="D113" s="15" t="s">
        <v>306</v>
      </c>
      <c r="E113" s="16">
        <v>21803</v>
      </c>
      <c r="F113" s="16">
        <v>1964</v>
      </c>
      <c r="G113" s="16">
        <v>2004</v>
      </c>
      <c r="H113" s="16">
        <v>2008</v>
      </c>
      <c r="I113" s="16">
        <v>2044</v>
      </c>
      <c r="J113" s="16">
        <v>2048</v>
      </c>
      <c r="K113" s="16">
        <v>2052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8">
        <f t="shared" si="8"/>
        <v>0</v>
      </c>
      <c r="S113" s="18">
        <f t="shared" si="9"/>
        <v>0</v>
      </c>
      <c r="T113" s="18">
        <f t="shared" si="10"/>
        <v>0</v>
      </c>
      <c r="U113" s="18">
        <f t="shared" si="11"/>
        <v>0</v>
      </c>
      <c r="V113" s="18">
        <f t="shared" si="12"/>
        <v>0</v>
      </c>
      <c r="W113" s="18">
        <f t="shared" si="13"/>
        <v>0</v>
      </c>
      <c r="X113" s="18">
        <f t="shared" si="14"/>
        <v>0</v>
      </c>
      <c r="Y113" s="18">
        <f t="shared" si="15"/>
        <v>0</v>
      </c>
    </row>
    <row r="114" spans="1:25">
      <c r="A114" s="15" t="s">
        <v>133</v>
      </c>
      <c r="B114" s="15" t="s">
        <v>466</v>
      </c>
      <c r="C114" s="15" t="s">
        <v>154</v>
      </c>
      <c r="D114" s="15" t="s">
        <v>154</v>
      </c>
      <c r="E114" s="16">
        <v>21901</v>
      </c>
      <c r="F114" s="16">
        <v>4576</v>
      </c>
      <c r="G114" s="16">
        <v>4593</v>
      </c>
      <c r="H114" s="16">
        <v>4777</v>
      </c>
      <c r="I114" s="16">
        <v>6436</v>
      </c>
      <c r="J114" s="16">
        <v>6621</v>
      </c>
      <c r="K114" s="16">
        <v>6805</v>
      </c>
      <c r="L114" s="16">
        <v>0</v>
      </c>
      <c r="M114" s="16">
        <v>0</v>
      </c>
      <c r="N114" s="16">
        <v>0</v>
      </c>
      <c r="O114" s="16">
        <v>2</v>
      </c>
      <c r="P114" s="16">
        <v>1</v>
      </c>
      <c r="Q114" s="16">
        <v>0</v>
      </c>
      <c r="R114" s="18">
        <f t="shared" si="8"/>
        <v>0</v>
      </c>
      <c r="S114" s="18">
        <f t="shared" si="9"/>
        <v>0</v>
      </c>
      <c r="T114" s="18">
        <f t="shared" si="10"/>
        <v>0</v>
      </c>
      <c r="U114" s="18">
        <f t="shared" si="11"/>
        <v>0</v>
      </c>
      <c r="V114" s="18">
        <f t="shared" si="12"/>
        <v>310.75201988812927</v>
      </c>
      <c r="W114" s="18">
        <f t="shared" si="13"/>
        <v>151.03458692040479</v>
      </c>
      <c r="X114" s="18">
        <f t="shared" si="14"/>
        <v>0</v>
      </c>
      <c r="Y114" s="18">
        <f t="shared" si="15"/>
        <v>153.92886893617802</v>
      </c>
    </row>
    <row r="115" spans="1:25">
      <c r="A115" s="15" t="s">
        <v>133</v>
      </c>
      <c r="B115" s="15" t="s">
        <v>466</v>
      </c>
      <c r="C115" s="15" t="s">
        <v>348</v>
      </c>
      <c r="D115" s="15" t="s">
        <v>348</v>
      </c>
      <c r="E115" s="16">
        <v>21902</v>
      </c>
      <c r="F115" s="16">
        <v>2777</v>
      </c>
      <c r="G115" s="16">
        <v>2881</v>
      </c>
      <c r="H115" s="16">
        <v>3087</v>
      </c>
      <c r="I115" s="16">
        <v>4939</v>
      </c>
      <c r="J115" s="16">
        <v>5145</v>
      </c>
      <c r="K115" s="16">
        <v>5351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8">
        <f t="shared" si="8"/>
        <v>0</v>
      </c>
      <c r="S115" s="18">
        <f t="shared" si="9"/>
        <v>0</v>
      </c>
      <c r="T115" s="18">
        <f t="shared" si="10"/>
        <v>0</v>
      </c>
      <c r="U115" s="18">
        <f t="shared" si="11"/>
        <v>0</v>
      </c>
      <c r="V115" s="18">
        <f t="shared" si="12"/>
        <v>0</v>
      </c>
      <c r="W115" s="18">
        <f t="shared" si="13"/>
        <v>0</v>
      </c>
      <c r="X115" s="18">
        <f t="shared" si="14"/>
        <v>0</v>
      </c>
      <c r="Y115" s="18">
        <f t="shared" si="15"/>
        <v>0</v>
      </c>
    </row>
    <row r="116" spans="1:25">
      <c r="A116" s="15" t="s">
        <v>133</v>
      </c>
      <c r="B116" s="15" t="s">
        <v>111</v>
      </c>
      <c r="C116" s="15" t="s">
        <v>111</v>
      </c>
      <c r="D116" s="15" t="s">
        <v>111</v>
      </c>
      <c r="E116" s="16">
        <v>22001</v>
      </c>
      <c r="F116" s="16">
        <v>49669</v>
      </c>
      <c r="G116" s="16">
        <v>50330</v>
      </c>
      <c r="H116" s="16">
        <v>51109</v>
      </c>
      <c r="I116" s="16">
        <v>58118</v>
      </c>
      <c r="J116" s="16">
        <v>58897</v>
      </c>
      <c r="K116" s="16">
        <v>59676</v>
      </c>
      <c r="L116" s="16">
        <v>1</v>
      </c>
      <c r="M116" s="16">
        <v>5</v>
      </c>
      <c r="N116" s="16">
        <v>4</v>
      </c>
      <c r="O116" s="16">
        <v>16</v>
      </c>
      <c r="P116" s="16">
        <v>25</v>
      </c>
      <c r="Q116" s="16">
        <v>15</v>
      </c>
      <c r="R116" s="18">
        <f t="shared" si="8"/>
        <v>20.133282329018101</v>
      </c>
      <c r="S116" s="18">
        <f t="shared" si="9"/>
        <v>99.344327438903235</v>
      </c>
      <c r="T116" s="18">
        <f t="shared" si="10"/>
        <v>78.264102212917493</v>
      </c>
      <c r="U116" s="18">
        <f t="shared" si="11"/>
        <v>65.913903993612948</v>
      </c>
      <c r="V116" s="18">
        <f t="shared" si="12"/>
        <v>275.30197185037338</v>
      </c>
      <c r="W116" s="18">
        <f t="shared" si="13"/>
        <v>424.46983717337048</v>
      </c>
      <c r="X116" s="18">
        <f t="shared" si="14"/>
        <v>251.35732957973053</v>
      </c>
      <c r="Y116" s="18">
        <f t="shared" si="15"/>
        <v>317.04304620115812</v>
      </c>
    </row>
    <row r="117" spans="1:25">
      <c r="A117" s="15" t="s">
        <v>133</v>
      </c>
      <c r="B117" s="15" t="s">
        <v>111</v>
      </c>
      <c r="C117" s="15" t="s">
        <v>375</v>
      </c>
      <c r="D117" s="15" t="s">
        <v>375</v>
      </c>
      <c r="E117" s="16">
        <v>22002</v>
      </c>
      <c r="F117" s="16">
        <v>10912</v>
      </c>
      <c r="G117" s="16">
        <v>11194</v>
      </c>
      <c r="H117" s="16">
        <v>11143</v>
      </c>
      <c r="I117" s="16">
        <v>10687</v>
      </c>
      <c r="J117" s="16">
        <v>10636</v>
      </c>
      <c r="K117" s="16">
        <v>10585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8">
        <f t="shared" si="8"/>
        <v>0</v>
      </c>
      <c r="S117" s="18">
        <f t="shared" si="9"/>
        <v>0</v>
      </c>
      <c r="T117" s="18">
        <f t="shared" si="10"/>
        <v>0</v>
      </c>
      <c r="U117" s="18">
        <f t="shared" si="11"/>
        <v>0</v>
      </c>
      <c r="V117" s="18">
        <f t="shared" si="12"/>
        <v>0</v>
      </c>
      <c r="W117" s="18">
        <f t="shared" si="13"/>
        <v>0</v>
      </c>
      <c r="X117" s="18">
        <f t="shared" si="14"/>
        <v>0</v>
      </c>
      <c r="Y117" s="18">
        <f t="shared" si="15"/>
        <v>0</v>
      </c>
    </row>
    <row r="118" spans="1:25">
      <c r="A118" s="15" t="s">
        <v>65</v>
      </c>
      <c r="B118" s="15" t="s">
        <v>467</v>
      </c>
      <c r="C118" s="15" t="s">
        <v>65</v>
      </c>
      <c r="D118" s="15" t="s">
        <v>65</v>
      </c>
      <c r="E118" s="16">
        <v>30101</v>
      </c>
      <c r="F118" s="16">
        <v>621559</v>
      </c>
      <c r="G118" s="16">
        <v>632013</v>
      </c>
      <c r="H118" s="16">
        <v>634804</v>
      </c>
      <c r="I118" s="16">
        <v>659923</v>
      </c>
      <c r="J118" s="16">
        <v>662714</v>
      </c>
      <c r="K118" s="16">
        <v>665505</v>
      </c>
      <c r="L118" s="16">
        <v>196</v>
      </c>
      <c r="M118" s="16">
        <v>213</v>
      </c>
      <c r="N118" s="16">
        <v>286</v>
      </c>
      <c r="O118" s="16">
        <v>321</v>
      </c>
      <c r="P118" s="16">
        <v>350</v>
      </c>
      <c r="Q118" s="16">
        <v>319</v>
      </c>
      <c r="R118" s="18">
        <f t="shared" si="8"/>
        <v>315.33611451205758</v>
      </c>
      <c r="S118" s="18">
        <f t="shared" si="9"/>
        <v>337.0183841155166</v>
      </c>
      <c r="T118" s="18">
        <f t="shared" si="10"/>
        <v>450.53276286853895</v>
      </c>
      <c r="U118" s="18">
        <f t="shared" si="11"/>
        <v>367.62908716537112</v>
      </c>
      <c r="V118" s="18">
        <f t="shared" si="12"/>
        <v>486.42038540860068</v>
      </c>
      <c r="W118" s="18">
        <f t="shared" si="13"/>
        <v>528.13129042090554</v>
      </c>
      <c r="X118" s="18">
        <f t="shared" si="14"/>
        <v>479.33524165859012</v>
      </c>
      <c r="Y118" s="18">
        <f t="shared" si="15"/>
        <v>497.96230582936545</v>
      </c>
    </row>
    <row r="119" spans="1:25">
      <c r="A119" s="15" t="s">
        <v>65</v>
      </c>
      <c r="B119" s="15" t="s">
        <v>468</v>
      </c>
      <c r="C119" s="15" t="s">
        <v>55</v>
      </c>
      <c r="D119" s="15" t="s">
        <v>55</v>
      </c>
      <c r="E119" s="16">
        <v>30201</v>
      </c>
      <c r="F119" s="16">
        <v>23541</v>
      </c>
      <c r="G119" s="16">
        <v>23267</v>
      </c>
      <c r="H119" s="16">
        <v>23255</v>
      </c>
      <c r="I119" s="16">
        <v>23147</v>
      </c>
      <c r="J119" s="16">
        <v>23135</v>
      </c>
      <c r="K119" s="16">
        <v>23123</v>
      </c>
      <c r="L119" s="16">
        <v>10</v>
      </c>
      <c r="M119" s="16">
        <v>19</v>
      </c>
      <c r="N119" s="16">
        <v>10</v>
      </c>
      <c r="O119" s="16">
        <v>7</v>
      </c>
      <c r="P119" s="16">
        <v>5</v>
      </c>
      <c r="Q119" s="16">
        <v>2</v>
      </c>
      <c r="R119" s="18">
        <f t="shared" si="8"/>
        <v>424.79079053566119</v>
      </c>
      <c r="S119" s="18">
        <f t="shared" si="9"/>
        <v>816.6072119310611</v>
      </c>
      <c r="T119" s="18">
        <f t="shared" si="10"/>
        <v>430.01505052676845</v>
      </c>
      <c r="U119" s="18">
        <f t="shared" si="11"/>
        <v>557.13768433116354</v>
      </c>
      <c r="V119" s="18">
        <f t="shared" si="12"/>
        <v>302.41499978398929</v>
      </c>
      <c r="W119" s="18">
        <f t="shared" si="13"/>
        <v>216.12275772638858</v>
      </c>
      <c r="X119" s="18">
        <f t="shared" si="14"/>
        <v>86.493967045798556</v>
      </c>
      <c r="Y119" s="18">
        <f t="shared" si="15"/>
        <v>201.67724151872548</v>
      </c>
    </row>
    <row r="120" spans="1:25">
      <c r="A120" s="15" t="s">
        <v>65</v>
      </c>
      <c r="B120" s="15" t="s">
        <v>468</v>
      </c>
      <c r="C120" s="15" t="s">
        <v>71</v>
      </c>
      <c r="D120" s="15" t="s">
        <v>71</v>
      </c>
      <c r="E120" s="16">
        <v>30202</v>
      </c>
      <c r="F120" s="16">
        <v>6654</v>
      </c>
      <c r="G120" s="16">
        <v>6853</v>
      </c>
      <c r="H120" s="16">
        <v>6822</v>
      </c>
      <c r="I120" s="16">
        <v>6538</v>
      </c>
      <c r="J120" s="16">
        <v>6507</v>
      </c>
      <c r="K120" s="16">
        <v>6475</v>
      </c>
      <c r="L120" s="16">
        <v>0</v>
      </c>
      <c r="M120" s="16">
        <v>0</v>
      </c>
      <c r="N120" s="16">
        <v>0</v>
      </c>
      <c r="O120" s="16">
        <v>0</v>
      </c>
      <c r="P120" s="16">
        <v>2</v>
      </c>
      <c r="Q120" s="16">
        <v>1</v>
      </c>
      <c r="R120" s="18">
        <f t="shared" si="8"/>
        <v>0</v>
      </c>
      <c r="S120" s="18">
        <f t="shared" si="9"/>
        <v>0</v>
      </c>
      <c r="T120" s="18">
        <f t="shared" si="10"/>
        <v>0</v>
      </c>
      <c r="U120" s="18">
        <f t="shared" si="11"/>
        <v>0</v>
      </c>
      <c r="V120" s="18">
        <f t="shared" si="12"/>
        <v>0</v>
      </c>
      <c r="W120" s="18">
        <f t="shared" si="13"/>
        <v>307.36130321192559</v>
      </c>
      <c r="X120" s="18">
        <f t="shared" si="14"/>
        <v>154.44015444015446</v>
      </c>
      <c r="Y120" s="18">
        <f t="shared" si="15"/>
        <v>153.93381921736002</v>
      </c>
    </row>
    <row r="121" spans="1:25">
      <c r="A121" s="15" t="s">
        <v>65</v>
      </c>
      <c r="B121" s="15" t="s">
        <v>468</v>
      </c>
      <c r="C121" s="15" t="s">
        <v>70</v>
      </c>
      <c r="D121" s="15" t="s">
        <v>70</v>
      </c>
      <c r="E121" s="16">
        <v>30203</v>
      </c>
      <c r="F121" s="16">
        <v>5682</v>
      </c>
      <c r="G121" s="16">
        <v>5643</v>
      </c>
      <c r="H121" s="16">
        <v>5731</v>
      </c>
      <c r="I121" s="16">
        <v>6524</v>
      </c>
      <c r="J121" s="16">
        <v>6612</v>
      </c>
      <c r="K121" s="16">
        <v>6700</v>
      </c>
      <c r="L121" s="16">
        <v>0</v>
      </c>
      <c r="M121" s="16">
        <v>0</v>
      </c>
      <c r="N121" s="16">
        <v>0</v>
      </c>
      <c r="O121" s="16">
        <v>0</v>
      </c>
      <c r="P121" s="16">
        <v>1</v>
      </c>
      <c r="Q121" s="16">
        <v>1</v>
      </c>
      <c r="R121" s="18">
        <f t="shared" si="8"/>
        <v>0</v>
      </c>
      <c r="S121" s="18">
        <f t="shared" si="9"/>
        <v>0</v>
      </c>
      <c r="T121" s="18">
        <f t="shared" si="10"/>
        <v>0</v>
      </c>
      <c r="U121" s="18">
        <f t="shared" si="11"/>
        <v>0</v>
      </c>
      <c r="V121" s="18">
        <f t="shared" si="12"/>
        <v>0</v>
      </c>
      <c r="W121" s="18">
        <f t="shared" si="13"/>
        <v>151.24016938898973</v>
      </c>
      <c r="X121" s="18">
        <f t="shared" si="14"/>
        <v>149.25373134328359</v>
      </c>
      <c r="Y121" s="18">
        <f t="shared" si="15"/>
        <v>100.16463357742445</v>
      </c>
    </row>
    <row r="122" spans="1:25">
      <c r="A122" s="15" t="s">
        <v>65</v>
      </c>
      <c r="B122" s="15" t="s">
        <v>394</v>
      </c>
      <c r="C122" s="15" t="s">
        <v>469</v>
      </c>
      <c r="D122" s="15" t="s">
        <v>470</v>
      </c>
      <c r="E122" s="16">
        <v>30301</v>
      </c>
      <c r="F122" s="16">
        <v>23946</v>
      </c>
      <c r="G122" s="16">
        <v>23658</v>
      </c>
      <c r="H122" s="16">
        <v>23504</v>
      </c>
      <c r="I122" s="16">
        <v>22122</v>
      </c>
      <c r="J122" s="16">
        <v>21969</v>
      </c>
      <c r="K122" s="16">
        <v>21815</v>
      </c>
      <c r="L122" s="16">
        <v>0</v>
      </c>
      <c r="M122" s="16">
        <v>0</v>
      </c>
      <c r="N122" s="16">
        <v>0</v>
      </c>
      <c r="O122" s="16">
        <v>2</v>
      </c>
      <c r="P122" s="16">
        <v>1</v>
      </c>
      <c r="Q122" s="16">
        <v>4</v>
      </c>
      <c r="R122" s="18">
        <f t="shared" si="8"/>
        <v>0</v>
      </c>
      <c r="S122" s="18">
        <f t="shared" si="9"/>
        <v>0</v>
      </c>
      <c r="T122" s="18">
        <f t="shared" si="10"/>
        <v>0</v>
      </c>
      <c r="U122" s="18">
        <f t="shared" si="11"/>
        <v>0</v>
      </c>
      <c r="V122" s="18">
        <f t="shared" si="12"/>
        <v>90.407738902450049</v>
      </c>
      <c r="W122" s="18">
        <f t="shared" si="13"/>
        <v>45.51868542036506</v>
      </c>
      <c r="X122" s="18">
        <f t="shared" si="14"/>
        <v>183.36007334402933</v>
      </c>
      <c r="Y122" s="18">
        <f t="shared" si="15"/>
        <v>106.4288325556148</v>
      </c>
    </row>
    <row r="123" spans="1:25">
      <c r="A123" s="15" t="s">
        <v>65</v>
      </c>
      <c r="B123" s="15" t="s">
        <v>394</v>
      </c>
      <c r="C123" s="15" t="s">
        <v>69</v>
      </c>
      <c r="D123" s="15" t="s">
        <v>69</v>
      </c>
      <c r="E123" s="16">
        <v>30302</v>
      </c>
      <c r="F123" s="16">
        <v>13186</v>
      </c>
      <c r="G123" s="16">
        <v>12797</v>
      </c>
      <c r="H123" s="16">
        <v>12957</v>
      </c>
      <c r="I123" s="16">
        <v>14400</v>
      </c>
      <c r="J123" s="16">
        <v>14560</v>
      </c>
      <c r="K123" s="16">
        <v>14720</v>
      </c>
      <c r="L123" s="16">
        <v>0</v>
      </c>
      <c r="M123" s="16">
        <v>0</v>
      </c>
      <c r="N123" s="16">
        <v>0</v>
      </c>
      <c r="O123" s="16">
        <v>0</v>
      </c>
      <c r="P123" s="16">
        <v>1</v>
      </c>
      <c r="Q123" s="16">
        <v>1</v>
      </c>
      <c r="R123" s="18">
        <f t="shared" si="8"/>
        <v>0</v>
      </c>
      <c r="S123" s="18">
        <f t="shared" si="9"/>
        <v>0</v>
      </c>
      <c r="T123" s="18">
        <f t="shared" si="10"/>
        <v>0</v>
      </c>
      <c r="U123" s="18">
        <f t="shared" si="11"/>
        <v>0</v>
      </c>
      <c r="V123" s="18">
        <f t="shared" si="12"/>
        <v>0</v>
      </c>
      <c r="W123" s="18">
        <f t="shared" si="13"/>
        <v>68.681318681318686</v>
      </c>
      <c r="X123" s="18">
        <f t="shared" si="14"/>
        <v>67.934782608695656</v>
      </c>
      <c r="Y123" s="18">
        <f t="shared" si="15"/>
        <v>45.538700430004781</v>
      </c>
    </row>
    <row r="124" spans="1:25">
      <c r="A124" s="15" t="s">
        <v>65</v>
      </c>
      <c r="B124" s="15" t="s">
        <v>394</v>
      </c>
      <c r="C124" s="15" t="s">
        <v>381</v>
      </c>
      <c r="D124" s="15" t="s">
        <v>381</v>
      </c>
      <c r="E124" s="16">
        <v>30303</v>
      </c>
      <c r="F124" s="16">
        <v>17984</v>
      </c>
      <c r="G124" s="16">
        <v>18076</v>
      </c>
      <c r="H124" s="16">
        <v>18204</v>
      </c>
      <c r="I124" s="16">
        <v>19353</v>
      </c>
      <c r="J124" s="16">
        <v>19480</v>
      </c>
      <c r="K124" s="16">
        <v>19608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8">
        <f t="shared" si="8"/>
        <v>0</v>
      </c>
      <c r="S124" s="18">
        <f t="shared" si="9"/>
        <v>0</v>
      </c>
      <c r="T124" s="18">
        <f t="shared" si="10"/>
        <v>0</v>
      </c>
      <c r="U124" s="18">
        <f t="shared" si="11"/>
        <v>0</v>
      </c>
      <c r="V124" s="18">
        <f t="shared" si="12"/>
        <v>0</v>
      </c>
      <c r="W124" s="18">
        <f t="shared" si="13"/>
        <v>0</v>
      </c>
      <c r="X124" s="18">
        <f t="shared" si="14"/>
        <v>0</v>
      </c>
      <c r="Y124" s="18">
        <f t="shared" si="15"/>
        <v>0</v>
      </c>
    </row>
    <row r="125" spans="1:25">
      <c r="A125" s="15" t="s">
        <v>65</v>
      </c>
      <c r="B125" s="15" t="s">
        <v>471</v>
      </c>
      <c r="C125" s="15" t="s">
        <v>86</v>
      </c>
      <c r="D125" s="15" t="s">
        <v>86</v>
      </c>
      <c r="E125" s="16">
        <v>30401</v>
      </c>
      <c r="F125" s="16">
        <v>8285</v>
      </c>
      <c r="G125" s="16">
        <v>8242</v>
      </c>
      <c r="H125" s="16">
        <v>8495</v>
      </c>
      <c r="I125" s="16">
        <v>10768</v>
      </c>
      <c r="J125" s="16">
        <v>11020</v>
      </c>
      <c r="K125" s="16">
        <v>11273</v>
      </c>
      <c r="L125" s="16">
        <v>1</v>
      </c>
      <c r="M125" s="16">
        <v>2</v>
      </c>
      <c r="N125" s="16">
        <v>1</v>
      </c>
      <c r="O125" s="16">
        <v>0</v>
      </c>
      <c r="P125" s="16">
        <v>3</v>
      </c>
      <c r="Q125" s="16">
        <v>2</v>
      </c>
      <c r="R125" s="18">
        <f t="shared" si="8"/>
        <v>120.70006035003017</v>
      </c>
      <c r="S125" s="18">
        <f t="shared" si="9"/>
        <v>242.65954865323951</v>
      </c>
      <c r="T125" s="18">
        <f t="shared" si="10"/>
        <v>117.71630370806356</v>
      </c>
      <c r="U125" s="18">
        <f t="shared" si="11"/>
        <v>160.35863757044442</v>
      </c>
      <c r="V125" s="18">
        <f t="shared" si="12"/>
        <v>0</v>
      </c>
      <c r="W125" s="18">
        <f t="shared" si="13"/>
        <v>272.23230490018153</v>
      </c>
      <c r="X125" s="18">
        <f t="shared" si="14"/>
        <v>177.41506253880954</v>
      </c>
      <c r="Y125" s="18">
        <f t="shared" si="15"/>
        <v>149.88245581299702</v>
      </c>
    </row>
    <row r="126" spans="1:25">
      <c r="A126" s="15" t="s">
        <v>65</v>
      </c>
      <c r="B126" s="15" t="s">
        <v>471</v>
      </c>
      <c r="C126" s="15" t="s">
        <v>57</v>
      </c>
      <c r="D126" s="15" t="s">
        <v>472</v>
      </c>
      <c r="E126" s="16">
        <v>30402</v>
      </c>
      <c r="F126" s="16">
        <v>7368</v>
      </c>
      <c r="G126" s="16">
        <v>7192</v>
      </c>
      <c r="H126" s="16">
        <v>7204</v>
      </c>
      <c r="I126" s="16">
        <v>7311</v>
      </c>
      <c r="J126" s="16">
        <v>7323</v>
      </c>
      <c r="K126" s="16">
        <v>7335</v>
      </c>
      <c r="L126" s="16">
        <v>1</v>
      </c>
      <c r="M126" s="16">
        <v>0</v>
      </c>
      <c r="N126" s="16">
        <v>0</v>
      </c>
      <c r="O126" s="16">
        <v>0</v>
      </c>
      <c r="P126" s="16">
        <v>1</v>
      </c>
      <c r="Q126" s="16">
        <v>0</v>
      </c>
      <c r="R126" s="18">
        <f t="shared" si="8"/>
        <v>135.72204125950054</v>
      </c>
      <c r="S126" s="18">
        <f t="shared" si="9"/>
        <v>0</v>
      </c>
      <c r="T126" s="18">
        <f t="shared" si="10"/>
        <v>0</v>
      </c>
      <c r="U126" s="18">
        <f t="shared" si="11"/>
        <v>45.240680419833517</v>
      </c>
      <c r="V126" s="18">
        <f t="shared" si="12"/>
        <v>0</v>
      </c>
      <c r="W126" s="18">
        <f t="shared" si="13"/>
        <v>136.55605626109516</v>
      </c>
      <c r="X126" s="18">
        <f t="shared" si="14"/>
        <v>0</v>
      </c>
      <c r="Y126" s="18">
        <f t="shared" si="15"/>
        <v>45.518685420365053</v>
      </c>
    </row>
    <row r="127" spans="1:25">
      <c r="A127" s="15" t="s">
        <v>65</v>
      </c>
      <c r="B127" s="15" t="s">
        <v>471</v>
      </c>
      <c r="C127" s="15" t="s">
        <v>59</v>
      </c>
      <c r="D127" s="15" t="s">
        <v>59</v>
      </c>
      <c r="E127" s="16">
        <v>30403</v>
      </c>
      <c r="F127" s="16">
        <v>16717</v>
      </c>
      <c r="G127" s="16">
        <v>17445</v>
      </c>
      <c r="H127" s="16">
        <v>18439</v>
      </c>
      <c r="I127" s="16">
        <v>27387</v>
      </c>
      <c r="J127" s="16">
        <v>28381</v>
      </c>
      <c r="K127" s="16">
        <v>29375</v>
      </c>
      <c r="L127" s="16">
        <v>0</v>
      </c>
      <c r="M127" s="16">
        <v>0</v>
      </c>
      <c r="N127" s="16">
        <v>0</v>
      </c>
      <c r="O127" s="16">
        <v>4</v>
      </c>
      <c r="P127" s="16">
        <v>1</v>
      </c>
      <c r="Q127" s="16">
        <v>0</v>
      </c>
      <c r="R127" s="18">
        <f t="shared" si="8"/>
        <v>0</v>
      </c>
      <c r="S127" s="18">
        <f t="shared" si="9"/>
        <v>0</v>
      </c>
      <c r="T127" s="18">
        <f t="shared" si="10"/>
        <v>0</v>
      </c>
      <c r="U127" s="18">
        <f t="shared" si="11"/>
        <v>0</v>
      </c>
      <c r="V127" s="18">
        <f t="shared" si="12"/>
        <v>146.05469748420785</v>
      </c>
      <c r="W127" s="18">
        <f t="shared" si="13"/>
        <v>35.234840209999646</v>
      </c>
      <c r="X127" s="18">
        <f t="shared" si="14"/>
        <v>0</v>
      </c>
      <c r="Y127" s="18">
        <f t="shared" si="15"/>
        <v>60.429845898069168</v>
      </c>
    </row>
    <row r="128" spans="1:25">
      <c r="A128" s="15" t="s">
        <v>65</v>
      </c>
      <c r="B128" s="15" t="s">
        <v>471</v>
      </c>
      <c r="C128" s="15" t="s">
        <v>78</v>
      </c>
      <c r="D128" s="15" t="s">
        <v>78</v>
      </c>
      <c r="E128" s="16">
        <v>30404</v>
      </c>
      <c r="F128" s="16">
        <v>4398</v>
      </c>
      <c r="G128" s="16">
        <v>4366</v>
      </c>
      <c r="H128" s="16">
        <v>4418</v>
      </c>
      <c r="I128" s="16">
        <v>4884</v>
      </c>
      <c r="J128" s="16">
        <v>4935</v>
      </c>
      <c r="K128" s="16">
        <v>4987</v>
      </c>
      <c r="L128" s="16">
        <v>0</v>
      </c>
      <c r="M128" s="16">
        <v>0</v>
      </c>
      <c r="N128" s="16">
        <v>0</v>
      </c>
      <c r="O128" s="16">
        <v>1</v>
      </c>
      <c r="P128" s="16">
        <v>0</v>
      </c>
      <c r="Q128" s="16">
        <v>0</v>
      </c>
      <c r="R128" s="18">
        <f t="shared" si="8"/>
        <v>0</v>
      </c>
      <c r="S128" s="18">
        <f t="shared" si="9"/>
        <v>0</v>
      </c>
      <c r="T128" s="18">
        <f t="shared" si="10"/>
        <v>0</v>
      </c>
      <c r="U128" s="18">
        <f t="shared" si="11"/>
        <v>0</v>
      </c>
      <c r="V128" s="18">
        <f t="shared" si="12"/>
        <v>204.75020475020477</v>
      </c>
      <c r="W128" s="18">
        <f t="shared" si="13"/>
        <v>0</v>
      </c>
      <c r="X128" s="18">
        <f t="shared" si="14"/>
        <v>0</v>
      </c>
      <c r="Y128" s="18">
        <f t="shared" si="15"/>
        <v>68.250068250068253</v>
      </c>
    </row>
    <row r="129" spans="1:25">
      <c r="A129" s="15" t="s">
        <v>65</v>
      </c>
      <c r="B129" s="15" t="s">
        <v>58</v>
      </c>
      <c r="C129" s="15" t="s">
        <v>58</v>
      </c>
      <c r="D129" s="15" t="s">
        <v>58</v>
      </c>
      <c r="E129" s="16">
        <v>30501</v>
      </c>
      <c r="F129" s="16">
        <v>9689</v>
      </c>
      <c r="G129" s="16">
        <v>9504</v>
      </c>
      <c r="H129" s="16">
        <v>9644</v>
      </c>
      <c r="I129" s="16">
        <v>10903</v>
      </c>
      <c r="J129" s="16">
        <v>11043</v>
      </c>
      <c r="K129" s="16">
        <v>11183</v>
      </c>
      <c r="L129" s="16">
        <v>0</v>
      </c>
      <c r="M129" s="16">
        <v>0</v>
      </c>
      <c r="N129" s="16">
        <v>0</v>
      </c>
      <c r="O129" s="16">
        <v>2</v>
      </c>
      <c r="P129" s="16">
        <v>0</v>
      </c>
      <c r="Q129" s="16">
        <v>1</v>
      </c>
      <c r="R129" s="18">
        <f t="shared" si="8"/>
        <v>0</v>
      </c>
      <c r="S129" s="18">
        <f t="shared" si="9"/>
        <v>0</v>
      </c>
      <c r="T129" s="18">
        <f t="shared" si="10"/>
        <v>0</v>
      </c>
      <c r="U129" s="18">
        <f t="shared" si="11"/>
        <v>0</v>
      </c>
      <c r="V129" s="18">
        <f t="shared" si="12"/>
        <v>183.43575162799229</v>
      </c>
      <c r="W129" s="18">
        <f t="shared" si="13"/>
        <v>0</v>
      </c>
      <c r="X129" s="18">
        <f t="shared" si="14"/>
        <v>89.421443262094243</v>
      </c>
      <c r="Y129" s="18">
        <f t="shared" si="15"/>
        <v>90.952398296695506</v>
      </c>
    </row>
    <row r="130" spans="1:25">
      <c r="A130" s="15" t="s">
        <v>65</v>
      </c>
      <c r="B130" s="15" t="s">
        <v>58</v>
      </c>
      <c r="C130" s="15" t="s">
        <v>92</v>
      </c>
      <c r="D130" s="15" t="s">
        <v>92</v>
      </c>
      <c r="E130" s="16">
        <v>30502</v>
      </c>
      <c r="F130" s="16">
        <v>9265</v>
      </c>
      <c r="G130" s="16">
        <v>8940</v>
      </c>
      <c r="H130" s="16">
        <v>8896</v>
      </c>
      <c r="I130" s="16">
        <v>8498</v>
      </c>
      <c r="J130" s="16">
        <v>8453</v>
      </c>
      <c r="K130" s="16">
        <v>8409</v>
      </c>
      <c r="L130" s="16">
        <v>0</v>
      </c>
      <c r="M130" s="16">
        <v>0</v>
      </c>
      <c r="N130" s="16">
        <v>0</v>
      </c>
      <c r="O130" s="16">
        <v>0</v>
      </c>
      <c r="P130" s="16">
        <v>2</v>
      </c>
      <c r="Q130" s="16">
        <v>0</v>
      </c>
      <c r="R130" s="18">
        <f t="shared" ref="R130:R193" si="16">(L130/F130)*1000000</f>
        <v>0</v>
      </c>
      <c r="S130" s="18">
        <f t="shared" ref="S130:S193" si="17">(M130/G130)*1000000</f>
        <v>0</v>
      </c>
      <c r="T130" s="18">
        <f t="shared" ref="T130:T193" si="18">(N130/H130)*1000000</f>
        <v>0</v>
      </c>
      <c r="U130" s="18">
        <f t="shared" ref="U130:U193" si="19">AVERAGE(R130:T130)</f>
        <v>0</v>
      </c>
      <c r="V130" s="18">
        <f t="shared" ref="V130:V193" si="20">(O130/I130)*1000000</f>
        <v>0</v>
      </c>
      <c r="W130" s="18">
        <f t="shared" ref="W130:W193" si="21">(P130/J130)*1000000</f>
        <v>236.6023896841358</v>
      </c>
      <c r="X130" s="18">
        <f t="shared" ref="X130:X193" si="22">(Q130/K130)*1000000</f>
        <v>0</v>
      </c>
      <c r="Y130" s="18">
        <f t="shared" ref="Y130:Y193" si="23">AVERAGE(V130:X130)</f>
        <v>78.867463228045267</v>
      </c>
    </row>
    <row r="131" spans="1:25">
      <c r="A131" s="15" t="s">
        <v>65</v>
      </c>
      <c r="B131" s="15" t="s">
        <v>60</v>
      </c>
      <c r="C131" s="15" t="s">
        <v>60</v>
      </c>
      <c r="D131" s="15" t="s">
        <v>473</v>
      </c>
      <c r="E131" s="16">
        <v>30601</v>
      </c>
      <c r="F131" s="16">
        <v>10707</v>
      </c>
      <c r="G131" s="16">
        <v>10597</v>
      </c>
      <c r="H131" s="16">
        <v>10600</v>
      </c>
      <c r="I131" s="16">
        <v>10626</v>
      </c>
      <c r="J131" s="16">
        <v>10629</v>
      </c>
      <c r="K131" s="16">
        <v>10632</v>
      </c>
      <c r="L131" s="16">
        <v>0</v>
      </c>
      <c r="M131" s="16">
        <v>0</v>
      </c>
      <c r="N131" s="16">
        <v>0</v>
      </c>
      <c r="O131" s="16">
        <v>2</v>
      </c>
      <c r="P131" s="16">
        <v>2</v>
      </c>
      <c r="Q131" s="16">
        <v>1</v>
      </c>
      <c r="R131" s="18">
        <f t="shared" si="16"/>
        <v>0</v>
      </c>
      <c r="S131" s="18">
        <f t="shared" si="17"/>
        <v>0</v>
      </c>
      <c r="T131" s="18">
        <f t="shared" si="18"/>
        <v>0</v>
      </c>
      <c r="U131" s="18">
        <f t="shared" si="19"/>
        <v>0</v>
      </c>
      <c r="V131" s="18">
        <f t="shared" si="20"/>
        <v>188.21757952192735</v>
      </c>
      <c r="W131" s="18">
        <f t="shared" si="21"/>
        <v>188.16445573431179</v>
      </c>
      <c r="X131" s="18">
        <f t="shared" si="22"/>
        <v>94.055680963130172</v>
      </c>
      <c r="Y131" s="18">
        <f t="shared" si="23"/>
        <v>156.81257207312311</v>
      </c>
    </row>
    <row r="132" spans="1:25">
      <c r="A132" s="15" t="s">
        <v>65</v>
      </c>
      <c r="B132" s="15" t="s">
        <v>60</v>
      </c>
      <c r="C132" s="15" t="s">
        <v>84</v>
      </c>
      <c r="D132" s="15" t="s">
        <v>84</v>
      </c>
      <c r="E132" s="16">
        <v>30602</v>
      </c>
      <c r="F132" s="16">
        <v>10381</v>
      </c>
      <c r="G132" s="16">
        <v>10253</v>
      </c>
      <c r="H132" s="16">
        <v>10294</v>
      </c>
      <c r="I132" s="16">
        <v>10667</v>
      </c>
      <c r="J132" s="16">
        <v>10709</v>
      </c>
      <c r="K132" s="16">
        <v>10750</v>
      </c>
      <c r="L132" s="16">
        <v>0</v>
      </c>
      <c r="M132" s="16">
        <v>0</v>
      </c>
      <c r="N132" s="16">
        <v>0</v>
      </c>
      <c r="O132" s="16">
        <v>1</v>
      </c>
      <c r="P132" s="16">
        <v>1</v>
      </c>
      <c r="Q132" s="16">
        <v>1</v>
      </c>
      <c r="R132" s="18">
        <f t="shared" si="16"/>
        <v>0</v>
      </c>
      <c r="S132" s="18">
        <f t="shared" si="17"/>
        <v>0</v>
      </c>
      <c r="T132" s="18">
        <f t="shared" si="18"/>
        <v>0</v>
      </c>
      <c r="U132" s="18">
        <f t="shared" si="19"/>
        <v>0</v>
      </c>
      <c r="V132" s="18">
        <f t="shared" si="20"/>
        <v>93.747070404049865</v>
      </c>
      <c r="W132" s="18">
        <f t="shared" si="21"/>
        <v>93.379400504248764</v>
      </c>
      <c r="X132" s="18">
        <f t="shared" si="22"/>
        <v>93.023255813953483</v>
      </c>
      <c r="Y132" s="18">
        <f t="shared" si="23"/>
        <v>93.383242240750704</v>
      </c>
    </row>
    <row r="133" spans="1:25">
      <c r="A133" s="15" t="s">
        <v>65</v>
      </c>
      <c r="B133" s="15" t="s">
        <v>62</v>
      </c>
      <c r="C133" s="15" t="s">
        <v>62</v>
      </c>
      <c r="D133" s="15" t="s">
        <v>62</v>
      </c>
      <c r="E133" s="16">
        <v>30701</v>
      </c>
      <c r="F133" s="16">
        <v>19247</v>
      </c>
      <c r="G133" s="16">
        <v>19477</v>
      </c>
      <c r="H133" s="16">
        <v>19473</v>
      </c>
      <c r="I133" s="16">
        <v>19435</v>
      </c>
      <c r="J133" s="16">
        <v>19431</v>
      </c>
      <c r="K133" s="16">
        <v>19427</v>
      </c>
      <c r="L133" s="16">
        <v>0</v>
      </c>
      <c r="M133" s="16">
        <v>2</v>
      </c>
      <c r="N133" s="16">
        <v>1</v>
      </c>
      <c r="O133" s="16">
        <v>0</v>
      </c>
      <c r="P133" s="16">
        <v>0</v>
      </c>
      <c r="Q133" s="16">
        <v>3</v>
      </c>
      <c r="R133" s="18">
        <f t="shared" si="16"/>
        <v>0</v>
      </c>
      <c r="S133" s="18">
        <f t="shared" si="17"/>
        <v>102.68521846280227</v>
      </c>
      <c r="T133" s="18">
        <f t="shared" si="18"/>
        <v>51.353155651414781</v>
      </c>
      <c r="U133" s="18">
        <f t="shared" si="19"/>
        <v>51.346124704739019</v>
      </c>
      <c r="V133" s="18">
        <f t="shared" si="20"/>
        <v>0</v>
      </c>
      <c r="W133" s="18">
        <f t="shared" si="21"/>
        <v>0</v>
      </c>
      <c r="X133" s="18">
        <f t="shared" si="22"/>
        <v>154.42425490297009</v>
      </c>
      <c r="Y133" s="18">
        <f t="shared" si="23"/>
        <v>51.474751634323361</v>
      </c>
    </row>
    <row r="134" spans="1:25">
      <c r="A134" s="15" t="s">
        <v>65</v>
      </c>
      <c r="B134" s="15" t="s">
        <v>62</v>
      </c>
      <c r="C134" s="15" t="s">
        <v>80</v>
      </c>
      <c r="D134" s="15" t="s">
        <v>474</v>
      </c>
      <c r="E134" s="16">
        <v>30702</v>
      </c>
      <c r="F134" s="16">
        <v>6516</v>
      </c>
      <c r="G134" s="16">
        <v>6527</v>
      </c>
      <c r="H134" s="16">
        <v>6645</v>
      </c>
      <c r="I134" s="16">
        <v>7705</v>
      </c>
      <c r="J134" s="16">
        <v>7822</v>
      </c>
      <c r="K134" s="16">
        <v>7940</v>
      </c>
      <c r="L134" s="16">
        <v>0</v>
      </c>
      <c r="M134" s="16">
        <v>0</v>
      </c>
      <c r="N134" s="16">
        <v>0</v>
      </c>
      <c r="O134" s="16">
        <v>2</v>
      </c>
      <c r="P134" s="16">
        <v>0</v>
      </c>
      <c r="Q134" s="16">
        <v>1</v>
      </c>
      <c r="R134" s="18">
        <f t="shared" si="16"/>
        <v>0</v>
      </c>
      <c r="S134" s="18">
        <f t="shared" si="17"/>
        <v>0</v>
      </c>
      <c r="T134" s="18">
        <f t="shared" si="18"/>
        <v>0</v>
      </c>
      <c r="U134" s="18">
        <f t="shared" si="19"/>
        <v>0</v>
      </c>
      <c r="V134" s="18">
        <f t="shared" si="20"/>
        <v>259.57170668397146</v>
      </c>
      <c r="W134" s="18">
        <f t="shared" si="21"/>
        <v>0</v>
      </c>
      <c r="X134" s="18">
        <f t="shared" si="22"/>
        <v>125.94458438287154</v>
      </c>
      <c r="Y134" s="18">
        <f t="shared" si="23"/>
        <v>128.50543035561432</v>
      </c>
    </row>
    <row r="135" spans="1:25">
      <c r="A135" s="15" t="s">
        <v>65</v>
      </c>
      <c r="B135" s="15" t="s">
        <v>62</v>
      </c>
      <c r="C135" s="15" t="s">
        <v>81</v>
      </c>
      <c r="D135" s="15" t="s">
        <v>81</v>
      </c>
      <c r="E135" s="16">
        <v>30703</v>
      </c>
      <c r="F135" s="16">
        <v>3603</v>
      </c>
      <c r="G135" s="16">
        <v>3740</v>
      </c>
      <c r="H135" s="16">
        <v>3760</v>
      </c>
      <c r="I135" s="16">
        <v>3940</v>
      </c>
      <c r="J135" s="16">
        <v>3960</v>
      </c>
      <c r="K135" s="16">
        <v>3980</v>
      </c>
      <c r="L135" s="16">
        <v>0</v>
      </c>
      <c r="M135" s="16">
        <v>1</v>
      </c>
      <c r="N135" s="16">
        <v>0</v>
      </c>
      <c r="O135" s="16">
        <v>1</v>
      </c>
      <c r="P135" s="16">
        <v>2</v>
      </c>
      <c r="Q135" s="16">
        <v>2</v>
      </c>
      <c r="R135" s="18">
        <f t="shared" si="16"/>
        <v>0</v>
      </c>
      <c r="S135" s="18">
        <f t="shared" si="17"/>
        <v>267.37967914438502</v>
      </c>
      <c r="T135" s="18">
        <f t="shared" si="18"/>
        <v>0</v>
      </c>
      <c r="U135" s="18">
        <f t="shared" si="19"/>
        <v>89.126559714795007</v>
      </c>
      <c r="V135" s="18">
        <f t="shared" si="20"/>
        <v>253.80710659898477</v>
      </c>
      <c r="W135" s="18">
        <f t="shared" si="21"/>
        <v>505.05050505050502</v>
      </c>
      <c r="X135" s="18">
        <f t="shared" si="22"/>
        <v>502.51256281407041</v>
      </c>
      <c r="Y135" s="18">
        <f t="shared" si="23"/>
        <v>420.45672482118675</v>
      </c>
    </row>
    <row r="136" spans="1:25">
      <c r="A136" s="15" t="s">
        <v>65</v>
      </c>
      <c r="B136" s="15" t="s">
        <v>475</v>
      </c>
      <c r="C136" s="15" t="s">
        <v>64</v>
      </c>
      <c r="D136" s="15" t="s">
        <v>64</v>
      </c>
      <c r="E136" s="16">
        <v>30801</v>
      </c>
      <c r="F136" s="16">
        <v>21703</v>
      </c>
      <c r="G136" s="16">
        <v>21899</v>
      </c>
      <c r="H136" s="16">
        <v>21837</v>
      </c>
      <c r="I136" s="16">
        <v>21279</v>
      </c>
      <c r="J136" s="16">
        <v>21217</v>
      </c>
      <c r="K136" s="16">
        <v>21155</v>
      </c>
      <c r="L136" s="16">
        <v>1</v>
      </c>
      <c r="M136" s="16">
        <v>1</v>
      </c>
      <c r="N136" s="16">
        <v>3</v>
      </c>
      <c r="O136" s="16">
        <v>5</v>
      </c>
      <c r="P136" s="16">
        <v>5</v>
      </c>
      <c r="Q136" s="16">
        <v>3</v>
      </c>
      <c r="R136" s="18">
        <f t="shared" si="16"/>
        <v>46.076579274754643</v>
      </c>
      <c r="S136" s="18">
        <f t="shared" si="17"/>
        <v>45.664185579250194</v>
      </c>
      <c r="T136" s="18">
        <f t="shared" si="18"/>
        <v>137.38150844896276</v>
      </c>
      <c r="U136" s="18">
        <f t="shared" si="19"/>
        <v>76.37409110098919</v>
      </c>
      <c r="V136" s="18">
        <f t="shared" si="20"/>
        <v>234.97344800037595</v>
      </c>
      <c r="W136" s="18">
        <f t="shared" si="21"/>
        <v>235.66008389498987</v>
      </c>
      <c r="X136" s="18">
        <f t="shared" si="22"/>
        <v>141.81044670290711</v>
      </c>
      <c r="Y136" s="18">
        <f t="shared" si="23"/>
        <v>204.14799286609096</v>
      </c>
    </row>
    <row r="137" spans="1:25">
      <c r="A137" s="15" t="s">
        <v>65</v>
      </c>
      <c r="B137" s="15" t="s">
        <v>475</v>
      </c>
      <c r="C137" s="15" t="s">
        <v>342</v>
      </c>
      <c r="D137" s="15" t="s">
        <v>342</v>
      </c>
      <c r="E137" s="16">
        <v>30802</v>
      </c>
      <c r="F137" s="16">
        <v>7025</v>
      </c>
      <c r="G137" s="16">
        <v>7057</v>
      </c>
      <c r="H137" s="16">
        <v>7084</v>
      </c>
      <c r="I137" s="16">
        <v>7328</v>
      </c>
      <c r="J137" s="16">
        <v>7355</v>
      </c>
      <c r="K137" s="16">
        <v>7382</v>
      </c>
      <c r="L137" s="16">
        <v>0</v>
      </c>
      <c r="M137" s="16">
        <v>0</v>
      </c>
      <c r="N137" s="16">
        <v>0</v>
      </c>
      <c r="O137" s="16">
        <v>0</v>
      </c>
      <c r="P137" s="16">
        <v>1</v>
      </c>
      <c r="Q137" s="16">
        <v>0</v>
      </c>
      <c r="R137" s="18">
        <f t="shared" si="16"/>
        <v>0</v>
      </c>
      <c r="S137" s="18">
        <f t="shared" si="17"/>
        <v>0</v>
      </c>
      <c r="T137" s="18">
        <f t="shared" si="18"/>
        <v>0</v>
      </c>
      <c r="U137" s="18">
        <f t="shared" si="19"/>
        <v>0</v>
      </c>
      <c r="V137" s="18">
        <f t="shared" si="20"/>
        <v>0</v>
      </c>
      <c r="W137" s="18">
        <f t="shared" si="21"/>
        <v>135.96193065941537</v>
      </c>
      <c r="X137" s="18">
        <f t="shared" si="22"/>
        <v>0</v>
      </c>
      <c r="Y137" s="18">
        <f t="shared" si="23"/>
        <v>45.32064355313846</v>
      </c>
    </row>
    <row r="138" spans="1:25">
      <c r="A138" s="15" t="s">
        <v>65</v>
      </c>
      <c r="B138" s="15" t="s">
        <v>475</v>
      </c>
      <c r="C138" s="15" t="s">
        <v>90</v>
      </c>
      <c r="D138" s="15" t="s">
        <v>90</v>
      </c>
      <c r="E138" s="16">
        <v>30803</v>
      </c>
      <c r="F138" s="16">
        <v>5521</v>
      </c>
      <c r="G138" s="16">
        <v>5542</v>
      </c>
      <c r="H138" s="16">
        <v>5804</v>
      </c>
      <c r="I138" s="16">
        <v>8163</v>
      </c>
      <c r="J138" s="16">
        <v>8425</v>
      </c>
      <c r="K138" s="16">
        <v>8687</v>
      </c>
      <c r="L138" s="16">
        <v>1</v>
      </c>
      <c r="M138" s="16">
        <v>0</v>
      </c>
      <c r="N138" s="16">
        <v>0</v>
      </c>
      <c r="O138" s="16">
        <v>1</v>
      </c>
      <c r="P138" s="16">
        <v>0</v>
      </c>
      <c r="Q138" s="16">
        <v>2</v>
      </c>
      <c r="R138" s="18">
        <f t="shared" si="16"/>
        <v>181.12660749864156</v>
      </c>
      <c r="S138" s="18">
        <f t="shared" si="17"/>
        <v>0</v>
      </c>
      <c r="T138" s="18">
        <f t="shared" si="18"/>
        <v>0</v>
      </c>
      <c r="U138" s="18">
        <f t="shared" si="19"/>
        <v>60.375535832880523</v>
      </c>
      <c r="V138" s="18">
        <f t="shared" si="20"/>
        <v>122.50398137939484</v>
      </c>
      <c r="W138" s="18">
        <f t="shared" si="21"/>
        <v>0</v>
      </c>
      <c r="X138" s="18">
        <f t="shared" si="22"/>
        <v>230.22907793254288</v>
      </c>
      <c r="Y138" s="18">
        <f t="shared" si="23"/>
        <v>117.57768643731258</v>
      </c>
    </row>
    <row r="139" spans="1:25">
      <c r="A139" s="15" t="s">
        <v>65</v>
      </c>
      <c r="B139" s="15" t="s">
        <v>76</v>
      </c>
      <c r="C139" s="15" t="s">
        <v>76</v>
      </c>
      <c r="D139" s="15" t="s">
        <v>76</v>
      </c>
      <c r="E139" s="16">
        <v>30901</v>
      </c>
      <c r="F139" s="16">
        <v>134184</v>
      </c>
      <c r="G139" s="16">
        <v>137182</v>
      </c>
      <c r="H139" s="16">
        <v>139645</v>
      </c>
      <c r="I139" s="16">
        <v>161815</v>
      </c>
      <c r="J139" s="16">
        <v>164278</v>
      </c>
      <c r="K139" s="16">
        <v>166741</v>
      </c>
      <c r="L139" s="16">
        <v>23</v>
      </c>
      <c r="M139" s="16">
        <v>14</v>
      </c>
      <c r="N139" s="16">
        <v>16</v>
      </c>
      <c r="O139" s="16">
        <v>40</v>
      </c>
      <c r="P139" s="16">
        <v>63</v>
      </c>
      <c r="Q139" s="16">
        <v>31</v>
      </c>
      <c r="R139" s="18">
        <f t="shared" si="16"/>
        <v>171.40642699576702</v>
      </c>
      <c r="S139" s="18">
        <f t="shared" si="17"/>
        <v>102.05420536221953</v>
      </c>
      <c r="T139" s="18">
        <f t="shared" si="18"/>
        <v>114.57624691181209</v>
      </c>
      <c r="U139" s="18">
        <f t="shared" si="19"/>
        <v>129.34562642326622</v>
      </c>
      <c r="V139" s="18">
        <f t="shared" si="20"/>
        <v>247.19587182894045</v>
      </c>
      <c r="W139" s="18">
        <f t="shared" si="21"/>
        <v>383.49626852043485</v>
      </c>
      <c r="X139" s="18">
        <f t="shared" si="22"/>
        <v>185.91708098188207</v>
      </c>
      <c r="Y139" s="18">
        <f t="shared" si="23"/>
        <v>272.20307377708582</v>
      </c>
    </row>
    <row r="140" spans="1:25">
      <c r="A140" s="15" t="s">
        <v>65</v>
      </c>
      <c r="B140" s="15" t="s">
        <v>76</v>
      </c>
      <c r="C140" s="15" t="s">
        <v>327</v>
      </c>
      <c r="D140" s="15" t="s">
        <v>327</v>
      </c>
      <c r="E140" s="16">
        <v>30902</v>
      </c>
      <c r="F140" s="16">
        <v>40641</v>
      </c>
      <c r="G140" s="16">
        <v>41571</v>
      </c>
      <c r="H140" s="16">
        <v>42766</v>
      </c>
      <c r="I140" s="16">
        <v>53519</v>
      </c>
      <c r="J140" s="16">
        <v>54713</v>
      </c>
      <c r="K140" s="16">
        <v>55908</v>
      </c>
      <c r="L140" s="16">
        <v>2</v>
      </c>
      <c r="M140" s="16">
        <v>0</v>
      </c>
      <c r="N140" s="16">
        <v>0</v>
      </c>
      <c r="O140" s="16">
        <v>2</v>
      </c>
      <c r="P140" s="16">
        <v>7</v>
      </c>
      <c r="Q140" s="16">
        <v>9</v>
      </c>
      <c r="R140" s="18">
        <f t="shared" si="16"/>
        <v>49.211387515070989</v>
      </c>
      <c r="S140" s="18">
        <f t="shared" si="17"/>
        <v>0</v>
      </c>
      <c r="T140" s="18">
        <f t="shared" si="18"/>
        <v>0</v>
      </c>
      <c r="U140" s="18">
        <f t="shared" si="19"/>
        <v>16.403795838356995</v>
      </c>
      <c r="V140" s="18">
        <f t="shared" si="20"/>
        <v>37.369906014686372</v>
      </c>
      <c r="W140" s="18">
        <f t="shared" si="21"/>
        <v>127.94034324566374</v>
      </c>
      <c r="X140" s="18">
        <f t="shared" si="22"/>
        <v>160.97875080489376</v>
      </c>
      <c r="Y140" s="18">
        <f t="shared" si="23"/>
        <v>108.76300002174794</v>
      </c>
    </row>
    <row r="141" spans="1:25">
      <c r="A141" s="15" t="s">
        <v>65</v>
      </c>
      <c r="B141" s="15" t="s">
        <v>76</v>
      </c>
      <c r="C141" s="15" t="s">
        <v>87</v>
      </c>
      <c r="D141" s="15" t="s">
        <v>87</v>
      </c>
      <c r="E141" s="16">
        <v>30903</v>
      </c>
      <c r="F141" s="16">
        <v>52439</v>
      </c>
      <c r="G141" s="16">
        <v>53904</v>
      </c>
      <c r="H141" s="16">
        <v>54565</v>
      </c>
      <c r="I141" s="16">
        <v>60517</v>
      </c>
      <c r="J141" s="16">
        <v>61179</v>
      </c>
      <c r="K141" s="16">
        <v>61840</v>
      </c>
      <c r="L141" s="16">
        <v>6</v>
      </c>
      <c r="M141" s="16">
        <v>6</v>
      </c>
      <c r="N141" s="16">
        <v>6</v>
      </c>
      <c r="O141" s="16">
        <v>20</v>
      </c>
      <c r="P141" s="16">
        <v>10</v>
      </c>
      <c r="Q141" s="16">
        <v>11</v>
      </c>
      <c r="R141" s="18">
        <f t="shared" si="16"/>
        <v>114.41865786914319</v>
      </c>
      <c r="S141" s="18">
        <f t="shared" si="17"/>
        <v>111.30899376669635</v>
      </c>
      <c r="T141" s="18">
        <f t="shared" si="18"/>
        <v>109.96059745257949</v>
      </c>
      <c r="U141" s="18">
        <f t="shared" si="19"/>
        <v>111.89608302947302</v>
      </c>
      <c r="V141" s="18">
        <f t="shared" si="20"/>
        <v>330.48564866070689</v>
      </c>
      <c r="W141" s="18">
        <f t="shared" si="21"/>
        <v>163.45478023504799</v>
      </c>
      <c r="X141" s="18">
        <f t="shared" si="22"/>
        <v>177.8783958602846</v>
      </c>
      <c r="Y141" s="18">
        <f t="shared" si="23"/>
        <v>223.93960825201316</v>
      </c>
    </row>
    <row r="142" spans="1:25">
      <c r="A142" s="15" t="s">
        <v>65</v>
      </c>
      <c r="B142" s="15" t="s">
        <v>76</v>
      </c>
      <c r="C142" s="15" t="s">
        <v>96</v>
      </c>
      <c r="D142" s="15" t="s">
        <v>96</v>
      </c>
      <c r="E142" s="16">
        <v>30904</v>
      </c>
      <c r="F142" s="16">
        <v>50106</v>
      </c>
      <c r="G142" s="16">
        <v>51968</v>
      </c>
      <c r="H142" s="16">
        <v>52309</v>
      </c>
      <c r="I142" s="16">
        <v>55381</v>
      </c>
      <c r="J142" s="16">
        <v>55723</v>
      </c>
      <c r="K142" s="16">
        <v>56064</v>
      </c>
      <c r="L142" s="16">
        <v>3</v>
      </c>
      <c r="M142" s="16">
        <v>2</v>
      </c>
      <c r="N142" s="16">
        <v>6</v>
      </c>
      <c r="O142" s="16">
        <v>17</v>
      </c>
      <c r="P142" s="16">
        <v>14</v>
      </c>
      <c r="Q142" s="16">
        <v>20</v>
      </c>
      <c r="R142" s="18">
        <f t="shared" si="16"/>
        <v>59.873069093521728</v>
      </c>
      <c r="S142" s="18">
        <f t="shared" si="17"/>
        <v>38.485221674876847</v>
      </c>
      <c r="T142" s="18">
        <f t="shared" si="18"/>
        <v>114.70301477757174</v>
      </c>
      <c r="U142" s="18">
        <f t="shared" si="19"/>
        <v>71.020435181990095</v>
      </c>
      <c r="V142" s="18">
        <f t="shared" si="20"/>
        <v>306.96448240371245</v>
      </c>
      <c r="W142" s="18">
        <f t="shared" si="21"/>
        <v>251.24275433842396</v>
      </c>
      <c r="X142" s="18">
        <f t="shared" si="22"/>
        <v>356.73515981735159</v>
      </c>
      <c r="Y142" s="18">
        <f t="shared" si="23"/>
        <v>304.98079885316264</v>
      </c>
    </row>
    <row r="143" spans="1:25">
      <c r="A143" s="15" t="s">
        <v>65</v>
      </c>
      <c r="B143" s="15" t="s">
        <v>76</v>
      </c>
      <c r="C143" s="15" t="s">
        <v>66</v>
      </c>
      <c r="D143" s="15" t="s">
        <v>66</v>
      </c>
      <c r="E143" s="16">
        <v>30905</v>
      </c>
      <c r="F143" s="16">
        <v>51080</v>
      </c>
      <c r="G143" s="16">
        <v>51990</v>
      </c>
      <c r="H143" s="16">
        <v>53200</v>
      </c>
      <c r="I143" s="16">
        <v>64086</v>
      </c>
      <c r="J143" s="16">
        <v>65295</v>
      </c>
      <c r="K143" s="16">
        <v>66505</v>
      </c>
      <c r="L143" s="16">
        <v>4</v>
      </c>
      <c r="M143" s="16">
        <v>6</v>
      </c>
      <c r="N143" s="16">
        <v>5</v>
      </c>
      <c r="O143" s="16">
        <v>12</v>
      </c>
      <c r="P143" s="16">
        <v>17</v>
      </c>
      <c r="Q143" s="16">
        <v>20</v>
      </c>
      <c r="R143" s="18">
        <f t="shared" si="16"/>
        <v>78.308535630383716</v>
      </c>
      <c r="S143" s="18">
        <f t="shared" si="17"/>
        <v>115.40680900173109</v>
      </c>
      <c r="T143" s="18">
        <f t="shared" si="18"/>
        <v>93.984962406015043</v>
      </c>
      <c r="U143" s="18">
        <f t="shared" si="19"/>
        <v>95.900102346043283</v>
      </c>
      <c r="V143" s="18">
        <f t="shared" si="20"/>
        <v>187.24838498267951</v>
      </c>
      <c r="W143" s="18">
        <f t="shared" si="21"/>
        <v>260.35684202465728</v>
      </c>
      <c r="X143" s="18">
        <f t="shared" si="22"/>
        <v>300.72926847605447</v>
      </c>
      <c r="Y143" s="18">
        <f t="shared" si="23"/>
        <v>249.44483182779709</v>
      </c>
    </row>
    <row r="144" spans="1:25">
      <c r="A144" s="15" t="s">
        <v>65</v>
      </c>
      <c r="B144" s="15" t="s">
        <v>476</v>
      </c>
      <c r="C144" s="15" t="s">
        <v>77</v>
      </c>
      <c r="D144" s="15" t="s">
        <v>77</v>
      </c>
      <c r="E144" s="16">
        <v>31001</v>
      </c>
      <c r="F144" s="16">
        <v>167433</v>
      </c>
      <c r="G144" s="16">
        <v>172466</v>
      </c>
      <c r="H144" s="16">
        <v>176352</v>
      </c>
      <c r="I144" s="16">
        <v>211321</v>
      </c>
      <c r="J144" s="16">
        <v>215207</v>
      </c>
      <c r="K144" s="16">
        <v>219092</v>
      </c>
      <c r="L144" s="16">
        <v>13</v>
      </c>
      <c r="M144" s="16">
        <v>15</v>
      </c>
      <c r="N144" s="16">
        <v>12</v>
      </c>
      <c r="O144" s="16">
        <v>26</v>
      </c>
      <c r="P144" s="16">
        <v>53</v>
      </c>
      <c r="Q144" s="16">
        <v>65</v>
      </c>
      <c r="R144" s="18">
        <f t="shared" si="16"/>
        <v>77.642997497506471</v>
      </c>
      <c r="S144" s="18">
        <f t="shared" si="17"/>
        <v>86.973664374427429</v>
      </c>
      <c r="T144" s="18">
        <f t="shared" si="18"/>
        <v>68.045726728361458</v>
      </c>
      <c r="U144" s="18">
        <f t="shared" si="19"/>
        <v>77.554129533431777</v>
      </c>
      <c r="V144" s="18">
        <f t="shared" si="20"/>
        <v>123.03557147656883</v>
      </c>
      <c r="W144" s="18">
        <f t="shared" si="21"/>
        <v>246.27451709284549</v>
      </c>
      <c r="X144" s="18">
        <f t="shared" si="22"/>
        <v>296.67902068537421</v>
      </c>
      <c r="Y144" s="18">
        <f t="shared" si="23"/>
        <v>221.99636975159618</v>
      </c>
    </row>
    <row r="145" spans="1:25">
      <c r="A145" s="15" t="s">
        <v>65</v>
      </c>
      <c r="B145" s="15" t="s">
        <v>476</v>
      </c>
      <c r="C145" s="15" t="s">
        <v>67</v>
      </c>
      <c r="D145" s="15" t="s">
        <v>67</v>
      </c>
      <c r="E145" s="16">
        <v>31002</v>
      </c>
      <c r="F145" s="16">
        <v>19111</v>
      </c>
      <c r="G145" s="16">
        <v>19285</v>
      </c>
      <c r="H145" s="16">
        <v>19498</v>
      </c>
      <c r="I145" s="16">
        <v>21419</v>
      </c>
      <c r="J145" s="16">
        <v>21633</v>
      </c>
      <c r="K145" s="16">
        <v>21846</v>
      </c>
      <c r="L145" s="16">
        <v>0</v>
      </c>
      <c r="M145" s="16">
        <v>1</v>
      </c>
      <c r="N145" s="16">
        <v>0</v>
      </c>
      <c r="O145" s="16">
        <v>2</v>
      </c>
      <c r="P145" s="16">
        <v>5</v>
      </c>
      <c r="Q145" s="16">
        <v>3</v>
      </c>
      <c r="R145" s="18">
        <f t="shared" si="16"/>
        <v>0</v>
      </c>
      <c r="S145" s="18">
        <f t="shared" si="17"/>
        <v>51.853772361939335</v>
      </c>
      <c r="T145" s="18">
        <f t="shared" si="18"/>
        <v>0</v>
      </c>
      <c r="U145" s="18">
        <f t="shared" si="19"/>
        <v>17.28459078731311</v>
      </c>
      <c r="V145" s="18">
        <f t="shared" si="20"/>
        <v>93.375040851580366</v>
      </c>
      <c r="W145" s="18">
        <f t="shared" si="21"/>
        <v>231.12836869597376</v>
      </c>
      <c r="X145" s="18">
        <f t="shared" si="22"/>
        <v>137.32491073880803</v>
      </c>
      <c r="Y145" s="18">
        <f t="shared" si="23"/>
        <v>153.9427734287874</v>
      </c>
    </row>
    <row r="146" spans="1:25">
      <c r="A146" s="15" t="s">
        <v>65</v>
      </c>
      <c r="B146" s="15" t="s">
        <v>476</v>
      </c>
      <c r="C146" s="15" t="s">
        <v>95</v>
      </c>
      <c r="D146" s="15" t="s">
        <v>95</v>
      </c>
      <c r="E146" s="16">
        <v>31003</v>
      </c>
      <c r="F146" s="16">
        <v>69704</v>
      </c>
      <c r="G146" s="16">
        <v>71386</v>
      </c>
      <c r="H146" s="16">
        <v>73249</v>
      </c>
      <c r="I146" s="16">
        <v>90020</v>
      </c>
      <c r="J146" s="16">
        <v>91884</v>
      </c>
      <c r="K146" s="16">
        <v>93747</v>
      </c>
      <c r="L146" s="16">
        <v>6</v>
      </c>
      <c r="M146" s="16">
        <v>5</v>
      </c>
      <c r="N146" s="16">
        <v>9</v>
      </c>
      <c r="O146" s="16">
        <v>19</v>
      </c>
      <c r="P146" s="16">
        <v>21</v>
      </c>
      <c r="Q146" s="16">
        <v>18</v>
      </c>
      <c r="R146" s="18">
        <f t="shared" si="16"/>
        <v>86.078273843681856</v>
      </c>
      <c r="S146" s="18">
        <f t="shared" si="17"/>
        <v>70.041744879948453</v>
      </c>
      <c r="T146" s="18">
        <f t="shared" si="18"/>
        <v>122.86857158459502</v>
      </c>
      <c r="U146" s="18">
        <f t="shared" si="19"/>
        <v>92.996196769408456</v>
      </c>
      <c r="V146" s="18">
        <f t="shared" si="20"/>
        <v>211.06420795378804</v>
      </c>
      <c r="W146" s="18">
        <f t="shared" si="21"/>
        <v>228.5490400940316</v>
      </c>
      <c r="X146" s="18">
        <f t="shared" si="22"/>
        <v>192.00614419661431</v>
      </c>
      <c r="Y146" s="18">
        <f t="shared" si="23"/>
        <v>210.53979741481132</v>
      </c>
    </row>
    <row r="147" spans="1:25">
      <c r="A147" s="15" t="s">
        <v>65</v>
      </c>
      <c r="B147" s="15" t="s">
        <v>85</v>
      </c>
      <c r="C147" s="15" t="s">
        <v>85</v>
      </c>
      <c r="D147" s="15" t="s">
        <v>85</v>
      </c>
      <c r="E147" s="16">
        <v>31101</v>
      </c>
      <c r="F147" s="16">
        <v>24743</v>
      </c>
      <c r="G147" s="16">
        <v>24625</v>
      </c>
      <c r="H147" s="16">
        <v>24628</v>
      </c>
      <c r="I147" s="16">
        <v>24659</v>
      </c>
      <c r="J147" s="16">
        <v>24663</v>
      </c>
      <c r="K147" s="16">
        <v>24666</v>
      </c>
      <c r="L147" s="16">
        <v>0</v>
      </c>
      <c r="M147" s="16">
        <v>0</v>
      </c>
      <c r="N147" s="16">
        <v>0</v>
      </c>
      <c r="O147" s="16">
        <v>0</v>
      </c>
      <c r="P147" s="16">
        <v>1</v>
      </c>
      <c r="Q147" s="16">
        <v>2</v>
      </c>
      <c r="R147" s="18">
        <f t="shared" si="16"/>
        <v>0</v>
      </c>
      <c r="S147" s="18">
        <f t="shared" si="17"/>
        <v>0</v>
      </c>
      <c r="T147" s="18">
        <f t="shared" si="18"/>
        <v>0</v>
      </c>
      <c r="U147" s="18">
        <f t="shared" si="19"/>
        <v>0</v>
      </c>
      <c r="V147" s="18">
        <f t="shared" si="20"/>
        <v>0</v>
      </c>
      <c r="W147" s="18">
        <f t="shared" si="21"/>
        <v>40.5465677330414</v>
      </c>
      <c r="X147" s="18">
        <f t="shared" si="22"/>
        <v>81.08327252087895</v>
      </c>
      <c r="Y147" s="18">
        <f t="shared" si="23"/>
        <v>40.543280084640116</v>
      </c>
    </row>
    <row r="148" spans="1:25">
      <c r="A148" s="15" t="s">
        <v>65</v>
      </c>
      <c r="B148" s="15" t="s">
        <v>477</v>
      </c>
      <c r="C148" s="15" t="s">
        <v>91</v>
      </c>
      <c r="D148" s="15" t="s">
        <v>91</v>
      </c>
      <c r="E148" s="16">
        <v>31201</v>
      </c>
      <c r="F148" s="16">
        <v>14507</v>
      </c>
      <c r="G148" s="16">
        <v>14665</v>
      </c>
      <c r="H148" s="16">
        <v>14678</v>
      </c>
      <c r="I148" s="16">
        <v>14795</v>
      </c>
      <c r="J148" s="16">
        <v>14808</v>
      </c>
      <c r="K148" s="16">
        <v>14821</v>
      </c>
      <c r="L148" s="16">
        <v>0</v>
      </c>
      <c r="M148" s="16">
        <v>0</v>
      </c>
      <c r="N148" s="16">
        <v>0</v>
      </c>
      <c r="O148" s="16">
        <v>0</v>
      </c>
      <c r="P148" s="16">
        <v>2</v>
      </c>
      <c r="Q148" s="16">
        <v>1</v>
      </c>
      <c r="R148" s="18">
        <f t="shared" si="16"/>
        <v>0</v>
      </c>
      <c r="S148" s="18">
        <f t="shared" si="17"/>
        <v>0</v>
      </c>
      <c r="T148" s="18">
        <f t="shared" si="18"/>
        <v>0</v>
      </c>
      <c r="U148" s="18">
        <f t="shared" si="19"/>
        <v>0</v>
      </c>
      <c r="V148" s="18">
        <f t="shared" si="20"/>
        <v>0</v>
      </c>
      <c r="W148" s="18">
        <f t="shared" si="21"/>
        <v>135.06212857914642</v>
      </c>
      <c r="X148" s="18">
        <f t="shared" si="22"/>
        <v>67.471830510761762</v>
      </c>
      <c r="Y148" s="18">
        <f t="shared" si="23"/>
        <v>67.511319696636065</v>
      </c>
    </row>
    <row r="149" spans="1:25">
      <c r="A149" s="15" t="s">
        <v>65</v>
      </c>
      <c r="B149" s="15" t="s">
        <v>477</v>
      </c>
      <c r="C149" s="15" t="s">
        <v>73</v>
      </c>
      <c r="D149" s="15" t="s">
        <v>73</v>
      </c>
      <c r="E149" s="16">
        <v>31202</v>
      </c>
      <c r="F149" s="16">
        <v>10280</v>
      </c>
      <c r="G149" s="16">
        <v>10156</v>
      </c>
      <c r="H149" s="16">
        <v>10298</v>
      </c>
      <c r="I149" s="16">
        <v>11580</v>
      </c>
      <c r="J149" s="16">
        <v>11723</v>
      </c>
      <c r="K149" s="16">
        <v>11865</v>
      </c>
      <c r="L149" s="16">
        <v>0</v>
      </c>
      <c r="M149" s="16">
        <v>0</v>
      </c>
      <c r="N149" s="16">
        <v>0</v>
      </c>
      <c r="O149" s="16">
        <v>28</v>
      </c>
      <c r="P149" s="16">
        <v>20</v>
      </c>
      <c r="Q149" s="16">
        <v>18</v>
      </c>
      <c r="R149" s="18">
        <f t="shared" si="16"/>
        <v>0</v>
      </c>
      <c r="S149" s="18">
        <f t="shared" si="17"/>
        <v>0</v>
      </c>
      <c r="T149" s="18">
        <f t="shared" si="18"/>
        <v>0</v>
      </c>
      <c r="U149" s="18">
        <f t="shared" si="19"/>
        <v>0</v>
      </c>
      <c r="V149" s="18">
        <f t="shared" si="20"/>
        <v>2417.9620034542313</v>
      </c>
      <c r="W149" s="18">
        <f t="shared" si="21"/>
        <v>1706.0479399471126</v>
      </c>
      <c r="X149" s="18">
        <f t="shared" si="22"/>
        <v>1517.0670037926675</v>
      </c>
      <c r="Y149" s="18">
        <f t="shared" si="23"/>
        <v>1880.3589823980037</v>
      </c>
    </row>
    <row r="150" spans="1:25">
      <c r="A150" s="15" t="s">
        <v>65</v>
      </c>
      <c r="B150" s="15" t="s">
        <v>477</v>
      </c>
      <c r="C150" s="15" t="s">
        <v>72</v>
      </c>
      <c r="D150" s="15" t="s">
        <v>72</v>
      </c>
      <c r="E150" s="16">
        <v>31203</v>
      </c>
      <c r="F150" s="16">
        <v>10999</v>
      </c>
      <c r="G150" s="16">
        <v>10750</v>
      </c>
      <c r="H150" s="16">
        <v>10876</v>
      </c>
      <c r="I150" s="16">
        <v>12007</v>
      </c>
      <c r="J150" s="16">
        <v>12132</v>
      </c>
      <c r="K150" s="16">
        <v>12258</v>
      </c>
      <c r="L150" s="16">
        <v>0</v>
      </c>
      <c r="M150" s="16">
        <v>0</v>
      </c>
      <c r="N150" s="16">
        <v>0</v>
      </c>
      <c r="O150" s="16">
        <v>2</v>
      </c>
      <c r="P150" s="16">
        <v>0</v>
      </c>
      <c r="Q150" s="16">
        <v>4</v>
      </c>
      <c r="R150" s="18">
        <f t="shared" si="16"/>
        <v>0</v>
      </c>
      <c r="S150" s="18">
        <f t="shared" si="17"/>
        <v>0</v>
      </c>
      <c r="T150" s="18">
        <f t="shared" si="18"/>
        <v>0</v>
      </c>
      <c r="U150" s="18">
        <f t="shared" si="19"/>
        <v>0</v>
      </c>
      <c r="V150" s="18">
        <f t="shared" si="20"/>
        <v>166.56950112434413</v>
      </c>
      <c r="W150" s="18">
        <f t="shared" si="21"/>
        <v>0</v>
      </c>
      <c r="X150" s="18">
        <f t="shared" si="22"/>
        <v>326.31750693424704</v>
      </c>
      <c r="Y150" s="18">
        <f t="shared" si="23"/>
        <v>164.29566935286371</v>
      </c>
    </row>
    <row r="151" spans="1:25">
      <c r="A151" s="15" t="s">
        <v>65</v>
      </c>
      <c r="B151" s="15" t="s">
        <v>477</v>
      </c>
      <c r="C151" s="15" t="s">
        <v>63</v>
      </c>
      <c r="D151" s="15" t="s">
        <v>63</v>
      </c>
      <c r="E151" s="16">
        <v>31204</v>
      </c>
      <c r="F151" s="16">
        <v>21109</v>
      </c>
      <c r="G151" s="16">
        <v>21736</v>
      </c>
      <c r="H151" s="16">
        <v>22218</v>
      </c>
      <c r="I151" s="16">
        <v>26557</v>
      </c>
      <c r="J151" s="16">
        <v>27039</v>
      </c>
      <c r="K151" s="16">
        <v>27521</v>
      </c>
      <c r="L151" s="16">
        <v>7</v>
      </c>
      <c r="M151" s="16">
        <v>2</v>
      </c>
      <c r="N151" s="16">
        <v>2</v>
      </c>
      <c r="O151" s="16">
        <v>20</v>
      </c>
      <c r="P151" s="16">
        <v>9</v>
      </c>
      <c r="Q151" s="16">
        <v>18</v>
      </c>
      <c r="R151" s="18">
        <f t="shared" si="16"/>
        <v>331.61210857927898</v>
      </c>
      <c r="S151" s="18">
        <f t="shared" si="17"/>
        <v>92.013249907986747</v>
      </c>
      <c r="T151" s="18">
        <f t="shared" si="18"/>
        <v>90.017103249617421</v>
      </c>
      <c r="U151" s="18">
        <f t="shared" si="19"/>
        <v>171.21415391229436</v>
      </c>
      <c r="V151" s="18">
        <f t="shared" si="20"/>
        <v>753.09711187257597</v>
      </c>
      <c r="W151" s="18">
        <f t="shared" si="21"/>
        <v>332.85254632197939</v>
      </c>
      <c r="X151" s="18">
        <f t="shared" si="22"/>
        <v>654.04600123542025</v>
      </c>
      <c r="Y151" s="18">
        <f t="shared" si="23"/>
        <v>579.99855314332524</v>
      </c>
    </row>
    <row r="152" spans="1:25">
      <c r="A152" s="15" t="s">
        <v>65</v>
      </c>
      <c r="B152" s="15" t="s">
        <v>477</v>
      </c>
      <c r="C152" s="15" t="s">
        <v>74</v>
      </c>
      <c r="D152" s="15" t="s">
        <v>74</v>
      </c>
      <c r="E152" s="16">
        <v>31205</v>
      </c>
      <c r="F152" s="16">
        <v>46096</v>
      </c>
      <c r="G152" s="16">
        <v>46627</v>
      </c>
      <c r="H152" s="16">
        <v>48124</v>
      </c>
      <c r="I152" s="16">
        <v>61600</v>
      </c>
      <c r="J152" s="16">
        <v>63098</v>
      </c>
      <c r="K152" s="16">
        <v>64595</v>
      </c>
      <c r="L152" s="16">
        <v>1</v>
      </c>
      <c r="M152" s="16">
        <v>6</v>
      </c>
      <c r="N152" s="16">
        <v>4</v>
      </c>
      <c r="O152" s="16">
        <v>53</v>
      </c>
      <c r="P152" s="16">
        <v>77</v>
      </c>
      <c r="Q152" s="16">
        <v>66</v>
      </c>
      <c r="R152" s="18">
        <f t="shared" si="16"/>
        <v>21.69385629989587</v>
      </c>
      <c r="S152" s="18">
        <f t="shared" si="17"/>
        <v>128.68080725759754</v>
      </c>
      <c r="T152" s="18">
        <f t="shared" si="18"/>
        <v>83.118610256836504</v>
      </c>
      <c r="U152" s="18">
        <f t="shared" si="19"/>
        <v>77.831091271443313</v>
      </c>
      <c r="V152" s="18">
        <f t="shared" si="20"/>
        <v>860.38961038961043</v>
      </c>
      <c r="W152" s="18">
        <f t="shared" si="21"/>
        <v>1220.3239405369425</v>
      </c>
      <c r="X152" s="18">
        <f t="shared" si="22"/>
        <v>1021.7509095131203</v>
      </c>
      <c r="Y152" s="18">
        <f t="shared" si="23"/>
        <v>1034.1548201465578</v>
      </c>
    </row>
    <row r="153" spans="1:25">
      <c r="A153" s="15" t="s">
        <v>65</v>
      </c>
      <c r="B153" s="15" t="s">
        <v>477</v>
      </c>
      <c r="C153" s="15" t="s">
        <v>281</v>
      </c>
      <c r="D153" s="15" t="s">
        <v>281</v>
      </c>
      <c r="E153" s="16">
        <v>31206</v>
      </c>
      <c r="F153" s="16">
        <v>30699</v>
      </c>
      <c r="G153" s="16">
        <v>31550</v>
      </c>
      <c r="H153" s="16">
        <v>32736</v>
      </c>
      <c r="I153" s="16">
        <v>43408</v>
      </c>
      <c r="J153" s="16">
        <v>44594</v>
      </c>
      <c r="K153" s="16">
        <v>45780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8">
        <f t="shared" si="16"/>
        <v>0</v>
      </c>
      <c r="S153" s="18">
        <f t="shared" si="17"/>
        <v>0</v>
      </c>
      <c r="T153" s="18">
        <f t="shared" si="18"/>
        <v>0</v>
      </c>
      <c r="U153" s="18">
        <f t="shared" si="19"/>
        <v>0</v>
      </c>
      <c r="V153" s="18">
        <f t="shared" si="20"/>
        <v>0</v>
      </c>
      <c r="W153" s="18">
        <f t="shared" si="21"/>
        <v>0</v>
      </c>
      <c r="X153" s="18">
        <f t="shared" si="22"/>
        <v>0</v>
      </c>
      <c r="Y153" s="18">
        <f t="shared" si="23"/>
        <v>0</v>
      </c>
    </row>
    <row r="154" spans="1:25">
      <c r="A154" s="15" t="s">
        <v>65</v>
      </c>
      <c r="B154" s="15" t="s">
        <v>68</v>
      </c>
      <c r="C154" s="15" t="s">
        <v>68</v>
      </c>
      <c r="D154" s="15" t="s">
        <v>68</v>
      </c>
      <c r="E154" s="16">
        <v>31301</v>
      </c>
      <c r="F154" s="16">
        <v>20001</v>
      </c>
      <c r="G154" s="16">
        <v>19864</v>
      </c>
      <c r="H154" s="16">
        <v>19867</v>
      </c>
      <c r="I154" s="16">
        <v>19891</v>
      </c>
      <c r="J154" s="16">
        <v>19893</v>
      </c>
      <c r="K154" s="16">
        <v>19896</v>
      </c>
      <c r="L154" s="16">
        <v>1</v>
      </c>
      <c r="M154" s="16">
        <v>1</v>
      </c>
      <c r="N154" s="16">
        <v>1</v>
      </c>
      <c r="O154" s="16">
        <v>6</v>
      </c>
      <c r="P154" s="16">
        <v>2</v>
      </c>
      <c r="Q154" s="16">
        <v>1</v>
      </c>
      <c r="R154" s="18">
        <f t="shared" si="16"/>
        <v>49.997500124993749</v>
      </c>
      <c r="S154" s="18">
        <f t="shared" si="17"/>
        <v>50.342327829238826</v>
      </c>
      <c r="T154" s="18">
        <f t="shared" si="18"/>
        <v>50.334725927417324</v>
      </c>
      <c r="U154" s="18">
        <f t="shared" si="19"/>
        <v>50.224851293883297</v>
      </c>
      <c r="V154" s="18">
        <f t="shared" si="20"/>
        <v>301.64395957970942</v>
      </c>
      <c r="W154" s="18">
        <f t="shared" si="21"/>
        <v>100.5378776454029</v>
      </c>
      <c r="X154" s="18">
        <f t="shared" si="22"/>
        <v>50.261359067149172</v>
      </c>
      <c r="Y154" s="18">
        <f t="shared" si="23"/>
        <v>150.81439876408714</v>
      </c>
    </row>
    <row r="155" spans="1:25">
      <c r="A155" s="15" t="s">
        <v>65</v>
      </c>
      <c r="B155" s="15" t="s">
        <v>68</v>
      </c>
      <c r="C155" s="15" t="s">
        <v>93</v>
      </c>
      <c r="D155" s="15" t="s">
        <v>93</v>
      </c>
      <c r="E155" s="16">
        <v>31302</v>
      </c>
      <c r="F155" s="16">
        <v>5380</v>
      </c>
      <c r="G155" s="16">
        <v>5459</v>
      </c>
      <c r="H155" s="16">
        <v>5441</v>
      </c>
      <c r="I155" s="16">
        <v>5280</v>
      </c>
      <c r="J155" s="16">
        <v>5262</v>
      </c>
      <c r="K155" s="16">
        <v>5244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8">
        <f t="shared" si="16"/>
        <v>0</v>
      </c>
      <c r="S155" s="18">
        <f t="shared" si="17"/>
        <v>0</v>
      </c>
      <c r="T155" s="18">
        <f t="shared" si="18"/>
        <v>0</v>
      </c>
      <c r="U155" s="18">
        <f t="shared" si="19"/>
        <v>0</v>
      </c>
      <c r="V155" s="18">
        <f t="shared" si="20"/>
        <v>0</v>
      </c>
      <c r="W155" s="18">
        <f t="shared" si="21"/>
        <v>0</v>
      </c>
      <c r="X155" s="18">
        <f t="shared" si="22"/>
        <v>0</v>
      </c>
      <c r="Y155" s="18">
        <f t="shared" si="23"/>
        <v>0</v>
      </c>
    </row>
    <row r="156" spans="1:25">
      <c r="A156" s="15" t="s">
        <v>65</v>
      </c>
      <c r="B156" s="15" t="s">
        <v>68</v>
      </c>
      <c r="C156" s="15" t="s">
        <v>56</v>
      </c>
      <c r="D156" s="15" t="s">
        <v>56</v>
      </c>
      <c r="E156" s="16">
        <v>31303</v>
      </c>
      <c r="F156" s="16">
        <v>3582</v>
      </c>
      <c r="G156" s="16">
        <v>3447</v>
      </c>
      <c r="H156" s="16">
        <v>3452</v>
      </c>
      <c r="I156" s="16">
        <v>3501</v>
      </c>
      <c r="J156" s="16">
        <v>3507</v>
      </c>
      <c r="K156" s="16">
        <v>3512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8">
        <f t="shared" si="16"/>
        <v>0</v>
      </c>
      <c r="S156" s="18">
        <f t="shared" si="17"/>
        <v>0</v>
      </c>
      <c r="T156" s="18">
        <f t="shared" si="18"/>
        <v>0</v>
      </c>
      <c r="U156" s="18">
        <f t="shared" si="19"/>
        <v>0</v>
      </c>
      <c r="V156" s="18">
        <f t="shared" si="20"/>
        <v>0</v>
      </c>
      <c r="W156" s="18">
        <f t="shared" si="21"/>
        <v>0</v>
      </c>
      <c r="X156" s="18">
        <f t="shared" si="22"/>
        <v>0</v>
      </c>
      <c r="Y156" s="18">
        <f t="shared" si="23"/>
        <v>0</v>
      </c>
    </row>
    <row r="157" spans="1:25">
      <c r="A157" s="15" t="s">
        <v>65</v>
      </c>
      <c r="B157" s="15" t="s">
        <v>68</v>
      </c>
      <c r="C157" s="15" t="s">
        <v>301</v>
      </c>
      <c r="D157" s="15" t="s">
        <v>478</v>
      </c>
      <c r="E157" s="16">
        <v>31304</v>
      </c>
      <c r="F157" s="16">
        <v>6877</v>
      </c>
      <c r="G157" s="16">
        <v>7036</v>
      </c>
      <c r="H157" s="16">
        <v>7121</v>
      </c>
      <c r="I157" s="16">
        <v>7886</v>
      </c>
      <c r="J157" s="16">
        <v>7971</v>
      </c>
      <c r="K157" s="16">
        <v>8056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8">
        <f t="shared" si="16"/>
        <v>0</v>
      </c>
      <c r="S157" s="18">
        <f t="shared" si="17"/>
        <v>0</v>
      </c>
      <c r="T157" s="18">
        <f t="shared" si="18"/>
        <v>0</v>
      </c>
      <c r="U157" s="18">
        <f t="shared" si="19"/>
        <v>0</v>
      </c>
      <c r="V157" s="18">
        <f t="shared" si="20"/>
        <v>0</v>
      </c>
      <c r="W157" s="18">
        <f t="shared" si="21"/>
        <v>0</v>
      </c>
      <c r="X157" s="18">
        <f t="shared" si="22"/>
        <v>0</v>
      </c>
      <c r="Y157" s="18">
        <f t="shared" si="23"/>
        <v>0</v>
      </c>
    </row>
    <row r="158" spans="1:25">
      <c r="A158" s="15" t="s">
        <v>65</v>
      </c>
      <c r="B158" s="15" t="s">
        <v>349</v>
      </c>
      <c r="C158" s="15" t="s">
        <v>349</v>
      </c>
      <c r="D158" s="15" t="s">
        <v>479</v>
      </c>
      <c r="E158" s="16">
        <v>31401</v>
      </c>
      <c r="F158" s="16">
        <v>28637</v>
      </c>
      <c r="G158" s="16">
        <v>28887</v>
      </c>
      <c r="H158" s="16">
        <v>29417</v>
      </c>
      <c r="I158" s="16">
        <v>34188</v>
      </c>
      <c r="J158" s="16">
        <v>34718</v>
      </c>
      <c r="K158" s="16">
        <v>35248</v>
      </c>
      <c r="L158" s="16">
        <v>3</v>
      </c>
      <c r="M158" s="16">
        <v>6</v>
      </c>
      <c r="N158" s="16">
        <v>1</v>
      </c>
      <c r="O158" s="16">
        <v>8</v>
      </c>
      <c r="P158" s="16">
        <v>6</v>
      </c>
      <c r="Q158" s="16">
        <v>7</v>
      </c>
      <c r="R158" s="18">
        <f t="shared" si="16"/>
        <v>104.75957677130985</v>
      </c>
      <c r="S158" s="18">
        <f t="shared" si="17"/>
        <v>207.70588846193789</v>
      </c>
      <c r="T158" s="18">
        <f t="shared" si="18"/>
        <v>33.993949077064286</v>
      </c>
      <c r="U158" s="18">
        <f t="shared" si="19"/>
        <v>115.48647143677067</v>
      </c>
      <c r="V158" s="18">
        <f t="shared" si="20"/>
        <v>234.000234000234</v>
      </c>
      <c r="W158" s="18">
        <f t="shared" si="21"/>
        <v>172.8210150354283</v>
      </c>
      <c r="X158" s="18">
        <f t="shared" si="22"/>
        <v>198.59282796187017</v>
      </c>
      <c r="Y158" s="18">
        <f t="shared" si="23"/>
        <v>201.80469233251083</v>
      </c>
    </row>
    <row r="159" spans="1:25">
      <c r="A159" s="15" t="s">
        <v>65</v>
      </c>
      <c r="B159" s="15" t="s">
        <v>349</v>
      </c>
      <c r="C159" s="15" t="s">
        <v>94</v>
      </c>
      <c r="D159" s="15" t="s">
        <v>94</v>
      </c>
      <c r="E159" s="16">
        <v>31402</v>
      </c>
      <c r="F159" s="16">
        <v>7928</v>
      </c>
      <c r="G159" s="16">
        <v>8135</v>
      </c>
      <c r="H159" s="16">
        <v>8174</v>
      </c>
      <c r="I159" s="16">
        <v>8522</v>
      </c>
      <c r="J159" s="16">
        <v>8560</v>
      </c>
      <c r="K159" s="16">
        <v>8599</v>
      </c>
      <c r="L159" s="16">
        <v>0</v>
      </c>
      <c r="M159" s="16">
        <v>1</v>
      </c>
      <c r="N159" s="16">
        <v>0</v>
      </c>
      <c r="O159" s="16">
        <v>1</v>
      </c>
      <c r="P159" s="16">
        <v>1</v>
      </c>
      <c r="Q159" s="16">
        <v>1</v>
      </c>
      <c r="R159" s="18">
        <f t="shared" si="16"/>
        <v>0</v>
      </c>
      <c r="S159" s="18">
        <f t="shared" si="17"/>
        <v>122.9256299938537</v>
      </c>
      <c r="T159" s="18">
        <f t="shared" si="18"/>
        <v>0</v>
      </c>
      <c r="U159" s="18">
        <f t="shared" si="19"/>
        <v>40.975209997951232</v>
      </c>
      <c r="V159" s="18">
        <f t="shared" si="20"/>
        <v>117.34334663224595</v>
      </c>
      <c r="W159" s="18">
        <f t="shared" si="21"/>
        <v>116.82242990654206</v>
      </c>
      <c r="X159" s="18">
        <f t="shared" si="22"/>
        <v>116.29259216187928</v>
      </c>
      <c r="Y159" s="18">
        <f t="shared" si="23"/>
        <v>116.81945623355575</v>
      </c>
    </row>
    <row r="160" spans="1:25">
      <c r="A160" s="15" t="s">
        <v>65</v>
      </c>
      <c r="B160" s="15" t="s">
        <v>349</v>
      </c>
      <c r="C160" s="15" t="s">
        <v>311</v>
      </c>
      <c r="D160" s="15" t="s">
        <v>480</v>
      </c>
      <c r="E160" s="16">
        <v>31403</v>
      </c>
      <c r="F160" s="16">
        <v>13485</v>
      </c>
      <c r="G160" s="16">
        <v>13562</v>
      </c>
      <c r="H160" s="16">
        <v>13520</v>
      </c>
      <c r="I160" s="16">
        <v>13139</v>
      </c>
      <c r="J160" s="16">
        <v>13096</v>
      </c>
      <c r="K160" s="16">
        <v>13054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2</v>
      </c>
      <c r="R160" s="18">
        <f t="shared" si="16"/>
        <v>0</v>
      </c>
      <c r="S160" s="18">
        <f t="shared" si="17"/>
        <v>0</v>
      </c>
      <c r="T160" s="18">
        <f t="shared" si="18"/>
        <v>0</v>
      </c>
      <c r="U160" s="18">
        <f t="shared" si="19"/>
        <v>0</v>
      </c>
      <c r="V160" s="18">
        <f t="shared" si="20"/>
        <v>0</v>
      </c>
      <c r="W160" s="18">
        <f t="shared" si="21"/>
        <v>0</v>
      </c>
      <c r="X160" s="18">
        <f t="shared" si="22"/>
        <v>153.20974413972729</v>
      </c>
      <c r="Y160" s="18">
        <f t="shared" si="23"/>
        <v>51.069914713242433</v>
      </c>
    </row>
    <row r="161" spans="1:25">
      <c r="A161" s="15" t="s">
        <v>65</v>
      </c>
      <c r="B161" s="15" t="s">
        <v>349</v>
      </c>
      <c r="C161" s="15" t="s">
        <v>345</v>
      </c>
      <c r="D161" s="15" t="s">
        <v>345</v>
      </c>
      <c r="E161" s="16">
        <v>31404</v>
      </c>
      <c r="F161" s="16">
        <v>1282</v>
      </c>
      <c r="G161" s="16">
        <v>1303</v>
      </c>
      <c r="H161" s="16">
        <v>1302</v>
      </c>
      <c r="I161" s="16">
        <v>1290</v>
      </c>
      <c r="J161" s="16">
        <v>1288</v>
      </c>
      <c r="K161" s="16">
        <v>1287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8">
        <f t="shared" si="16"/>
        <v>0</v>
      </c>
      <c r="S161" s="18">
        <f t="shared" si="17"/>
        <v>0</v>
      </c>
      <c r="T161" s="18">
        <f t="shared" si="18"/>
        <v>0</v>
      </c>
      <c r="U161" s="18">
        <f t="shared" si="19"/>
        <v>0</v>
      </c>
      <c r="V161" s="18">
        <f t="shared" si="20"/>
        <v>0</v>
      </c>
      <c r="W161" s="18">
        <f t="shared" si="21"/>
        <v>0</v>
      </c>
      <c r="X161" s="18">
        <f t="shared" si="22"/>
        <v>0</v>
      </c>
      <c r="Y161" s="18">
        <f t="shared" si="23"/>
        <v>0</v>
      </c>
    </row>
    <row r="162" spans="1:25">
      <c r="A162" s="15" t="s">
        <v>65</v>
      </c>
      <c r="B162" s="15" t="s">
        <v>349</v>
      </c>
      <c r="C162" s="15" t="s">
        <v>481</v>
      </c>
      <c r="D162" s="15" t="s">
        <v>344</v>
      </c>
      <c r="E162" s="16">
        <v>31405</v>
      </c>
      <c r="F162" s="16">
        <v>2693</v>
      </c>
      <c r="G162" s="16">
        <v>2768</v>
      </c>
      <c r="H162" s="16">
        <v>2856</v>
      </c>
      <c r="I162" s="16">
        <v>3646</v>
      </c>
      <c r="J162" s="16">
        <v>3734</v>
      </c>
      <c r="K162" s="16">
        <v>3822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8">
        <f t="shared" si="16"/>
        <v>0</v>
      </c>
      <c r="S162" s="18">
        <f t="shared" si="17"/>
        <v>0</v>
      </c>
      <c r="T162" s="18">
        <f t="shared" si="18"/>
        <v>0</v>
      </c>
      <c r="U162" s="18">
        <f t="shared" si="19"/>
        <v>0</v>
      </c>
      <c r="V162" s="18">
        <f t="shared" si="20"/>
        <v>0</v>
      </c>
      <c r="W162" s="18">
        <f t="shared" si="21"/>
        <v>0</v>
      </c>
      <c r="X162" s="18">
        <f t="shared" si="22"/>
        <v>0</v>
      </c>
      <c r="Y162" s="18">
        <f t="shared" si="23"/>
        <v>0</v>
      </c>
    </row>
    <row r="163" spans="1:25">
      <c r="A163" s="15" t="s">
        <v>65</v>
      </c>
      <c r="B163" s="15" t="s">
        <v>291</v>
      </c>
      <c r="C163" s="15" t="s">
        <v>291</v>
      </c>
      <c r="D163" s="15" t="s">
        <v>291</v>
      </c>
      <c r="E163" s="16">
        <v>31501</v>
      </c>
      <c r="F163" s="16">
        <v>7402</v>
      </c>
      <c r="G163" s="16">
        <v>7279</v>
      </c>
      <c r="H163" s="16">
        <v>7363</v>
      </c>
      <c r="I163" s="16">
        <v>8115</v>
      </c>
      <c r="J163" s="16">
        <v>8198</v>
      </c>
      <c r="K163" s="16">
        <v>8282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1</v>
      </c>
      <c r="R163" s="18">
        <f t="shared" si="16"/>
        <v>0</v>
      </c>
      <c r="S163" s="18">
        <f t="shared" si="17"/>
        <v>0</v>
      </c>
      <c r="T163" s="18">
        <f t="shared" si="18"/>
        <v>0</v>
      </c>
      <c r="U163" s="18">
        <f t="shared" si="19"/>
        <v>0</v>
      </c>
      <c r="V163" s="18">
        <f t="shared" si="20"/>
        <v>0</v>
      </c>
      <c r="W163" s="18">
        <f t="shared" si="21"/>
        <v>0</v>
      </c>
      <c r="X163" s="18">
        <f t="shared" si="22"/>
        <v>120.74378169524269</v>
      </c>
      <c r="Y163" s="18">
        <f t="shared" si="23"/>
        <v>40.24792723174756</v>
      </c>
    </row>
    <row r="164" spans="1:25">
      <c r="A164" s="15" t="s">
        <v>65</v>
      </c>
      <c r="B164" s="15" t="s">
        <v>88</v>
      </c>
      <c r="C164" s="15" t="s">
        <v>88</v>
      </c>
      <c r="D164" s="15" t="s">
        <v>88</v>
      </c>
      <c r="E164" s="16">
        <v>31601</v>
      </c>
      <c r="F164" s="16">
        <v>21189</v>
      </c>
      <c r="G164" s="16">
        <v>21231</v>
      </c>
      <c r="H164" s="16">
        <v>21001</v>
      </c>
      <c r="I164" s="16">
        <v>18934</v>
      </c>
      <c r="J164" s="16">
        <v>18705</v>
      </c>
      <c r="K164" s="16">
        <v>18475</v>
      </c>
      <c r="L164" s="16">
        <v>0</v>
      </c>
      <c r="M164" s="16">
        <v>0</v>
      </c>
      <c r="N164" s="16">
        <v>1</v>
      </c>
      <c r="O164" s="16">
        <v>15</v>
      </c>
      <c r="P164" s="16">
        <v>11</v>
      </c>
      <c r="Q164" s="16">
        <v>9</v>
      </c>
      <c r="R164" s="18">
        <f t="shared" si="16"/>
        <v>0</v>
      </c>
      <c r="S164" s="18">
        <f t="shared" si="17"/>
        <v>0</v>
      </c>
      <c r="T164" s="18">
        <f t="shared" si="18"/>
        <v>47.616780153326033</v>
      </c>
      <c r="U164" s="18">
        <f t="shared" si="19"/>
        <v>15.872260051108677</v>
      </c>
      <c r="V164" s="18">
        <f t="shared" si="20"/>
        <v>792.22562585824437</v>
      </c>
      <c r="W164" s="18">
        <f t="shared" si="21"/>
        <v>588.07805399625772</v>
      </c>
      <c r="X164" s="18">
        <f t="shared" si="22"/>
        <v>487.14479025710421</v>
      </c>
      <c r="Y164" s="18">
        <f t="shared" si="23"/>
        <v>622.48282337053547</v>
      </c>
    </row>
    <row r="165" spans="1:25">
      <c r="A165" s="15" t="s">
        <v>65</v>
      </c>
      <c r="B165" s="15" t="s">
        <v>88</v>
      </c>
      <c r="C165" s="15" t="s">
        <v>385</v>
      </c>
      <c r="D165" s="15" t="s">
        <v>385</v>
      </c>
      <c r="E165" s="16">
        <v>31602</v>
      </c>
      <c r="F165" s="16">
        <v>20284</v>
      </c>
      <c r="G165" s="16">
        <v>20841</v>
      </c>
      <c r="H165" s="16">
        <v>21369</v>
      </c>
      <c r="I165" s="16">
        <v>26117</v>
      </c>
      <c r="J165" s="16">
        <v>26644</v>
      </c>
      <c r="K165" s="16">
        <v>27172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8">
        <f t="shared" si="16"/>
        <v>0</v>
      </c>
      <c r="S165" s="18">
        <f t="shared" si="17"/>
        <v>0</v>
      </c>
      <c r="T165" s="18">
        <f t="shared" si="18"/>
        <v>0</v>
      </c>
      <c r="U165" s="18">
        <f t="shared" si="19"/>
        <v>0</v>
      </c>
      <c r="V165" s="18">
        <f t="shared" si="20"/>
        <v>0</v>
      </c>
      <c r="W165" s="18">
        <f t="shared" si="21"/>
        <v>0</v>
      </c>
      <c r="X165" s="18">
        <f t="shared" si="22"/>
        <v>0</v>
      </c>
      <c r="Y165" s="18">
        <f t="shared" si="23"/>
        <v>0</v>
      </c>
    </row>
    <row r="166" spans="1:25">
      <c r="A166" s="15" t="s">
        <v>179</v>
      </c>
      <c r="B166" s="15" t="s">
        <v>467</v>
      </c>
      <c r="C166" s="15" t="s">
        <v>179</v>
      </c>
      <c r="D166" s="15" t="s">
        <v>179</v>
      </c>
      <c r="E166" s="16">
        <v>40101</v>
      </c>
      <c r="F166" s="16">
        <v>259176</v>
      </c>
      <c r="G166" s="16">
        <v>264943</v>
      </c>
      <c r="H166" s="16">
        <v>267727</v>
      </c>
      <c r="I166" s="16">
        <v>292782</v>
      </c>
      <c r="J166" s="16">
        <v>295566</v>
      </c>
      <c r="K166" s="16">
        <v>298350</v>
      </c>
      <c r="L166" s="16">
        <v>31</v>
      </c>
      <c r="M166" s="16">
        <v>41</v>
      </c>
      <c r="N166" s="16">
        <v>44</v>
      </c>
      <c r="O166" s="16">
        <v>102</v>
      </c>
      <c r="P166" s="16">
        <v>114</v>
      </c>
      <c r="Q166" s="16">
        <v>116</v>
      </c>
      <c r="R166" s="18">
        <f t="shared" si="16"/>
        <v>119.60984041732259</v>
      </c>
      <c r="S166" s="18">
        <f t="shared" si="17"/>
        <v>154.75026703857057</v>
      </c>
      <c r="T166" s="18">
        <f t="shared" si="18"/>
        <v>164.34651716113802</v>
      </c>
      <c r="U166" s="18">
        <f t="shared" si="19"/>
        <v>146.2355415390104</v>
      </c>
      <c r="V166" s="18">
        <f t="shared" si="20"/>
        <v>348.38207266840175</v>
      </c>
      <c r="W166" s="18">
        <f t="shared" si="21"/>
        <v>385.70065569111466</v>
      </c>
      <c r="X166" s="18">
        <f t="shared" si="22"/>
        <v>388.80509468744765</v>
      </c>
      <c r="Y166" s="18">
        <f t="shared" si="23"/>
        <v>374.29594101565471</v>
      </c>
    </row>
    <row r="167" spans="1:25">
      <c r="A167" s="15" t="s">
        <v>179</v>
      </c>
      <c r="B167" s="15" t="s">
        <v>467</v>
      </c>
      <c r="C167" s="15" t="s">
        <v>169</v>
      </c>
      <c r="D167" s="15" t="s">
        <v>169</v>
      </c>
      <c r="E167" s="16">
        <v>40102</v>
      </c>
      <c r="F167" s="16">
        <v>22888</v>
      </c>
      <c r="G167" s="16">
        <v>23115</v>
      </c>
      <c r="H167" s="16">
        <v>23093</v>
      </c>
      <c r="I167" s="16">
        <v>22894</v>
      </c>
      <c r="J167" s="16">
        <v>22872</v>
      </c>
      <c r="K167" s="16">
        <v>22850</v>
      </c>
      <c r="L167" s="16">
        <v>0</v>
      </c>
      <c r="M167" s="16">
        <v>0</v>
      </c>
      <c r="N167" s="16">
        <v>1</v>
      </c>
      <c r="O167" s="16">
        <v>1</v>
      </c>
      <c r="P167" s="16">
        <v>1</v>
      </c>
      <c r="Q167" s="16">
        <v>2</v>
      </c>
      <c r="R167" s="18">
        <f t="shared" si="16"/>
        <v>0</v>
      </c>
      <c r="S167" s="18">
        <f t="shared" si="17"/>
        <v>0</v>
      </c>
      <c r="T167" s="18">
        <f t="shared" si="18"/>
        <v>43.303165461395231</v>
      </c>
      <c r="U167" s="18">
        <f t="shared" si="19"/>
        <v>14.434388487131743</v>
      </c>
      <c r="V167" s="18">
        <f t="shared" si="20"/>
        <v>43.679566698698352</v>
      </c>
      <c r="W167" s="18">
        <f t="shared" si="21"/>
        <v>43.72158097236796</v>
      </c>
      <c r="X167" s="18">
        <f t="shared" si="22"/>
        <v>87.527352297592998</v>
      </c>
      <c r="Y167" s="18">
        <f t="shared" si="23"/>
        <v>58.309499989553103</v>
      </c>
    </row>
    <row r="168" spans="1:25">
      <c r="A168" s="15" t="s">
        <v>179</v>
      </c>
      <c r="B168" s="15" t="s">
        <v>467</v>
      </c>
      <c r="C168" s="15" t="s">
        <v>173</v>
      </c>
      <c r="D168" s="15" t="s">
        <v>173</v>
      </c>
      <c r="E168" s="16">
        <v>40103</v>
      </c>
      <c r="F168" s="16">
        <v>8451</v>
      </c>
      <c r="G168" s="16">
        <v>8725</v>
      </c>
      <c r="H168" s="16">
        <v>8831</v>
      </c>
      <c r="I168" s="16">
        <v>9785</v>
      </c>
      <c r="J168" s="16">
        <v>9891</v>
      </c>
      <c r="K168" s="16">
        <v>9997</v>
      </c>
      <c r="L168" s="16">
        <v>0</v>
      </c>
      <c r="M168" s="16">
        <v>0</v>
      </c>
      <c r="N168" s="16">
        <v>0</v>
      </c>
      <c r="O168" s="16">
        <v>1</v>
      </c>
      <c r="P168" s="16">
        <v>0</v>
      </c>
      <c r="Q168" s="16">
        <v>0</v>
      </c>
      <c r="R168" s="18">
        <f t="shared" si="16"/>
        <v>0</v>
      </c>
      <c r="S168" s="18">
        <f t="shared" si="17"/>
        <v>0</v>
      </c>
      <c r="T168" s="18">
        <f t="shared" si="18"/>
        <v>0</v>
      </c>
      <c r="U168" s="18">
        <f t="shared" si="19"/>
        <v>0</v>
      </c>
      <c r="V168" s="18">
        <f t="shared" si="20"/>
        <v>102.19724067450178</v>
      </c>
      <c r="W168" s="18">
        <f t="shared" si="21"/>
        <v>0</v>
      </c>
      <c r="X168" s="18">
        <f t="shared" si="22"/>
        <v>0</v>
      </c>
      <c r="Y168" s="18">
        <f t="shared" si="23"/>
        <v>34.065746891500595</v>
      </c>
    </row>
    <row r="169" spans="1:25">
      <c r="A169" s="15" t="s">
        <v>179</v>
      </c>
      <c r="B169" s="15" t="s">
        <v>467</v>
      </c>
      <c r="C169" s="15" t="s">
        <v>347</v>
      </c>
      <c r="D169" s="15" t="s">
        <v>482</v>
      </c>
      <c r="E169" s="16">
        <v>40104</v>
      </c>
      <c r="F169" s="16">
        <v>12949</v>
      </c>
      <c r="G169" s="16">
        <v>12846</v>
      </c>
      <c r="H169" s="16">
        <v>13089</v>
      </c>
      <c r="I169" s="16">
        <v>15278</v>
      </c>
      <c r="J169" s="16">
        <v>15521</v>
      </c>
      <c r="K169" s="16">
        <v>15764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8">
        <f t="shared" si="16"/>
        <v>0</v>
      </c>
      <c r="S169" s="18">
        <f t="shared" si="17"/>
        <v>0</v>
      </c>
      <c r="T169" s="18">
        <f t="shared" si="18"/>
        <v>0</v>
      </c>
      <c r="U169" s="18">
        <f t="shared" si="19"/>
        <v>0</v>
      </c>
      <c r="V169" s="18">
        <f t="shared" si="20"/>
        <v>0</v>
      </c>
      <c r="W169" s="18">
        <f t="shared" si="21"/>
        <v>0</v>
      </c>
      <c r="X169" s="18">
        <f t="shared" si="22"/>
        <v>0</v>
      </c>
      <c r="Y169" s="18">
        <f t="shared" si="23"/>
        <v>0</v>
      </c>
    </row>
    <row r="170" spans="1:25">
      <c r="A170" s="15" t="s">
        <v>179</v>
      </c>
      <c r="B170" s="15" t="s">
        <v>483</v>
      </c>
      <c r="C170" s="15" t="s">
        <v>170</v>
      </c>
      <c r="D170" s="15" t="s">
        <v>170</v>
      </c>
      <c r="E170" s="16">
        <v>40201</v>
      </c>
      <c r="F170" s="16">
        <v>28505</v>
      </c>
      <c r="G170" s="16">
        <v>28918</v>
      </c>
      <c r="H170" s="16">
        <v>29460</v>
      </c>
      <c r="I170" s="16">
        <v>34342</v>
      </c>
      <c r="J170" s="16">
        <v>34885</v>
      </c>
      <c r="K170" s="16">
        <v>35427</v>
      </c>
      <c r="L170" s="16">
        <v>0</v>
      </c>
      <c r="M170" s="16">
        <v>0</v>
      </c>
      <c r="N170" s="16">
        <v>2</v>
      </c>
      <c r="O170" s="16">
        <v>2</v>
      </c>
      <c r="P170" s="16">
        <v>7</v>
      </c>
      <c r="Q170" s="16">
        <v>5</v>
      </c>
      <c r="R170" s="18">
        <f t="shared" si="16"/>
        <v>0</v>
      </c>
      <c r="S170" s="18">
        <f t="shared" si="17"/>
        <v>0</v>
      </c>
      <c r="T170" s="18">
        <f t="shared" si="18"/>
        <v>67.888662593346908</v>
      </c>
      <c r="U170" s="18">
        <f t="shared" si="19"/>
        <v>22.629554197782301</v>
      </c>
      <c r="V170" s="18">
        <f t="shared" si="20"/>
        <v>58.237726399161375</v>
      </c>
      <c r="W170" s="18">
        <f t="shared" si="21"/>
        <v>200.6593091586642</v>
      </c>
      <c r="X170" s="18">
        <f t="shared" si="22"/>
        <v>141.13529229119032</v>
      </c>
      <c r="Y170" s="18">
        <f t="shared" si="23"/>
        <v>133.34410928300531</v>
      </c>
    </row>
    <row r="171" spans="1:25">
      <c r="A171" s="15" t="s">
        <v>179</v>
      </c>
      <c r="B171" s="15" t="s">
        <v>483</v>
      </c>
      <c r="C171" s="15" t="s">
        <v>184</v>
      </c>
      <c r="D171" s="15" t="s">
        <v>184</v>
      </c>
      <c r="E171" s="16">
        <v>40202</v>
      </c>
      <c r="F171" s="16">
        <v>3983</v>
      </c>
      <c r="G171" s="16">
        <v>4051</v>
      </c>
      <c r="H171" s="16">
        <v>4144</v>
      </c>
      <c r="I171" s="16">
        <v>4976</v>
      </c>
      <c r="J171" s="16">
        <v>5069</v>
      </c>
      <c r="K171" s="16">
        <v>5161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8">
        <f t="shared" si="16"/>
        <v>0</v>
      </c>
      <c r="S171" s="18">
        <f t="shared" si="17"/>
        <v>0</v>
      </c>
      <c r="T171" s="18">
        <f t="shared" si="18"/>
        <v>0</v>
      </c>
      <c r="U171" s="18">
        <f t="shared" si="19"/>
        <v>0</v>
      </c>
      <c r="V171" s="18">
        <f t="shared" si="20"/>
        <v>0</v>
      </c>
      <c r="W171" s="18">
        <f t="shared" si="21"/>
        <v>0</v>
      </c>
      <c r="X171" s="18">
        <f t="shared" si="22"/>
        <v>0</v>
      </c>
      <c r="Y171" s="18">
        <f t="shared" si="23"/>
        <v>0</v>
      </c>
    </row>
    <row r="172" spans="1:25">
      <c r="A172" s="15" t="s">
        <v>179</v>
      </c>
      <c r="B172" s="15" t="s">
        <v>335</v>
      </c>
      <c r="C172" s="15" t="s">
        <v>171</v>
      </c>
      <c r="D172" s="15" t="s">
        <v>171</v>
      </c>
      <c r="E172" s="16">
        <v>40301</v>
      </c>
      <c r="F172" s="16">
        <v>9160</v>
      </c>
      <c r="G172" s="16">
        <v>9221</v>
      </c>
      <c r="H172" s="16">
        <v>9794</v>
      </c>
      <c r="I172" s="16">
        <v>14954</v>
      </c>
      <c r="J172" s="16">
        <v>15528</v>
      </c>
      <c r="K172" s="16">
        <v>16101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</v>
      </c>
      <c r="R172" s="18">
        <f t="shared" si="16"/>
        <v>0</v>
      </c>
      <c r="S172" s="18">
        <f t="shared" si="17"/>
        <v>0</v>
      </c>
      <c r="T172" s="18">
        <f t="shared" si="18"/>
        <v>0</v>
      </c>
      <c r="U172" s="18">
        <f t="shared" si="19"/>
        <v>0</v>
      </c>
      <c r="V172" s="18">
        <f t="shared" si="20"/>
        <v>0</v>
      </c>
      <c r="W172" s="18">
        <f t="shared" si="21"/>
        <v>0</v>
      </c>
      <c r="X172" s="18">
        <f t="shared" si="22"/>
        <v>124.2158872119744</v>
      </c>
      <c r="Y172" s="18">
        <f t="shared" si="23"/>
        <v>41.405295737324799</v>
      </c>
    </row>
    <row r="173" spans="1:25">
      <c r="A173" s="15" t="s">
        <v>179</v>
      </c>
      <c r="B173" s="15" t="s">
        <v>335</v>
      </c>
      <c r="C173" s="15" t="s">
        <v>396</v>
      </c>
      <c r="D173" s="15" t="s">
        <v>396</v>
      </c>
      <c r="E173" s="16">
        <v>40302</v>
      </c>
      <c r="F173" s="16">
        <v>1829</v>
      </c>
      <c r="G173" s="16">
        <v>1850</v>
      </c>
      <c r="H173" s="16">
        <v>1905</v>
      </c>
      <c r="I173" s="16">
        <v>2395</v>
      </c>
      <c r="J173" s="16">
        <v>2450</v>
      </c>
      <c r="K173" s="16">
        <v>2504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8">
        <f t="shared" si="16"/>
        <v>0</v>
      </c>
      <c r="S173" s="18">
        <f t="shared" si="17"/>
        <v>0</v>
      </c>
      <c r="T173" s="18">
        <f t="shared" si="18"/>
        <v>0</v>
      </c>
      <c r="U173" s="18">
        <f t="shared" si="19"/>
        <v>0</v>
      </c>
      <c r="V173" s="18">
        <f t="shared" si="20"/>
        <v>0</v>
      </c>
      <c r="W173" s="18">
        <f t="shared" si="21"/>
        <v>0</v>
      </c>
      <c r="X173" s="18">
        <f t="shared" si="22"/>
        <v>0</v>
      </c>
      <c r="Y173" s="18">
        <f t="shared" si="23"/>
        <v>0</v>
      </c>
    </row>
    <row r="174" spans="1:25">
      <c r="A174" s="15" t="s">
        <v>179</v>
      </c>
      <c r="B174" s="15" t="s">
        <v>484</v>
      </c>
      <c r="C174" s="15" t="s">
        <v>172</v>
      </c>
      <c r="D174" s="15" t="s">
        <v>172</v>
      </c>
      <c r="E174" s="16">
        <v>40401</v>
      </c>
      <c r="F174" s="16">
        <v>4283</v>
      </c>
      <c r="G174" s="16">
        <v>4184</v>
      </c>
      <c r="H174" s="16">
        <v>4392</v>
      </c>
      <c r="I174" s="16">
        <v>6267</v>
      </c>
      <c r="J174" s="16">
        <v>6475</v>
      </c>
      <c r="K174" s="16">
        <v>6683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1</v>
      </c>
      <c r="R174" s="18">
        <f t="shared" si="16"/>
        <v>0</v>
      </c>
      <c r="S174" s="18">
        <f t="shared" si="17"/>
        <v>0</v>
      </c>
      <c r="T174" s="18">
        <f t="shared" si="18"/>
        <v>0</v>
      </c>
      <c r="U174" s="18">
        <f t="shared" si="19"/>
        <v>0</v>
      </c>
      <c r="V174" s="18">
        <f t="shared" si="20"/>
        <v>0</v>
      </c>
      <c r="W174" s="18">
        <f t="shared" si="21"/>
        <v>0</v>
      </c>
      <c r="X174" s="18">
        <f t="shared" si="22"/>
        <v>149.63339817447255</v>
      </c>
      <c r="Y174" s="18">
        <f t="shared" si="23"/>
        <v>49.877799391490846</v>
      </c>
    </row>
    <row r="175" spans="1:25">
      <c r="A175" s="15" t="s">
        <v>179</v>
      </c>
      <c r="B175" s="15" t="s">
        <v>484</v>
      </c>
      <c r="C175" s="15" t="s">
        <v>185</v>
      </c>
      <c r="D175" s="15" t="s">
        <v>185</v>
      </c>
      <c r="E175" s="16">
        <v>40402</v>
      </c>
      <c r="F175" s="16">
        <v>5112</v>
      </c>
      <c r="G175" s="16">
        <v>5207</v>
      </c>
      <c r="H175" s="16">
        <v>5257</v>
      </c>
      <c r="I175" s="16">
        <v>5704</v>
      </c>
      <c r="J175" s="16">
        <v>5753</v>
      </c>
      <c r="K175" s="16">
        <v>5803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8">
        <f t="shared" si="16"/>
        <v>0</v>
      </c>
      <c r="S175" s="18">
        <f t="shared" si="17"/>
        <v>0</v>
      </c>
      <c r="T175" s="18">
        <f t="shared" si="18"/>
        <v>0</v>
      </c>
      <c r="U175" s="18">
        <f t="shared" si="19"/>
        <v>0</v>
      </c>
      <c r="V175" s="18">
        <f t="shared" si="20"/>
        <v>0</v>
      </c>
      <c r="W175" s="18">
        <f t="shared" si="21"/>
        <v>0</v>
      </c>
      <c r="X175" s="18">
        <f t="shared" si="22"/>
        <v>0</v>
      </c>
      <c r="Y175" s="18">
        <f t="shared" si="23"/>
        <v>0</v>
      </c>
    </row>
    <row r="176" spans="1:25">
      <c r="A176" s="15" t="s">
        <v>179</v>
      </c>
      <c r="B176" s="15" t="s">
        <v>485</v>
      </c>
      <c r="C176" s="15" t="s">
        <v>175</v>
      </c>
      <c r="D176" s="15" t="s">
        <v>175</v>
      </c>
      <c r="E176" s="16">
        <v>40501</v>
      </c>
      <c r="F176" s="16">
        <v>1062</v>
      </c>
      <c r="G176" s="16">
        <v>1003</v>
      </c>
      <c r="H176" s="16">
        <v>1254</v>
      </c>
      <c r="I176" s="16">
        <v>3510</v>
      </c>
      <c r="J176" s="16">
        <v>3760</v>
      </c>
      <c r="K176" s="16">
        <v>4011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1</v>
      </c>
      <c r="R176" s="18">
        <f t="shared" si="16"/>
        <v>0</v>
      </c>
      <c r="S176" s="18">
        <f t="shared" si="17"/>
        <v>0</v>
      </c>
      <c r="T176" s="18">
        <f t="shared" si="18"/>
        <v>0</v>
      </c>
      <c r="U176" s="18">
        <f t="shared" si="19"/>
        <v>0</v>
      </c>
      <c r="V176" s="18">
        <f t="shared" si="20"/>
        <v>0</v>
      </c>
      <c r="W176" s="18">
        <f t="shared" si="21"/>
        <v>0</v>
      </c>
      <c r="X176" s="18">
        <f t="shared" si="22"/>
        <v>249.3143854400399</v>
      </c>
      <c r="Y176" s="18">
        <f t="shared" si="23"/>
        <v>83.104795146679962</v>
      </c>
    </row>
    <row r="177" spans="1:25">
      <c r="A177" s="15" t="s">
        <v>179</v>
      </c>
      <c r="B177" s="15" t="s">
        <v>485</v>
      </c>
      <c r="C177" s="15" t="s">
        <v>397</v>
      </c>
      <c r="D177" s="15" t="s">
        <v>397</v>
      </c>
      <c r="E177" s="16">
        <v>40502</v>
      </c>
      <c r="F177" s="16">
        <v>3918</v>
      </c>
      <c r="G177" s="16">
        <v>4223</v>
      </c>
      <c r="H177" s="16">
        <v>4224</v>
      </c>
      <c r="I177" s="16">
        <v>4230</v>
      </c>
      <c r="J177" s="16">
        <v>4230</v>
      </c>
      <c r="K177" s="16">
        <v>4231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8">
        <f t="shared" si="16"/>
        <v>0</v>
      </c>
      <c r="S177" s="18">
        <f t="shared" si="17"/>
        <v>0</v>
      </c>
      <c r="T177" s="18">
        <f t="shared" si="18"/>
        <v>0</v>
      </c>
      <c r="U177" s="18">
        <f t="shared" si="19"/>
        <v>0</v>
      </c>
      <c r="V177" s="18">
        <f t="shared" si="20"/>
        <v>0</v>
      </c>
      <c r="W177" s="18">
        <f t="shared" si="21"/>
        <v>0</v>
      </c>
      <c r="X177" s="18">
        <f t="shared" si="22"/>
        <v>0</v>
      </c>
      <c r="Y177" s="18">
        <f t="shared" si="23"/>
        <v>0</v>
      </c>
    </row>
    <row r="178" spans="1:25">
      <c r="A178" s="15" t="s">
        <v>179</v>
      </c>
      <c r="B178" s="15" t="s">
        <v>485</v>
      </c>
      <c r="C178" s="15" t="s">
        <v>337</v>
      </c>
      <c r="D178" s="15" t="s">
        <v>337</v>
      </c>
      <c r="E178" s="16">
        <v>40503</v>
      </c>
      <c r="F178" s="16">
        <v>1867</v>
      </c>
      <c r="G178" s="16">
        <v>1967</v>
      </c>
      <c r="H178" s="16">
        <v>1930</v>
      </c>
      <c r="I178" s="16">
        <v>1592</v>
      </c>
      <c r="J178" s="16">
        <v>1555</v>
      </c>
      <c r="K178" s="16">
        <v>1517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8">
        <f t="shared" si="16"/>
        <v>0</v>
      </c>
      <c r="S178" s="18">
        <f t="shared" si="17"/>
        <v>0</v>
      </c>
      <c r="T178" s="18">
        <f t="shared" si="18"/>
        <v>0</v>
      </c>
      <c r="U178" s="18">
        <f t="shared" si="19"/>
        <v>0</v>
      </c>
      <c r="V178" s="18">
        <f t="shared" si="20"/>
        <v>0</v>
      </c>
      <c r="W178" s="18">
        <f t="shared" si="21"/>
        <v>0</v>
      </c>
      <c r="X178" s="18">
        <f t="shared" si="22"/>
        <v>0</v>
      </c>
      <c r="Y178" s="18">
        <f t="shared" si="23"/>
        <v>0</v>
      </c>
    </row>
    <row r="179" spans="1:25">
      <c r="A179" s="15" t="s">
        <v>179</v>
      </c>
      <c r="B179" s="15" t="s">
        <v>485</v>
      </c>
      <c r="C179" s="15" t="s">
        <v>336</v>
      </c>
      <c r="D179" s="15" t="s">
        <v>336</v>
      </c>
      <c r="E179" s="16">
        <v>40504</v>
      </c>
      <c r="F179" s="16">
        <v>487</v>
      </c>
      <c r="G179" s="16">
        <v>514</v>
      </c>
      <c r="H179" s="16">
        <v>544</v>
      </c>
      <c r="I179" s="16">
        <v>815</v>
      </c>
      <c r="J179" s="16">
        <v>845</v>
      </c>
      <c r="K179" s="16">
        <v>875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8">
        <f t="shared" si="16"/>
        <v>0</v>
      </c>
      <c r="S179" s="18">
        <f t="shared" si="17"/>
        <v>0</v>
      </c>
      <c r="T179" s="18">
        <f t="shared" si="18"/>
        <v>0</v>
      </c>
      <c r="U179" s="18">
        <f t="shared" si="19"/>
        <v>0</v>
      </c>
      <c r="V179" s="18">
        <f t="shared" si="20"/>
        <v>0</v>
      </c>
      <c r="W179" s="18">
        <f t="shared" si="21"/>
        <v>0</v>
      </c>
      <c r="X179" s="18">
        <f t="shared" si="22"/>
        <v>0</v>
      </c>
      <c r="Y179" s="18">
        <f t="shared" si="23"/>
        <v>0</v>
      </c>
    </row>
    <row r="180" spans="1:25">
      <c r="A180" s="15" t="s">
        <v>179</v>
      </c>
      <c r="B180" s="15" t="s">
        <v>485</v>
      </c>
      <c r="C180" s="15" t="s">
        <v>302</v>
      </c>
      <c r="D180" s="15" t="s">
        <v>302</v>
      </c>
      <c r="E180" s="16">
        <v>40505</v>
      </c>
      <c r="F180" s="16">
        <v>2543</v>
      </c>
      <c r="G180" s="16">
        <v>2702</v>
      </c>
      <c r="H180" s="16">
        <v>2800</v>
      </c>
      <c r="I180" s="16">
        <v>3685</v>
      </c>
      <c r="J180" s="16">
        <v>3784</v>
      </c>
      <c r="K180" s="16">
        <v>3882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8">
        <f t="shared" si="16"/>
        <v>0</v>
      </c>
      <c r="S180" s="18">
        <f t="shared" si="17"/>
        <v>0</v>
      </c>
      <c r="T180" s="18">
        <f t="shared" si="18"/>
        <v>0</v>
      </c>
      <c r="U180" s="18">
        <f t="shared" si="19"/>
        <v>0</v>
      </c>
      <c r="V180" s="18">
        <f t="shared" si="20"/>
        <v>0</v>
      </c>
      <c r="W180" s="18">
        <f t="shared" si="21"/>
        <v>0</v>
      </c>
      <c r="X180" s="18">
        <f t="shared" si="22"/>
        <v>0</v>
      </c>
      <c r="Y180" s="18">
        <f t="shared" si="23"/>
        <v>0</v>
      </c>
    </row>
    <row r="181" spans="1:25">
      <c r="A181" s="15" t="s">
        <v>179</v>
      </c>
      <c r="B181" s="15" t="s">
        <v>323</v>
      </c>
      <c r="C181" s="15" t="s">
        <v>323</v>
      </c>
      <c r="D181" s="15" t="s">
        <v>486</v>
      </c>
      <c r="E181" s="16">
        <v>40601</v>
      </c>
      <c r="F181" s="16">
        <v>7458</v>
      </c>
      <c r="G181" s="16">
        <v>7587</v>
      </c>
      <c r="H181" s="16">
        <v>7721</v>
      </c>
      <c r="I181" s="16">
        <v>8922</v>
      </c>
      <c r="J181" s="16">
        <v>9056</v>
      </c>
      <c r="K181" s="16">
        <v>9189</v>
      </c>
      <c r="L181" s="16">
        <v>0</v>
      </c>
      <c r="M181" s="16">
        <v>0</v>
      </c>
      <c r="N181" s="16">
        <v>1</v>
      </c>
      <c r="O181" s="16">
        <v>0</v>
      </c>
      <c r="P181" s="16">
        <v>0</v>
      </c>
      <c r="Q181" s="16">
        <v>1</v>
      </c>
      <c r="R181" s="18">
        <f t="shared" si="16"/>
        <v>0</v>
      </c>
      <c r="S181" s="18">
        <f t="shared" si="17"/>
        <v>0</v>
      </c>
      <c r="T181" s="18">
        <f t="shared" si="18"/>
        <v>129.51690195570524</v>
      </c>
      <c r="U181" s="18">
        <f t="shared" si="19"/>
        <v>43.172300651901743</v>
      </c>
      <c r="V181" s="18">
        <f t="shared" si="20"/>
        <v>0</v>
      </c>
      <c r="W181" s="18">
        <f t="shared" si="21"/>
        <v>0</v>
      </c>
      <c r="X181" s="18">
        <f t="shared" si="22"/>
        <v>108.82576994232234</v>
      </c>
      <c r="Y181" s="18">
        <f t="shared" si="23"/>
        <v>36.275256647440777</v>
      </c>
    </row>
    <row r="182" spans="1:25">
      <c r="A182" s="15" t="s">
        <v>179</v>
      </c>
      <c r="B182" s="15" t="s">
        <v>323</v>
      </c>
      <c r="C182" s="15" t="s">
        <v>180</v>
      </c>
      <c r="D182" s="15" t="s">
        <v>180</v>
      </c>
      <c r="E182" s="16">
        <v>40602</v>
      </c>
      <c r="F182" s="16">
        <v>5911</v>
      </c>
      <c r="G182" s="16">
        <v>5955</v>
      </c>
      <c r="H182" s="16">
        <v>5813</v>
      </c>
      <c r="I182" s="16">
        <v>4535</v>
      </c>
      <c r="J182" s="16">
        <v>4393</v>
      </c>
      <c r="K182" s="16">
        <v>4251</v>
      </c>
      <c r="L182" s="16">
        <v>0</v>
      </c>
      <c r="M182" s="16">
        <v>0</v>
      </c>
      <c r="N182" s="16">
        <v>0</v>
      </c>
      <c r="O182" s="16">
        <v>0</v>
      </c>
      <c r="P182" s="16">
        <v>1</v>
      </c>
      <c r="Q182" s="16">
        <v>0</v>
      </c>
      <c r="R182" s="18">
        <f t="shared" si="16"/>
        <v>0</v>
      </c>
      <c r="S182" s="18">
        <f t="shared" si="17"/>
        <v>0</v>
      </c>
      <c r="T182" s="18">
        <f t="shared" si="18"/>
        <v>0</v>
      </c>
      <c r="U182" s="18">
        <f t="shared" si="19"/>
        <v>0</v>
      </c>
      <c r="V182" s="18">
        <f t="shared" si="20"/>
        <v>0</v>
      </c>
      <c r="W182" s="18">
        <f t="shared" si="21"/>
        <v>227.63487366264513</v>
      </c>
      <c r="X182" s="18">
        <f t="shared" si="22"/>
        <v>0</v>
      </c>
      <c r="Y182" s="18">
        <f t="shared" si="23"/>
        <v>75.878291220881707</v>
      </c>
    </row>
    <row r="183" spans="1:25">
      <c r="A183" s="15" t="s">
        <v>179</v>
      </c>
      <c r="B183" s="15" t="s">
        <v>323</v>
      </c>
      <c r="C183" s="15" t="s">
        <v>168</v>
      </c>
      <c r="D183" s="15" t="s">
        <v>168</v>
      </c>
      <c r="E183" s="16">
        <v>40603</v>
      </c>
      <c r="F183" s="16">
        <v>3272</v>
      </c>
      <c r="G183" s="16">
        <v>3264</v>
      </c>
      <c r="H183" s="16">
        <v>3298</v>
      </c>
      <c r="I183" s="16">
        <v>3599</v>
      </c>
      <c r="J183" s="16">
        <v>3633</v>
      </c>
      <c r="K183" s="16">
        <v>3666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8">
        <f t="shared" si="16"/>
        <v>0</v>
      </c>
      <c r="S183" s="18">
        <f t="shared" si="17"/>
        <v>0</v>
      </c>
      <c r="T183" s="18">
        <f t="shared" si="18"/>
        <v>0</v>
      </c>
      <c r="U183" s="18">
        <f t="shared" si="19"/>
        <v>0</v>
      </c>
      <c r="V183" s="18">
        <f t="shared" si="20"/>
        <v>0</v>
      </c>
      <c r="W183" s="18">
        <f t="shared" si="21"/>
        <v>0</v>
      </c>
      <c r="X183" s="18">
        <f t="shared" si="22"/>
        <v>0</v>
      </c>
      <c r="Y183" s="18">
        <f t="shared" si="23"/>
        <v>0</v>
      </c>
    </row>
    <row r="184" spans="1:25">
      <c r="A184" s="15" t="s">
        <v>179</v>
      </c>
      <c r="B184" s="15" t="s">
        <v>487</v>
      </c>
      <c r="C184" s="15" t="s">
        <v>176</v>
      </c>
      <c r="D184" s="15" t="s">
        <v>488</v>
      </c>
      <c r="E184" s="16">
        <v>40701</v>
      </c>
      <c r="F184" s="16">
        <v>24200</v>
      </c>
      <c r="G184" s="16">
        <v>24677</v>
      </c>
      <c r="H184" s="16">
        <v>24297</v>
      </c>
      <c r="I184" s="16">
        <v>20878</v>
      </c>
      <c r="J184" s="16">
        <v>20498</v>
      </c>
      <c r="K184" s="16">
        <v>20118</v>
      </c>
      <c r="L184" s="16">
        <v>0</v>
      </c>
      <c r="M184" s="16">
        <v>1</v>
      </c>
      <c r="N184" s="16">
        <v>3</v>
      </c>
      <c r="O184" s="16">
        <v>12</v>
      </c>
      <c r="P184" s="16">
        <v>4</v>
      </c>
      <c r="Q184" s="16">
        <v>4</v>
      </c>
      <c r="R184" s="18">
        <f t="shared" si="16"/>
        <v>0</v>
      </c>
      <c r="S184" s="18">
        <f t="shared" si="17"/>
        <v>40.523564452729268</v>
      </c>
      <c r="T184" s="18">
        <f t="shared" si="18"/>
        <v>123.47203358439315</v>
      </c>
      <c r="U184" s="18">
        <f t="shared" si="19"/>
        <v>54.665199345707471</v>
      </c>
      <c r="V184" s="18">
        <f t="shared" si="20"/>
        <v>574.76769805536924</v>
      </c>
      <c r="W184" s="18">
        <f t="shared" si="21"/>
        <v>195.14098936481608</v>
      </c>
      <c r="X184" s="18">
        <f t="shared" si="22"/>
        <v>198.82692116512578</v>
      </c>
      <c r="Y184" s="18">
        <f t="shared" si="23"/>
        <v>322.91186952843702</v>
      </c>
    </row>
    <row r="185" spans="1:25">
      <c r="A185" s="15" t="s">
        <v>179</v>
      </c>
      <c r="B185" s="15" t="s">
        <v>487</v>
      </c>
      <c r="C185" s="15" t="s">
        <v>178</v>
      </c>
      <c r="D185" s="15" t="s">
        <v>178</v>
      </c>
      <c r="E185" s="16">
        <v>40702</v>
      </c>
      <c r="F185" s="16">
        <v>4762</v>
      </c>
      <c r="G185" s="16">
        <v>4820</v>
      </c>
      <c r="H185" s="16">
        <v>4928</v>
      </c>
      <c r="I185" s="16">
        <v>5903</v>
      </c>
      <c r="J185" s="16">
        <v>6012</v>
      </c>
      <c r="K185" s="16">
        <v>6120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0</v>
      </c>
      <c r="R185" s="18">
        <f t="shared" si="16"/>
        <v>209.99580008399832</v>
      </c>
      <c r="S185" s="18">
        <f t="shared" si="17"/>
        <v>207.46887966804979</v>
      </c>
      <c r="T185" s="18">
        <f t="shared" si="18"/>
        <v>202.92207792207793</v>
      </c>
      <c r="U185" s="18">
        <f t="shared" si="19"/>
        <v>206.79558589137537</v>
      </c>
      <c r="V185" s="18">
        <f t="shared" si="20"/>
        <v>169.40538709130951</v>
      </c>
      <c r="W185" s="18">
        <f t="shared" si="21"/>
        <v>166.33399866932803</v>
      </c>
      <c r="X185" s="18">
        <f t="shared" si="22"/>
        <v>0</v>
      </c>
      <c r="Y185" s="18">
        <f t="shared" si="23"/>
        <v>111.91312858687918</v>
      </c>
    </row>
    <row r="186" spans="1:25">
      <c r="A186" s="15" t="s">
        <v>179</v>
      </c>
      <c r="B186" s="15" t="s">
        <v>489</v>
      </c>
      <c r="C186" s="15" t="s">
        <v>490</v>
      </c>
      <c r="D186" s="15" t="s">
        <v>490</v>
      </c>
      <c r="E186" s="16">
        <v>40801</v>
      </c>
      <c r="F186" s="16">
        <v>11591</v>
      </c>
      <c r="G186" s="16">
        <v>11878</v>
      </c>
      <c r="H186" s="16">
        <v>12216</v>
      </c>
      <c r="I186" s="16">
        <v>15258</v>
      </c>
      <c r="J186" s="16">
        <v>15596</v>
      </c>
      <c r="K186" s="16">
        <v>15934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8">
        <f t="shared" si="16"/>
        <v>0</v>
      </c>
      <c r="S186" s="18">
        <f t="shared" si="17"/>
        <v>0</v>
      </c>
      <c r="T186" s="18">
        <f t="shared" si="18"/>
        <v>0</v>
      </c>
      <c r="U186" s="18">
        <f t="shared" si="19"/>
        <v>0</v>
      </c>
      <c r="V186" s="18">
        <f t="shared" si="20"/>
        <v>0</v>
      </c>
      <c r="W186" s="18">
        <f t="shared" si="21"/>
        <v>0</v>
      </c>
      <c r="X186" s="18">
        <f t="shared" si="22"/>
        <v>0</v>
      </c>
      <c r="Y186" s="18">
        <f t="shared" si="23"/>
        <v>0</v>
      </c>
    </row>
    <row r="187" spans="1:25">
      <c r="A187" s="15" t="s">
        <v>179</v>
      </c>
      <c r="B187" s="15" t="s">
        <v>489</v>
      </c>
      <c r="C187" s="15" t="s">
        <v>303</v>
      </c>
      <c r="D187" s="15" t="s">
        <v>303</v>
      </c>
      <c r="E187" s="16">
        <v>40802</v>
      </c>
      <c r="F187" s="16">
        <v>2973</v>
      </c>
      <c r="G187" s="16">
        <v>2973</v>
      </c>
      <c r="H187" s="16">
        <v>2992</v>
      </c>
      <c r="I187" s="16">
        <v>3160</v>
      </c>
      <c r="J187" s="16">
        <v>3178</v>
      </c>
      <c r="K187" s="16">
        <v>3197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8">
        <f t="shared" si="16"/>
        <v>0</v>
      </c>
      <c r="S187" s="18">
        <f t="shared" si="17"/>
        <v>0</v>
      </c>
      <c r="T187" s="18">
        <f t="shared" si="18"/>
        <v>0</v>
      </c>
      <c r="U187" s="18">
        <f t="shared" si="19"/>
        <v>0</v>
      </c>
      <c r="V187" s="18">
        <f t="shared" si="20"/>
        <v>0</v>
      </c>
      <c r="W187" s="18">
        <f t="shared" si="21"/>
        <v>0</v>
      </c>
      <c r="X187" s="18">
        <f t="shared" si="22"/>
        <v>0</v>
      </c>
      <c r="Y187" s="18">
        <f t="shared" si="23"/>
        <v>0</v>
      </c>
    </row>
    <row r="188" spans="1:25">
      <c r="A188" s="15" t="s">
        <v>179</v>
      </c>
      <c r="B188" s="15" t="s">
        <v>182</v>
      </c>
      <c r="C188" s="15" t="s">
        <v>182</v>
      </c>
      <c r="D188" s="15" t="s">
        <v>182</v>
      </c>
      <c r="E188" s="16">
        <v>40901</v>
      </c>
      <c r="F188" s="16">
        <v>7715</v>
      </c>
      <c r="G188" s="16">
        <v>8018</v>
      </c>
      <c r="H188" s="16">
        <v>8642</v>
      </c>
      <c r="I188" s="16">
        <v>14256</v>
      </c>
      <c r="J188" s="16">
        <v>14880</v>
      </c>
      <c r="K188" s="16">
        <v>15504</v>
      </c>
      <c r="L188" s="16">
        <v>0</v>
      </c>
      <c r="M188" s="16">
        <v>0</v>
      </c>
      <c r="N188" s="16">
        <v>0</v>
      </c>
      <c r="O188" s="16">
        <v>1</v>
      </c>
      <c r="P188" s="16">
        <v>0</v>
      </c>
      <c r="Q188" s="16">
        <v>0</v>
      </c>
      <c r="R188" s="18">
        <f t="shared" si="16"/>
        <v>0</v>
      </c>
      <c r="S188" s="18">
        <f t="shared" si="17"/>
        <v>0</v>
      </c>
      <c r="T188" s="18">
        <f t="shared" si="18"/>
        <v>0</v>
      </c>
      <c r="U188" s="18">
        <f t="shared" si="19"/>
        <v>0</v>
      </c>
      <c r="V188" s="18">
        <f t="shared" si="20"/>
        <v>70.145903479236821</v>
      </c>
      <c r="W188" s="18">
        <f t="shared" si="21"/>
        <v>0</v>
      </c>
      <c r="X188" s="18">
        <f t="shared" si="22"/>
        <v>0</v>
      </c>
      <c r="Y188" s="18">
        <f t="shared" si="23"/>
        <v>23.381967826412275</v>
      </c>
    </row>
    <row r="189" spans="1:25">
      <c r="A189" s="15" t="s">
        <v>179</v>
      </c>
      <c r="B189" s="15" t="s">
        <v>182</v>
      </c>
      <c r="C189" s="15" t="s">
        <v>398</v>
      </c>
      <c r="D189" s="15" t="s">
        <v>398</v>
      </c>
      <c r="E189" s="16">
        <v>40902</v>
      </c>
      <c r="F189" s="16">
        <v>877</v>
      </c>
      <c r="G189" s="16">
        <v>903</v>
      </c>
      <c r="H189" s="16">
        <v>945</v>
      </c>
      <c r="I189" s="16">
        <v>1322</v>
      </c>
      <c r="J189" s="16">
        <v>1364</v>
      </c>
      <c r="K189" s="16">
        <v>1406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8">
        <f t="shared" si="16"/>
        <v>0</v>
      </c>
      <c r="S189" s="18">
        <f t="shared" si="17"/>
        <v>0</v>
      </c>
      <c r="T189" s="18">
        <f t="shared" si="18"/>
        <v>0</v>
      </c>
      <c r="U189" s="18">
        <f t="shared" si="19"/>
        <v>0</v>
      </c>
      <c r="V189" s="18">
        <f t="shared" si="20"/>
        <v>0</v>
      </c>
      <c r="W189" s="18">
        <f t="shared" si="21"/>
        <v>0</v>
      </c>
      <c r="X189" s="18">
        <f t="shared" si="22"/>
        <v>0</v>
      </c>
      <c r="Y189" s="18">
        <f t="shared" si="23"/>
        <v>0</v>
      </c>
    </row>
    <row r="190" spans="1:25">
      <c r="A190" s="15" t="s">
        <v>179</v>
      </c>
      <c r="B190" s="15" t="s">
        <v>182</v>
      </c>
      <c r="C190" s="15" t="s">
        <v>491</v>
      </c>
      <c r="D190" s="15" t="s">
        <v>491</v>
      </c>
      <c r="E190" s="16">
        <v>40903</v>
      </c>
      <c r="F190" s="16">
        <v>1986</v>
      </c>
      <c r="G190" s="16">
        <v>2003</v>
      </c>
      <c r="H190" s="16">
        <v>2032</v>
      </c>
      <c r="I190" s="16">
        <v>2296</v>
      </c>
      <c r="J190" s="16">
        <v>2326</v>
      </c>
      <c r="K190" s="16">
        <v>2355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8">
        <f t="shared" si="16"/>
        <v>0</v>
      </c>
      <c r="S190" s="18">
        <f t="shared" si="17"/>
        <v>0</v>
      </c>
      <c r="T190" s="18">
        <f t="shared" si="18"/>
        <v>0</v>
      </c>
      <c r="U190" s="18">
        <f t="shared" si="19"/>
        <v>0</v>
      </c>
      <c r="V190" s="18">
        <f t="shared" si="20"/>
        <v>0</v>
      </c>
      <c r="W190" s="18">
        <f t="shared" si="21"/>
        <v>0</v>
      </c>
      <c r="X190" s="18">
        <f t="shared" si="22"/>
        <v>0</v>
      </c>
      <c r="Y190" s="18">
        <f t="shared" si="23"/>
        <v>0</v>
      </c>
    </row>
    <row r="191" spans="1:25">
      <c r="A191" s="15" t="s">
        <v>179</v>
      </c>
      <c r="B191" s="15" t="s">
        <v>492</v>
      </c>
      <c r="C191" s="15" t="s">
        <v>346</v>
      </c>
      <c r="D191" s="15" t="s">
        <v>346</v>
      </c>
      <c r="E191" s="16">
        <v>41001</v>
      </c>
      <c r="F191" s="16">
        <v>9932</v>
      </c>
      <c r="G191" s="16">
        <v>10149</v>
      </c>
      <c r="H191" s="16">
        <v>10320</v>
      </c>
      <c r="I191" s="16">
        <v>11860</v>
      </c>
      <c r="J191" s="16">
        <v>12031</v>
      </c>
      <c r="K191" s="16">
        <v>12202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8">
        <f t="shared" si="16"/>
        <v>0</v>
      </c>
      <c r="S191" s="18">
        <f t="shared" si="17"/>
        <v>0</v>
      </c>
      <c r="T191" s="18">
        <f t="shared" si="18"/>
        <v>0</v>
      </c>
      <c r="U191" s="18">
        <f t="shared" si="19"/>
        <v>0</v>
      </c>
      <c r="V191" s="18">
        <f t="shared" si="20"/>
        <v>0</v>
      </c>
      <c r="W191" s="18">
        <f t="shared" si="21"/>
        <v>0</v>
      </c>
      <c r="X191" s="18">
        <f t="shared" si="22"/>
        <v>0</v>
      </c>
      <c r="Y191" s="18">
        <f t="shared" si="23"/>
        <v>0</v>
      </c>
    </row>
    <row r="192" spans="1:25">
      <c r="A192" s="15" t="s">
        <v>179</v>
      </c>
      <c r="B192" s="15" t="s">
        <v>493</v>
      </c>
      <c r="C192" s="15" t="s">
        <v>174</v>
      </c>
      <c r="D192" s="15" t="s">
        <v>174</v>
      </c>
      <c r="E192" s="16">
        <v>41101</v>
      </c>
      <c r="F192" s="16">
        <v>5281</v>
      </c>
      <c r="G192" s="16">
        <v>5267</v>
      </c>
      <c r="H192" s="16">
        <v>5273</v>
      </c>
      <c r="I192" s="16">
        <v>5324</v>
      </c>
      <c r="J192" s="16">
        <v>5329</v>
      </c>
      <c r="K192" s="16">
        <v>5335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8">
        <f t="shared" si="16"/>
        <v>0</v>
      </c>
      <c r="S192" s="18">
        <f t="shared" si="17"/>
        <v>0</v>
      </c>
      <c r="T192" s="18">
        <f t="shared" si="18"/>
        <v>0</v>
      </c>
      <c r="U192" s="18">
        <f t="shared" si="19"/>
        <v>0</v>
      </c>
      <c r="V192" s="18">
        <f t="shared" si="20"/>
        <v>0</v>
      </c>
      <c r="W192" s="18">
        <f t="shared" si="21"/>
        <v>0</v>
      </c>
      <c r="X192" s="18">
        <f t="shared" si="22"/>
        <v>0</v>
      </c>
      <c r="Y192" s="18">
        <f t="shared" si="23"/>
        <v>0</v>
      </c>
    </row>
    <row r="193" spans="1:25">
      <c r="A193" s="15" t="s">
        <v>179</v>
      </c>
      <c r="B193" s="15" t="s">
        <v>494</v>
      </c>
      <c r="C193" s="15" t="s">
        <v>305</v>
      </c>
      <c r="D193" s="15" t="s">
        <v>495</v>
      </c>
      <c r="E193" s="16">
        <v>41201</v>
      </c>
      <c r="F193" s="16">
        <v>5159</v>
      </c>
      <c r="G193" s="16">
        <v>5216</v>
      </c>
      <c r="H193" s="16">
        <v>5307</v>
      </c>
      <c r="I193" s="16">
        <v>6129</v>
      </c>
      <c r="J193" s="16">
        <v>6220</v>
      </c>
      <c r="K193" s="16">
        <v>6311</v>
      </c>
      <c r="L193" s="16">
        <v>1</v>
      </c>
      <c r="M193" s="16">
        <v>2</v>
      </c>
      <c r="N193" s="16">
        <v>5</v>
      </c>
      <c r="O193" s="16">
        <v>0</v>
      </c>
      <c r="P193" s="16">
        <v>0</v>
      </c>
      <c r="Q193" s="16">
        <v>0</v>
      </c>
      <c r="R193" s="18">
        <f t="shared" si="16"/>
        <v>193.83601473153712</v>
      </c>
      <c r="S193" s="18">
        <f t="shared" si="17"/>
        <v>383.43558282208591</v>
      </c>
      <c r="T193" s="18">
        <f t="shared" si="18"/>
        <v>942.15187488223103</v>
      </c>
      <c r="U193" s="18">
        <f t="shared" si="19"/>
        <v>506.47449081195128</v>
      </c>
      <c r="V193" s="18">
        <f t="shared" si="20"/>
        <v>0</v>
      </c>
      <c r="W193" s="18">
        <f t="shared" si="21"/>
        <v>0</v>
      </c>
      <c r="X193" s="18">
        <f t="shared" si="22"/>
        <v>0</v>
      </c>
      <c r="Y193" s="18">
        <f t="shared" si="23"/>
        <v>0</v>
      </c>
    </row>
    <row r="194" spans="1:25">
      <c r="A194" s="15" t="s">
        <v>179</v>
      </c>
      <c r="B194" s="15" t="s">
        <v>494</v>
      </c>
      <c r="C194" s="15" t="s">
        <v>339</v>
      </c>
      <c r="D194" s="15" t="s">
        <v>339</v>
      </c>
      <c r="E194" s="16">
        <v>41202</v>
      </c>
      <c r="F194" s="16">
        <v>1973</v>
      </c>
      <c r="G194" s="16">
        <v>2016</v>
      </c>
      <c r="H194" s="16">
        <v>2103</v>
      </c>
      <c r="I194" s="16">
        <v>2887</v>
      </c>
      <c r="J194" s="16">
        <v>2974</v>
      </c>
      <c r="K194" s="16">
        <v>3061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8">
        <f t="shared" ref="R194:R257" si="24">(L194/F194)*1000000</f>
        <v>0</v>
      </c>
      <c r="S194" s="18">
        <f t="shared" ref="S194:S257" si="25">(M194/G194)*1000000</f>
        <v>0</v>
      </c>
      <c r="T194" s="18">
        <f t="shared" ref="T194:T257" si="26">(N194/H194)*1000000</f>
        <v>0</v>
      </c>
      <c r="U194" s="18">
        <f t="shared" ref="U194:U257" si="27">AVERAGE(R194:T194)</f>
        <v>0</v>
      </c>
      <c r="V194" s="18">
        <f t="shared" ref="V194:V257" si="28">(O194/I194)*1000000</f>
        <v>0</v>
      </c>
      <c r="W194" s="18">
        <f t="shared" ref="W194:W257" si="29">(P194/J194)*1000000</f>
        <v>0</v>
      </c>
      <c r="X194" s="18">
        <f t="shared" ref="X194:X257" si="30">(Q194/K194)*1000000</f>
        <v>0</v>
      </c>
      <c r="Y194" s="18">
        <f t="shared" ref="Y194:Y257" si="31">AVERAGE(V194:X194)</f>
        <v>0</v>
      </c>
    </row>
    <row r="195" spans="1:25">
      <c r="A195" s="15" t="s">
        <v>179</v>
      </c>
      <c r="B195" s="15" t="s">
        <v>496</v>
      </c>
      <c r="C195" s="15" t="s">
        <v>91</v>
      </c>
      <c r="D195" s="15" t="s">
        <v>91</v>
      </c>
      <c r="E195" s="16">
        <v>41301</v>
      </c>
      <c r="F195" s="16">
        <v>5477</v>
      </c>
      <c r="G195" s="16">
        <v>5531</v>
      </c>
      <c r="H195" s="16">
        <v>5623</v>
      </c>
      <c r="I195" s="16">
        <v>6453</v>
      </c>
      <c r="J195" s="16">
        <v>6545</v>
      </c>
      <c r="K195" s="16">
        <v>6637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8">
        <f t="shared" si="24"/>
        <v>0</v>
      </c>
      <c r="S195" s="18">
        <f t="shared" si="25"/>
        <v>0</v>
      </c>
      <c r="T195" s="18">
        <f t="shared" si="26"/>
        <v>0</v>
      </c>
      <c r="U195" s="18">
        <f t="shared" si="27"/>
        <v>0</v>
      </c>
      <c r="V195" s="18">
        <f t="shared" si="28"/>
        <v>0</v>
      </c>
      <c r="W195" s="18">
        <f t="shared" si="29"/>
        <v>0</v>
      </c>
      <c r="X195" s="18">
        <f t="shared" si="30"/>
        <v>0</v>
      </c>
      <c r="Y195" s="18">
        <f t="shared" si="31"/>
        <v>0</v>
      </c>
    </row>
    <row r="196" spans="1:25">
      <c r="A196" s="15" t="s">
        <v>179</v>
      </c>
      <c r="B196" s="15" t="s">
        <v>497</v>
      </c>
      <c r="C196" s="15" t="s">
        <v>183</v>
      </c>
      <c r="D196" s="15" t="s">
        <v>183</v>
      </c>
      <c r="E196" s="16">
        <v>41401</v>
      </c>
      <c r="F196" s="16">
        <v>13005</v>
      </c>
      <c r="G196" s="16">
        <v>13283</v>
      </c>
      <c r="H196" s="16">
        <v>13301</v>
      </c>
      <c r="I196" s="16">
        <v>13466</v>
      </c>
      <c r="J196" s="16">
        <v>13484</v>
      </c>
      <c r="K196" s="16">
        <v>13502</v>
      </c>
      <c r="L196" s="16">
        <v>1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8">
        <f t="shared" si="24"/>
        <v>76.893502499038831</v>
      </c>
      <c r="S196" s="18">
        <f t="shared" si="25"/>
        <v>0</v>
      </c>
      <c r="T196" s="18">
        <f t="shared" si="26"/>
        <v>0</v>
      </c>
      <c r="U196" s="18">
        <f t="shared" si="27"/>
        <v>25.631167499679609</v>
      </c>
      <c r="V196" s="18">
        <f t="shared" si="28"/>
        <v>0</v>
      </c>
      <c r="W196" s="18">
        <f t="shared" si="29"/>
        <v>0</v>
      </c>
      <c r="X196" s="18">
        <f t="shared" si="30"/>
        <v>0</v>
      </c>
      <c r="Y196" s="18">
        <f t="shared" si="31"/>
        <v>0</v>
      </c>
    </row>
    <row r="197" spans="1:25">
      <c r="A197" s="15" t="s">
        <v>179</v>
      </c>
      <c r="B197" s="15" t="s">
        <v>498</v>
      </c>
      <c r="C197" s="15" t="s">
        <v>177</v>
      </c>
      <c r="D197" s="15" t="s">
        <v>177</v>
      </c>
      <c r="E197" s="16">
        <v>41501</v>
      </c>
      <c r="F197" s="16">
        <v>498</v>
      </c>
      <c r="G197" s="16">
        <v>509</v>
      </c>
      <c r="H197" s="16">
        <v>572</v>
      </c>
      <c r="I197" s="16">
        <v>1137</v>
      </c>
      <c r="J197" s="16">
        <v>1199</v>
      </c>
      <c r="K197" s="16">
        <v>1262</v>
      </c>
      <c r="L197" s="16">
        <v>0</v>
      </c>
      <c r="M197" s="16">
        <v>0</v>
      </c>
      <c r="N197" s="16">
        <v>0</v>
      </c>
      <c r="O197" s="16">
        <v>2</v>
      </c>
      <c r="P197" s="16">
        <v>1</v>
      </c>
      <c r="Q197" s="16">
        <v>0</v>
      </c>
      <c r="R197" s="18">
        <f t="shared" si="24"/>
        <v>0</v>
      </c>
      <c r="S197" s="18">
        <f t="shared" si="25"/>
        <v>0</v>
      </c>
      <c r="T197" s="18">
        <f t="shared" si="26"/>
        <v>0</v>
      </c>
      <c r="U197" s="18">
        <f t="shared" si="27"/>
        <v>0</v>
      </c>
      <c r="V197" s="18">
        <f t="shared" si="28"/>
        <v>1759.014951627089</v>
      </c>
      <c r="W197" s="18">
        <f t="shared" si="29"/>
        <v>834.02835696413672</v>
      </c>
      <c r="X197" s="18">
        <f t="shared" si="30"/>
        <v>0</v>
      </c>
      <c r="Y197" s="18">
        <f t="shared" si="31"/>
        <v>864.34776953040853</v>
      </c>
    </row>
    <row r="198" spans="1:25">
      <c r="A198" s="15" t="s">
        <v>179</v>
      </c>
      <c r="B198" s="15" t="s">
        <v>498</v>
      </c>
      <c r="C198" s="15" t="s">
        <v>324</v>
      </c>
      <c r="D198" s="15" t="s">
        <v>324</v>
      </c>
      <c r="E198" s="16">
        <v>41502</v>
      </c>
      <c r="F198" s="16">
        <v>696</v>
      </c>
      <c r="G198" s="16">
        <v>727</v>
      </c>
      <c r="H198" s="16">
        <v>761</v>
      </c>
      <c r="I198" s="16">
        <v>1071</v>
      </c>
      <c r="J198" s="16">
        <v>1106</v>
      </c>
      <c r="K198" s="16">
        <v>1140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8">
        <f t="shared" si="24"/>
        <v>0</v>
      </c>
      <c r="S198" s="18">
        <f t="shared" si="25"/>
        <v>0</v>
      </c>
      <c r="T198" s="18">
        <f t="shared" si="26"/>
        <v>0</v>
      </c>
      <c r="U198" s="18">
        <f t="shared" si="27"/>
        <v>0</v>
      </c>
      <c r="V198" s="18">
        <f t="shared" si="28"/>
        <v>0</v>
      </c>
      <c r="W198" s="18">
        <f t="shared" si="29"/>
        <v>0</v>
      </c>
      <c r="X198" s="18">
        <f t="shared" si="30"/>
        <v>0</v>
      </c>
      <c r="Y198" s="18">
        <f t="shared" si="31"/>
        <v>0</v>
      </c>
    </row>
    <row r="199" spans="1:25">
      <c r="A199" s="15" t="s">
        <v>179</v>
      </c>
      <c r="B199" s="15" t="s">
        <v>498</v>
      </c>
      <c r="C199" s="15" t="s">
        <v>335</v>
      </c>
      <c r="D199" s="15" t="s">
        <v>335</v>
      </c>
      <c r="E199" s="16">
        <v>41503</v>
      </c>
      <c r="F199" s="16">
        <v>796</v>
      </c>
      <c r="G199" s="16">
        <v>840</v>
      </c>
      <c r="H199" s="16">
        <v>864</v>
      </c>
      <c r="I199" s="16">
        <v>1081</v>
      </c>
      <c r="J199" s="16">
        <v>1105</v>
      </c>
      <c r="K199" s="16">
        <v>1129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8">
        <f t="shared" si="24"/>
        <v>0</v>
      </c>
      <c r="S199" s="18">
        <f t="shared" si="25"/>
        <v>0</v>
      </c>
      <c r="T199" s="18">
        <f t="shared" si="26"/>
        <v>0</v>
      </c>
      <c r="U199" s="18">
        <f t="shared" si="27"/>
        <v>0</v>
      </c>
      <c r="V199" s="18">
        <f t="shared" si="28"/>
        <v>0</v>
      </c>
      <c r="W199" s="18">
        <f t="shared" si="29"/>
        <v>0</v>
      </c>
      <c r="X199" s="18">
        <f t="shared" si="30"/>
        <v>0</v>
      </c>
      <c r="Y199" s="18">
        <f t="shared" si="31"/>
        <v>0</v>
      </c>
    </row>
    <row r="200" spans="1:25">
      <c r="A200" s="15" t="s">
        <v>179</v>
      </c>
      <c r="B200" s="15" t="s">
        <v>499</v>
      </c>
      <c r="C200" s="15" t="s">
        <v>500</v>
      </c>
      <c r="D200" s="15" t="s">
        <v>308</v>
      </c>
      <c r="E200" s="16">
        <v>41601</v>
      </c>
      <c r="F200" s="16">
        <v>5528</v>
      </c>
      <c r="G200" s="16">
        <v>5502</v>
      </c>
      <c r="H200" s="16">
        <v>5543</v>
      </c>
      <c r="I200" s="16">
        <v>5914</v>
      </c>
      <c r="J200" s="16">
        <v>5955</v>
      </c>
      <c r="K200" s="16">
        <v>5996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8">
        <f t="shared" si="24"/>
        <v>0</v>
      </c>
      <c r="S200" s="18">
        <f t="shared" si="25"/>
        <v>0</v>
      </c>
      <c r="T200" s="18">
        <f t="shared" si="26"/>
        <v>0</v>
      </c>
      <c r="U200" s="18">
        <f t="shared" si="27"/>
        <v>0</v>
      </c>
      <c r="V200" s="18">
        <f t="shared" si="28"/>
        <v>0</v>
      </c>
      <c r="W200" s="18">
        <f t="shared" si="29"/>
        <v>0</v>
      </c>
      <c r="X200" s="18">
        <f t="shared" si="30"/>
        <v>0</v>
      </c>
      <c r="Y200" s="18">
        <f t="shared" si="31"/>
        <v>0</v>
      </c>
    </row>
    <row r="201" spans="1:25">
      <c r="A201" s="15" t="s">
        <v>294</v>
      </c>
      <c r="B201" s="15" t="s">
        <v>501</v>
      </c>
      <c r="C201" s="15" t="s">
        <v>294</v>
      </c>
      <c r="D201" s="15" t="s">
        <v>294</v>
      </c>
      <c r="E201" s="16">
        <v>50101</v>
      </c>
      <c r="F201" s="16">
        <v>187098</v>
      </c>
      <c r="G201" s="16">
        <v>191302</v>
      </c>
      <c r="H201" s="16">
        <v>193585</v>
      </c>
      <c r="I201" s="16">
        <v>214135</v>
      </c>
      <c r="J201" s="16">
        <v>216419</v>
      </c>
      <c r="K201" s="16">
        <v>218702</v>
      </c>
      <c r="L201" s="16">
        <v>7</v>
      </c>
      <c r="M201" s="16">
        <v>6</v>
      </c>
      <c r="N201" s="16">
        <v>12</v>
      </c>
      <c r="O201" s="16">
        <v>66</v>
      </c>
      <c r="P201" s="16">
        <v>101</v>
      </c>
      <c r="Q201" s="16">
        <v>73</v>
      </c>
      <c r="R201" s="18">
        <f t="shared" si="24"/>
        <v>37.413547980202893</v>
      </c>
      <c r="S201" s="18">
        <f t="shared" si="25"/>
        <v>31.364021285715779</v>
      </c>
      <c r="T201" s="18">
        <f t="shared" si="26"/>
        <v>61.988273884856788</v>
      </c>
      <c r="U201" s="18">
        <f t="shared" si="27"/>
        <v>43.588614383591818</v>
      </c>
      <c r="V201" s="18">
        <f t="shared" si="28"/>
        <v>308.21677913465805</v>
      </c>
      <c r="W201" s="18">
        <f t="shared" si="29"/>
        <v>466.68730564321987</v>
      </c>
      <c r="X201" s="18">
        <f t="shared" si="30"/>
        <v>333.78752823476697</v>
      </c>
      <c r="Y201" s="18">
        <f t="shared" si="31"/>
        <v>369.56387100421495</v>
      </c>
    </row>
    <row r="202" spans="1:25">
      <c r="A202" s="15" t="s">
        <v>294</v>
      </c>
      <c r="B202" s="15" t="s">
        <v>501</v>
      </c>
      <c r="C202" s="15" t="s">
        <v>222</v>
      </c>
      <c r="D202" s="15" t="s">
        <v>222</v>
      </c>
      <c r="E202" s="16">
        <v>50102</v>
      </c>
      <c r="F202" s="16">
        <v>26709</v>
      </c>
      <c r="G202" s="16">
        <v>27200</v>
      </c>
      <c r="H202" s="16">
        <v>27345</v>
      </c>
      <c r="I202" s="16">
        <v>28652</v>
      </c>
      <c r="J202" s="16">
        <v>28797</v>
      </c>
      <c r="K202" s="16">
        <v>28942</v>
      </c>
      <c r="L202" s="16">
        <v>0</v>
      </c>
      <c r="M202" s="16">
        <v>0</v>
      </c>
      <c r="N202" s="16">
        <v>0</v>
      </c>
      <c r="O202" s="16">
        <v>2</v>
      </c>
      <c r="P202" s="16">
        <v>3</v>
      </c>
      <c r="Q202" s="16">
        <v>2</v>
      </c>
      <c r="R202" s="18">
        <f t="shared" si="24"/>
        <v>0</v>
      </c>
      <c r="S202" s="18">
        <f t="shared" si="25"/>
        <v>0</v>
      </c>
      <c r="T202" s="18">
        <f t="shared" si="26"/>
        <v>0</v>
      </c>
      <c r="U202" s="18">
        <f t="shared" si="27"/>
        <v>0</v>
      </c>
      <c r="V202" s="18">
        <f t="shared" si="28"/>
        <v>69.803155102610646</v>
      </c>
      <c r="W202" s="18">
        <f t="shared" si="29"/>
        <v>104.17751849150953</v>
      </c>
      <c r="X202" s="18">
        <f t="shared" si="30"/>
        <v>69.103724690760828</v>
      </c>
      <c r="Y202" s="18">
        <f t="shared" si="31"/>
        <v>81.028132761626992</v>
      </c>
    </row>
    <row r="203" spans="1:25">
      <c r="A203" s="15" t="s">
        <v>294</v>
      </c>
      <c r="B203" s="15" t="s">
        <v>501</v>
      </c>
      <c r="C203" s="15" t="s">
        <v>230</v>
      </c>
      <c r="D203" s="15" t="s">
        <v>502</v>
      </c>
      <c r="E203" s="16">
        <v>50103</v>
      </c>
      <c r="F203" s="16">
        <v>8894</v>
      </c>
      <c r="G203" s="16">
        <v>8979</v>
      </c>
      <c r="H203" s="16">
        <v>9252</v>
      </c>
      <c r="I203" s="16">
        <v>11707</v>
      </c>
      <c r="J203" s="16">
        <v>11980</v>
      </c>
      <c r="K203" s="16">
        <v>12253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1</v>
      </c>
      <c r="R203" s="18">
        <f t="shared" si="24"/>
        <v>0</v>
      </c>
      <c r="S203" s="18">
        <f t="shared" si="25"/>
        <v>0</v>
      </c>
      <c r="T203" s="18">
        <f t="shared" si="26"/>
        <v>0</v>
      </c>
      <c r="U203" s="18">
        <f t="shared" si="27"/>
        <v>0</v>
      </c>
      <c r="V203" s="18">
        <f t="shared" si="28"/>
        <v>0</v>
      </c>
      <c r="W203" s="18">
        <f t="shared" si="29"/>
        <v>0</v>
      </c>
      <c r="X203" s="18">
        <f t="shared" si="30"/>
        <v>81.612666285807563</v>
      </c>
      <c r="Y203" s="18">
        <f t="shared" si="31"/>
        <v>27.204222095269188</v>
      </c>
    </row>
    <row r="204" spans="1:25">
      <c r="A204" s="15" t="s">
        <v>294</v>
      </c>
      <c r="B204" s="15" t="s">
        <v>501</v>
      </c>
      <c r="C204" s="15" t="s">
        <v>319</v>
      </c>
      <c r="D204" s="15" t="s">
        <v>503</v>
      </c>
      <c r="E204" s="16">
        <v>50104</v>
      </c>
      <c r="F204" s="16">
        <v>2692</v>
      </c>
      <c r="G204" s="16">
        <v>2759</v>
      </c>
      <c r="H204" s="16">
        <v>2789</v>
      </c>
      <c r="I204" s="16">
        <v>3061</v>
      </c>
      <c r="J204" s="16">
        <v>3091</v>
      </c>
      <c r="K204" s="16">
        <v>3121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8">
        <f t="shared" si="24"/>
        <v>0</v>
      </c>
      <c r="S204" s="18">
        <f t="shared" si="25"/>
        <v>0</v>
      </c>
      <c r="T204" s="18">
        <f t="shared" si="26"/>
        <v>0</v>
      </c>
      <c r="U204" s="18">
        <f t="shared" si="27"/>
        <v>0</v>
      </c>
      <c r="V204" s="18">
        <f t="shared" si="28"/>
        <v>0</v>
      </c>
      <c r="W204" s="18">
        <f t="shared" si="29"/>
        <v>0</v>
      </c>
      <c r="X204" s="18">
        <f t="shared" si="30"/>
        <v>0</v>
      </c>
      <c r="Y204" s="18">
        <f t="shared" si="31"/>
        <v>0</v>
      </c>
    </row>
    <row r="205" spans="1:25">
      <c r="A205" s="15" t="s">
        <v>294</v>
      </c>
      <c r="B205" s="15" t="s">
        <v>504</v>
      </c>
      <c r="C205" s="15" t="s">
        <v>226</v>
      </c>
      <c r="D205" s="15" t="s">
        <v>226</v>
      </c>
      <c r="E205" s="16">
        <v>50201</v>
      </c>
      <c r="F205" s="16">
        <v>21719</v>
      </c>
      <c r="G205" s="16">
        <v>22020</v>
      </c>
      <c r="H205" s="16">
        <v>22082</v>
      </c>
      <c r="I205" s="16">
        <v>22643</v>
      </c>
      <c r="J205" s="16">
        <v>22706</v>
      </c>
      <c r="K205" s="16">
        <v>22768</v>
      </c>
      <c r="L205" s="16">
        <v>0</v>
      </c>
      <c r="M205" s="16">
        <v>1</v>
      </c>
      <c r="N205" s="16">
        <v>0</v>
      </c>
      <c r="O205" s="16">
        <v>1</v>
      </c>
      <c r="P205" s="16">
        <v>4</v>
      </c>
      <c r="Q205" s="16">
        <v>6</v>
      </c>
      <c r="R205" s="18">
        <f t="shared" si="24"/>
        <v>0</v>
      </c>
      <c r="S205" s="18">
        <f t="shared" si="25"/>
        <v>45.413260672116259</v>
      </c>
      <c r="T205" s="18">
        <f t="shared" si="26"/>
        <v>0</v>
      </c>
      <c r="U205" s="18">
        <f t="shared" si="27"/>
        <v>15.137753557372086</v>
      </c>
      <c r="V205" s="18">
        <f t="shared" si="28"/>
        <v>44.16375921918474</v>
      </c>
      <c r="W205" s="18">
        <f t="shared" si="29"/>
        <v>176.16489033735576</v>
      </c>
      <c r="X205" s="18">
        <f t="shared" si="30"/>
        <v>263.52775825720306</v>
      </c>
      <c r="Y205" s="18">
        <f t="shared" si="31"/>
        <v>161.28546927124785</v>
      </c>
    </row>
    <row r="206" spans="1:25">
      <c r="A206" s="15" t="s">
        <v>294</v>
      </c>
      <c r="B206" s="15" t="s">
        <v>504</v>
      </c>
      <c r="C206" s="15" t="s">
        <v>205</v>
      </c>
      <c r="D206" s="15" t="s">
        <v>205</v>
      </c>
      <c r="E206" s="16">
        <v>50202</v>
      </c>
      <c r="F206" s="16">
        <v>15950</v>
      </c>
      <c r="G206" s="16">
        <v>16129</v>
      </c>
      <c r="H206" s="16">
        <v>16120</v>
      </c>
      <c r="I206" s="16">
        <v>16039</v>
      </c>
      <c r="J206" s="16">
        <v>16030</v>
      </c>
      <c r="K206" s="16">
        <v>16021</v>
      </c>
      <c r="L206" s="16">
        <v>0</v>
      </c>
      <c r="M206" s="16">
        <v>0</v>
      </c>
      <c r="N206" s="16">
        <v>0</v>
      </c>
      <c r="O206" s="16">
        <v>2</v>
      </c>
      <c r="P206" s="16">
        <v>2</v>
      </c>
      <c r="Q206" s="16">
        <v>1</v>
      </c>
      <c r="R206" s="18">
        <f t="shared" si="24"/>
        <v>0</v>
      </c>
      <c r="S206" s="18">
        <f t="shared" si="25"/>
        <v>0</v>
      </c>
      <c r="T206" s="18">
        <f t="shared" si="26"/>
        <v>0</v>
      </c>
      <c r="U206" s="18">
        <f t="shared" si="27"/>
        <v>0</v>
      </c>
      <c r="V206" s="18">
        <f t="shared" si="28"/>
        <v>124.69605336991086</v>
      </c>
      <c r="W206" s="18">
        <f t="shared" si="29"/>
        <v>124.76606363069246</v>
      </c>
      <c r="X206" s="18">
        <f t="shared" si="30"/>
        <v>62.418076274889209</v>
      </c>
      <c r="Y206" s="18">
        <f t="shared" si="31"/>
        <v>103.96006442516416</v>
      </c>
    </row>
    <row r="207" spans="1:25">
      <c r="A207" s="15" t="s">
        <v>294</v>
      </c>
      <c r="B207" s="15" t="s">
        <v>504</v>
      </c>
      <c r="C207" s="15" t="s">
        <v>209</v>
      </c>
      <c r="D207" s="15" t="s">
        <v>209</v>
      </c>
      <c r="E207" s="16">
        <v>50203</v>
      </c>
      <c r="F207" s="16">
        <v>40723</v>
      </c>
      <c r="G207" s="16">
        <v>41104</v>
      </c>
      <c r="H207" s="16">
        <v>41153</v>
      </c>
      <c r="I207" s="16">
        <v>41589</v>
      </c>
      <c r="J207" s="16">
        <v>41638</v>
      </c>
      <c r="K207" s="16">
        <v>41686</v>
      </c>
      <c r="L207" s="16">
        <v>3</v>
      </c>
      <c r="M207" s="16">
        <v>5</v>
      </c>
      <c r="N207" s="16">
        <v>2</v>
      </c>
      <c r="O207" s="16">
        <v>4</v>
      </c>
      <c r="P207" s="16">
        <v>11</v>
      </c>
      <c r="Q207" s="16">
        <v>12</v>
      </c>
      <c r="R207" s="18">
        <f t="shared" si="24"/>
        <v>73.668442894678677</v>
      </c>
      <c r="S207" s="18">
        <f t="shared" si="25"/>
        <v>121.64266251459712</v>
      </c>
      <c r="T207" s="18">
        <f t="shared" si="26"/>
        <v>48.599130075571644</v>
      </c>
      <c r="U207" s="18">
        <f t="shared" si="27"/>
        <v>81.303411828282478</v>
      </c>
      <c r="V207" s="18">
        <f t="shared" si="28"/>
        <v>96.179278174517307</v>
      </c>
      <c r="W207" s="18">
        <f t="shared" si="29"/>
        <v>264.18175704884959</v>
      </c>
      <c r="X207" s="18">
        <f t="shared" si="30"/>
        <v>287.86642997649091</v>
      </c>
      <c r="Y207" s="18">
        <f t="shared" si="31"/>
        <v>216.07582173328592</v>
      </c>
    </row>
    <row r="208" spans="1:25">
      <c r="A208" s="15" t="s">
        <v>294</v>
      </c>
      <c r="B208" s="15" t="s">
        <v>504</v>
      </c>
      <c r="C208" s="15" t="s">
        <v>374</v>
      </c>
      <c r="D208" s="15" t="s">
        <v>374</v>
      </c>
      <c r="E208" s="16">
        <v>50204</v>
      </c>
      <c r="F208" s="16">
        <v>7879</v>
      </c>
      <c r="G208" s="16">
        <v>8019</v>
      </c>
      <c r="H208" s="16">
        <v>8036</v>
      </c>
      <c r="I208" s="16">
        <v>8187</v>
      </c>
      <c r="J208" s="16">
        <v>8203</v>
      </c>
      <c r="K208" s="16">
        <v>8220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8">
        <f t="shared" si="24"/>
        <v>0</v>
      </c>
      <c r="S208" s="18">
        <f t="shared" si="25"/>
        <v>0</v>
      </c>
      <c r="T208" s="18">
        <f t="shared" si="26"/>
        <v>0</v>
      </c>
      <c r="U208" s="18">
        <f t="shared" si="27"/>
        <v>0</v>
      </c>
      <c r="V208" s="18">
        <f t="shared" si="28"/>
        <v>0</v>
      </c>
      <c r="W208" s="18">
        <f t="shared" si="29"/>
        <v>0</v>
      </c>
      <c r="X208" s="18">
        <f t="shared" si="30"/>
        <v>0</v>
      </c>
      <c r="Y208" s="18">
        <f t="shared" si="31"/>
        <v>0</v>
      </c>
    </row>
    <row r="209" spans="1:25">
      <c r="A209" s="15" t="s">
        <v>294</v>
      </c>
      <c r="B209" s="15" t="s">
        <v>505</v>
      </c>
      <c r="C209" s="15" t="s">
        <v>202</v>
      </c>
      <c r="D209" s="15" t="s">
        <v>506</v>
      </c>
      <c r="E209" s="16">
        <v>50301</v>
      </c>
      <c r="F209" s="16">
        <v>34139</v>
      </c>
      <c r="G209" s="16">
        <v>33922</v>
      </c>
      <c r="H209" s="16">
        <v>33754</v>
      </c>
      <c r="I209" s="16">
        <v>32240</v>
      </c>
      <c r="J209" s="16">
        <v>32072</v>
      </c>
      <c r="K209" s="16">
        <v>31904</v>
      </c>
      <c r="L209" s="16">
        <v>0</v>
      </c>
      <c r="M209" s="16">
        <v>0</v>
      </c>
      <c r="N209" s="16">
        <v>0</v>
      </c>
      <c r="O209" s="16">
        <v>3</v>
      </c>
      <c r="P209" s="16">
        <v>4</v>
      </c>
      <c r="Q209" s="16">
        <v>2</v>
      </c>
      <c r="R209" s="18">
        <f t="shared" si="24"/>
        <v>0</v>
      </c>
      <c r="S209" s="18">
        <f t="shared" si="25"/>
        <v>0</v>
      </c>
      <c r="T209" s="18">
        <f t="shared" si="26"/>
        <v>0</v>
      </c>
      <c r="U209" s="18">
        <f t="shared" si="27"/>
        <v>0</v>
      </c>
      <c r="V209" s="18">
        <f t="shared" si="28"/>
        <v>93.052109181141432</v>
      </c>
      <c r="W209" s="18">
        <f t="shared" si="29"/>
        <v>124.71938139186831</v>
      </c>
      <c r="X209" s="18">
        <f t="shared" si="30"/>
        <v>62.688064192577734</v>
      </c>
      <c r="Y209" s="18">
        <f t="shared" si="31"/>
        <v>93.486518255195833</v>
      </c>
    </row>
    <row r="210" spans="1:25">
      <c r="A210" s="15" t="s">
        <v>294</v>
      </c>
      <c r="B210" s="15" t="s">
        <v>505</v>
      </c>
      <c r="C210" s="15" t="s">
        <v>358</v>
      </c>
      <c r="D210" s="15" t="s">
        <v>358</v>
      </c>
      <c r="E210" s="16">
        <v>50302</v>
      </c>
      <c r="F210" s="16">
        <v>9886</v>
      </c>
      <c r="G210" s="16">
        <v>9910</v>
      </c>
      <c r="H210" s="16">
        <v>9858</v>
      </c>
      <c r="I210" s="16">
        <v>9389</v>
      </c>
      <c r="J210" s="16">
        <v>9337</v>
      </c>
      <c r="K210" s="16">
        <v>9285</v>
      </c>
      <c r="L210" s="16">
        <v>0</v>
      </c>
      <c r="M210" s="16">
        <v>0</v>
      </c>
      <c r="N210" s="16">
        <v>0</v>
      </c>
      <c r="O210" s="16">
        <v>0</v>
      </c>
      <c r="P210" s="16">
        <v>2</v>
      </c>
      <c r="Q210" s="16">
        <v>1</v>
      </c>
      <c r="R210" s="18">
        <f t="shared" si="24"/>
        <v>0</v>
      </c>
      <c r="S210" s="18">
        <f t="shared" si="25"/>
        <v>0</v>
      </c>
      <c r="T210" s="18">
        <f t="shared" si="26"/>
        <v>0</v>
      </c>
      <c r="U210" s="18">
        <f t="shared" si="27"/>
        <v>0</v>
      </c>
      <c r="V210" s="18">
        <f t="shared" si="28"/>
        <v>0</v>
      </c>
      <c r="W210" s="18">
        <f t="shared" si="29"/>
        <v>214.20156367141479</v>
      </c>
      <c r="X210" s="18">
        <f t="shared" si="30"/>
        <v>107.70059235325795</v>
      </c>
      <c r="Y210" s="18">
        <f t="shared" si="31"/>
        <v>107.30071867489092</v>
      </c>
    </row>
    <row r="211" spans="1:25">
      <c r="A211" s="15" t="s">
        <v>294</v>
      </c>
      <c r="B211" s="15" t="s">
        <v>505</v>
      </c>
      <c r="C211" s="15" t="s">
        <v>220</v>
      </c>
      <c r="D211" s="15" t="s">
        <v>220</v>
      </c>
      <c r="E211" s="16">
        <v>50303</v>
      </c>
      <c r="F211" s="16">
        <v>11919</v>
      </c>
      <c r="G211" s="16">
        <v>11835</v>
      </c>
      <c r="H211" s="16">
        <v>12046</v>
      </c>
      <c r="I211" s="16">
        <v>13944</v>
      </c>
      <c r="J211" s="16">
        <v>14155</v>
      </c>
      <c r="K211" s="16">
        <v>14366</v>
      </c>
      <c r="L211" s="16">
        <v>1</v>
      </c>
      <c r="M211" s="16">
        <v>0</v>
      </c>
      <c r="N211" s="16">
        <v>0</v>
      </c>
      <c r="O211" s="16">
        <v>2</v>
      </c>
      <c r="P211" s="16">
        <v>0</v>
      </c>
      <c r="Q211" s="16">
        <v>0</v>
      </c>
      <c r="R211" s="18">
        <f t="shared" si="24"/>
        <v>83.899656011410357</v>
      </c>
      <c r="S211" s="18">
        <f t="shared" si="25"/>
        <v>0</v>
      </c>
      <c r="T211" s="18">
        <f t="shared" si="26"/>
        <v>0</v>
      </c>
      <c r="U211" s="18">
        <f t="shared" si="27"/>
        <v>27.966552003803454</v>
      </c>
      <c r="V211" s="18">
        <f t="shared" si="28"/>
        <v>143.43086632243256</v>
      </c>
      <c r="W211" s="18">
        <f t="shared" si="29"/>
        <v>0</v>
      </c>
      <c r="X211" s="18">
        <f t="shared" si="30"/>
        <v>0</v>
      </c>
      <c r="Y211" s="18">
        <f t="shared" si="31"/>
        <v>47.81028877414419</v>
      </c>
    </row>
    <row r="212" spans="1:25">
      <c r="A212" s="15" t="s">
        <v>294</v>
      </c>
      <c r="B212" s="15" t="s">
        <v>205</v>
      </c>
      <c r="C212" s="15" t="s">
        <v>207</v>
      </c>
      <c r="D212" s="15" t="s">
        <v>207</v>
      </c>
      <c r="E212" s="16">
        <v>50401</v>
      </c>
      <c r="F212" s="16">
        <v>15129</v>
      </c>
      <c r="G212" s="16">
        <v>15260</v>
      </c>
      <c r="H212" s="16">
        <v>15352</v>
      </c>
      <c r="I212" s="16">
        <v>16179</v>
      </c>
      <c r="J212" s="16">
        <v>16271</v>
      </c>
      <c r="K212" s="16">
        <v>16363</v>
      </c>
      <c r="L212" s="16">
        <v>0</v>
      </c>
      <c r="M212" s="16">
        <v>0</v>
      </c>
      <c r="N212" s="16">
        <v>1</v>
      </c>
      <c r="O212" s="16">
        <v>3</v>
      </c>
      <c r="P212" s="16">
        <v>2</v>
      </c>
      <c r="Q212" s="16">
        <v>4</v>
      </c>
      <c r="R212" s="18">
        <f t="shared" si="24"/>
        <v>0</v>
      </c>
      <c r="S212" s="18">
        <f t="shared" si="25"/>
        <v>0</v>
      </c>
      <c r="T212" s="18">
        <f t="shared" si="26"/>
        <v>65.138092756644085</v>
      </c>
      <c r="U212" s="18">
        <f t="shared" si="27"/>
        <v>21.712697585548028</v>
      </c>
      <c r="V212" s="18">
        <f t="shared" si="28"/>
        <v>185.42555164101614</v>
      </c>
      <c r="W212" s="18">
        <f t="shared" si="29"/>
        <v>122.91807510294387</v>
      </c>
      <c r="X212" s="18">
        <f t="shared" si="30"/>
        <v>244.45395098698285</v>
      </c>
      <c r="Y212" s="18">
        <f t="shared" si="31"/>
        <v>184.26585924364761</v>
      </c>
    </row>
    <row r="213" spans="1:25">
      <c r="A213" s="15" t="s">
        <v>294</v>
      </c>
      <c r="B213" s="15" t="s">
        <v>205</v>
      </c>
      <c r="C213" s="15" t="s">
        <v>216</v>
      </c>
      <c r="D213" s="15" t="s">
        <v>216</v>
      </c>
      <c r="E213" s="16">
        <v>50402</v>
      </c>
      <c r="F213" s="16">
        <v>21151</v>
      </c>
      <c r="G213" s="16">
        <v>21213</v>
      </c>
      <c r="H213" s="16">
        <v>20854</v>
      </c>
      <c r="I213" s="16">
        <v>17626</v>
      </c>
      <c r="J213" s="16">
        <v>17268</v>
      </c>
      <c r="K213" s="16">
        <v>16909</v>
      </c>
      <c r="L213" s="16">
        <v>0</v>
      </c>
      <c r="M213" s="16">
        <v>0</v>
      </c>
      <c r="N213" s="16">
        <v>0</v>
      </c>
      <c r="O213" s="16">
        <v>2</v>
      </c>
      <c r="P213" s="16">
        <v>3</v>
      </c>
      <c r="Q213" s="16">
        <v>7</v>
      </c>
      <c r="R213" s="18">
        <f t="shared" si="24"/>
        <v>0</v>
      </c>
      <c r="S213" s="18">
        <f t="shared" si="25"/>
        <v>0</v>
      </c>
      <c r="T213" s="18">
        <f t="shared" si="26"/>
        <v>0</v>
      </c>
      <c r="U213" s="18">
        <f t="shared" si="27"/>
        <v>0</v>
      </c>
      <c r="V213" s="18">
        <f t="shared" si="28"/>
        <v>113.46873936230568</v>
      </c>
      <c r="W213" s="18">
        <f t="shared" si="29"/>
        <v>173.73175816539262</v>
      </c>
      <c r="X213" s="18">
        <f t="shared" si="30"/>
        <v>413.98072032645337</v>
      </c>
      <c r="Y213" s="18">
        <f t="shared" si="31"/>
        <v>233.72707261805056</v>
      </c>
    </row>
    <row r="214" spans="1:25">
      <c r="A214" s="15" t="s">
        <v>294</v>
      </c>
      <c r="B214" s="15" t="s">
        <v>205</v>
      </c>
      <c r="C214" s="15" t="s">
        <v>212</v>
      </c>
      <c r="D214" s="15" t="s">
        <v>212</v>
      </c>
      <c r="E214" s="16">
        <v>50403</v>
      </c>
      <c r="F214" s="16">
        <v>25765</v>
      </c>
      <c r="G214" s="16">
        <v>26330</v>
      </c>
      <c r="H214" s="16">
        <v>26856</v>
      </c>
      <c r="I214" s="16">
        <v>31589</v>
      </c>
      <c r="J214" s="16">
        <v>32115</v>
      </c>
      <c r="K214" s="16">
        <v>32641</v>
      </c>
      <c r="L214" s="16">
        <v>0</v>
      </c>
      <c r="M214" s="16">
        <v>0</v>
      </c>
      <c r="N214" s="16">
        <v>0</v>
      </c>
      <c r="O214" s="16">
        <v>5</v>
      </c>
      <c r="P214" s="16">
        <v>3</v>
      </c>
      <c r="Q214" s="16">
        <v>4</v>
      </c>
      <c r="R214" s="18">
        <f t="shared" si="24"/>
        <v>0</v>
      </c>
      <c r="S214" s="18">
        <f t="shared" si="25"/>
        <v>0</v>
      </c>
      <c r="T214" s="18">
        <f t="shared" si="26"/>
        <v>0</v>
      </c>
      <c r="U214" s="18">
        <f t="shared" si="27"/>
        <v>0</v>
      </c>
      <c r="V214" s="18">
        <f t="shared" si="28"/>
        <v>158.28294659533381</v>
      </c>
      <c r="W214" s="18">
        <f t="shared" si="29"/>
        <v>93.41429238673517</v>
      </c>
      <c r="X214" s="18">
        <f t="shared" si="30"/>
        <v>122.54526515731749</v>
      </c>
      <c r="Y214" s="18">
        <f t="shared" si="31"/>
        <v>124.74750137979549</v>
      </c>
    </row>
    <row r="215" spans="1:25">
      <c r="A215" s="15" t="s">
        <v>294</v>
      </c>
      <c r="B215" s="15" t="s">
        <v>205</v>
      </c>
      <c r="C215" s="15" t="s">
        <v>211</v>
      </c>
      <c r="D215" s="15" t="s">
        <v>211</v>
      </c>
      <c r="E215" s="16">
        <v>50404</v>
      </c>
      <c r="F215" s="16">
        <v>16336</v>
      </c>
      <c r="G215" s="16">
        <v>16118</v>
      </c>
      <c r="H215" s="16">
        <v>15986</v>
      </c>
      <c r="I215" s="16">
        <v>14796</v>
      </c>
      <c r="J215" s="16">
        <v>14664</v>
      </c>
      <c r="K215" s="16">
        <v>14532</v>
      </c>
      <c r="L215" s="16">
        <v>0</v>
      </c>
      <c r="M215" s="16">
        <v>0</v>
      </c>
      <c r="N215" s="16">
        <v>1</v>
      </c>
      <c r="O215" s="16">
        <v>4</v>
      </c>
      <c r="P215" s="16">
        <v>1</v>
      </c>
      <c r="Q215" s="16">
        <v>0</v>
      </c>
      <c r="R215" s="18">
        <f t="shared" si="24"/>
        <v>0</v>
      </c>
      <c r="S215" s="18">
        <f t="shared" si="25"/>
        <v>0</v>
      </c>
      <c r="T215" s="18">
        <f t="shared" si="26"/>
        <v>62.554735393469286</v>
      </c>
      <c r="U215" s="18">
        <f t="shared" si="27"/>
        <v>20.851578464489762</v>
      </c>
      <c r="V215" s="18">
        <f t="shared" si="28"/>
        <v>270.34333603676669</v>
      </c>
      <c r="W215" s="18">
        <f t="shared" si="29"/>
        <v>68.194217130387344</v>
      </c>
      <c r="X215" s="18">
        <f t="shared" si="30"/>
        <v>0</v>
      </c>
      <c r="Y215" s="18">
        <f t="shared" si="31"/>
        <v>112.84585105571801</v>
      </c>
    </row>
    <row r="216" spans="1:25">
      <c r="A216" s="15" t="s">
        <v>294</v>
      </c>
      <c r="B216" s="15" t="s">
        <v>205</v>
      </c>
      <c r="C216" s="15" t="s">
        <v>300</v>
      </c>
      <c r="D216" s="15" t="s">
        <v>300</v>
      </c>
      <c r="E216" s="16">
        <v>50405</v>
      </c>
      <c r="F216" s="16">
        <v>19692</v>
      </c>
      <c r="G216" s="16">
        <v>19939</v>
      </c>
      <c r="H216" s="16">
        <v>20028</v>
      </c>
      <c r="I216" s="16">
        <v>20832</v>
      </c>
      <c r="J216" s="16">
        <v>20922</v>
      </c>
      <c r="K216" s="16">
        <v>21011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8">
        <f t="shared" si="24"/>
        <v>0</v>
      </c>
      <c r="S216" s="18">
        <f t="shared" si="25"/>
        <v>0</v>
      </c>
      <c r="T216" s="18">
        <f t="shared" si="26"/>
        <v>0</v>
      </c>
      <c r="U216" s="18">
        <f t="shared" si="27"/>
        <v>0</v>
      </c>
      <c r="V216" s="18">
        <f t="shared" si="28"/>
        <v>0</v>
      </c>
      <c r="W216" s="18">
        <f t="shared" si="29"/>
        <v>0</v>
      </c>
      <c r="X216" s="18">
        <f t="shared" si="30"/>
        <v>0</v>
      </c>
      <c r="Y216" s="18">
        <f t="shared" si="31"/>
        <v>0</v>
      </c>
    </row>
    <row r="217" spans="1:25">
      <c r="A217" s="15" t="s">
        <v>294</v>
      </c>
      <c r="B217" s="15" t="s">
        <v>507</v>
      </c>
      <c r="C217" s="15" t="s">
        <v>314</v>
      </c>
      <c r="D217" s="15" t="s">
        <v>314</v>
      </c>
      <c r="E217" s="16">
        <v>50501</v>
      </c>
      <c r="F217" s="16">
        <v>29796</v>
      </c>
      <c r="G217" s="16">
        <v>30012</v>
      </c>
      <c r="H217" s="16">
        <v>29879</v>
      </c>
      <c r="I217" s="16">
        <v>28682</v>
      </c>
      <c r="J217" s="16">
        <v>28549</v>
      </c>
      <c r="K217" s="16">
        <v>28416</v>
      </c>
      <c r="L217" s="16">
        <v>0</v>
      </c>
      <c r="M217" s="16">
        <v>0</v>
      </c>
      <c r="N217" s="16">
        <v>1</v>
      </c>
      <c r="O217" s="16">
        <v>11</v>
      </c>
      <c r="P217" s="16">
        <v>2</v>
      </c>
      <c r="Q217" s="16">
        <v>10</v>
      </c>
      <c r="R217" s="18">
        <f t="shared" si="24"/>
        <v>0</v>
      </c>
      <c r="S217" s="18">
        <f t="shared" si="25"/>
        <v>0</v>
      </c>
      <c r="T217" s="18">
        <f t="shared" si="26"/>
        <v>33.468322233006461</v>
      </c>
      <c r="U217" s="18">
        <f t="shared" si="27"/>
        <v>11.156107411002154</v>
      </c>
      <c r="V217" s="18">
        <f t="shared" si="28"/>
        <v>383.51579387769328</v>
      </c>
      <c r="W217" s="18">
        <f t="shared" si="29"/>
        <v>70.054993169638166</v>
      </c>
      <c r="X217" s="18">
        <f t="shared" si="30"/>
        <v>351.91441441441441</v>
      </c>
      <c r="Y217" s="18">
        <f t="shared" si="31"/>
        <v>268.49506715391527</v>
      </c>
    </row>
    <row r="218" spans="1:25">
      <c r="A218" s="15" t="s">
        <v>294</v>
      </c>
      <c r="B218" s="15" t="s">
        <v>507</v>
      </c>
      <c r="C218" s="15" t="s">
        <v>224</v>
      </c>
      <c r="D218" s="15" t="s">
        <v>224</v>
      </c>
      <c r="E218" s="16">
        <v>50502</v>
      </c>
      <c r="F218" s="16">
        <v>10840</v>
      </c>
      <c r="G218" s="16">
        <v>10870</v>
      </c>
      <c r="H218" s="16">
        <v>10857</v>
      </c>
      <c r="I218" s="16">
        <v>10740</v>
      </c>
      <c r="J218" s="16">
        <v>10727</v>
      </c>
      <c r="K218" s="16">
        <v>10714</v>
      </c>
      <c r="L218" s="16">
        <v>0</v>
      </c>
      <c r="M218" s="16">
        <v>0</v>
      </c>
      <c r="N218" s="16">
        <v>0</v>
      </c>
      <c r="O218" s="16">
        <v>5</v>
      </c>
      <c r="P218" s="16">
        <v>10</v>
      </c>
      <c r="Q218" s="16">
        <v>2</v>
      </c>
      <c r="R218" s="18">
        <f t="shared" si="24"/>
        <v>0</v>
      </c>
      <c r="S218" s="18">
        <f t="shared" si="25"/>
        <v>0</v>
      </c>
      <c r="T218" s="18">
        <f t="shared" si="26"/>
        <v>0</v>
      </c>
      <c r="U218" s="18">
        <f t="shared" si="27"/>
        <v>0</v>
      </c>
      <c r="V218" s="18">
        <f t="shared" si="28"/>
        <v>465.54934823091247</v>
      </c>
      <c r="W218" s="18">
        <f t="shared" si="29"/>
        <v>932.22709051925051</v>
      </c>
      <c r="X218" s="18">
        <f t="shared" si="30"/>
        <v>186.67164457718874</v>
      </c>
      <c r="Y218" s="18">
        <f t="shared" si="31"/>
        <v>528.14936110911719</v>
      </c>
    </row>
    <row r="219" spans="1:25">
      <c r="A219" s="15" t="s">
        <v>294</v>
      </c>
      <c r="B219" s="15" t="s">
        <v>508</v>
      </c>
      <c r="C219" s="15" t="s">
        <v>208</v>
      </c>
      <c r="D219" s="15" t="s">
        <v>208</v>
      </c>
      <c r="E219" s="16">
        <v>50601</v>
      </c>
      <c r="F219" s="16">
        <v>31094</v>
      </c>
      <c r="G219" s="16">
        <v>31801</v>
      </c>
      <c r="H219" s="16">
        <v>31586</v>
      </c>
      <c r="I219" s="16">
        <v>29651</v>
      </c>
      <c r="J219" s="16">
        <v>29436</v>
      </c>
      <c r="K219" s="16">
        <v>29221</v>
      </c>
      <c r="L219" s="16">
        <v>1</v>
      </c>
      <c r="M219" s="16">
        <v>0</v>
      </c>
      <c r="N219" s="16">
        <v>0</v>
      </c>
      <c r="O219" s="16">
        <v>0</v>
      </c>
      <c r="P219" s="16">
        <v>1</v>
      </c>
      <c r="Q219" s="16">
        <v>1</v>
      </c>
      <c r="R219" s="18">
        <f t="shared" si="24"/>
        <v>32.160545442850712</v>
      </c>
      <c r="S219" s="18">
        <f t="shared" si="25"/>
        <v>0</v>
      </c>
      <c r="T219" s="18">
        <f t="shared" si="26"/>
        <v>0</v>
      </c>
      <c r="U219" s="18">
        <f t="shared" si="27"/>
        <v>10.720181814283571</v>
      </c>
      <c r="V219" s="18">
        <f t="shared" si="28"/>
        <v>0</v>
      </c>
      <c r="W219" s="18">
        <f t="shared" si="29"/>
        <v>33.972007066177468</v>
      </c>
      <c r="X219" s="18">
        <f t="shared" si="30"/>
        <v>34.221963656274596</v>
      </c>
      <c r="Y219" s="18">
        <f t="shared" si="31"/>
        <v>22.731323574150689</v>
      </c>
    </row>
    <row r="220" spans="1:25">
      <c r="A220" s="15" t="s">
        <v>294</v>
      </c>
      <c r="B220" s="15" t="s">
        <v>508</v>
      </c>
      <c r="C220" s="15" t="s">
        <v>340</v>
      </c>
      <c r="D220" s="15" t="s">
        <v>340</v>
      </c>
      <c r="E220" s="16">
        <v>50602</v>
      </c>
      <c r="F220" s="16">
        <v>10705</v>
      </c>
      <c r="G220" s="16">
        <v>10646</v>
      </c>
      <c r="H220" s="16">
        <v>10608</v>
      </c>
      <c r="I220" s="16">
        <v>10261</v>
      </c>
      <c r="J220" s="16">
        <v>10223</v>
      </c>
      <c r="K220" s="16">
        <v>10184</v>
      </c>
      <c r="L220" s="16">
        <v>0</v>
      </c>
      <c r="M220" s="16">
        <v>1</v>
      </c>
      <c r="N220" s="16">
        <v>0</v>
      </c>
      <c r="O220" s="16">
        <v>0</v>
      </c>
      <c r="P220" s="16">
        <v>0</v>
      </c>
      <c r="Q220" s="16">
        <v>1</v>
      </c>
      <c r="R220" s="18">
        <f t="shared" si="24"/>
        <v>0</v>
      </c>
      <c r="S220" s="18">
        <f t="shared" si="25"/>
        <v>93.931993236896488</v>
      </c>
      <c r="T220" s="18">
        <f t="shared" si="26"/>
        <v>0</v>
      </c>
      <c r="U220" s="18">
        <f t="shared" si="27"/>
        <v>31.310664412298831</v>
      </c>
      <c r="V220" s="18">
        <f t="shared" si="28"/>
        <v>0</v>
      </c>
      <c r="W220" s="18">
        <f t="shared" si="29"/>
        <v>0</v>
      </c>
      <c r="X220" s="18">
        <f t="shared" si="30"/>
        <v>98.193244304791833</v>
      </c>
      <c r="Y220" s="18">
        <f t="shared" si="31"/>
        <v>32.731081434930609</v>
      </c>
    </row>
    <row r="221" spans="1:25">
      <c r="A221" s="15" t="s">
        <v>294</v>
      </c>
      <c r="B221" s="15" t="s">
        <v>509</v>
      </c>
      <c r="C221" s="15" t="s">
        <v>304</v>
      </c>
      <c r="D221" s="15" t="s">
        <v>510</v>
      </c>
      <c r="E221" s="16">
        <v>50701</v>
      </c>
      <c r="F221" s="16">
        <v>19530</v>
      </c>
      <c r="G221" s="16">
        <v>19611</v>
      </c>
      <c r="H221" s="16">
        <v>19411</v>
      </c>
      <c r="I221" s="16">
        <v>17606</v>
      </c>
      <c r="J221" s="16">
        <v>17406</v>
      </c>
      <c r="K221" s="16">
        <v>17205</v>
      </c>
      <c r="L221" s="16">
        <v>0</v>
      </c>
      <c r="M221" s="16">
        <v>0</v>
      </c>
      <c r="N221" s="16">
        <v>1</v>
      </c>
      <c r="O221" s="16">
        <v>0</v>
      </c>
      <c r="P221" s="16">
        <v>0</v>
      </c>
      <c r="Q221" s="16">
        <v>3</v>
      </c>
      <c r="R221" s="18">
        <f t="shared" si="24"/>
        <v>0</v>
      </c>
      <c r="S221" s="18">
        <f t="shared" si="25"/>
        <v>0</v>
      </c>
      <c r="T221" s="18">
        <f t="shared" si="26"/>
        <v>51.517180979856782</v>
      </c>
      <c r="U221" s="18">
        <f t="shared" si="27"/>
        <v>17.17239365995226</v>
      </c>
      <c r="V221" s="18">
        <f t="shared" si="28"/>
        <v>0</v>
      </c>
      <c r="W221" s="18">
        <f t="shared" si="29"/>
        <v>0</v>
      </c>
      <c r="X221" s="18">
        <f t="shared" si="30"/>
        <v>174.36791630340019</v>
      </c>
      <c r="Y221" s="18">
        <f t="shared" si="31"/>
        <v>58.122638767800062</v>
      </c>
    </row>
    <row r="222" spans="1:25">
      <c r="A222" s="15" t="s">
        <v>294</v>
      </c>
      <c r="B222" s="15" t="s">
        <v>509</v>
      </c>
      <c r="C222" s="15" t="s">
        <v>203</v>
      </c>
      <c r="D222" s="15" t="s">
        <v>203</v>
      </c>
      <c r="E222" s="16">
        <v>50702</v>
      </c>
      <c r="F222" s="16">
        <v>8734</v>
      </c>
      <c r="G222" s="16">
        <v>8704</v>
      </c>
      <c r="H222" s="16">
        <v>8684</v>
      </c>
      <c r="I222" s="16">
        <v>8499</v>
      </c>
      <c r="J222" s="16">
        <v>8479</v>
      </c>
      <c r="K222" s="16">
        <v>8458</v>
      </c>
      <c r="L222" s="16">
        <v>0</v>
      </c>
      <c r="M222" s="16">
        <v>0</v>
      </c>
      <c r="N222" s="16">
        <v>0</v>
      </c>
      <c r="O222" s="16">
        <v>2</v>
      </c>
      <c r="P222" s="16">
        <v>0</v>
      </c>
      <c r="Q222" s="16">
        <v>0</v>
      </c>
      <c r="R222" s="18">
        <f t="shared" si="24"/>
        <v>0</v>
      </c>
      <c r="S222" s="18">
        <f t="shared" si="25"/>
        <v>0</v>
      </c>
      <c r="T222" s="18">
        <f t="shared" si="26"/>
        <v>0</v>
      </c>
      <c r="U222" s="18">
        <f t="shared" si="27"/>
        <v>0</v>
      </c>
      <c r="V222" s="18">
        <f t="shared" si="28"/>
        <v>235.32180256500766</v>
      </c>
      <c r="W222" s="18">
        <f t="shared" si="29"/>
        <v>0</v>
      </c>
      <c r="X222" s="18">
        <f t="shared" si="30"/>
        <v>0</v>
      </c>
      <c r="Y222" s="18">
        <f t="shared" si="31"/>
        <v>78.440600855002558</v>
      </c>
    </row>
    <row r="223" spans="1:25">
      <c r="A223" s="15" t="s">
        <v>294</v>
      </c>
      <c r="B223" s="15" t="s">
        <v>511</v>
      </c>
      <c r="C223" s="15" t="s">
        <v>225</v>
      </c>
      <c r="D223" s="15" t="s">
        <v>225</v>
      </c>
      <c r="E223" s="16">
        <v>50801</v>
      </c>
      <c r="F223" s="16">
        <v>44225</v>
      </c>
      <c r="G223" s="16">
        <v>44814</v>
      </c>
      <c r="H223" s="16">
        <v>44879</v>
      </c>
      <c r="I223" s="16">
        <v>45461</v>
      </c>
      <c r="J223" s="16">
        <v>45525</v>
      </c>
      <c r="K223" s="16">
        <v>45590</v>
      </c>
      <c r="L223" s="16">
        <v>1</v>
      </c>
      <c r="M223" s="16">
        <v>1</v>
      </c>
      <c r="N223" s="16">
        <v>2</v>
      </c>
      <c r="O223" s="16">
        <v>3</v>
      </c>
      <c r="P223" s="16">
        <v>6</v>
      </c>
      <c r="Q223" s="16">
        <v>6</v>
      </c>
      <c r="R223" s="18">
        <f t="shared" si="24"/>
        <v>22.611644997173546</v>
      </c>
      <c r="S223" s="18">
        <f t="shared" si="25"/>
        <v>22.314455304146026</v>
      </c>
      <c r="T223" s="18">
        <f t="shared" si="26"/>
        <v>44.564272822478223</v>
      </c>
      <c r="U223" s="18">
        <f t="shared" si="27"/>
        <v>29.830124374599265</v>
      </c>
      <c r="V223" s="18">
        <f t="shared" si="28"/>
        <v>65.990629330635045</v>
      </c>
      <c r="W223" s="18">
        <f t="shared" si="29"/>
        <v>131.79571663920922</v>
      </c>
      <c r="X223" s="18">
        <f t="shared" si="30"/>
        <v>131.60780872998464</v>
      </c>
      <c r="Y223" s="18">
        <f t="shared" si="31"/>
        <v>109.79805156660963</v>
      </c>
    </row>
    <row r="224" spans="1:25">
      <c r="A224" s="15" t="s">
        <v>294</v>
      </c>
      <c r="B224" s="15" t="s">
        <v>511</v>
      </c>
      <c r="C224" s="15" t="s">
        <v>201</v>
      </c>
      <c r="D224" s="15" t="s">
        <v>201</v>
      </c>
      <c r="E224" s="16">
        <v>50802</v>
      </c>
      <c r="F224" s="16">
        <v>11080</v>
      </c>
      <c r="G224" s="16">
        <v>11234</v>
      </c>
      <c r="H224" s="16">
        <v>11099</v>
      </c>
      <c r="I224" s="16">
        <v>9881</v>
      </c>
      <c r="J224" s="16">
        <v>9745</v>
      </c>
      <c r="K224" s="16">
        <v>9610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1</v>
      </c>
      <c r="R224" s="18">
        <f t="shared" si="24"/>
        <v>0</v>
      </c>
      <c r="S224" s="18">
        <f t="shared" si="25"/>
        <v>0</v>
      </c>
      <c r="T224" s="18">
        <f t="shared" si="26"/>
        <v>0</v>
      </c>
      <c r="U224" s="18">
        <f t="shared" si="27"/>
        <v>0</v>
      </c>
      <c r="V224" s="18">
        <f t="shared" si="28"/>
        <v>0</v>
      </c>
      <c r="W224" s="18">
        <f t="shared" si="29"/>
        <v>0</v>
      </c>
      <c r="X224" s="18">
        <f t="shared" si="30"/>
        <v>104.0582726326743</v>
      </c>
      <c r="Y224" s="18">
        <f t="shared" si="31"/>
        <v>34.686090877558101</v>
      </c>
    </row>
    <row r="225" spans="1:25">
      <c r="A225" s="15" t="s">
        <v>294</v>
      </c>
      <c r="B225" s="15" t="s">
        <v>512</v>
      </c>
      <c r="C225" s="15" t="s">
        <v>316</v>
      </c>
      <c r="D225" s="15" t="s">
        <v>513</v>
      </c>
      <c r="E225" s="16">
        <v>50901</v>
      </c>
      <c r="F225" s="16">
        <v>12692</v>
      </c>
      <c r="G225" s="16">
        <v>12997</v>
      </c>
      <c r="H225" s="16">
        <v>12976</v>
      </c>
      <c r="I225" s="16">
        <v>12783</v>
      </c>
      <c r="J225" s="16">
        <v>12761</v>
      </c>
      <c r="K225" s="16">
        <v>12740</v>
      </c>
      <c r="L225" s="16">
        <v>0</v>
      </c>
      <c r="M225" s="16">
        <v>0</v>
      </c>
      <c r="N225" s="16">
        <v>0</v>
      </c>
      <c r="O225" s="16">
        <v>2</v>
      </c>
      <c r="P225" s="16">
        <v>0</v>
      </c>
      <c r="Q225" s="16">
        <v>0</v>
      </c>
      <c r="R225" s="18">
        <f t="shared" si="24"/>
        <v>0</v>
      </c>
      <c r="S225" s="18">
        <f t="shared" si="25"/>
        <v>0</v>
      </c>
      <c r="T225" s="18">
        <f t="shared" si="26"/>
        <v>0</v>
      </c>
      <c r="U225" s="18">
        <f t="shared" si="27"/>
        <v>0</v>
      </c>
      <c r="V225" s="18">
        <f t="shared" si="28"/>
        <v>156.45779550966128</v>
      </c>
      <c r="W225" s="18">
        <f t="shared" si="29"/>
        <v>0</v>
      </c>
      <c r="X225" s="18">
        <f t="shared" si="30"/>
        <v>0</v>
      </c>
      <c r="Y225" s="18">
        <f t="shared" si="31"/>
        <v>52.152598503220425</v>
      </c>
    </row>
    <row r="226" spans="1:25">
      <c r="A226" s="15" t="s">
        <v>294</v>
      </c>
      <c r="B226" s="15" t="s">
        <v>512</v>
      </c>
      <c r="C226" s="15" t="s">
        <v>399</v>
      </c>
      <c r="D226" s="15" t="s">
        <v>514</v>
      </c>
      <c r="E226" s="16">
        <v>50902</v>
      </c>
      <c r="F226" s="16">
        <v>1038</v>
      </c>
      <c r="G226" s="16">
        <v>1060</v>
      </c>
      <c r="H226" s="16">
        <v>1107</v>
      </c>
      <c r="I226" s="16">
        <v>1528</v>
      </c>
      <c r="J226" s="16">
        <v>1574</v>
      </c>
      <c r="K226" s="16">
        <v>1621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8">
        <f t="shared" si="24"/>
        <v>0</v>
      </c>
      <c r="S226" s="18">
        <f t="shared" si="25"/>
        <v>0</v>
      </c>
      <c r="T226" s="18">
        <f t="shared" si="26"/>
        <v>0</v>
      </c>
      <c r="U226" s="18">
        <f t="shared" si="27"/>
        <v>0</v>
      </c>
      <c r="V226" s="18">
        <f t="shared" si="28"/>
        <v>0</v>
      </c>
      <c r="W226" s="18">
        <f t="shared" si="29"/>
        <v>0</v>
      </c>
      <c r="X226" s="18">
        <f t="shared" si="30"/>
        <v>0</v>
      </c>
      <c r="Y226" s="18">
        <f t="shared" si="31"/>
        <v>0</v>
      </c>
    </row>
    <row r="227" spans="1:25">
      <c r="A227" s="15" t="s">
        <v>294</v>
      </c>
      <c r="B227" s="15" t="s">
        <v>515</v>
      </c>
      <c r="C227" s="15" t="s">
        <v>333</v>
      </c>
      <c r="D227" s="15" t="s">
        <v>218</v>
      </c>
      <c r="E227" s="16">
        <v>51001</v>
      </c>
      <c r="F227" s="16">
        <v>3294</v>
      </c>
      <c r="G227" s="16">
        <v>3371</v>
      </c>
      <c r="H227" s="16">
        <v>3353</v>
      </c>
      <c r="I227" s="16">
        <v>3187</v>
      </c>
      <c r="J227" s="16">
        <v>3168</v>
      </c>
      <c r="K227" s="16">
        <v>3150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8">
        <f t="shared" si="24"/>
        <v>0</v>
      </c>
      <c r="S227" s="18">
        <f t="shared" si="25"/>
        <v>0</v>
      </c>
      <c r="T227" s="18">
        <f t="shared" si="26"/>
        <v>0</v>
      </c>
      <c r="U227" s="18">
        <f t="shared" si="27"/>
        <v>0</v>
      </c>
      <c r="V227" s="18">
        <f t="shared" si="28"/>
        <v>0</v>
      </c>
      <c r="W227" s="18">
        <f t="shared" si="29"/>
        <v>0</v>
      </c>
      <c r="X227" s="18">
        <f t="shared" si="30"/>
        <v>0</v>
      </c>
      <c r="Y227" s="18">
        <f t="shared" si="31"/>
        <v>0</v>
      </c>
    </row>
    <row r="228" spans="1:25">
      <c r="A228" s="15" t="s">
        <v>294</v>
      </c>
      <c r="B228" s="15" t="s">
        <v>515</v>
      </c>
      <c r="C228" s="15" t="s">
        <v>329</v>
      </c>
      <c r="D228" s="15" t="s">
        <v>329</v>
      </c>
      <c r="E228" s="16">
        <v>51002</v>
      </c>
      <c r="F228" s="16">
        <v>1138</v>
      </c>
      <c r="G228" s="16">
        <v>1180</v>
      </c>
      <c r="H228" s="16">
        <v>1167</v>
      </c>
      <c r="I228" s="16">
        <v>1051</v>
      </c>
      <c r="J228" s="16">
        <v>1038</v>
      </c>
      <c r="K228" s="16">
        <v>1025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8">
        <f t="shared" si="24"/>
        <v>0</v>
      </c>
      <c r="S228" s="18">
        <f t="shared" si="25"/>
        <v>0</v>
      </c>
      <c r="T228" s="18">
        <f t="shared" si="26"/>
        <v>0</v>
      </c>
      <c r="U228" s="18">
        <f t="shared" si="27"/>
        <v>0</v>
      </c>
      <c r="V228" s="18">
        <f t="shared" si="28"/>
        <v>0</v>
      </c>
      <c r="W228" s="18">
        <f t="shared" si="29"/>
        <v>0</v>
      </c>
      <c r="X228" s="18">
        <f t="shared" si="30"/>
        <v>0</v>
      </c>
      <c r="Y228" s="18">
        <f t="shared" si="31"/>
        <v>0</v>
      </c>
    </row>
    <row r="229" spans="1:25">
      <c r="A229" s="15" t="s">
        <v>294</v>
      </c>
      <c r="B229" s="15" t="s">
        <v>515</v>
      </c>
      <c r="C229" s="15" t="s">
        <v>325</v>
      </c>
      <c r="D229" s="15" t="s">
        <v>325</v>
      </c>
      <c r="E229" s="16">
        <v>51003</v>
      </c>
      <c r="F229" s="16">
        <v>2228</v>
      </c>
      <c r="G229" s="16">
        <v>2284</v>
      </c>
      <c r="H229" s="16">
        <v>2255</v>
      </c>
      <c r="I229" s="16">
        <v>1994</v>
      </c>
      <c r="J229" s="16">
        <v>1965</v>
      </c>
      <c r="K229" s="16">
        <v>1936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8">
        <f t="shared" si="24"/>
        <v>0</v>
      </c>
      <c r="S229" s="18">
        <f t="shared" si="25"/>
        <v>0</v>
      </c>
      <c r="T229" s="18">
        <f t="shared" si="26"/>
        <v>0</v>
      </c>
      <c r="U229" s="18">
        <f t="shared" si="27"/>
        <v>0</v>
      </c>
      <c r="V229" s="18">
        <f t="shared" si="28"/>
        <v>0</v>
      </c>
      <c r="W229" s="18">
        <f t="shared" si="29"/>
        <v>0</v>
      </c>
      <c r="X229" s="18">
        <f t="shared" si="30"/>
        <v>0</v>
      </c>
      <c r="Y229" s="18">
        <f t="shared" si="31"/>
        <v>0</v>
      </c>
    </row>
    <row r="230" spans="1:25">
      <c r="A230" s="15" t="s">
        <v>294</v>
      </c>
      <c r="B230" s="15" t="s">
        <v>516</v>
      </c>
      <c r="C230" s="15" t="s">
        <v>359</v>
      </c>
      <c r="D230" s="15" t="s">
        <v>517</v>
      </c>
      <c r="E230" s="16">
        <v>51101</v>
      </c>
      <c r="F230" s="16">
        <v>22071</v>
      </c>
      <c r="G230" s="16">
        <v>21917</v>
      </c>
      <c r="H230" s="16">
        <v>21456</v>
      </c>
      <c r="I230" s="16">
        <v>17310</v>
      </c>
      <c r="J230" s="16">
        <v>16850</v>
      </c>
      <c r="K230" s="16">
        <v>16389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2</v>
      </c>
      <c r="R230" s="18">
        <f t="shared" si="24"/>
        <v>0</v>
      </c>
      <c r="S230" s="18">
        <f t="shared" si="25"/>
        <v>0</v>
      </c>
      <c r="T230" s="18">
        <f t="shared" si="26"/>
        <v>0</v>
      </c>
      <c r="U230" s="18">
        <f t="shared" si="27"/>
        <v>0</v>
      </c>
      <c r="V230" s="18">
        <f t="shared" si="28"/>
        <v>0</v>
      </c>
      <c r="W230" s="18">
        <f t="shared" si="29"/>
        <v>0</v>
      </c>
      <c r="X230" s="18">
        <f t="shared" si="30"/>
        <v>122.03307096223077</v>
      </c>
      <c r="Y230" s="18">
        <f t="shared" si="31"/>
        <v>40.677690320743586</v>
      </c>
    </row>
    <row r="231" spans="1:25">
      <c r="A231" s="15" t="s">
        <v>294</v>
      </c>
      <c r="B231" s="15" t="s">
        <v>516</v>
      </c>
      <c r="C231" s="15" t="s">
        <v>356</v>
      </c>
      <c r="D231" s="15" t="s">
        <v>356</v>
      </c>
      <c r="E231" s="16">
        <v>51102</v>
      </c>
      <c r="F231" s="16">
        <v>11962</v>
      </c>
      <c r="G231" s="16">
        <v>12067</v>
      </c>
      <c r="H231" s="16">
        <v>12145</v>
      </c>
      <c r="I231" s="16">
        <v>12844</v>
      </c>
      <c r="J231" s="16">
        <v>12921</v>
      </c>
      <c r="K231" s="16">
        <v>12999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8">
        <f t="shared" si="24"/>
        <v>0</v>
      </c>
      <c r="S231" s="18">
        <f t="shared" si="25"/>
        <v>0</v>
      </c>
      <c r="T231" s="18">
        <f t="shared" si="26"/>
        <v>0</v>
      </c>
      <c r="U231" s="18">
        <f t="shared" si="27"/>
        <v>0</v>
      </c>
      <c r="V231" s="18">
        <f t="shared" si="28"/>
        <v>0</v>
      </c>
      <c r="W231" s="18">
        <f t="shared" si="29"/>
        <v>0</v>
      </c>
      <c r="X231" s="18">
        <f t="shared" si="30"/>
        <v>0</v>
      </c>
      <c r="Y231" s="18">
        <f t="shared" si="31"/>
        <v>0</v>
      </c>
    </row>
    <row r="232" spans="1:25">
      <c r="A232" s="15" t="s">
        <v>294</v>
      </c>
      <c r="B232" s="15" t="s">
        <v>516</v>
      </c>
      <c r="C232" s="15" t="s">
        <v>360</v>
      </c>
      <c r="D232" s="15" t="s">
        <v>360</v>
      </c>
      <c r="E232" s="16">
        <v>51103</v>
      </c>
      <c r="F232" s="16">
        <v>15910</v>
      </c>
      <c r="G232" s="16">
        <v>15812</v>
      </c>
      <c r="H232" s="16">
        <v>15689</v>
      </c>
      <c r="I232" s="16">
        <v>14584</v>
      </c>
      <c r="J232" s="16">
        <v>14461</v>
      </c>
      <c r="K232" s="16">
        <v>14338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8">
        <f t="shared" si="24"/>
        <v>0</v>
      </c>
      <c r="S232" s="18">
        <f t="shared" si="25"/>
        <v>0</v>
      </c>
      <c r="T232" s="18">
        <f t="shared" si="26"/>
        <v>0</v>
      </c>
      <c r="U232" s="18">
        <f t="shared" si="27"/>
        <v>0</v>
      </c>
      <c r="V232" s="18">
        <f t="shared" si="28"/>
        <v>0</v>
      </c>
      <c r="W232" s="18">
        <f t="shared" si="29"/>
        <v>0</v>
      </c>
      <c r="X232" s="18">
        <f t="shared" si="30"/>
        <v>0</v>
      </c>
      <c r="Y232" s="18">
        <f t="shared" si="31"/>
        <v>0</v>
      </c>
    </row>
    <row r="233" spans="1:25">
      <c r="A233" s="15" t="s">
        <v>294</v>
      </c>
      <c r="B233" s="15" t="s">
        <v>518</v>
      </c>
      <c r="C233" s="15" t="s">
        <v>227</v>
      </c>
      <c r="D233" s="15" t="s">
        <v>227</v>
      </c>
      <c r="E233" s="16">
        <v>51201</v>
      </c>
      <c r="F233" s="16">
        <v>28675</v>
      </c>
      <c r="G233" s="16">
        <v>29672</v>
      </c>
      <c r="H233" s="16">
        <v>30143</v>
      </c>
      <c r="I233" s="16">
        <v>34377</v>
      </c>
      <c r="J233" s="16">
        <v>34848</v>
      </c>
      <c r="K233" s="16">
        <v>35318</v>
      </c>
      <c r="L233" s="16">
        <v>0</v>
      </c>
      <c r="M233" s="16">
        <v>1</v>
      </c>
      <c r="N233" s="16">
        <v>0</v>
      </c>
      <c r="O233" s="16">
        <v>4</v>
      </c>
      <c r="P233" s="16">
        <v>6</v>
      </c>
      <c r="Q233" s="16">
        <v>7</v>
      </c>
      <c r="R233" s="18">
        <f t="shared" si="24"/>
        <v>0</v>
      </c>
      <c r="S233" s="18">
        <f t="shared" si="25"/>
        <v>33.701806416823942</v>
      </c>
      <c r="T233" s="18">
        <f t="shared" si="26"/>
        <v>0</v>
      </c>
      <c r="U233" s="18">
        <f t="shared" si="27"/>
        <v>11.233935472274647</v>
      </c>
      <c r="V233" s="18">
        <f t="shared" si="28"/>
        <v>116.35686650958489</v>
      </c>
      <c r="W233" s="18">
        <f t="shared" si="29"/>
        <v>172.1763085399449</v>
      </c>
      <c r="X233" s="18">
        <f t="shared" si="30"/>
        <v>198.19921852879551</v>
      </c>
      <c r="Y233" s="18">
        <f t="shared" si="31"/>
        <v>162.24413119277509</v>
      </c>
    </row>
    <row r="234" spans="1:25">
      <c r="A234" s="15" t="s">
        <v>294</v>
      </c>
      <c r="B234" s="15" t="s">
        <v>518</v>
      </c>
      <c r="C234" s="15" t="s">
        <v>223</v>
      </c>
      <c r="D234" s="15" t="s">
        <v>223</v>
      </c>
      <c r="E234" s="16">
        <v>51202</v>
      </c>
      <c r="F234" s="16">
        <v>8774</v>
      </c>
      <c r="G234" s="16">
        <v>8854</v>
      </c>
      <c r="H234" s="16">
        <v>8770</v>
      </c>
      <c r="I234" s="16">
        <v>8013</v>
      </c>
      <c r="J234" s="16">
        <v>7929</v>
      </c>
      <c r="K234" s="16">
        <v>7845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8">
        <f t="shared" si="24"/>
        <v>0</v>
      </c>
      <c r="S234" s="18">
        <f t="shared" si="25"/>
        <v>0</v>
      </c>
      <c r="T234" s="18">
        <f t="shared" si="26"/>
        <v>0</v>
      </c>
      <c r="U234" s="18">
        <f t="shared" si="27"/>
        <v>0</v>
      </c>
      <c r="V234" s="18">
        <f t="shared" si="28"/>
        <v>0</v>
      </c>
      <c r="W234" s="18">
        <f t="shared" si="29"/>
        <v>0</v>
      </c>
      <c r="X234" s="18">
        <f t="shared" si="30"/>
        <v>0</v>
      </c>
      <c r="Y234" s="18">
        <f t="shared" si="31"/>
        <v>0</v>
      </c>
    </row>
    <row r="235" spans="1:25">
      <c r="A235" s="15" t="s">
        <v>294</v>
      </c>
      <c r="B235" s="15" t="s">
        <v>518</v>
      </c>
      <c r="C235" s="15" t="s">
        <v>213</v>
      </c>
      <c r="D235" s="15" t="s">
        <v>213</v>
      </c>
      <c r="E235" s="16">
        <v>51203</v>
      </c>
      <c r="F235" s="16">
        <v>10420</v>
      </c>
      <c r="G235" s="16">
        <v>10866</v>
      </c>
      <c r="H235" s="16">
        <v>11182</v>
      </c>
      <c r="I235" s="16">
        <v>14023</v>
      </c>
      <c r="J235" s="16">
        <v>14338</v>
      </c>
      <c r="K235" s="16">
        <v>14654</v>
      </c>
      <c r="L235" s="16">
        <v>0</v>
      </c>
      <c r="M235" s="16">
        <v>0</v>
      </c>
      <c r="N235" s="16">
        <v>2</v>
      </c>
      <c r="O235" s="16">
        <v>0</v>
      </c>
      <c r="P235" s="16">
        <v>2</v>
      </c>
      <c r="Q235" s="16">
        <v>3</v>
      </c>
      <c r="R235" s="18">
        <f t="shared" si="24"/>
        <v>0</v>
      </c>
      <c r="S235" s="18">
        <f t="shared" si="25"/>
        <v>0</v>
      </c>
      <c r="T235" s="18">
        <f t="shared" si="26"/>
        <v>178.85888034340903</v>
      </c>
      <c r="U235" s="18">
        <f t="shared" si="27"/>
        <v>59.61962678113634</v>
      </c>
      <c r="V235" s="18">
        <f t="shared" si="28"/>
        <v>0</v>
      </c>
      <c r="W235" s="18">
        <f t="shared" si="29"/>
        <v>139.48946854512485</v>
      </c>
      <c r="X235" s="18">
        <f t="shared" si="30"/>
        <v>204.72226013375186</v>
      </c>
      <c r="Y235" s="18">
        <f t="shared" si="31"/>
        <v>114.73724289295892</v>
      </c>
    </row>
    <row r="236" spans="1:25">
      <c r="A236" s="15" t="s">
        <v>294</v>
      </c>
      <c r="B236" s="15" t="s">
        <v>223</v>
      </c>
      <c r="C236" s="15" t="s">
        <v>519</v>
      </c>
      <c r="D236" s="15" t="s">
        <v>519</v>
      </c>
      <c r="E236" s="16">
        <v>51204</v>
      </c>
      <c r="F236" s="16">
        <v>5831</v>
      </c>
      <c r="G236" s="16">
        <v>5935</v>
      </c>
      <c r="H236" s="16">
        <v>5925</v>
      </c>
      <c r="I236" s="16">
        <v>5838</v>
      </c>
      <c r="J236" s="16">
        <v>5829</v>
      </c>
      <c r="K236" s="16">
        <v>5819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8">
        <f t="shared" si="24"/>
        <v>0</v>
      </c>
      <c r="S236" s="18">
        <f t="shared" si="25"/>
        <v>0</v>
      </c>
      <c r="T236" s="18">
        <f t="shared" si="26"/>
        <v>0</v>
      </c>
      <c r="U236" s="18">
        <f t="shared" si="27"/>
        <v>0</v>
      </c>
      <c r="V236" s="18">
        <f t="shared" si="28"/>
        <v>0</v>
      </c>
      <c r="W236" s="18">
        <f t="shared" si="29"/>
        <v>0</v>
      </c>
      <c r="X236" s="18">
        <f t="shared" si="30"/>
        <v>0</v>
      </c>
      <c r="Y236" s="18">
        <f t="shared" si="31"/>
        <v>0</v>
      </c>
    </row>
    <row r="237" spans="1:25">
      <c r="A237" s="15" t="s">
        <v>294</v>
      </c>
      <c r="B237" s="15" t="s">
        <v>520</v>
      </c>
      <c r="C237" s="15" t="s">
        <v>200</v>
      </c>
      <c r="D237" s="15" t="s">
        <v>200</v>
      </c>
      <c r="E237" s="16">
        <v>51301</v>
      </c>
      <c r="F237" s="16">
        <v>4233</v>
      </c>
      <c r="G237" s="16">
        <v>4170</v>
      </c>
      <c r="H237" s="16">
        <v>4128</v>
      </c>
      <c r="I237" s="16">
        <v>3750</v>
      </c>
      <c r="J237" s="16">
        <v>3708</v>
      </c>
      <c r="K237" s="16">
        <v>3666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8">
        <f t="shared" si="24"/>
        <v>0</v>
      </c>
      <c r="S237" s="18">
        <f t="shared" si="25"/>
        <v>0</v>
      </c>
      <c r="T237" s="18">
        <f t="shared" si="26"/>
        <v>0</v>
      </c>
      <c r="U237" s="18">
        <f t="shared" si="27"/>
        <v>0</v>
      </c>
      <c r="V237" s="18">
        <f t="shared" si="28"/>
        <v>0</v>
      </c>
      <c r="W237" s="18">
        <f t="shared" si="29"/>
        <v>0</v>
      </c>
      <c r="X237" s="18">
        <f t="shared" si="30"/>
        <v>0</v>
      </c>
      <c r="Y237" s="18">
        <f t="shared" si="31"/>
        <v>0</v>
      </c>
    </row>
    <row r="238" spans="1:25">
      <c r="A238" s="15" t="s">
        <v>294</v>
      </c>
      <c r="B238" s="15" t="s">
        <v>520</v>
      </c>
      <c r="C238" s="15" t="s">
        <v>199</v>
      </c>
      <c r="D238" s="15" t="s">
        <v>199</v>
      </c>
      <c r="E238" s="16">
        <v>51302</v>
      </c>
      <c r="F238" s="16">
        <v>6125</v>
      </c>
      <c r="G238" s="16">
        <v>6161</v>
      </c>
      <c r="H238" s="16">
        <v>6020</v>
      </c>
      <c r="I238" s="16">
        <v>4753</v>
      </c>
      <c r="J238" s="16">
        <v>4612</v>
      </c>
      <c r="K238" s="16">
        <v>4471</v>
      </c>
      <c r="L238" s="16">
        <v>8</v>
      </c>
      <c r="M238" s="16">
        <v>5</v>
      </c>
      <c r="N238" s="16">
        <v>6</v>
      </c>
      <c r="O238" s="16">
        <v>0</v>
      </c>
      <c r="P238" s="16">
        <v>0</v>
      </c>
      <c r="Q238" s="16">
        <v>2</v>
      </c>
      <c r="R238" s="18">
        <f t="shared" si="24"/>
        <v>1306.1224489795918</v>
      </c>
      <c r="S238" s="18">
        <f t="shared" si="25"/>
        <v>811.55656549261482</v>
      </c>
      <c r="T238" s="18">
        <f t="shared" si="26"/>
        <v>996.67774086378722</v>
      </c>
      <c r="U238" s="18">
        <f t="shared" si="27"/>
        <v>1038.1189184453312</v>
      </c>
      <c r="V238" s="18">
        <f t="shared" si="28"/>
        <v>0</v>
      </c>
      <c r="W238" s="18">
        <f t="shared" si="29"/>
        <v>0</v>
      </c>
      <c r="X238" s="18">
        <f t="shared" si="30"/>
        <v>447.32721986132856</v>
      </c>
      <c r="Y238" s="18">
        <f t="shared" si="31"/>
        <v>149.10907328710951</v>
      </c>
    </row>
    <row r="239" spans="1:25">
      <c r="A239" s="15" t="s">
        <v>294</v>
      </c>
      <c r="B239" s="15" t="s">
        <v>521</v>
      </c>
      <c r="C239" s="15" t="s">
        <v>210</v>
      </c>
      <c r="D239" s="15" t="s">
        <v>210</v>
      </c>
      <c r="E239" s="16">
        <v>51401</v>
      </c>
      <c r="F239" s="16">
        <v>4036</v>
      </c>
      <c r="G239" s="16">
        <v>4150</v>
      </c>
      <c r="H239" s="16">
        <v>4153</v>
      </c>
      <c r="I239" s="16">
        <v>4181</v>
      </c>
      <c r="J239" s="16">
        <v>4184</v>
      </c>
      <c r="K239" s="16">
        <v>4187</v>
      </c>
      <c r="L239" s="16">
        <v>0</v>
      </c>
      <c r="M239" s="16">
        <v>0</v>
      </c>
      <c r="N239" s="16">
        <v>0</v>
      </c>
      <c r="O239" s="16">
        <v>1</v>
      </c>
      <c r="P239" s="16">
        <v>0</v>
      </c>
      <c r="Q239" s="16">
        <v>0</v>
      </c>
      <c r="R239" s="18">
        <f t="shared" si="24"/>
        <v>0</v>
      </c>
      <c r="S239" s="18">
        <f t="shared" si="25"/>
        <v>0</v>
      </c>
      <c r="T239" s="18">
        <f t="shared" si="26"/>
        <v>0</v>
      </c>
      <c r="U239" s="18">
        <f t="shared" si="27"/>
        <v>0</v>
      </c>
      <c r="V239" s="18">
        <f t="shared" si="28"/>
        <v>239.17723032767282</v>
      </c>
      <c r="W239" s="18">
        <f t="shared" si="29"/>
        <v>0</v>
      </c>
      <c r="X239" s="18">
        <f t="shared" si="30"/>
        <v>0</v>
      </c>
      <c r="Y239" s="18">
        <f t="shared" si="31"/>
        <v>79.725743442557601</v>
      </c>
    </row>
    <row r="240" spans="1:25">
      <c r="A240" s="15" t="s">
        <v>294</v>
      </c>
      <c r="B240" s="15" t="s">
        <v>521</v>
      </c>
      <c r="C240" s="15" t="s">
        <v>221</v>
      </c>
      <c r="D240" s="15" t="s">
        <v>221</v>
      </c>
      <c r="E240" s="16">
        <v>51402</v>
      </c>
      <c r="F240" s="16">
        <v>1742</v>
      </c>
      <c r="G240" s="16">
        <v>1700</v>
      </c>
      <c r="H240" s="16">
        <v>1687</v>
      </c>
      <c r="I240" s="16">
        <v>1572</v>
      </c>
      <c r="J240" s="16">
        <v>1559</v>
      </c>
      <c r="K240" s="16">
        <v>1546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8">
        <f t="shared" si="24"/>
        <v>0</v>
      </c>
      <c r="S240" s="18">
        <f t="shared" si="25"/>
        <v>0</v>
      </c>
      <c r="T240" s="18">
        <f t="shared" si="26"/>
        <v>0</v>
      </c>
      <c r="U240" s="18">
        <f t="shared" si="27"/>
        <v>0</v>
      </c>
      <c r="V240" s="18">
        <f t="shared" si="28"/>
        <v>0</v>
      </c>
      <c r="W240" s="18">
        <f t="shared" si="29"/>
        <v>0</v>
      </c>
      <c r="X240" s="18">
        <f t="shared" si="30"/>
        <v>0</v>
      </c>
      <c r="Y240" s="18">
        <f t="shared" si="31"/>
        <v>0</v>
      </c>
    </row>
    <row r="241" spans="1:25">
      <c r="A241" s="15" t="s">
        <v>294</v>
      </c>
      <c r="B241" s="15" t="s">
        <v>522</v>
      </c>
      <c r="C241" s="15" t="s">
        <v>406</v>
      </c>
      <c r="D241" s="15" t="s">
        <v>406</v>
      </c>
      <c r="E241" s="16">
        <v>51501</v>
      </c>
      <c r="F241" s="16">
        <v>44121</v>
      </c>
      <c r="G241" s="16">
        <v>44906</v>
      </c>
      <c r="H241" s="16">
        <v>45276</v>
      </c>
      <c r="I241" s="16">
        <v>48601</v>
      </c>
      <c r="J241" s="16">
        <v>48971</v>
      </c>
      <c r="K241" s="16">
        <v>49340</v>
      </c>
      <c r="L241" s="16">
        <v>3</v>
      </c>
      <c r="M241" s="16">
        <v>3</v>
      </c>
      <c r="N241" s="16">
        <v>2</v>
      </c>
      <c r="O241" s="16">
        <v>1</v>
      </c>
      <c r="P241" s="16">
        <v>8</v>
      </c>
      <c r="Q241" s="16">
        <v>7</v>
      </c>
      <c r="R241" s="18">
        <f t="shared" si="24"/>
        <v>67.994832392738147</v>
      </c>
      <c r="S241" s="18">
        <f t="shared" si="25"/>
        <v>66.806217431969003</v>
      </c>
      <c r="T241" s="18">
        <f t="shared" si="26"/>
        <v>44.173513561268663</v>
      </c>
      <c r="U241" s="18">
        <f t="shared" si="27"/>
        <v>59.658187795325269</v>
      </c>
      <c r="V241" s="18">
        <f t="shared" si="28"/>
        <v>20.575708318758874</v>
      </c>
      <c r="W241" s="18">
        <f t="shared" si="29"/>
        <v>163.36198974903513</v>
      </c>
      <c r="X241" s="18">
        <f t="shared" si="30"/>
        <v>141.87271990271583</v>
      </c>
      <c r="Y241" s="18">
        <f t="shared" si="31"/>
        <v>108.60347265683662</v>
      </c>
    </row>
    <row r="242" spans="1:25">
      <c r="A242" s="15" t="s">
        <v>294</v>
      </c>
      <c r="B242" s="15" t="s">
        <v>523</v>
      </c>
      <c r="C242" s="15" t="s">
        <v>332</v>
      </c>
      <c r="D242" s="15" t="s">
        <v>332</v>
      </c>
      <c r="E242" s="16">
        <v>51601</v>
      </c>
      <c r="F242" s="16">
        <v>1680</v>
      </c>
      <c r="G242" s="16">
        <v>1684</v>
      </c>
      <c r="H242" s="16">
        <v>1721</v>
      </c>
      <c r="I242" s="16">
        <v>2052</v>
      </c>
      <c r="J242" s="16">
        <v>2089</v>
      </c>
      <c r="K242" s="16">
        <v>2126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8">
        <f t="shared" si="24"/>
        <v>0</v>
      </c>
      <c r="S242" s="18">
        <f t="shared" si="25"/>
        <v>0</v>
      </c>
      <c r="T242" s="18">
        <f t="shared" si="26"/>
        <v>0</v>
      </c>
      <c r="U242" s="18">
        <f t="shared" si="27"/>
        <v>0</v>
      </c>
      <c r="V242" s="18">
        <f t="shared" si="28"/>
        <v>0</v>
      </c>
      <c r="W242" s="18">
        <f t="shared" si="29"/>
        <v>0</v>
      </c>
      <c r="X242" s="18">
        <f t="shared" si="30"/>
        <v>0</v>
      </c>
      <c r="Y242" s="18">
        <f t="shared" si="31"/>
        <v>0</v>
      </c>
    </row>
    <row r="243" spans="1:25">
      <c r="A243" s="15" t="s">
        <v>283</v>
      </c>
      <c r="B243" s="15" t="s">
        <v>467</v>
      </c>
      <c r="C243" s="15" t="s">
        <v>283</v>
      </c>
      <c r="D243" s="15" t="s">
        <v>283</v>
      </c>
      <c r="E243" s="16">
        <v>60101</v>
      </c>
      <c r="F243" s="16">
        <v>200655</v>
      </c>
      <c r="G243" s="16">
        <v>205375</v>
      </c>
      <c r="H243" s="16">
        <v>208156</v>
      </c>
      <c r="I243" s="16">
        <v>233187</v>
      </c>
      <c r="J243" s="16">
        <v>235968</v>
      </c>
      <c r="K243" s="16">
        <v>238749</v>
      </c>
      <c r="L243" s="16">
        <v>10</v>
      </c>
      <c r="M243" s="16">
        <v>10</v>
      </c>
      <c r="N243" s="16">
        <v>15</v>
      </c>
      <c r="O243" s="16">
        <v>48</v>
      </c>
      <c r="P243" s="16">
        <v>68</v>
      </c>
      <c r="Q243" s="16">
        <v>65</v>
      </c>
      <c r="R243" s="18">
        <f t="shared" si="24"/>
        <v>49.836784530662079</v>
      </c>
      <c r="S243" s="18">
        <f t="shared" si="25"/>
        <v>48.691418137553256</v>
      </c>
      <c r="T243" s="18">
        <f t="shared" si="26"/>
        <v>72.061338611426052</v>
      </c>
      <c r="U243" s="18">
        <f t="shared" si="27"/>
        <v>56.863180426547125</v>
      </c>
      <c r="V243" s="18">
        <f t="shared" si="28"/>
        <v>205.84337891906495</v>
      </c>
      <c r="W243" s="18">
        <f t="shared" si="29"/>
        <v>288.17466775155953</v>
      </c>
      <c r="X243" s="18">
        <f t="shared" si="30"/>
        <v>272.25244922491822</v>
      </c>
      <c r="Y243" s="18">
        <f t="shared" si="31"/>
        <v>255.42349863184756</v>
      </c>
    </row>
    <row r="244" spans="1:25">
      <c r="A244" s="15" t="s">
        <v>283</v>
      </c>
      <c r="B244" s="15" t="s">
        <v>524</v>
      </c>
      <c r="C244" s="15" t="s">
        <v>282</v>
      </c>
      <c r="D244" s="15" t="s">
        <v>282</v>
      </c>
      <c r="E244" s="16">
        <v>60201</v>
      </c>
      <c r="F244" s="16">
        <v>18734</v>
      </c>
      <c r="G244" s="16">
        <v>18681</v>
      </c>
      <c r="H244" s="16">
        <v>18609</v>
      </c>
      <c r="I244" s="16">
        <v>17961</v>
      </c>
      <c r="J244" s="16">
        <v>17889</v>
      </c>
      <c r="K244" s="16">
        <v>17817</v>
      </c>
      <c r="L244" s="16">
        <v>0</v>
      </c>
      <c r="M244" s="16">
        <v>0</v>
      </c>
      <c r="N244" s="16">
        <v>0</v>
      </c>
      <c r="O244" s="16">
        <v>1</v>
      </c>
      <c r="P244" s="16">
        <v>1</v>
      </c>
      <c r="Q244" s="16">
        <v>0</v>
      </c>
      <c r="R244" s="18">
        <f t="shared" si="24"/>
        <v>0</v>
      </c>
      <c r="S244" s="18">
        <f t="shared" si="25"/>
        <v>0</v>
      </c>
      <c r="T244" s="18">
        <f t="shared" si="26"/>
        <v>0</v>
      </c>
      <c r="U244" s="18">
        <f t="shared" si="27"/>
        <v>0</v>
      </c>
      <c r="V244" s="18">
        <f t="shared" si="28"/>
        <v>55.67618729469406</v>
      </c>
      <c r="W244" s="18">
        <f t="shared" si="29"/>
        <v>55.900273911342168</v>
      </c>
      <c r="X244" s="18">
        <f t="shared" si="30"/>
        <v>0</v>
      </c>
      <c r="Y244" s="18">
        <f t="shared" si="31"/>
        <v>37.192153735345407</v>
      </c>
    </row>
    <row r="245" spans="1:25">
      <c r="A245" s="15" t="s">
        <v>283</v>
      </c>
      <c r="B245" s="15" t="s">
        <v>524</v>
      </c>
      <c r="C245" s="15" t="s">
        <v>279</v>
      </c>
      <c r="D245" s="15" t="s">
        <v>279</v>
      </c>
      <c r="E245" s="16">
        <v>60202</v>
      </c>
      <c r="F245" s="16">
        <v>34396</v>
      </c>
      <c r="G245" s="16">
        <v>34505</v>
      </c>
      <c r="H245" s="16">
        <v>34710</v>
      </c>
      <c r="I245" s="16">
        <v>36559</v>
      </c>
      <c r="J245" s="16">
        <v>36765</v>
      </c>
      <c r="K245" s="16">
        <v>36970</v>
      </c>
      <c r="L245" s="16">
        <v>8</v>
      </c>
      <c r="M245" s="16">
        <v>2</v>
      </c>
      <c r="N245" s="16">
        <v>2</v>
      </c>
      <c r="O245" s="16">
        <v>6</v>
      </c>
      <c r="P245" s="16">
        <v>9</v>
      </c>
      <c r="Q245" s="16">
        <v>6</v>
      </c>
      <c r="R245" s="18">
        <f t="shared" si="24"/>
        <v>232.58518432375857</v>
      </c>
      <c r="S245" s="18">
        <f t="shared" si="25"/>
        <v>57.962614113896535</v>
      </c>
      <c r="T245" s="18">
        <f t="shared" si="26"/>
        <v>57.620282339383458</v>
      </c>
      <c r="U245" s="18">
        <f t="shared" si="27"/>
        <v>116.05602692567952</v>
      </c>
      <c r="V245" s="18">
        <f t="shared" si="28"/>
        <v>164.11827456987336</v>
      </c>
      <c r="W245" s="18">
        <f t="shared" si="29"/>
        <v>244.79804161566707</v>
      </c>
      <c r="X245" s="18">
        <f t="shared" si="30"/>
        <v>162.2937516905599</v>
      </c>
      <c r="Y245" s="18">
        <f t="shared" si="31"/>
        <v>190.4033559587001</v>
      </c>
    </row>
    <row r="246" spans="1:25">
      <c r="A246" s="15" t="s">
        <v>283</v>
      </c>
      <c r="B246" s="15" t="s">
        <v>525</v>
      </c>
      <c r="C246" s="15" t="s">
        <v>287</v>
      </c>
      <c r="D246" s="15" t="s">
        <v>287</v>
      </c>
      <c r="E246" s="16">
        <v>60301</v>
      </c>
      <c r="F246" s="16">
        <v>91452</v>
      </c>
      <c r="G246" s="16">
        <v>92245</v>
      </c>
      <c r="H246" s="16">
        <v>92694</v>
      </c>
      <c r="I246" s="16">
        <v>96736</v>
      </c>
      <c r="J246" s="16">
        <v>97185</v>
      </c>
      <c r="K246" s="16">
        <v>97634</v>
      </c>
      <c r="L246" s="16">
        <v>2</v>
      </c>
      <c r="M246" s="16">
        <v>22</v>
      </c>
      <c r="N246" s="16">
        <v>10</v>
      </c>
      <c r="O246" s="16">
        <v>26</v>
      </c>
      <c r="P246" s="16">
        <v>17</v>
      </c>
      <c r="Q246" s="16">
        <v>21</v>
      </c>
      <c r="R246" s="18">
        <f t="shared" si="24"/>
        <v>21.869395967283381</v>
      </c>
      <c r="S246" s="18">
        <f t="shared" si="25"/>
        <v>238.49531139899182</v>
      </c>
      <c r="T246" s="18">
        <f t="shared" si="26"/>
        <v>107.88184780028912</v>
      </c>
      <c r="U246" s="18">
        <f t="shared" si="27"/>
        <v>122.74885172218809</v>
      </c>
      <c r="V246" s="18">
        <f t="shared" si="28"/>
        <v>268.77274230896461</v>
      </c>
      <c r="W246" s="18">
        <f t="shared" si="29"/>
        <v>174.92411380357052</v>
      </c>
      <c r="X246" s="18">
        <f t="shared" si="30"/>
        <v>215.08900587909949</v>
      </c>
      <c r="Y246" s="18">
        <f t="shared" si="31"/>
        <v>219.59528733054489</v>
      </c>
    </row>
    <row r="247" spans="1:25">
      <c r="A247" s="15" t="s">
        <v>283</v>
      </c>
      <c r="B247" s="15" t="s">
        <v>525</v>
      </c>
      <c r="C247" s="15" t="s">
        <v>331</v>
      </c>
      <c r="D247" s="15" t="s">
        <v>331</v>
      </c>
      <c r="E247" s="16">
        <v>60302</v>
      </c>
      <c r="F247" s="16">
        <v>14790</v>
      </c>
      <c r="G247" s="16">
        <v>15366</v>
      </c>
      <c r="H247" s="16">
        <v>15382</v>
      </c>
      <c r="I247" s="16">
        <v>15527</v>
      </c>
      <c r="J247" s="16">
        <v>15543</v>
      </c>
      <c r="K247" s="16">
        <v>15559</v>
      </c>
      <c r="L247" s="16">
        <v>0</v>
      </c>
      <c r="M247" s="16">
        <v>0</v>
      </c>
      <c r="N247" s="16">
        <v>0</v>
      </c>
      <c r="O247" s="16">
        <v>1</v>
      </c>
      <c r="P247" s="16">
        <v>0</v>
      </c>
      <c r="Q247" s="16">
        <v>1</v>
      </c>
      <c r="R247" s="18">
        <f t="shared" si="24"/>
        <v>0</v>
      </c>
      <c r="S247" s="18">
        <f t="shared" si="25"/>
        <v>0</v>
      </c>
      <c r="T247" s="18">
        <f t="shared" si="26"/>
        <v>0</v>
      </c>
      <c r="U247" s="18">
        <f t="shared" si="27"/>
        <v>0</v>
      </c>
      <c r="V247" s="18">
        <f t="shared" si="28"/>
        <v>64.4039415212211</v>
      </c>
      <c r="W247" s="18">
        <f t="shared" si="29"/>
        <v>0</v>
      </c>
      <c r="X247" s="18">
        <f t="shared" si="30"/>
        <v>64.271482743106873</v>
      </c>
      <c r="Y247" s="18">
        <f t="shared" si="31"/>
        <v>42.891808088109322</v>
      </c>
    </row>
    <row r="248" spans="1:25">
      <c r="A248" s="15" t="s">
        <v>283</v>
      </c>
      <c r="B248" s="15" t="s">
        <v>525</v>
      </c>
      <c r="C248" s="15" t="s">
        <v>318</v>
      </c>
      <c r="D248" s="15" t="s">
        <v>318</v>
      </c>
      <c r="E248" s="16">
        <v>60303</v>
      </c>
      <c r="F248" s="16">
        <v>38403</v>
      </c>
      <c r="G248" s="16">
        <v>39867</v>
      </c>
      <c r="H248" s="16">
        <v>40384</v>
      </c>
      <c r="I248" s="16">
        <v>45037</v>
      </c>
      <c r="J248" s="16">
        <v>45554</v>
      </c>
      <c r="K248" s="16">
        <v>46071</v>
      </c>
      <c r="L248" s="16">
        <v>5</v>
      </c>
      <c r="M248" s="16">
        <v>3</v>
      </c>
      <c r="N248" s="16">
        <v>3</v>
      </c>
      <c r="O248" s="16">
        <v>8</v>
      </c>
      <c r="P248" s="16">
        <v>10</v>
      </c>
      <c r="Q248" s="16">
        <v>5</v>
      </c>
      <c r="R248" s="18">
        <f t="shared" si="24"/>
        <v>130.19816160195819</v>
      </c>
      <c r="S248" s="18">
        <f t="shared" si="25"/>
        <v>75.250206938069084</v>
      </c>
      <c r="T248" s="18">
        <f t="shared" si="26"/>
        <v>74.286846275752779</v>
      </c>
      <c r="U248" s="18">
        <f t="shared" si="27"/>
        <v>93.245071605260023</v>
      </c>
      <c r="V248" s="18">
        <f t="shared" si="28"/>
        <v>177.63172502608967</v>
      </c>
      <c r="W248" s="18">
        <f t="shared" si="29"/>
        <v>219.51969091627521</v>
      </c>
      <c r="X248" s="18">
        <f t="shared" si="30"/>
        <v>108.52814134705129</v>
      </c>
      <c r="Y248" s="18">
        <f t="shared" si="31"/>
        <v>168.5598524298054</v>
      </c>
    </row>
    <row r="249" spans="1:25">
      <c r="A249" s="15" t="s">
        <v>283</v>
      </c>
      <c r="B249" s="15" t="s">
        <v>526</v>
      </c>
      <c r="C249" s="15" t="s">
        <v>328</v>
      </c>
      <c r="D249" s="15" t="s">
        <v>242</v>
      </c>
      <c r="E249" s="16">
        <v>60401</v>
      </c>
      <c r="F249" s="16">
        <v>14558</v>
      </c>
      <c r="G249" s="16">
        <v>14781</v>
      </c>
      <c r="H249" s="16">
        <v>14876</v>
      </c>
      <c r="I249" s="16">
        <v>15733</v>
      </c>
      <c r="J249" s="16">
        <v>15828</v>
      </c>
      <c r="K249" s="16">
        <v>15923</v>
      </c>
      <c r="L249" s="16">
        <v>0</v>
      </c>
      <c r="M249" s="16">
        <v>1</v>
      </c>
      <c r="N249" s="16">
        <v>0</v>
      </c>
      <c r="O249" s="16">
        <v>0</v>
      </c>
      <c r="P249" s="16">
        <v>0</v>
      </c>
      <c r="Q249" s="16">
        <v>1</v>
      </c>
      <c r="R249" s="18">
        <f t="shared" si="24"/>
        <v>0</v>
      </c>
      <c r="S249" s="18">
        <f t="shared" si="25"/>
        <v>67.654421216426499</v>
      </c>
      <c r="T249" s="18">
        <f t="shared" si="26"/>
        <v>0</v>
      </c>
      <c r="U249" s="18">
        <f t="shared" si="27"/>
        <v>22.551473738808834</v>
      </c>
      <c r="V249" s="18">
        <f t="shared" si="28"/>
        <v>0</v>
      </c>
      <c r="W249" s="18">
        <f t="shared" si="29"/>
        <v>0</v>
      </c>
      <c r="X249" s="18">
        <f t="shared" si="30"/>
        <v>62.802235759593039</v>
      </c>
      <c r="Y249" s="18">
        <f t="shared" si="31"/>
        <v>20.934078586531012</v>
      </c>
    </row>
    <row r="250" spans="1:25">
      <c r="A250" s="15" t="s">
        <v>283</v>
      </c>
      <c r="B250" s="15" t="s">
        <v>526</v>
      </c>
      <c r="C250" s="15" t="s">
        <v>330</v>
      </c>
      <c r="D250" s="15" t="s">
        <v>330</v>
      </c>
      <c r="E250" s="16">
        <v>60402</v>
      </c>
      <c r="F250" s="16">
        <v>5461</v>
      </c>
      <c r="G250" s="16">
        <v>5490</v>
      </c>
      <c r="H250" s="16">
        <v>5429</v>
      </c>
      <c r="I250" s="16">
        <v>4877</v>
      </c>
      <c r="J250" s="16">
        <v>4815</v>
      </c>
      <c r="K250" s="16">
        <v>4754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8">
        <f t="shared" si="24"/>
        <v>0</v>
      </c>
      <c r="S250" s="18">
        <f t="shared" si="25"/>
        <v>0</v>
      </c>
      <c r="T250" s="18">
        <f t="shared" si="26"/>
        <v>0</v>
      </c>
      <c r="U250" s="18">
        <f t="shared" si="27"/>
        <v>0</v>
      </c>
      <c r="V250" s="18">
        <f t="shared" si="28"/>
        <v>0</v>
      </c>
      <c r="W250" s="18">
        <f t="shared" si="29"/>
        <v>0</v>
      </c>
      <c r="X250" s="18">
        <f t="shared" si="30"/>
        <v>0</v>
      </c>
      <c r="Y250" s="18">
        <f t="shared" si="31"/>
        <v>0</v>
      </c>
    </row>
    <row r="251" spans="1:25">
      <c r="A251" s="15" t="s">
        <v>283</v>
      </c>
      <c r="B251" s="15" t="s">
        <v>527</v>
      </c>
      <c r="C251" s="15" t="s">
        <v>195</v>
      </c>
      <c r="D251" s="15" t="s">
        <v>285</v>
      </c>
      <c r="E251" s="16">
        <v>60501</v>
      </c>
      <c r="F251" s="16">
        <v>23637</v>
      </c>
      <c r="G251" s="16">
        <v>23863</v>
      </c>
      <c r="H251" s="16">
        <v>24403</v>
      </c>
      <c r="I251" s="16">
        <v>29266</v>
      </c>
      <c r="J251" s="16">
        <v>29806</v>
      </c>
      <c r="K251" s="16">
        <v>30346</v>
      </c>
      <c r="L251" s="16">
        <v>1</v>
      </c>
      <c r="M251" s="16">
        <v>0</v>
      </c>
      <c r="N251" s="16">
        <v>0</v>
      </c>
      <c r="O251" s="16">
        <v>2</v>
      </c>
      <c r="P251" s="16">
        <v>0</v>
      </c>
      <c r="Q251" s="16">
        <v>1</v>
      </c>
      <c r="R251" s="18">
        <f t="shared" si="24"/>
        <v>42.30655328510386</v>
      </c>
      <c r="S251" s="18">
        <f t="shared" si="25"/>
        <v>0</v>
      </c>
      <c r="T251" s="18">
        <f t="shared" si="26"/>
        <v>0</v>
      </c>
      <c r="U251" s="18">
        <f t="shared" si="27"/>
        <v>14.102184428367954</v>
      </c>
      <c r="V251" s="18">
        <f t="shared" si="28"/>
        <v>68.338686530444889</v>
      </c>
      <c r="W251" s="18">
        <f t="shared" si="29"/>
        <v>0</v>
      </c>
      <c r="X251" s="18">
        <f t="shared" si="30"/>
        <v>32.95327225993541</v>
      </c>
      <c r="Y251" s="18">
        <f t="shared" si="31"/>
        <v>33.763986263460104</v>
      </c>
    </row>
    <row r="252" spans="1:25">
      <c r="A252" s="15" t="s">
        <v>283</v>
      </c>
      <c r="B252" s="15" t="s">
        <v>527</v>
      </c>
      <c r="C252" s="15" t="s">
        <v>245</v>
      </c>
      <c r="D252" s="15" t="s">
        <v>245</v>
      </c>
      <c r="E252" s="16">
        <v>60502</v>
      </c>
      <c r="F252" s="16">
        <v>11291</v>
      </c>
      <c r="G252" s="16">
        <v>11354</v>
      </c>
      <c r="H252" s="16">
        <v>11201</v>
      </c>
      <c r="I252" s="16">
        <v>9828</v>
      </c>
      <c r="J252" s="16">
        <v>9676</v>
      </c>
      <c r="K252" s="16">
        <v>9523</v>
      </c>
      <c r="L252" s="16">
        <v>1</v>
      </c>
      <c r="M252" s="16">
        <v>0</v>
      </c>
      <c r="N252" s="16">
        <v>0</v>
      </c>
      <c r="O252" s="16">
        <v>1</v>
      </c>
      <c r="P252" s="16">
        <v>0</v>
      </c>
      <c r="Q252" s="16">
        <v>0</v>
      </c>
      <c r="R252" s="18">
        <f t="shared" si="24"/>
        <v>88.566114604552297</v>
      </c>
      <c r="S252" s="18">
        <f t="shared" si="25"/>
        <v>0</v>
      </c>
      <c r="T252" s="18">
        <f t="shared" si="26"/>
        <v>0</v>
      </c>
      <c r="U252" s="18">
        <f t="shared" si="27"/>
        <v>29.522038201517432</v>
      </c>
      <c r="V252" s="18">
        <f t="shared" si="28"/>
        <v>101.75010175010175</v>
      </c>
      <c r="W252" s="18">
        <f t="shared" si="29"/>
        <v>0</v>
      </c>
      <c r="X252" s="18">
        <f t="shared" si="30"/>
        <v>0</v>
      </c>
      <c r="Y252" s="18">
        <f t="shared" si="31"/>
        <v>33.916700583367252</v>
      </c>
    </row>
    <row r="253" spans="1:25">
      <c r="A253" s="15" t="s">
        <v>283</v>
      </c>
      <c r="B253" s="15" t="s">
        <v>528</v>
      </c>
      <c r="C253" s="15" t="s">
        <v>281</v>
      </c>
      <c r="D253" s="15" t="s">
        <v>281</v>
      </c>
      <c r="E253" s="16">
        <v>60601</v>
      </c>
      <c r="F253" s="16">
        <v>21750</v>
      </c>
      <c r="G253" s="16">
        <v>21991</v>
      </c>
      <c r="H253" s="16">
        <v>21897</v>
      </c>
      <c r="I253" s="16">
        <v>21052</v>
      </c>
      <c r="J253" s="16">
        <v>20958</v>
      </c>
      <c r="K253" s="16">
        <v>20864</v>
      </c>
      <c r="L253" s="16">
        <v>0</v>
      </c>
      <c r="M253" s="16">
        <v>1</v>
      </c>
      <c r="N253" s="16">
        <v>0</v>
      </c>
      <c r="O253" s="16">
        <v>4</v>
      </c>
      <c r="P253" s="16">
        <v>2</v>
      </c>
      <c r="Q253" s="16">
        <v>1</v>
      </c>
      <c r="R253" s="18">
        <f t="shared" si="24"/>
        <v>0</v>
      </c>
      <c r="S253" s="18">
        <f t="shared" si="25"/>
        <v>45.473148106043382</v>
      </c>
      <c r="T253" s="18">
        <f t="shared" si="26"/>
        <v>0</v>
      </c>
      <c r="U253" s="18">
        <f t="shared" si="27"/>
        <v>15.157716035347795</v>
      </c>
      <c r="V253" s="18">
        <f t="shared" si="28"/>
        <v>190.00570017100515</v>
      </c>
      <c r="W253" s="18">
        <f t="shared" si="29"/>
        <v>95.42895314438401</v>
      </c>
      <c r="X253" s="18">
        <f t="shared" si="30"/>
        <v>47.929447852760738</v>
      </c>
      <c r="Y253" s="18">
        <f t="shared" si="31"/>
        <v>111.12136705604996</v>
      </c>
    </row>
    <row r="254" spans="1:25">
      <c r="A254" s="15" t="s">
        <v>295</v>
      </c>
      <c r="B254" s="15" t="s">
        <v>529</v>
      </c>
      <c r="C254" s="15" t="s">
        <v>272</v>
      </c>
      <c r="D254" s="15" t="s">
        <v>272</v>
      </c>
      <c r="E254" s="16">
        <v>70101</v>
      </c>
      <c r="F254" s="16">
        <v>1416003</v>
      </c>
      <c r="G254" s="16">
        <v>1444425</v>
      </c>
      <c r="H254" s="16">
        <v>1458305</v>
      </c>
      <c r="I254" s="16">
        <v>1583223</v>
      </c>
      <c r="J254" s="16">
        <v>1597102</v>
      </c>
      <c r="K254" s="16">
        <v>1610982</v>
      </c>
      <c r="L254" s="16">
        <v>526</v>
      </c>
      <c r="M254" s="16">
        <v>355</v>
      </c>
      <c r="N254" s="16">
        <v>494</v>
      </c>
      <c r="O254" s="16">
        <v>913</v>
      </c>
      <c r="P254" s="16">
        <v>1034</v>
      </c>
      <c r="Q254" s="16">
        <v>907</v>
      </c>
      <c r="R254" s="18">
        <f t="shared" si="24"/>
        <v>371.46813954490204</v>
      </c>
      <c r="S254" s="18">
        <f t="shared" si="25"/>
        <v>245.77253924572062</v>
      </c>
      <c r="T254" s="18">
        <f t="shared" si="26"/>
        <v>338.74943856052056</v>
      </c>
      <c r="U254" s="18">
        <f t="shared" si="27"/>
        <v>318.66337245038108</v>
      </c>
      <c r="V254" s="18">
        <f t="shared" si="28"/>
        <v>576.67176386396602</v>
      </c>
      <c r="W254" s="18">
        <f t="shared" si="29"/>
        <v>647.42264426442398</v>
      </c>
      <c r="X254" s="18">
        <f t="shared" si="30"/>
        <v>563.0106357488786</v>
      </c>
      <c r="Y254" s="18">
        <f t="shared" si="31"/>
        <v>595.7016812924229</v>
      </c>
    </row>
    <row r="255" spans="1:25">
      <c r="A255" s="15" t="s">
        <v>295</v>
      </c>
      <c r="B255" s="15" t="s">
        <v>529</v>
      </c>
      <c r="C255" s="15" t="s">
        <v>243</v>
      </c>
      <c r="D255" s="15" t="s">
        <v>243</v>
      </c>
      <c r="E255" s="16">
        <v>70102</v>
      </c>
      <c r="F255" s="16">
        <v>53887</v>
      </c>
      <c r="G255" s="16">
        <v>55633</v>
      </c>
      <c r="H255" s="16">
        <v>59881</v>
      </c>
      <c r="I255" s="16">
        <v>98108</v>
      </c>
      <c r="J255" s="16">
        <v>102356</v>
      </c>
      <c r="K255" s="16">
        <v>106603</v>
      </c>
      <c r="L255" s="16">
        <v>1</v>
      </c>
      <c r="M255" s="16">
        <v>4</v>
      </c>
      <c r="N255" s="16">
        <v>6</v>
      </c>
      <c r="O255" s="16">
        <v>26</v>
      </c>
      <c r="P255" s="16">
        <v>34</v>
      </c>
      <c r="Q255" s="16">
        <v>30</v>
      </c>
      <c r="R255" s="18">
        <f t="shared" si="24"/>
        <v>18.557351494794663</v>
      </c>
      <c r="S255" s="18">
        <f t="shared" si="25"/>
        <v>71.899771718224784</v>
      </c>
      <c r="T255" s="18">
        <f t="shared" si="26"/>
        <v>100.19872747616105</v>
      </c>
      <c r="U255" s="18">
        <f t="shared" si="27"/>
        <v>63.551950229726835</v>
      </c>
      <c r="V255" s="18">
        <f t="shared" si="28"/>
        <v>265.01406613120236</v>
      </c>
      <c r="W255" s="18">
        <f t="shared" si="29"/>
        <v>332.17398100746414</v>
      </c>
      <c r="X255" s="18">
        <f t="shared" si="30"/>
        <v>281.41797135165052</v>
      </c>
      <c r="Y255" s="18">
        <f t="shared" si="31"/>
        <v>292.86867283010565</v>
      </c>
    </row>
    <row r="256" spans="1:25">
      <c r="A256" s="15" t="s">
        <v>295</v>
      </c>
      <c r="B256" s="15" t="s">
        <v>529</v>
      </c>
      <c r="C256" s="15" t="s">
        <v>320</v>
      </c>
      <c r="D256" s="15" t="s">
        <v>530</v>
      </c>
      <c r="E256" s="16">
        <v>70103</v>
      </c>
      <c r="F256" s="16">
        <v>14932</v>
      </c>
      <c r="G256" s="16">
        <v>15317</v>
      </c>
      <c r="H256" s="16">
        <v>15968</v>
      </c>
      <c r="I256" s="16">
        <v>21825</v>
      </c>
      <c r="J256" s="16">
        <v>22475</v>
      </c>
      <c r="K256" s="16">
        <v>23126</v>
      </c>
      <c r="L256" s="16">
        <v>0</v>
      </c>
      <c r="M256" s="16">
        <v>0</v>
      </c>
      <c r="N256" s="16">
        <v>0</v>
      </c>
      <c r="O256" s="16">
        <v>2</v>
      </c>
      <c r="P256" s="16">
        <v>4</v>
      </c>
      <c r="Q256" s="16">
        <v>0</v>
      </c>
      <c r="R256" s="18">
        <f t="shared" si="24"/>
        <v>0</v>
      </c>
      <c r="S256" s="18">
        <f t="shared" si="25"/>
        <v>0</v>
      </c>
      <c r="T256" s="18">
        <f t="shared" si="26"/>
        <v>0</v>
      </c>
      <c r="U256" s="18">
        <f t="shared" si="27"/>
        <v>0</v>
      </c>
      <c r="V256" s="18">
        <f t="shared" si="28"/>
        <v>91.638029782359681</v>
      </c>
      <c r="W256" s="18">
        <f t="shared" si="29"/>
        <v>177.97552836484985</v>
      </c>
      <c r="X256" s="18">
        <f t="shared" si="30"/>
        <v>0</v>
      </c>
      <c r="Y256" s="18">
        <f t="shared" si="31"/>
        <v>89.871186049069834</v>
      </c>
    </row>
    <row r="257" spans="1:25">
      <c r="A257" s="15" t="s">
        <v>295</v>
      </c>
      <c r="B257" s="15" t="s">
        <v>529</v>
      </c>
      <c r="C257" s="15" t="s">
        <v>248</v>
      </c>
      <c r="D257" s="15" t="s">
        <v>248</v>
      </c>
      <c r="E257" s="16">
        <v>70104</v>
      </c>
      <c r="F257" s="16">
        <v>84763</v>
      </c>
      <c r="G257" s="16">
        <v>89284</v>
      </c>
      <c r="H257" s="16">
        <v>94154</v>
      </c>
      <c r="I257" s="16">
        <v>137986</v>
      </c>
      <c r="J257" s="16">
        <v>142856</v>
      </c>
      <c r="K257" s="16">
        <v>147726</v>
      </c>
      <c r="L257" s="16">
        <v>2</v>
      </c>
      <c r="M257" s="16">
        <v>0</v>
      </c>
      <c r="N257" s="16">
        <v>6</v>
      </c>
      <c r="O257" s="16">
        <v>35</v>
      </c>
      <c r="P257" s="16">
        <v>32</v>
      </c>
      <c r="Q257" s="16">
        <v>37</v>
      </c>
      <c r="R257" s="18">
        <f t="shared" si="24"/>
        <v>23.595200736170263</v>
      </c>
      <c r="S257" s="18">
        <f t="shared" si="25"/>
        <v>0</v>
      </c>
      <c r="T257" s="18">
        <f t="shared" si="26"/>
        <v>63.725386069630602</v>
      </c>
      <c r="U257" s="18">
        <f t="shared" si="27"/>
        <v>29.106862268600292</v>
      </c>
      <c r="V257" s="18">
        <f t="shared" si="28"/>
        <v>253.64892090501931</v>
      </c>
      <c r="W257" s="18">
        <f t="shared" si="29"/>
        <v>224.00179201433613</v>
      </c>
      <c r="X257" s="18">
        <f t="shared" si="30"/>
        <v>250.4636963026143</v>
      </c>
      <c r="Y257" s="18">
        <f t="shared" si="31"/>
        <v>242.70480307398989</v>
      </c>
    </row>
    <row r="258" spans="1:25">
      <c r="A258" s="15" t="s">
        <v>295</v>
      </c>
      <c r="B258" s="15" t="s">
        <v>529</v>
      </c>
      <c r="C258" s="15" t="s">
        <v>246</v>
      </c>
      <c r="D258" s="15" t="s">
        <v>246</v>
      </c>
      <c r="E258" s="16">
        <v>70105</v>
      </c>
      <c r="F258" s="16">
        <v>48589</v>
      </c>
      <c r="G258" s="16">
        <v>49652</v>
      </c>
      <c r="H258" s="16">
        <v>50156</v>
      </c>
      <c r="I258" s="16">
        <v>54690</v>
      </c>
      <c r="J258" s="16">
        <v>55193</v>
      </c>
      <c r="K258" s="16">
        <v>55697</v>
      </c>
      <c r="L258" s="16">
        <v>4</v>
      </c>
      <c r="M258" s="16">
        <v>7</v>
      </c>
      <c r="N258" s="16">
        <v>7</v>
      </c>
      <c r="O258" s="16">
        <v>25</v>
      </c>
      <c r="P258" s="16">
        <v>18</v>
      </c>
      <c r="Q258" s="16">
        <v>13</v>
      </c>
      <c r="R258" s="18">
        <f t="shared" ref="R258:R321" si="32">(L258/F258)*1000000</f>
        <v>82.323159562864021</v>
      </c>
      <c r="S258" s="18">
        <f t="shared" ref="S258:S321" si="33">(M258/G258)*1000000</f>
        <v>140.98122935632</v>
      </c>
      <c r="T258" s="18">
        <f t="shared" ref="T258:T321" si="34">(N258/H258)*1000000</f>
        <v>139.56455857723901</v>
      </c>
      <c r="U258" s="18">
        <f t="shared" ref="U258:U321" si="35">AVERAGE(R258:T258)</f>
        <v>120.95631583214102</v>
      </c>
      <c r="V258" s="18">
        <f t="shared" ref="V258:V321" si="36">(O258/I258)*1000000</f>
        <v>457.12196013896511</v>
      </c>
      <c r="W258" s="18">
        <f t="shared" ref="W258:W321" si="37">(P258/J258)*1000000</f>
        <v>326.12831337307267</v>
      </c>
      <c r="X258" s="18">
        <f t="shared" ref="X258:X321" si="38">(Q258/K258)*1000000</f>
        <v>233.40574896313987</v>
      </c>
      <c r="Y258" s="18">
        <f t="shared" ref="Y258:Y321" si="39">AVERAGE(V258:X258)</f>
        <v>338.88534082505925</v>
      </c>
    </row>
    <row r="259" spans="1:25">
      <c r="A259" s="15" t="s">
        <v>295</v>
      </c>
      <c r="B259" s="15" t="s">
        <v>276</v>
      </c>
      <c r="C259" s="15" t="s">
        <v>276</v>
      </c>
      <c r="D259" s="15" t="s">
        <v>276</v>
      </c>
      <c r="E259" s="16">
        <v>70201</v>
      </c>
      <c r="F259" s="16">
        <v>91762</v>
      </c>
      <c r="G259" s="16">
        <v>96406</v>
      </c>
      <c r="H259" s="16">
        <v>100976</v>
      </c>
      <c r="I259" s="16">
        <v>142108</v>
      </c>
      <c r="J259" s="16">
        <v>146678</v>
      </c>
      <c r="K259" s="16">
        <v>151248</v>
      </c>
      <c r="L259" s="16">
        <v>11</v>
      </c>
      <c r="M259" s="16">
        <v>13</v>
      </c>
      <c r="N259" s="16">
        <v>27</v>
      </c>
      <c r="O259" s="16">
        <v>58</v>
      </c>
      <c r="P259" s="16">
        <v>69</v>
      </c>
      <c r="Q259" s="16">
        <v>50</v>
      </c>
      <c r="R259" s="18">
        <f t="shared" si="32"/>
        <v>119.87532965715656</v>
      </c>
      <c r="S259" s="18">
        <f t="shared" si="33"/>
        <v>134.8463788560878</v>
      </c>
      <c r="T259" s="18">
        <f t="shared" si="34"/>
        <v>267.39027095547459</v>
      </c>
      <c r="U259" s="18">
        <f t="shared" si="35"/>
        <v>174.03732648957296</v>
      </c>
      <c r="V259" s="18">
        <f t="shared" si="36"/>
        <v>408.1402876685338</v>
      </c>
      <c r="W259" s="18">
        <f t="shared" si="37"/>
        <v>470.41819495766237</v>
      </c>
      <c r="X259" s="18">
        <f t="shared" si="38"/>
        <v>330.58288374061146</v>
      </c>
      <c r="Y259" s="18">
        <f t="shared" si="39"/>
        <v>403.04712212226923</v>
      </c>
    </row>
    <row r="260" spans="1:25">
      <c r="A260" s="15" t="s">
        <v>295</v>
      </c>
      <c r="B260" s="15" t="s">
        <v>276</v>
      </c>
      <c r="C260" s="15" t="s">
        <v>253</v>
      </c>
      <c r="D260" s="15" t="s">
        <v>253</v>
      </c>
      <c r="E260" s="16">
        <v>70202</v>
      </c>
      <c r="F260" s="16">
        <v>12407</v>
      </c>
      <c r="G260" s="16">
        <v>12482</v>
      </c>
      <c r="H260" s="16">
        <v>12331</v>
      </c>
      <c r="I260" s="16">
        <v>10968</v>
      </c>
      <c r="J260" s="16">
        <v>10816</v>
      </c>
      <c r="K260" s="16">
        <v>10665</v>
      </c>
      <c r="L260" s="16">
        <v>1</v>
      </c>
      <c r="M260" s="16">
        <v>0</v>
      </c>
      <c r="N260" s="16">
        <v>0</v>
      </c>
      <c r="O260" s="16">
        <v>0</v>
      </c>
      <c r="P260" s="16">
        <v>3</v>
      </c>
      <c r="Q260" s="16">
        <v>2</v>
      </c>
      <c r="R260" s="18">
        <f t="shared" si="32"/>
        <v>80.599661481421776</v>
      </c>
      <c r="S260" s="18">
        <f t="shared" si="33"/>
        <v>0</v>
      </c>
      <c r="T260" s="18">
        <f t="shared" si="34"/>
        <v>0</v>
      </c>
      <c r="U260" s="18">
        <f t="shared" si="35"/>
        <v>26.866553827140592</v>
      </c>
      <c r="V260" s="18">
        <f t="shared" si="36"/>
        <v>0</v>
      </c>
      <c r="W260" s="18">
        <f t="shared" si="37"/>
        <v>277.36686390532543</v>
      </c>
      <c r="X260" s="18">
        <f t="shared" si="38"/>
        <v>187.52930145335208</v>
      </c>
      <c r="Y260" s="18">
        <f t="shared" si="39"/>
        <v>154.96538845289251</v>
      </c>
    </row>
    <row r="261" spans="1:25">
      <c r="A261" s="15" t="s">
        <v>295</v>
      </c>
      <c r="B261" s="15" t="s">
        <v>531</v>
      </c>
      <c r="C261" s="15" t="s">
        <v>266</v>
      </c>
      <c r="D261" s="15" t="s">
        <v>19</v>
      </c>
      <c r="E261" s="16">
        <v>70301</v>
      </c>
      <c r="F261" s="16">
        <v>51367</v>
      </c>
      <c r="G261" s="16">
        <v>52362</v>
      </c>
      <c r="H261" s="16">
        <v>53590</v>
      </c>
      <c r="I261" s="16">
        <v>64646</v>
      </c>
      <c r="J261" s="16">
        <v>65875</v>
      </c>
      <c r="K261" s="16">
        <v>67103</v>
      </c>
      <c r="L261" s="16">
        <v>9</v>
      </c>
      <c r="M261" s="16">
        <v>5</v>
      </c>
      <c r="N261" s="16">
        <v>0</v>
      </c>
      <c r="O261" s="16">
        <v>8</v>
      </c>
      <c r="P261" s="16">
        <v>10</v>
      </c>
      <c r="Q261" s="16">
        <v>10</v>
      </c>
      <c r="R261" s="18">
        <f t="shared" si="32"/>
        <v>175.20976502423736</v>
      </c>
      <c r="S261" s="18">
        <f t="shared" si="33"/>
        <v>95.489095145334403</v>
      </c>
      <c r="T261" s="18">
        <f t="shared" si="34"/>
        <v>0</v>
      </c>
      <c r="U261" s="18">
        <f t="shared" si="35"/>
        <v>90.232953389857244</v>
      </c>
      <c r="V261" s="18">
        <f t="shared" si="36"/>
        <v>123.75088945951801</v>
      </c>
      <c r="W261" s="18">
        <f t="shared" si="37"/>
        <v>151.80265654648957</v>
      </c>
      <c r="X261" s="18">
        <f t="shared" si="38"/>
        <v>149.0246337719625</v>
      </c>
      <c r="Y261" s="18">
        <f t="shared" si="39"/>
        <v>141.52605992599004</v>
      </c>
    </row>
    <row r="262" spans="1:25">
      <c r="A262" s="15" t="s">
        <v>295</v>
      </c>
      <c r="B262" s="15" t="s">
        <v>531</v>
      </c>
      <c r="C262" s="15" t="s">
        <v>270</v>
      </c>
      <c r="D262" s="15" t="s">
        <v>532</v>
      </c>
      <c r="E262" s="16">
        <v>70302</v>
      </c>
      <c r="F262" s="16">
        <v>11231</v>
      </c>
      <c r="G262" s="16">
        <v>11327</v>
      </c>
      <c r="H262" s="16">
        <v>11653</v>
      </c>
      <c r="I262" s="16">
        <v>14587</v>
      </c>
      <c r="J262" s="16">
        <v>14913</v>
      </c>
      <c r="K262" s="16">
        <v>15239</v>
      </c>
      <c r="L262" s="16">
        <v>0</v>
      </c>
      <c r="M262" s="16">
        <v>0</v>
      </c>
      <c r="N262" s="16">
        <v>0</v>
      </c>
      <c r="O262" s="16">
        <v>2</v>
      </c>
      <c r="P262" s="16">
        <v>0</v>
      </c>
      <c r="Q262" s="16">
        <v>0</v>
      </c>
      <c r="R262" s="18">
        <f t="shared" si="32"/>
        <v>0</v>
      </c>
      <c r="S262" s="18">
        <f t="shared" si="33"/>
        <v>0</v>
      </c>
      <c r="T262" s="18">
        <f t="shared" si="34"/>
        <v>0</v>
      </c>
      <c r="U262" s="18">
        <f t="shared" si="35"/>
        <v>0</v>
      </c>
      <c r="V262" s="18">
        <f t="shared" si="36"/>
        <v>137.10838417769247</v>
      </c>
      <c r="W262" s="18">
        <f t="shared" si="37"/>
        <v>0</v>
      </c>
      <c r="X262" s="18">
        <f t="shared" si="38"/>
        <v>0</v>
      </c>
      <c r="Y262" s="18">
        <f t="shared" si="39"/>
        <v>45.70279472589749</v>
      </c>
    </row>
    <row r="263" spans="1:25">
      <c r="A263" s="15" t="s">
        <v>295</v>
      </c>
      <c r="B263" s="15" t="s">
        <v>531</v>
      </c>
      <c r="C263" s="15" t="s">
        <v>271</v>
      </c>
      <c r="D263" s="15" t="s">
        <v>271</v>
      </c>
      <c r="E263" s="16">
        <v>70303</v>
      </c>
      <c r="F263" s="16">
        <v>6037</v>
      </c>
      <c r="G263" s="16">
        <v>6139</v>
      </c>
      <c r="H263" s="16">
        <v>6364</v>
      </c>
      <c r="I263" s="16">
        <v>8392</v>
      </c>
      <c r="J263" s="16">
        <v>8617</v>
      </c>
      <c r="K263" s="16">
        <v>8842</v>
      </c>
      <c r="L263" s="16">
        <v>0</v>
      </c>
      <c r="M263" s="16">
        <v>1</v>
      </c>
      <c r="N263" s="16">
        <v>0</v>
      </c>
      <c r="O263" s="16">
        <v>1</v>
      </c>
      <c r="P263" s="16">
        <v>0</v>
      </c>
      <c r="Q263" s="16">
        <v>1</v>
      </c>
      <c r="R263" s="18">
        <f t="shared" si="32"/>
        <v>0</v>
      </c>
      <c r="S263" s="18">
        <f t="shared" si="33"/>
        <v>162.89297931259162</v>
      </c>
      <c r="T263" s="18">
        <f t="shared" si="34"/>
        <v>0</v>
      </c>
      <c r="U263" s="18">
        <f t="shared" si="35"/>
        <v>54.297659770863874</v>
      </c>
      <c r="V263" s="18">
        <f t="shared" si="36"/>
        <v>119.16110581506196</v>
      </c>
      <c r="W263" s="18">
        <f t="shared" si="37"/>
        <v>0</v>
      </c>
      <c r="X263" s="18">
        <f t="shared" si="38"/>
        <v>113.0965844831486</v>
      </c>
      <c r="Y263" s="18">
        <f t="shared" si="39"/>
        <v>77.419230099403521</v>
      </c>
    </row>
    <row r="264" spans="1:25">
      <c r="A264" s="15" t="s">
        <v>295</v>
      </c>
      <c r="B264" s="15" t="s">
        <v>533</v>
      </c>
      <c r="C264" s="15" t="s">
        <v>236</v>
      </c>
      <c r="D264" s="15" t="s">
        <v>236</v>
      </c>
      <c r="E264" s="16">
        <v>70401</v>
      </c>
      <c r="F264" s="16">
        <v>12915</v>
      </c>
      <c r="G264" s="16">
        <v>12879</v>
      </c>
      <c r="H264" s="16">
        <v>12943</v>
      </c>
      <c r="I264" s="16">
        <v>13522</v>
      </c>
      <c r="J264" s="16">
        <v>13587</v>
      </c>
      <c r="K264" s="16">
        <v>13651</v>
      </c>
      <c r="L264" s="16">
        <v>3</v>
      </c>
      <c r="M264" s="16">
        <v>0</v>
      </c>
      <c r="N264" s="16">
        <v>0</v>
      </c>
      <c r="O264" s="16">
        <v>1</v>
      </c>
      <c r="P264" s="16">
        <v>2</v>
      </c>
      <c r="Q264" s="16">
        <v>1</v>
      </c>
      <c r="R264" s="18">
        <f t="shared" si="32"/>
        <v>232.28803716608596</v>
      </c>
      <c r="S264" s="18">
        <f t="shared" si="33"/>
        <v>0</v>
      </c>
      <c r="T264" s="18">
        <f t="shared" si="34"/>
        <v>0</v>
      </c>
      <c r="U264" s="18">
        <f t="shared" si="35"/>
        <v>77.429345722028657</v>
      </c>
      <c r="V264" s="18">
        <f t="shared" si="36"/>
        <v>73.953557166099685</v>
      </c>
      <c r="W264" s="18">
        <f t="shared" si="37"/>
        <v>147.1995289615073</v>
      </c>
      <c r="X264" s="18">
        <f t="shared" si="38"/>
        <v>73.254706614900002</v>
      </c>
      <c r="Y264" s="18">
        <f t="shared" si="39"/>
        <v>98.135930914168981</v>
      </c>
    </row>
    <row r="265" spans="1:25">
      <c r="A265" s="15" t="s">
        <v>295</v>
      </c>
      <c r="B265" s="15" t="s">
        <v>533</v>
      </c>
      <c r="C265" s="15" t="s">
        <v>265</v>
      </c>
      <c r="D265" s="15" t="s">
        <v>265</v>
      </c>
      <c r="E265" s="16">
        <v>70402</v>
      </c>
      <c r="F265" s="16">
        <v>19767</v>
      </c>
      <c r="G265" s="16">
        <v>20093</v>
      </c>
      <c r="H265" s="16">
        <v>19997</v>
      </c>
      <c r="I265" s="16">
        <v>19134</v>
      </c>
      <c r="J265" s="16">
        <v>19038</v>
      </c>
      <c r="K265" s="16">
        <v>18942</v>
      </c>
      <c r="L265" s="16">
        <v>5</v>
      </c>
      <c r="M265" s="16">
        <v>1</v>
      </c>
      <c r="N265" s="16">
        <v>1</v>
      </c>
      <c r="O265" s="16">
        <v>11</v>
      </c>
      <c r="P265" s="16">
        <v>10</v>
      </c>
      <c r="Q265" s="16">
        <v>3</v>
      </c>
      <c r="R265" s="18">
        <f t="shared" si="32"/>
        <v>252.94683057621288</v>
      </c>
      <c r="S265" s="18">
        <f t="shared" si="33"/>
        <v>49.768576121037178</v>
      </c>
      <c r="T265" s="18">
        <f t="shared" si="34"/>
        <v>50.00750112516878</v>
      </c>
      <c r="U265" s="18">
        <f t="shared" si="35"/>
        <v>117.57430260747294</v>
      </c>
      <c r="V265" s="18">
        <f t="shared" si="36"/>
        <v>574.89286087592768</v>
      </c>
      <c r="W265" s="18">
        <f t="shared" si="37"/>
        <v>525.26525895577265</v>
      </c>
      <c r="X265" s="18">
        <f t="shared" si="38"/>
        <v>158.37820715869498</v>
      </c>
      <c r="Y265" s="18">
        <f t="shared" si="39"/>
        <v>419.51210899679842</v>
      </c>
    </row>
    <row r="266" spans="1:25">
      <c r="A266" s="15" t="s">
        <v>295</v>
      </c>
      <c r="B266" s="15" t="s">
        <v>533</v>
      </c>
      <c r="C266" s="15" t="s">
        <v>277</v>
      </c>
      <c r="D266" s="15" t="s">
        <v>277</v>
      </c>
      <c r="E266" s="16">
        <v>70403</v>
      </c>
      <c r="F266" s="16">
        <v>48829</v>
      </c>
      <c r="G266" s="16">
        <v>50558</v>
      </c>
      <c r="H266" s="16">
        <v>51161</v>
      </c>
      <c r="I266" s="16">
        <v>56588</v>
      </c>
      <c r="J266" s="16">
        <v>57191</v>
      </c>
      <c r="K266" s="16">
        <v>57794</v>
      </c>
      <c r="L266" s="16">
        <v>6</v>
      </c>
      <c r="M266" s="16">
        <v>7</v>
      </c>
      <c r="N266" s="16">
        <v>8</v>
      </c>
      <c r="O266" s="16">
        <v>26</v>
      </c>
      <c r="P266" s="16">
        <v>25</v>
      </c>
      <c r="Q266" s="16">
        <v>24</v>
      </c>
      <c r="R266" s="18">
        <f t="shared" si="32"/>
        <v>122.87779802985931</v>
      </c>
      <c r="S266" s="18">
        <f t="shared" si="33"/>
        <v>138.45484394161161</v>
      </c>
      <c r="T266" s="18">
        <f t="shared" si="34"/>
        <v>156.36910928246127</v>
      </c>
      <c r="U266" s="18">
        <f t="shared" si="35"/>
        <v>139.23391708464408</v>
      </c>
      <c r="V266" s="18">
        <f t="shared" si="36"/>
        <v>459.46136990174591</v>
      </c>
      <c r="W266" s="18">
        <f t="shared" si="37"/>
        <v>437.13171652882443</v>
      </c>
      <c r="X266" s="18">
        <f t="shared" si="38"/>
        <v>415.26802090182372</v>
      </c>
      <c r="Y266" s="18">
        <f t="shared" si="39"/>
        <v>437.28703577746472</v>
      </c>
    </row>
    <row r="267" spans="1:25">
      <c r="A267" s="15" t="s">
        <v>295</v>
      </c>
      <c r="B267" s="15" t="s">
        <v>533</v>
      </c>
      <c r="C267" s="15" t="s">
        <v>313</v>
      </c>
      <c r="D267" s="15" t="s">
        <v>313</v>
      </c>
      <c r="E267" s="16">
        <v>70404</v>
      </c>
      <c r="F267" s="16">
        <v>9186</v>
      </c>
      <c r="G267" s="16">
        <v>9191</v>
      </c>
      <c r="H267" s="16">
        <v>9275</v>
      </c>
      <c r="I267" s="16">
        <v>10032</v>
      </c>
      <c r="J267" s="16">
        <v>10116</v>
      </c>
      <c r="K267" s="16">
        <v>10200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8">
        <f t="shared" si="32"/>
        <v>0</v>
      </c>
      <c r="S267" s="18">
        <f t="shared" si="33"/>
        <v>0</v>
      </c>
      <c r="T267" s="18">
        <f t="shared" si="34"/>
        <v>0</v>
      </c>
      <c r="U267" s="18">
        <f t="shared" si="35"/>
        <v>0</v>
      </c>
      <c r="V267" s="18">
        <f t="shared" si="36"/>
        <v>0</v>
      </c>
      <c r="W267" s="18">
        <f t="shared" si="37"/>
        <v>0</v>
      </c>
      <c r="X267" s="18">
        <f t="shared" si="38"/>
        <v>0</v>
      </c>
      <c r="Y267" s="18">
        <f t="shared" si="39"/>
        <v>0</v>
      </c>
    </row>
    <row r="268" spans="1:25">
      <c r="A268" s="15" t="s">
        <v>295</v>
      </c>
      <c r="B268" s="15" t="s">
        <v>534</v>
      </c>
      <c r="C268" s="15" t="s">
        <v>393</v>
      </c>
      <c r="D268" s="15" t="s">
        <v>535</v>
      </c>
      <c r="E268" s="16">
        <v>70501</v>
      </c>
      <c r="F268" s="16">
        <v>27802</v>
      </c>
      <c r="G268" s="16">
        <v>28922</v>
      </c>
      <c r="H268" s="16">
        <v>29926</v>
      </c>
      <c r="I268" s="16">
        <v>38965</v>
      </c>
      <c r="J268" s="16">
        <v>39970</v>
      </c>
      <c r="K268" s="16">
        <v>40974</v>
      </c>
      <c r="L268" s="16">
        <v>1</v>
      </c>
      <c r="M268" s="16">
        <v>0</v>
      </c>
      <c r="N268" s="16">
        <v>2</v>
      </c>
      <c r="O268" s="16">
        <v>4</v>
      </c>
      <c r="P268" s="16">
        <v>5</v>
      </c>
      <c r="Q268" s="16">
        <v>2</v>
      </c>
      <c r="R268" s="18">
        <f t="shared" si="32"/>
        <v>35.968635349974818</v>
      </c>
      <c r="S268" s="18">
        <f t="shared" si="33"/>
        <v>0</v>
      </c>
      <c r="T268" s="18">
        <f t="shared" si="34"/>
        <v>66.831517743767961</v>
      </c>
      <c r="U268" s="18">
        <f t="shared" si="35"/>
        <v>34.26671769791426</v>
      </c>
      <c r="V268" s="18">
        <f t="shared" si="36"/>
        <v>102.65622994995509</v>
      </c>
      <c r="W268" s="18">
        <f t="shared" si="37"/>
        <v>125.09382036527396</v>
      </c>
      <c r="X268" s="18">
        <f t="shared" si="38"/>
        <v>48.811441401864592</v>
      </c>
      <c r="Y268" s="18">
        <f t="shared" si="39"/>
        <v>92.187163905697886</v>
      </c>
    </row>
    <row r="269" spans="1:25">
      <c r="A269" s="15" t="s">
        <v>295</v>
      </c>
      <c r="B269" s="15" t="s">
        <v>534</v>
      </c>
      <c r="C269" s="15" t="s">
        <v>388</v>
      </c>
      <c r="D269" s="15" t="s">
        <v>388</v>
      </c>
      <c r="E269" s="16">
        <v>70502</v>
      </c>
      <c r="F269" s="16">
        <v>37016</v>
      </c>
      <c r="G269" s="16">
        <v>37866</v>
      </c>
      <c r="H269" s="16">
        <v>39252</v>
      </c>
      <c r="I269" s="16">
        <v>51724</v>
      </c>
      <c r="J269" s="16">
        <v>53109</v>
      </c>
      <c r="K269" s="16">
        <v>54495</v>
      </c>
      <c r="L269" s="16">
        <v>4</v>
      </c>
      <c r="M269" s="16">
        <v>4</v>
      </c>
      <c r="N269" s="16">
        <v>5</v>
      </c>
      <c r="O269" s="16">
        <v>5</v>
      </c>
      <c r="P269" s="16">
        <v>7</v>
      </c>
      <c r="Q269" s="16">
        <v>10</v>
      </c>
      <c r="R269" s="18">
        <f t="shared" si="32"/>
        <v>108.06137886319429</v>
      </c>
      <c r="S269" s="18">
        <f t="shared" si="33"/>
        <v>105.63566259969366</v>
      </c>
      <c r="T269" s="18">
        <f t="shared" si="34"/>
        <v>127.38204422704577</v>
      </c>
      <c r="U269" s="18">
        <f t="shared" si="35"/>
        <v>113.69302856331124</v>
      </c>
      <c r="V269" s="18">
        <f t="shared" si="36"/>
        <v>96.666924445131855</v>
      </c>
      <c r="W269" s="18">
        <f t="shared" si="37"/>
        <v>131.80440226703573</v>
      </c>
      <c r="X269" s="18">
        <f t="shared" si="38"/>
        <v>183.50307367648409</v>
      </c>
      <c r="Y269" s="18">
        <f t="shared" si="39"/>
        <v>137.32480012955057</v>
      </c>
    </row>
    <row r="270" spans="1:25">
      <c r="A270" s="15" t="s">
        <v>295</v>
      </c>
      <c r="B270" s="15" t="s">
        <v>534</v>
      </c>
      <c r="C270" s="15" t="s">
        <v>392</v>
      </c>
      <c r="D270" s="15" t="s">
        <v>392</v>
      </c>
      <c r="E270" s="16">
        <v>70503</v>
      </c>
      <c r="F270" s="16">
        <v>15605</v>
      </c>
      <c r="G270" s="16">
        <v>15641</v>
      </c>
      <c r="H270" s="16">
        <v>15901</v>
      </c>
      <c r="I270" s="16">
        <v>18243</v>
      </c>
      <c r="J270" s="16">
        <v>18503</v>
      </c>
      <c r="K270" s="16">
        <v>18763</v>
      </c>
      <c r="L270" s="16">
        <v>0</v>
      </c>
      <c r="M270" s="16">
        <v>0</v>
      </c>
      <c r="N270" s="16">
        <v>0</v>
      </c>
      <c r="O270" s="16">
        <v>3</v>
      </c>
      <c r="P270" s="16">
        <v>2</v>
      </c>
      <c r="Q270" s="16">
        <v>4</v>
      </c>
      <c r="R270" s="18">
        <f t="shared" si="32"/>
        <v>0</v>
      </c>
      <c r="S270" s="18">
        <f t="shared" si="33"/>
        <v>0</v>
      </c>
      <c r="T270" s="18">
        <f t="shared" si="34"/>
        <v>0</v>
      </c>
      <c r="U270" s="18">
        <f t="shared" si="35"/>
        <v>0</v>
      </c>
      <c r="V270" s="18">
        <f t="shared" si="36"/>
        <v>164.44663706627199</v>
      </c>
      <c r="W270" s="18">
        <f t="shared" si="37"/>
        <v>108.09057990596121</v>
      </c>
      <c r="X270" s="18">
        <f t="shared" si="38"/>
        <v>213.18552470287267</v>
      </c>
      <c r="Y270" s="18">
        <f t="shared" si="39"/>
        <v>161.90758055836861</v>
      </c>
    </row>
    <row r="271" spans="1:25">
      <c r="A271" s="15" t="s">
        <v>295</v>
      </c>
      <c r="B271" s="15" t="s">
        <v>536</v>
      </c>
      <c r="C271" s="15" t="s">
        <v>256</v>
      </c>
      <c r="D271" s="15" t="s">
        <v>256</v>
      </c>
      <c r="E271" s="16">
        <v>70601</v>
      </c>
      <c r="F271" s="16">
        <v>17751</v>
      </c>
      <c r="G271" s="16">
        <v>17885</v>
      </c>
      <c r="H271" s="16">
        <v>18123</v>
      </c>
      <c r="I271" s="16">
        <v>20267</v>
      </c>
      <c r="J271" s="16">
        <v>20505</v>
      </c>
      <c r="K271" s="16">
        <v>20743</v>
      </c>
      <c r="L271" s="16">
        <v>3</v>
      </c>
      <c r="M271" s="16">
        <v>3</v>
      </c>
      <c r="N271" s="16">
        <v>4</v>
      </c>
      <c r="O271" s="16">
        <v>9</v>
      </c>
      <c r="P271" s="16">
        <v>8</v>
      </c>
      <c r="Q271" s="16">
        <v>6</v>
      </c>
      <c r="R271" s="18">
        <f t="shared" si="32"/>
        <v>169.00456312320432</v>
      </c>
      <c r="S271" s="18">
        <f t="shared" si="33"/>
        <v>167.73832820799552</v>
      </c>
      <c r="T271" s="18">
        <f t="shared" si="34"/>
        <v>220.71400982177343</v>
      </c>
      <c r="U271" s="18">
        <f t="shared" si="35"/>
        <v>185.81896705099109</v>
      </c>
      <c r="V271" s="18">
        <f t="shared" si="36"/>
        <v>444.07164355849409</v>
      </c>
      <c r="W271" s="18">
        <f t="shared" si="37"/>
        <v>390.14874420872957</v>
      </c>
      <c r="X271" s="18">
        <f t="shared" si="38"/>
        <v>289.25420623824903</v>
      </c>
      <c r="Y271" s="18">
        <f t="shared" si="39"/>
        <v>374.49153133515756</v>
      </c>
    </row>
    <row r="272" spans="1:25">
      <c r="A272" s="15" t="s">
        <v>295</v>
      </c>
      <c r="B272" s="15" t="s">
        <v>536</v>
      </c>
      <c r="C272" s="15" t="s">
        <v>273</v>
      </c>
      <c r="D272" s="15" t="s">
        <v>24</v>
      </c>
      <c r="E272" s="16">
        <v>70602</v>
      </c>
      <c r="F272" s="16">
        <v>18838</v>
      </c>
      <c r="G272" s="16">
        <v>19217</v>
      </c>
      <c r="H272" s="16">
        <v>19116</v>
      </c>
      <c r="I272" s="16">
        <v>18202</v>
      </c>
      <c r="J272" s="16">
        <v>18101</v>
      </c>
      <c r="K272" s="16">
        <v>17999</v>
      </c>
      <c r="L272" s="16">
        <v>2</v>
      </c>
      <c r="M272" s="16">
        <v>1</v>
      </c>
      <c r="N272" s="16">
        <v>0</v>
      </c>
      <c r="O272" s="16">
        <v>0</v>
      </c>
      <c r="P272" s="16">
        <v>1</v>
      </c>
      <c r="Q272" s="16">
        <v>0</v>
      </c>
      <c r="R272" s="18">
        <f t="shared" si="32"/>
        <v>106.16838305552606</v>
      </c>
      <c r="S272" s="18">
        <f t="shared" si="33"/>
        <v>52.037258677212883</v>
      </c>
      <c r="T272" s="18">
        <f t="shared" si="34"/>
        <v>0</v>
      </c>
      <c r="U272" s="18">
        <f t="shared" si="35"/>
        <v>52.735213910912982</v>
      </c>
      <c r="V272" s="18">
        <f t="shared" si="36"/>
        <v>0</v>
      </c>
      <c r="W272" s="18">
        <f t="shared" si="37"/>
        <v>55.245566543284902</v>
      </c>
      <c r="X272" s="18">
        <f t="shared" si="38"/>
        <v>0</v>
      </c>
      <c r="Y272" s="18">
        <f t="shared" si="39"/>
        <v>18.415188847761634</v>
      </c>
    </row>
    <row r="273" spans="1:25">
      <c r="A273" s="15" t="s">
        <v>295</v>
      </c>
      <c r="B273" s="15" t="s">
        <v>536</v>
      </c>
      <c r="C273" s="15" t="s">
        <v>390</v>
      </c>
      <c r="D273" s="15" t="s">
        <v>390</v>
      </c>
      <c r="E273" s="16">
        <v>70603</v>
      </c>
      <c r="F273" s="16">
        <v>6088</v>
      </c>
      <c r="G273" s="16">
        <v>6069</v>
      </c>
      <c r="H273" s="16">
        <v>6064</v>
      </c>
      <c r="I273" s="16">
        <v>6017</v>
      </c>
      <c r="J273" s="16">
        <v>6012</v>
      </c>
      <c r="K273" s="16">
        <v>6007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8">
        <f t="shared" si="32"/>
        <v>0</v>
      </c>
      <c r="S273" s="18">
        <f t="shared" si="33"/>
        <v>0</v>
      </c>
      <c r="T273" s="18">
        <f t="shared" si="34"/>
        <v>0</v>
      </c>
      <c r="U273" s="18">
        <f t="shared" si="35"/>
        <v>0</v>
      </c>
      <c r="V273" s="18">
        <f t="shared" si="36"/>
        <v>0</v>
      </c>
      <c r="W273" s="18">
        <f t="shared" si="37"/>
        <v>0</v>
      </c>
      <c r="X273" s="18">
        <f t="shared" si="38"/>
        <v>0</v>
      </c>
      <c r="Y273" s="18">
        <f t="shared" si="39"/>
        <v>0</v>
      </c>
    </row>
    <row r="274" spans="1:25">
      <c r="A274" s="15" t="s">
        <v>295</v>
      </c>
      <c r="B274" s="15" t="s">
        <v>537</v>
      </c>
      <c r="C274" s="15" t="s">
        <v>249</v>
      </c>
      <c r="D274" s="15" t="s">
        <v>249</v>
      </c>
      <c r="E274" s="16">
        <v>70701</v>
      </c>
      <c r="F274" s="16">
        <v>5358</v>
      </c>
      <c r="G274" s="16">
        <v>5366</v>
      </c>
      <c r="H274" s="16">
        <v>5414</v>
      </c>
      <c r="I274" s="16">
        <v>5849</v>
      </c>
      <c r="J274" s="16">
        <v>5898</v>
      </c>
      <c r="K274" s="16">
        <v>5946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1</v>
      </c>
      <c r="R274" s="18">
        <f t="shared" si="32"/>
        <v>0</v>
      </c>
      <c r="S274" s="18">
        <f t="shared" si="33"/>
        <v>0</v>
      </c>
      <c r="T274" s="18">
        <f t="shared" si="34"/>
        <v>0</v>
      </c>
      <c r="U274" s="18">
        <f t="shared" si="35"/>
        <v>0</v>
      </c>
      <c r="V274" s="18">
        <f t="shared" si="36"/>
        <v>0</v>
      </c>
      <c r="W274" s="18">
        <f t="shared" si="37"/>
        <v>0</v>
      </c>
      <c r="X274" s="18">
        <f t="shared" si="38"/>
        <v>168.18028927009755</v>
      </c>
      <c r="Y274" s="18">
        <f t="shared" si="39"/>
        <v>56.060096423365849</v>
      </c>
    </row>
    <row r="275" spans="1:25">
      <c r="A275" s="15" t="s">
        <v>295</v>
      </c>
      <c r="B275" s="15" t="s">
        <v>537</v>
      </c>
      <c r="C275" s="15" t="s">
        <v>240</v>
      </c>
      <c r="D275" s="15" t="s">
        <v>240</v>
      </c>
      <c r="E275" s="16">
        <v>70702</v>
      </c>
      <c r="F275" s="16">
        <v>31481</v>
      </c>
      <c r="G275" s="16">
        <v>32186</v>
      </c>
      <c r="H275" s="16">
        <v>32706</v>
      </c>
      <c r="I275" s="16">
        <v>37381</v>
      </c>
      <c r="J275" s="16">
        <v>37901</v>
      </c>
      <c r="K275" s="16">
        <v>38420</v>
      </c>
      <c r="L275" s="16">
        <v>0</v>
      </c>
      <c r="M275" s="16">
        <v>0</v>
      </c>
      <c r="N275" s="16">
        <v>1</v>
      </c>
      <c r="O275" s="16">
        <v>3</v>
      </c>
      <c r="P275" s="16">
        <v>1</v>
      </c>
      <c r="Q275" s="16">
        <v>0</v>
      </c>
      <c r="R275" s="18">
        <f t="shared" si="32"/>
        <v>0</v>
      </c>
      <c r="S275" s="18">
        <f t="shared" si="33"/>
        <v>0</v>
      </c>
      <c r="T275" s="18">
        <f t="shared" si="34"/>
        <v>30.575429584785663</v>
      </c>
      <c r="U275" s="18">
        <f t="shared" si="35"/>
        <v>10.191809861595221</v>
      </c>
      <c r="V275" s="18">
        <f t="shared" si="36"/>
        <v>80.254674834809123</v>
      </c>
      <c r="W275" s="18">
        <f t="shared" si="37"/>
        <v>26.384528112714701</v>
      </c>
      <c r="X275" s="18">
        <f t="shared" si="38"/>
        <v>0</v>
      </c>
      <c r="Y275" s="18">
        <f t="shared" si="39"/>
        <v>35.54640098250794</v>
      </c>
    </row>
    <row r="276" spans="1:25">
      <c r="A276" s="15" t="s">
        <v>295</v>
      </c>
      <c r="B276" s="15" t="s">
        <v>537</v>
      </c>
      <c r="C276" s="15" t="s">
        <v>237</v>
      </c>
      <c r="D276" s="15" t="s">
        <v>237</v>
      </c>
      <c r="E276" s="16">
        <v>70703</v>
      </c>
      <c r="F276" s="16">
        <v>26058</v>
      </c>
      <c r="G276" s="16">
        <v>26434</v>
      </c>
      <c r="H276" s="16">
        <v>26978</v>
      </c>
      <c r="I276" s="16">
        <v>31873</v>
      </c>
      <c r="J276" s="16">
        <v>32417</v>
      </c>
      <c r="K276" s="16">
        <v>32961</v>
      </c>
      <c r="L276" s="16">
        <v>0</v>
      </c>
      <c r="M276" s="16">
        <v>0</v>
      </c>
      <c r="N276" s="16">
        <v>0</v>
      </c>
      <c r="O276" s="16">
        <v>1</v>
      </c>
      <c r="P276" s="16">
        <v>2</v>
      </c>
      <c r="Q276" s="16">
        <v>5</v>
      </c>
      <c r="R276" s="18">
        <f t="shared" si="32"/>
        <v>0</v>
      </c>
      <c r="S276" s="18">
        <f t="shared" si="33"/>
        <v>0</v>
      </c>
      <c r="T276" s="18">
        <f t="shared" si="34"/>
        <v>0</v>
      </c>
      <c r="U276" s="18">
        <f t="shared" si="35"/>
        <v>0</v>
      </c>
      <c r="V276" s="18">
        <f t="shared" si="36"/>
        <v>31.374517616791639</v>
      </c>
      <c r="W276" s="18">
        <f t="shared" si="37"/>
        <v>61.696023691273091</v>
      </c>
      <c r="X276" s="18">
        <f t="shared" si="38"/>
        <v>151.69442674676131</v>
      </c>
      <c r="Y276" s="18">
        <f t="shared" si="39"/>
        <v>81.588322684942014</v>
      </c>
    </row>
    <row r="277" spans="1:25">
      <c r="A277" s="15" t="s">
        <v>295</v>
      </c>
      <c r="B277" s="15" t="s">
        <v>537</v>
      </c>
      <c r="C277" s="15" t="s">
        <v>244</v>
      </c>
      <c r="D277" s="15" t="s">
        <v>244</v>
      </c>
      <c r="E277" s="16">
        <v>70704</v>
      </c>
      <c r="F277" s="16">
        <v>4902</v>
      </c>
      <c r="G277" s="16">
        <v>5052</v>
      </c>
      <c r="H277" s="16">
        <v>5076</v>
      </c>
      <c r="I277" s="16">
        <v>5288</v>
      </c>
      <c r="J277" s="16">
        <v>5311</v>
      </c>
      <c r="K277" s="16">
        <v>5335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1</v>
      </c>
      <c r="R277" s="18">
        <f t="shared" si="32"/>
        <v>0</v>
      </c>
      <c r="S277" s="18">
        <f t="shared" si="33"/>
        <v>0</v>
      </c>
      <c r="T277" s="18">
        <f t="shared" si="34"/>
        <v>0</v>
      </c>
      <c r="U277" s="18">
        <f t="shared" si="35"/>
        <v>0</v>
      </c>
      <c r="V277" s="18">
        <f t="shared" si="36"/>
        <v>0</v>
      </c>
      <c r="W277" s="18">
        <f t="shared" si="37"/>
        <v>0</v>
      </c>
      <c r="X277" s="18">
        <f t="shared" si="38"/>
        <v>187.44142455482663</v>
      </c>
      <c r="Y277" s="18">
        <f t="shared" si="39"/>
        <v>62.480474851608875</v>
      </c>
    </row>
    <row r="278" spans="1:25">
      <c r="A278" s="15" t="s">
        <v>295</v>
      </c>
      <c r="B278" s="15" t="s">
        <v>537</v>
      </c>
      <c r="C278" s="15" t="s">
        <v>538</v>
      </c>
      <c r="D278" s="15" t="s">
        <v>538</v>
      </c>
      <c r="E278" s="16">
        <v>70705</v>
      </c>
      <c r="F278" s="16">
        <v>12193</v>
      </c>
      <c r="G278" s="16">
        <v>12273</v>
      </c>
      <c r="H278" s="16">
        <v>12449</v>
      </c>
      <c r="I278" s="16">
        <v>14036</v>
      </c>
      <c r="J278" s="16">
        <v>14213</v>
      </c>
      <c r="K278" s="16">
        <v>14389</v>
      </c>
      <c r="L278" s="16">
        <v>1</v>
      </c>
      <c r="M278" s="16">
        <v>1</v>
      </c>
      <c r="N278" s="16">
        <v>0</v>
      </c>
      <c r="O278" s="16">
        <v>0</v>
      </c>
      <c r="P278" s="16">
        <v>0</v>
      </c>
      <c r="Q278" s="16">
        <v>3</v>
      </c>
      <c r="R278" s="18">
        <f t="shared" si="32"/>
        <v>82.014270483064053</v>
      </c>
      <c r="S278" s="18">
        <f t="shared" si="33"/>
        <v>81.47967082212989</v>
      </c>
      <c r="T278" s="18">
        <f t="shared" si="34"/>
        <v>0</v>
      </c>
      <c r="U278" s="18">
        <f t="shared" si="35"/>
        <v>54.497980435064648</v>
      </c>
      <c r="V278" s="18">
        <f t="shared" si="36"/>
        <v>0</v>
      </c>
      <c r="W278" s="18">
        <f t="shared" si="37"/>
        <v>0</v>
      </c>
      <c r="X278" s="18">
        <f t="shared" si="38"/>
        <v>208.49259851275281</v>
      </c>
      <c r="Y278" s="18">
        <f t="shared" si="39"/>
        <v>69.497532837584274</v>
      </c>
    </row>
    <row r="279" spans="1:25">
      <c r="A279" s="15" t="s">
        <v>295</v>
      </c>
      <c r="B279" s="15" t="s">
        <v>537</v>
      </c>
      <c r="C279" s="15" t="s">
        <v>238</v>
      </c>
      <c r="D279" s="15" t="s">
        <v>238</v>
      </c>
      <c r="E279" s="16">
        <v>70706</v>
      </c>
      <c r="F279" s="16">
        <v>33571</v>
      </c>
      <c r="G279" s="16">
        <v>33838</v>
      </c>
      <c r="H279" s="16">
        <v>33709</v>
      </c>
      <c r="I279" s="16">
        <v>32544</v>
      </c>
      <c r="J279" s="16">
        <v>32414</v>
      </c>
      <c r="K279" s="16">
        <v>32285</v>
      </c>
      <c r="L279" s="16">
        <v>2</v>
      </c>
      <c r="M279" s="16">
        <v>1</v>
      </c>
      <c r="N279" s="16">
        <v>2</v>
      </c>
      <c r="O279" s="16">
        <v>8</v>
      </c>
      <c r="P279" s="16">
        <v>4</v>
      </c>
      <c r="Q279" s="16">
        <v>7</v>
      </c>
      <c r="R279" s="18">
        <f t="shared" si="32"/>
        <v>59.575228619939828</v>
      </c>
      <c r="S279" s="18">
        <f t="shared" si="33"/>
        <v>29.552574029197942</v>
      </c>
      <c r="T279" s="18">
        <f t="shared" si="34"/>
        <v>59.331335845026551</v>
      </c>
      <c r="U279" s="18">
        <f t="shared" si="35"/>
        <v>49.486379498054781</v>
      </c>
      <c r="V279" s="18">
        <f t="shared" si="36"/>
        <v>245.82104228121929</v>
      </c>
      <c r="W279" s="18">
        <f t="shared" si="37"/>
        <v>123.40346763744061</v>
      </c>
      <c r="X279" s="18">
        <f t="shared" si="38"/>
        <v>216.81895617159671</v>
      </c>
      <c r="Y279" s="18">
        <f t="shared" si="39"/>
        <v>195.34782203008555</v>
      </c>
    </row>
    <row r="280" spans="1:25">
      <c r="A280" s="15" t="s">
        <v>295</v>
      </c>
      <c r="B280" s="15" t="s">
        <v>537</v>
      </c>
      <c r="C280" s="15" t="s">
        <v>235</v>
      </c>
      <c r="D280" s="15" t="s">
        <v>235</v>
      </c>
      <c r="E280" s="16">
        <v>70707</v>
      </c>
      <c r="F280" s="16">
        <v>4991</v>
      </c>
      <c r="G280" s="16">
        <v>5087</v>
      </c>
      <c r="H280" s="16">
        <v>5131</v>
      </c>
      <c r="I280" s="16">
        <v>5525</v>
      </c>
      <c r="J280" s="16">
        <v>5568</v>
      </c>
      <c r="K280" s="16">
        <v>5612</v>
      </c>
      <c r="L280" s="16">
        <v>0</v>
      </c>
      <c r="M280" s="16">
        <v>0</v>
      </c>
      <c r="N280" s="16">
        <v>0</v>
      </c>
      <c r="O280" s="16">
        <v>0</v>
      </c>
      <c r="P280" s="16">
        <v>1</v>
      </c>
      <c r="Q280" s="16">
        <v>1</v>
      </c>
      <c r="R280" s="18">
        <f t="shared" si="32"/>
        <v>0</v>
      </c>
      <c r="S280" s="18">
        <f t="shared" si="33"/>
        <v>0</v>
      </c>
      <c r="T280" s="18">
        <f t="shared" si="34"/>
        <v>0</v>
      </c>
      <c r="U280" s="18">
        <f t="shared" si="35"/>
        <v>0</v>
      </c>
      <c r="V280" s="18">
        <f t="shared" si="36"/>
        <v>0</v>
      </c>
      <c r="W280" s="18">
        <f t="shared" si="37"/>
        <v>179.59770114942529</v>
      </c>
      <c r="X280" s="18">
        <f t="shared" si="38"/>
        <v>178.1895937277263</v>
      </c>
      <c r="Y280" s="18">
        <f t="shared" si="39"/>
        <v>119.26243162571718</v>
      </c>
    </row>
    <row r="281" spans="1:25">
      <c r="A281" s="15" t="s">
        <v>295</v>
      </c>
      <c r="B281" s="15" t="s">
        <v>275</v>
      </c>
      <c r="C281" s="15" t="s">
        <v>275</v>
      </c>
      <c r="D281" s="15" t="s">
        <v>275</v>
      </c>
      <c r="E281" s="16">
        <v>70801</v>
      </c>
      <c r="F281" s="16">
        <v>17174</v>
      </c>
      <c r="G281" s="16">
        <v>17208</v>
      </c>
      <c r="H281" s="16">
        <v>17211</v>
      </c>
      <c r="I281" s="16">
        <v>17242</v>
      </c>
      <c r="J281" s="16">
        <v>17246</v>
      </c>
      <c r="K281" s="16">
        <v>17249</v>
      </c>
      <c r="L281" s="16">
        <v>0</v>
      </c>
      <c r="M281" s="16">
        <v>0</v>
      </c>
      <c r="N281" s="16">
        <v>1</v>
      </c>
      <c r="O281" s="16">
        <v>1</v>
      </c>
      <c r="P281" s="16">
        <v>0</v>
      </c>
      <c r="Q281" s="16">
        <v>2</v>
      </c>
      <c r="R281" s="18">
        <f t="shared" si="32"/>
        <v>0</v>
      </c>
      <c r="S281" s="18">
        <f t="shared" si="33"/>
        <v>0</v>
      </c>
      <c r="T281" s="18">
        <f t="shared" si="34"/>
        <v>58.102376387194241</v>
      </c>
      <c r="U281" s="18">
        <f t="shared" si="35"/>
        <v>19.367458795731412</v>
      </c>
      <c r="V281" s="18">
        <f t="shared" si="36"/>
        <v>57.997912075165296</v>
      </c>
      <c r="W281" s="18">
        <f t="shared" si="37"/>
        <v>0</v>
      </c>
      <c r="X281" s="18">
        <f t="shared" si="38"/>
        <v>115.94875065221171</v>
      </c>
      <c r="Y281" s="18">
        <f t="shared" si="39"/>
        <v>57.982220909125665</v>
      </c>
    </row>
    <row r="282" spans="1:25">
      <c r="A282" s="15" t="s">
        <v>295</v>
      </c>
      <c r="B282" s="15" t="s">
        <v>275</v>
      </c>
      <c r="C282" s="15" t="s">
        <v>383</v>
      </c>
      <c r="D282" s="15" t="s">
        <v>383</v>
      </c>
      <c r="E282" s="16">
        <v>70802</v>
      </c>
      <c r="F282" s="16">
        <v>2135</v>
      </c>
      <c r="G282" s="16">
        <v>2135</v>
      </c>
      <c r="H282" s="16">
        <v>2154</v>
      </c>
      <c r="I282" s="16">
        <v>2322</v>
      </c>
      <c r="J282" s="16">
        <v>2340</v>
      </c>
      <c r="K282" s="16">
        <v>2359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8">
        <f t="shared" si="32"/>
        <v>0</v>
      </c>
      <c r="S282" s="18">
        <f t="shared" si="33"/>
        <v>0</v>
      </c>
      <c r="T282" s="18">
        <f t="shared" si="34"/>
        <v>0</v>
      </c>
      <c r="U282" s="18">
        <f t="shared" si="35"/>
        <v>0</v>
      </c>
      <c r="V282" s="18">
        <f t="shared" si="36"/>
        <v>0</v>
      </c>
      <c r="W282" s="18">
        <f t="shared" si="37"/>
        <v>0</v>
      </c>
      <c r="X282" s="18">
        <f t="shared" si="38"/>
        <v>0</v>
      </c>
      <c r="Y282" s="18">
        <f t="shared" si="39"/>
        <v>0</v>
      </c>
    </row>
    <row r="283" spans="1:25">
      <c r="A283" s="15" t="s">
        <v>295</v>
      </c>
      <c r="B283" s="15" t="s">
        <v>275</v>
      </c>
      <c r="C283" s="15" t="s">
        <v>539</v>
      </c>
      <c r="D283" s="15" t="s">
        <v>312</v>
      </c>
      <c r="E283" s="16">
        <v>70803</v>
      </c>
      <c r="F283" s="16">
        <v>2821</v>
      </c>
      <c r="G283" s="16">
        <v>2767</v>
      </c>
      <c r="H283" s="16">
        <v>2769</v>
      </c>
      <c r="I283" s="16">
        <v>2789</v>
      </c>
      <c r="J283" s="16">
        <v>2791</v>
      </c>
      <c r="K283" s="16">
        <v>2793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8">
        <f t="shared" si="32"/>
        <v>0</v>
      </c>
      <c r="S283" s="18">
        <f t="shared" si="33"/>
        <v>0</v>
      </c>
      <c r="T283" s="18">
        <f t="shared" si="34"/>
        <v>0</v>
      </c>
      <c r="U283" s="18">
        <f t="shared" si="35"/>
        <v>0</v>
      </c>
      <c r="V283" s="18">
        <f t="shared" si="36"/>
        <v>0</v>
      </c>
      <c r="W283" s="18">
        <f t="shared" si="37"/>
        <v>0</v>
      </c>
      <c r="X283" s="18">
        <f t="shared" si="38"/>
        <v>0</v>
      </c>
      <c r="Y283" s="18">
        <f t="shared" si="39"/>
        <v>0</v>
      </c>
    </row>
    <row r="284" spans="1:25">
      <c r="A284" s="15" t="s">
        <v>295</v>
      </c>
      <c r="B284" s="15" t="s">
        <v>275</v>
      </c>
      <c r="C284" s="15" t="s">
        <v>382</v>
      </c>
      <c r="D284" s="15" t="s">
        <v>382</v>
      </c>
      <c r="E284" s="16">
        <v>70804</v>
      </c>
      <c r="F284" s="16">
        <v>2404</v>
      </c>
      <c r="G284" s="16">
        <v>2390</v>
      </c>
      <c r="H284" s="16">
        <v>2341</v>
      </c>
      <c r="I284" s="16">
        <v>1903</v>
      </c>
      <c r="J284" s="16">
        <v>1855</v>
      </c>
      <c r="K284" s="16">
        <v>1806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8">
        <f t="shared" si="32"/>
        <v>0</v>
      </c>
      <c r="S284" s="18">
        <f t="shared" si="33"/>
        <v>0</v>
      </c>
      <c r="T284" s="18">
        <f t="shared" si="34"/>
        <v>0</v>
      </c>
      <c r="U284" s="18">
        <f t="shared" si="35"/>
        <v>0</v>
      </c>
      <c r="V284" s="18">
        <f t="shared" si="36"/>
        <v>0</v>
      </c>
      <c r="W284" s="18">
        <f t="shared" si="37"/>
        <v>0</v>
      </c>
      <c r="X284" s="18">
        <f t="shared" si="38"/>
        <v>0</v>
      </c>
      <c r="Y284" s="18">
        <f t="shared" si="39"/>
        <v>0</v>
      </c>
    </row>
    <row r="285" spans="1:25">
      <c r="A285" s="15" t="s">
        <v>295</v>
      </c>
      <c r="B285" s="15" t="s">
        <v>275</v>
      </c>
      <c r="C285" s="15" t="s">
        <v>380</v>
      </c>
      <c r="D285" s="15" t="s">
        <v>380</v>
      </c>
      <c r="E285" s="16">
        <v>70805</v>
      </c>
      <c r="F285" s="16">
        <v>2119</v>
      </c>
      <c r="G285" s="16">
        <v>2076</v>
      </c>
      <c r="H285" s="16">
        <v>2071</v>
      </c>
      <c r="I285" s="16">
        <v>2025</v>
      </c>
      <c r="J285" s="16">
        <v>2020</v>
      </c>
      <c r="K285" s="16">
        <v>2015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8">
        <f t="shared" si="32"/>
        <v>0</v>
      </c>
      <c r="S285" s="18">
        <f t="shared" si="33"/>
        <v>0</v>
      </c>
      <c r="T285" s="18">
        <f t="shared" si="34"/>
        <v>0</v>
      </c>
      <c r="U285" s="18">
        <f t="shared" si="35"/>
        <v>0</v>
      </c>
      <c r="V285" s="18">
        <f t="shared" si="36"/>
        <v>0</v>
      </c>
      <c r="W285" s="18">
        <f t="shared" si="37"/>
        <v>0</v>
      </c>
      <c r="X285" s="18">
        <f t="shared" si="38"/>
        <v>0</v>
      </c>
      <c r="Y285" s="18">
        <f t="shared" si="39"/>
        <v>0</v>
      </c>
    </row>
    <row r="286" spans="1:25">
      <c r="A286" s="15" t="s">
        <v>295</v>
      </c>
      <c r="B286" s="15" t="s">
        <v>540</v>
      </c>
      <c r="C286" s="15" t="s">
        <v>263</v>
      </c>
      <c r="D286" s="15" t="s">
        <v>263</v>
      </c>
      <c r="E286" s="16">
        <v>70901</v>
      </c>
      <c r="F286" s="16">
        <v>10405</v>
      </c>
      <c r="G286" s="16">
        <v>10472</v>
      </c>
      <c r="H286" s="16">
        <v>10586</v>
      </c>
      <c r="I286" s="16">
        <v>11615</v>
      </c>
      <c r="J286" s="16">
        <v>11729</v>
      </c>
      <c r="K286" s="16">
        <v>11843</v>
      </c>
      <c r="L286" s="16">
        <v>0</v>
      </c>
      <c r="M286" s="16">
        <v>0</v>
      </c>
      <c r="N286" s="16">
        <v>0</v>
      </c>
      <c r="O286" s="16">
        <v>4</v>
      </c>
      <c r="P286" s="16">
        <v>0</v>
      </c>
      <c r="Q286" s="16">
        <v>0</v>
      </c>
      <c r="R286" s="18">
        <f t="shared" si="32"/>
        <v>0</v>
      </c>
      <c r="S286" s="18">
        <f t="shared" si="33"/>
        <v>0</v>
      </c>
      <c r="T286" s="18">
        <f t="shared" si="34"/>
        <v>0</v>
      </c>
      <c r="U286" s="18">
        <f t="shared" si="35"/>
        <v>0</v>
      </c>
      <c r="V286" s="18">
        <f t="shared" si="36"/>
        <v>344.38226431338785</v>
      </c>
      <c r="W286" s="18">
        <f t="shared" si="37"/>
        <v>0</v>
      </c>
      <c r="X286" s="18">
        <f t="shared" si="38"/>
        <v>0</v>
      </c>
      <c r="Y286" s="18">
        <f t="shared" si="39"/>
        <v>114.79408810446262</v>
      </c>
    </row>
    <row r="287" spans="1:25">
      <c r="A287" s="15" t="s">
        <v>295</v>
      </c>
      <c r="B287" s="15" t="s">
        <v>540</v>
      </c>
      <c r="C287" s="15" t="s">
        <v>255</v>
      </c>
      <c r="D287" s="15" t="s">
        <v>255</v>
      </c>
      <c r="E287" s="16">
        <v>70902</v>
      </c>
      <c r="F287" s="16">
        <v>9083</v>
      </c>
      <c r="G287" s="16">
        <v>9198</v>
      </c>
      <c r="H287" s="16">
        <v>9239</v>
      </c>
      <c r="I287" s="16">
        <v>9610</v>
      </c>
      <c r="J287" s="16">
        <v>9651</v>
      </c>
      <c r="K287" s="16">
        <v>9692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8">
        <f t="shared" si="32"/>
        <v>0</v>
      </c>
      <c r="S287" s="18">
        <f t="shared" si="33"/>
        <v>0</v>
      </c>
      <c r="T287" s="18">
        <f t="shared" si="34"/>
        <v>0</v>
      </c>
      <c r="U287" s="18">
        <f t="shared" si="35"/>
        <v>0</v>
      </c>
      <c r="V287" s="18">
        <f t="shared" si="36"/>
        <v>0</v>
      </c>
      <c r="W287" s="18">
        <f t="shared" si="37"/>
        <v>0</v>
      </c>
      <c r="X287" s="18">
        <f t="shared" si="38"/>
        <v>0</v>
      </c>
      <c r="Y287" s="18">
        <f t="shared" si="39"/>
        <v>0</v>
      </c>
    </row>
    <row r="288" spans="1:25">
      <c r="A288" s="15" t="s">
        <v>295</v>
      </c>
      <c r="B288" s="15" t="s">
        <v>540</v>
      </c>
      <c r="C288" s="15" t="s">
        <v>250</v>
      </c>
      <c r="D288" s="15" t="s">
        <v>250</v>
      </c>
      <c r="E288" s="16">
        <v>70903</v>
      </c>
      <c r="F288" s="16">
        <v>9956</v>
      </c>
      <c r="G288" s="16">
        <v>10177</v>
      </c>
      <c r="H288" s="16">
        <v>10390</v>
      </c>
      <c r="I288" s="16">
        <v>12309</v>
      </c>
      <c r="J288" s="16">
        <v>12522</v>
      </c>
      <c r="K288" s="16">
        <v>12735</v>
      </c>
      <c r="L288" s="16">
        <v>0</v>
      </c>
      <c r="M288" s="16">
        <v>2</v>
      </c>
      <c r="N288" s="16">
        <v>2</v>
      </c>
      <c r="O288" s="16">
        <v>1</v>
      </c>
      <c r="P288" s="16">
        <v>6</v>
      </c>
      <c r="Q288" s="16">
        <v>1</v>
      </c>
      <c r="R288" s="18">
        <f t="shared" si="32"/>
        <v>0</v>
      </c>
      <c r="S288" s="18">
        <f t="shared" si="33"/>
        <v>196.52156824211457</v>
      </c>
      <c r="T288" s="18">
        <f t="shared" si="34"/>
        <v>192.49278152069297</v>
      </c>
      <c r="U288" s="18">
        <f t="shared" si="35"/>
        <v>129.67144992093586</v>
      </c>
      <c r="V288" s="18">
        <f t="shared" si="36"/>
        <v>81.24136810463888</v>
      </c>
      <c r="W288" s="18">
        <f t="shared" si="37"/>
        <v>479.1566842357451</v>
      </c>
      <c r="X288" s="18">
        <f t="shared" si="38"/>
        <v>78.523753435414221</v>
      </c>
      <c r="Y288" s="18">
        <f t="shared" si="39"/>
        <v>212.97393525859943</v>
      </c>
    </row>
    <row r="289" spans="1:25">
      <c r="A289" s="15" t="s">
        <v>295</v>
      </c>
      <c r="B289" s="15" t="s">
        <v>540</v>
      </c>
      <c r="C289" s="15" t="s">
        <v>260</v>
      </c>
      <c r="D289" s="15" t="s">
        <v>260</v>
      </c>
      <c r="E289" s="16">
        <v>70904</v>
      </c>
      <c r="F289" s="16">
        <v>2907</v>
      </c>
      <c r="G289" s="16">
        <v>2995</v>
      </c>
      <c r="H289" s="16">
        <v>3003</v>
      </c>
      <c r="I289" s="16">
        <v>3071</v>
      </c>
      <c r="J289" s="16">
        <v>3078</v>
      </c>
      <c r="K289" s="16">
        <v>3086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8">
        <f t="shared" si="32"/>
        <v>0</v>
      </c>
      <c r="S289" s="18">
        <f t="shared" si="33"/>
        <v>0</v>
      </c>
      <c r="T289" s="18">
        <f t="shared" si="34"/>
        <v>0</v>
      </c>
      <c r="U289" s="18">
        <f t="shared" si="35"/>
        <v>0</v>
      </c>
      <c r="V289" s="18">
        <f t="shared" si="36"/>
        <v>0</v>
      </c>
      <c r="W289" s="18">
        <f t="shared" si="37"/>
        <v>0</v>
      </c>
      <c r="X289" s="18">
        <f t="shared" si="38"/>
        <v>0</v>
      </c>
      <c r="Y289" s="18">
        <f t="shared" si="39"/>
        <v>0</v>
      </c>
    </row>
    <row r="290" spans="1:25">
      <c r="A290" s="15" t="s">
        <v>295</v>
      </c>
      <c r="B290" s="15" t="s">
        <v>541</v>
      </c>
      <c r="C290" s="15" t="s">
        <v>252</v>
      </c>
      <c r="D290" s="15" t="s">
        <v>252</v>
      </c>
      <c r="E290" s="16">
        <v>71001</v>
      </c>
      <c r="F290" s="16">
        <v>106866</v>
      </c>
      <c r="G290" s="16">
        <v>109518</v>
      </c>
      <c r="H290" s="16">
        <v>110965</v>
      </c>
      <c r="I290" s="16">
        <v>123991</v>
      </c>
      <c r="J290" s="16">
        <v>125439</v>
      </c>
      <c r="K290" s="16">
        <v>126886</v>
      </c>
      <c r="L290" s="16">
        <v>31</v>
      </c>
      <c r="M290" s="16">
        <v>21</v>
      </c>
      <c r="N290" s="16">
        <v>42</v>
      </c>
      <c r="O290" s="16">
        <v>56</v>
      </c>
      <c r="P290" s="16">
        <v>40</v>
      </c>
      <c r="Q290" s="16">
        <v>52</v>
      </c>
      <c r="R290" s="18">
        <f t="shared" si="32"/>
        <v>290.08290756648512</v>
      </c>
      <c r="S290" s="18">
        <f t="shared" si="33"/>
        <v>191.74930148468746</v>
      </c>
      <c r="T290" s="18">
        <f t="shared" si="34"/>
        <v>378.4977245077277</v>
      </c>
      <c r="U290" s="18">
        <f t="shared" si="35"/>
        <v>286.77664451963341</v>
      </c>
      <c r="V290" s="18">
        <f t="shared" si="36"/>
        <v>451.64568396093262</v>
      </c>
      <c r="W290" s="18">
        <f t="shared" si="37"/>
        <v>318.88009311298714</v>
      </c>
      <c r="X290" s="18">
        <f t="shared" si="38"/>
        <v>409.81668584398597</v>
      </c>
      <c r="Y290" s="18">
        <f t="shared" si="39"/>
        <v>393.44748763930193</v>
      </c>
    </row>
    <row r="291" spans="1:25">
      <c r="A291" s="15" t="s">
        <v>295</v>
      </c>
      <c r="B291" s="15" t="s">
        <v>541</v>
      </c>
      <c r="C291" s="15" t="s">
        <v>387</v>
      </c>
      <c r="D291" s="15" t="s">
        <v>387</v>
      </c>
      <c r="E291" s="16">
        <v>71002</v>
      </c>
      <c r="F291" s="16">
        <v>14426</v>
      </c>
      <c r="G291" s="16">
        <v>14209</v>
      </c>
      <c r="H291" s="16">
        <v>14408</v>
      </c>
      <c r="I291" s="16">
        <v>16200</v>
      </c>
      <c r="J291" s="16">
        <v>16399</v>
      </c>
      <c r="K291" s="16">
        <v>16598</v>
      </c>
      <c r="L291" s="16">
        <v>98</v>
      </c>
      <c r="M291" s="16">
        <v>279</v>
      </c>
      <c r="N291" s="16">
        <v>117</v>
      </c>
      <c r="O291" s="16">
        <v>23</v>
      </c>
      <c r="P291" s="16">
        <v>5</v>
      </c>
      <c r="Q291" s="16">
        <v>19</v>
      </c>
      <c r="R291" s="18">
        <f t="shared" si="32"/>
        <v>6793.2898932483022</v>
      </c>
      <c r="S291" s="18">
        <f t="shared" si="33"/>
        <v>19635.442325286789</v>
      </c>
      <c r="T291" s="18">
        <f t="shared" si="34"/>
        <v>8120.4886174347585</v>
      </c>
      <c r="U291" s="18">
        <f t="shared" si="35"/>
        <v>11516.406945323282</v>
      </c>
      <c r="V291" s="18">
        <f t="shared" si="36"/>
        <v>1419.7530864197531</v>
      </c>
      <c r="W291" s="18">
        <f t="shared" si="37"/>
        <v>304.89664003902675</v>
      </c>
      <c r="X291" s="18">
        <f t="shared" si="38"/>
        <v>1144.7162308711895</v>
      </c>
      <c r="Y291" s="18">
        <f t="shared" si="39"/>
        <v>956.45531910998977</v>
      </c>
    </row>
    <row r="292" spans="1:25">
      <c r="A292" s="15" t="s">
        <v>295</v>
      </c>
      <c r="B292" s="15" t="s">
        <v>541</v>
      </c>
      <c r="C292" s="15" t="s">
        <v>251</v>
      </c>
      <c r="D292" s="15" t="s">
        <v>251</v>
      </c>
      <c r="E292" s="16">
        <v>71003</v>
      </c>
      <c r="F292" s="16">
        <v>22941</v>
      </c>
      <c r="G292" s="16">
        <v>23251</v>
      </c>
      <c r="H292" s="16">
        <v>23239</v>
      </c>
      <c r="I292" s="16">
        <v>23134</v>
      </c>
      <c r="J292" s="16">
        <v>23122</v>
      </c>
      <c r="K292" s="16">
        <v>23110</v>
      </c>
      <c r="L292" s="16">
        <v>11</v>
      </c>
      <c r="M292" s="16">
        <v>3</v>
      </c>
      <c r="N292" s="16">
        <v>3</v>
      </c>
      <c r="O292" s="16">
        <v>11</v>
      </c>
      <c r="P292" s="16">
        <v>13</v>
      </c>
      <c r="Q292" s="16">
        <v>10</v>
      </c>
      <c r="R292" s="18">
        <f t="shared" si="32"/>
        <v>479.49086787847085</v>
      </c>
      <c r="S292" s="18">
        <f t="shared" si="33"/>
        <v>129.02670852866544</v>
      </c>
      <c r="T292" s="18">
        <f t="shared" si="34"/>
        <v>129.09333448082964</v>
      </c>
      <c r="U292" s="18">
        <f t="shared" si="35"/>
        <v>245.87030362932197</v>
      </c>
      <c r="V292" s="18">
        <f t="shared" si="36"/>
        <v>475.49061986686263</v>
      </c>
      <c r="W292" s="18">
        <f t="shared" si="37"/>
        <v>562.23510076982961</v>
      </c>
      <c r="X292" s="18">
        <f t="shared" si="38"/>
        <v>432.71311120726955</v>
      </c>
      <c r="Y292" s="18">
        <f t="shared" si="39"/>
        <v>490.14627728132058</v>
      </c>
    </row>
    <row r="293" spans="1:25">
      <c r="A293" s="15" t="s">
        <v>295</v>
      </c>
      <c r="B293" s="15" t="s">
        <v>541</v>
      </c>
      <c r="C293" s="15" t="s">
        <v>389</v>
      </c>
      <c r="D293" s="15" t="s">
        <v>389</v>
      </c>
      <c r="E293" s="16">
        <v>71004</v>
      </c>
      <c r="F293" s="16">
        <v>14776</v>
      </c>
      <c r="G293" s="16">
        <v>15117</v>
      </c>
      <c r="H293" s="16">
        <v>15075</v>
      </c>
      <c r="I293" s="16">
        <v>14695</v>
      </c>
      <c r="J293" s="16">
        <v>14652</v>
      </c>
      <c r="K293" s="16">
        <v>14610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8">
        <f t="shared" si="32"/>
        <v>0</v>
      </c>
      <c r="S293" s="18">
        <f t="shared" si="33"/>
        <v>0</v>
      </c>
      <c r="T293" s="18">
        <f t="shared" si="34"/>
        <v>0</v>
      </c>
      <c r="U293" s="18">
        <f t="shared" si="35"/>
        <v>0</v>
      </c>
      <c r="V293" s="18">
        <f t="shared" si="36"/>
        <v>0</v>
      </c>
      <c r="W293" s="18">
        <f t="shared" si="37"/>
        <v>0</v>
      </c>
      <c r="X293" s="18">
        <f t="shared" si="38"/>
        <v>0</v>
      </c>
      <c r="Y293" s="18">
        <f t="shared" si="39"/>
        <v>0</v>
      </c>
    </row>
    <row r="294" spans="1:25">
      <c r="A294" s="15" t="s">
        <v>295</v>
      </c>
      <c r="B294" s="15" t="s">
        <v>541</v>
      </c>
      <c r="C294" s="15" t="s">
        <v>314</v>
      </c>
      <c r="D294" s="15" t="s">
        <v>314</v>
      </c>
      <c r="E294" s="16">
        <v>71005</v>
      </c>
      <c r="F294" s="16">
        <v>18698</v>
      </c>
      <c r="G294" s="16">
        <v>19103</v>
      </c>
      <c r="H294" s="16">
        <v>18782</v>
      </c>
      <c r="I294" s="16">
        <v>15889</v>
      </c>
      <c r="J294" s="16">
        <v>15567</v>
      </c>
      <c r="K294" s="16">
        <v>15246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8">
        <f t="shared" si="32"/>
        <v>0</v>
      </c>
      <c r="S294" s="18">
        <f t="shared" si="33"/>
        <v>0</v>
      </c>
      <c r="T294" s="18">
        <f t="shared" si="34"/>
        <v>0</v>
      </c>
      <c r="U294" s="18">
        <f t="shared" si="35"/>
        <v>0</v>
      </c>
      <c r="V294" s="18">
        <f t="shared" si="36"/>
        <v>0</v>
      </c>
      <c r="W294" s="18">
        <f t="shared" si="37"/>
        <v>0</v>
      </c>
      <c r="X294" s="18">
        <f t="shared" si="38"/>
        <v>0</v>
      </c>
      <c r="Y294" s="18">
        <f t="shared" si="39"/>
        <v>0</v>
      </c>
    </row>
    <row r="295" spans="1:25">
      <c r="A295" s="15" t="s">
        <v>295</v>
      </c>
      <c r="B295" s="15" t="s">
        <v>542</v>
      </c>
      <c r="C295" s="15" t="s">
        <v>242</v>
      </c>
      <c r="D295" s="15" t="s">
        <v>242</v>
      </c>
      <c r="E295" s="16">
        <v>71101</v>
      </c>
      <c r="F295" s="16">
        <v>18411</v>
      </c>
      <c r="G295" s="16">
        <v>18800</v>
      </c>
      <c r="H295" s="16">
        <v>19743</v>
      </c>
      <c r="I295" s="16">
        <v>28232</v>
      </c>
      <c r="J295" s="16">
        <v>29175</v>
      </c>
      <c r="K295" s="16">
        <v>30118</v>
      </c>
      <c r="L295" s="16">
        <v>0</v>
      </c>
      <c r="M295" s="16">
        <v>2</v>
      </c>
      <c r="N295" s="16">
        <v>0</v>
      </c>
      <c r="O295" s="16">
        <v>5</v>
      </c>
      <c r="P295" s="16">
        <v>4</v>
      </c>
      <c r="Q295" s="16">
        <v>4</v>
      </c>
      <c r="R295" s="18">
        <f t="shared" si="32"/>
        <v>0</v>
      </c>
      <c r="S295" s="18">
        <f t="shared" si="33"/>
        <v>106.38297872340425</v>
      </c>
      <c r="T295" s="18">
        <f t="shared" si="34"/>
        <v>0</v>
      </c>
      <c r="U295" s="18">
        <f t="shared" si="35"/>
        <v>35.460992907801419</v>
      </c>
      <c r="V295" s="18">
        <f t="shared" si="36"/>
        <v>177.10399546613772</v>
      </c>
      <c r="W295" s="18">
        <f t="shared" si="37"/>
        <v>137.10368466152528</v>
      </c>
      <c r="X295" s="18">
        <f t="shared" si="38"/>
        <v>132.81094362175443</v>
      </c>
      <c r="Y295" s="18">
        <f t="shared" si="39"/>
        <v>149.00620791647248</v>
      </c>
    </row>
    <row r="296" spans="1:25">
      <c r="A296" s="15" t="s">
        <v>295</v>
      </c>
      <c r="B296" s="15" t="s">
        <v>542</v>
      </c>
      <c r="C296" s="15" t="s">
        <v>20</v>
      </c>
      <c r="D296" s="15" t="s">
        <v>20</v>
      </c>
      <c r="E296" s="16">
        <v>71102</v>
      </c>
      <c r="F296" s="16">
        <v>13411</v>
      </c>
      <c r="G296" s="16">
        <v>13620</v>
      </c>
      <c r="H296" s="16">
        <v>13726</v>
      </c>
      <c r="I296" s="16">
        <v>14677</v>
      </c>
      <c r="J296" s="16">
        <v>14782</v>
      </c>
      <c r="K296" s="16">
        <v>14888</v>
      </c>
      <c r="L296" s="16">
        <v>2</v>
      </c>
      <c r="M296" s="16">
        <v>0</v>
      </c>
      <c r="N296" s="16">
        <v>0</v>
      </c>
      <c r="O296" s="16">
        <v>2</v>
      </c>
      <c r="P296" s="16">
        <v>0</v>
      </c>
      <c r="Q296" s="16">
        <v>0</v>
      </c>
      <c r="R296" s="18">
        <f t="shared" si="32"/>
        <v>149.13131011855938</v>
      </c>
      <c r="S296" s="18">
        <f t="shared" si="33"/>
        <v>0</v>
      </c>
      <c r="T296" s="18">
        <f t="shared" si="34"/>
        <v>0</v>
      </c>
      <c r="U296" s="18">
        <f t="shared" si="35"/>
        <v>49.710436706186464</v>
      </c>
      <c r="V296" s="18">
        <f t="shared" si="36"/>
        <v>136.26762962458267</v>
      </c>
      <c r="W296" s="18">
        <f t="shared" si="37"/>
        <v>0</v>
      </c>
      <c r="X296" s="18">
        <f t="shared" si="38"/>
        <v>0</v>
      </c>
      <c r="Y296" s="18">
        <f t="shared" si="39"/>
        <v>45.42254320819422</v>
      </c>
    </row>
    <row r="297" spans="1:25">
      <c r="A297" s="15" t="s">
        <v>295</v>
      </c>
      <c r="B297" s="15" t="s">
        <v>542</v>
      </c>
      <c r="C297" s="15" t="s">
        <v>326</v>
      </c>
      <c r="D297" s="15" t="s">
        <v>326</v>
      </c>
      <c r="E297" s="16">
        <v>71103</v>
      </c>
      <c r="F297" s="16">
        <v>7324</v>
      </c>
      <c r="G297" s="16">
        <v>7490</v>
      </c>
      <c r="H297" s="16">
        <v>7578</v>
      </c>
      <c r="I297" s="16">
        <v>8366</v>
      </c>
      <c r="J297" s="16">
        <v>8453</v>
      </c>
      <c r="K297" s="16">
        <v>8541</v>
      </c>
      <c r="L297" s="16">
        <v>0</v>
      </c>
      <c r="M297" s="16">
        <v>0</v>
      </c>
      <c r="N297" s="16">
        <v>0</v>
      </c>
      <c r="O297" s="16">
        <v>0</v>
      </c>
      <c r="P297" s="16">
        <v>3</v>
      </c>
      <c r="Q297" s="16">
        <v>1</v>
      </c>
      <c r="R297" s="18">
        <f t="shared" si="32"/>
        <v>0</v>
      </c>
      <c r="S297" s="18">
        <f t="shared" si="33"/>
        <v>0</v>
      </c>
      <c r="T297" s="18">
        <f t="shared" si="34"/>
        <v>0</v>
      </c>
      <c r="U297" s="18">
        <f t="shared" si="35"/>
        <v>0</v>
      </c>
      <c r="V297" s="18">
        <f t="shared" si="36"/>
        <v>0</v>
      </c>
      <c r="W297" s="18">
        <f t="shared" si="37"/>
        <v>354.9035845262037</v>
      </c>
      <c r="X297" s="18">
        <f t="shared" si="38"/>
        <v>117.08230886313078</v>
      </c>
      <c r="Y297" s="18">
        <f t="shared" si="39"/>
        <v>157.32863112977816</v>
      </c>
    </row>
    <row r="298" spans="1:25">
      <c r="A298" s="15" t="s">
        <v>295</v>
      </c>
      <c r="B298" s="15" t="s">
        <v>542</v>
      </c>
      <c r="C298" s="15" t="s">
        <v>400</v>
      </c>
      <c r="D298" s="15" t="s">
        <v>400</v>
      </c>
      <c r="E298" s="16">
        <v>71104</v>
      </c>
      <c r="F298" s="16">
        <v>46562</v>
      </c>
      <c r="G298" s="16">
        <v>47416</v>
      </c>
      <c r="H298" s="16">
        <v>47207</v>
      </c>
      <c r="I298" s="16">
        <v>45327</v>
      </c>
      <c r="J298" s="16">
        <v>45118</v>
      </c>
      <c r="K298" s="16">
        <v>44909</v>
      </c>
      <c r="L298" s="16">
        <v>5</v>
      </c>
      <c r="M298" s="16">
        <v>5</v>
      </c>
      <c r="N298" s="16">
        <v>6</v>
      </c>
      <c r="O298" s="16">
        <v>14</v>
      </c>
      <c r="P298" s="16">
        <v>12</v>
      </c>
      <c r="Q298" s="16">
        <v>20</v>
      </c>
      <c r="R298" s="18">
        <f t="shared" si="32"/>
        <v>107.38370344916456</v>
      </c>
      <c r="S298" s="18">
        <f t="shared" si="33"/>
        <v>105.44963725324786</v>
      </c>
      <c r="T298" s="18">
        <f t="shared" si="34"/>
        <v>127.09979452199885</v>
      </c>
      <c r="U298" s="18">
        <f t="shared" si="35"/>
        <v>113.31104507480376</v>
      </c>
      <c r="V298" s="18">
        <f t="shared" si="36"/>
        <v>308.86667990381011</v>
      </c>
      <c r="W298" s="18">
        <f t="shared" si="37"/>
        <v>265.96923622500998</v>
      </c>
      <c r="X298" s="18">
        <f t="shared" si="38"/>
        <v>445.34503106281591</v>
      </c>
      <c r="Y298" s="18">
        <f t="shared" si="39"/>
        <v>340.06031573054537</v>
      </c>
    </row>
    <row r="299" spans="1:25">
      <c r="A299" s="15" t="s">
        <v>295</v>
      </c>
      <c r="B299" s="15" t="s">
        <v>542</v>
      </c>
      <c r="C299" s="15" t="s">
        <v>543</v>
      </c>
      <c r="D299" s="15" t="s">
        <v>543</v>
      </c>
      <c r="E299" s="16">
        <v>71105</v>
      </c>
      <c r="F299" s="16">
        <v>6464</v>
      </c>
      <c r="G299" s="16">
        <v>6481</v>
      </c>
      <c r="H299" s="16">
        <v>6471</v>
      </c>
      <c r="I299" s="16">
        <v>6384</v>
      </c>
      <c r="J299" s="16">
        <v>6374</v>
      </c>
      <c r="K299" s="16">
        <v>6364</v>
      </c>
      <c r="L299" s="16">
        <v>0</v>
      </c>
      <c r="M299" s="16">
        <v>1</v>
      </c>
      <c r="N299" s="16">
        <v>0</v>
      </c>
      <c r="O299" s="16">
        <v>0</v>
      </c>
      <c r="P299" s="16">
        <v>0</v>
      </c>
      <c r="Q299" s="16">
        <v>1</v>
      </c>
      <c r="R299" s="18">
        <f t="shared" si="32"/>
        <v>0</v>
      </c>
      <c r="S299" s="18">
        <f t="shared" si="33"/>
        <v>154.29717636167257</v>
      </c>
      <c r="T299" s="18">
        <f t="shared" si="34"/>
        <v>0</v>
      </c>
      <c r="U299" s="18">
        <f t="shared" si="35"/>
        <v>51.432392120557523</v>
      </c>
      <c r="V299" s="18">
        <f t="shared" si="36"/>
        <v>0</v>
      </c>
      <c r="W299" s="18">
        <f t="shared" si="37"/>
        <v>0</v>
      </c>
      <c r="X299" s="18">
        <f t="shared" si="38"/>
        <v>157.13387806411063</v>
      </c>
      <c r="Y299" s="18">
        <f t="shared" si="39"/>
        <v>52.377959354703542</v>
      </c>
    </row>
    <row r="300" spans="1:25">
      <c r="A300" s="15" t="s">
        <v>295</v>
      </c>
      <c r="B300" s="15" t="s">
        <v>542</v>
      </c>
      <c r="C300" s="15" t="s">
        <v>384</v>
      </c>
      <c r="D300" s="15" t="s">
        <v>384</v>
      </c>
      <c r="E300" s="16">
        <v>71106</v>
      </c>
      <c r="F300" s="16">
        <v>22366</v>
      </c>
      <c r="G300" s="16">
        <v>22845</v>
      </c>
      <c r="H300" s="16">
        <v>23046</v>
      </c>
      <c r="I300" s="16">
        <v>24856</v>
      </c>
      <c r="J300" s="16">
        <v>25057</v>
      </c>
      <c r="K300" s="16">
        <v>25258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8">
        <f t="shared" si="32"/>
        <v>0</v>
      </c>
      <c r="S300" s="18">
        <f t="shared" si="33"/>
        <v>0</v>
      </c>
      <c r="T300" s="18">
        <f t="shared" si="34"/>
        <v>0</v>
      </c>
      <c r="U300" s="18">
        <f t="shared" si="35"/>
        <v>0</v>
      </c>
      <c r="V300" s="18">
        <f t="shared" si="36"/>
        <v>0</v>
      </c>
      <c r="W300" s="18">
        <f t="shared" si="37"/>
        <v>0</v>
      </c>
      <c r="X300" s="18">
        <f t="shared" si="38"/>
        <v>0</v>
      </c>
      <c r="Y300" s="18">
        <f t="shared" si="39"/>
        <v>0</v>
      </c>
    </row>
    <row r="301" spans="1:25">
      <c r="A301" s="15" t="s">
        <v>295</v>
      </c>
      <c r="B301" s="15" t="s">
        <v>544</v>
      </c>
      <c r="C301" s="15" t="s">
        <v>269</v>
      </c>
      <c r="D301" s="15" t="s">
        <v>269</v>
      </c>
      <c r="E301" s="16">
        <v>71201</v>
      </c>
      <c r="F301" s="16">
        <v>14343</v>
      </c>
      <c r="G301" s="16">
        <v>14470</v>
      </c>
      <c r="H301" s="16">
        <v>14546</v>
      </c>
      <c r="I301" s="16">
        <v>15227</v>
      </c>
      <c r="J301" s="16">
        <v>15302</v>
      </c>
      <c r="K301" s="16">
        <v>15378</v>
      </c>
      <c r="L301" s="16">
        <v>4</v>
      </c>
      <c r="M301" s="16">
        <v>0</v>
      </c>
      <c r="N301" s="16">
        <v>1</v>
      </c>
      <c r="O301" s="16">
        <v>1</v>
      </c>
      <c r="P301" s="16">
        <v>2</v>
      </c>
      <c r="Q301" s="16">
        <v>2</v>
      </c>
      <c r="R301" s="18">
        <f t="shared" si="32"/>
        <v>278.88168444537405</v>
      </c>
      <c r="S301" s="18">
        <f t="shared" si="33"/>
        <v>0</v>
      </c>
      <c r="T301" s="18">
        <f t="shared" si="34"/>
        <v>68.747421971676062</v>
      </c>
      <c r="U301" s="18">
        <f t="shared" si="35"/>
        <v>115.87636880568338</v>
      </c>
      <c r="V301" s="18">
        <f t="shared" si="36"/>
        <v>65.672818020621264</v>
      </c>
      <c r="W301" s="18">
        <f t="shared" si="37"/>
        <v>130.70186903672723</v>
      </c>
      <c r="X301" s="18">
        <f t="shared" si="38"/>
        <v>130.05592404734037</v>
      </c>
      <c r="Y301" s="18">
        <f t="shared" si="39"/>
        <v>108.81020370156295</v>
      </c>
    </row>
    <row r="302" spans="1:25">
      <c r="A302" s="15" t="s">
        <v>295</v>
      </c>
      <c r="B302" s="15" t="s">
        <v>545</v>
      </c>
      <c r="C302" s="15" t="s">
        <v>241</v>
      </c>
      <c r="D302" s="15" t="s">
        <v>241</v>
      </c>
      <c r="E302" s="16">
        <v>71301</v>
      </c>
      <c r="F302" s="16">
        <v>15805</v>
      </c>
      <c r="G302" s="16">
        <v>15919</v>
      </c>
      <c r="H302" s="16">
        <v>16025</v>
      </c>
      <c r="I302" s="16">
        <v>16982</v>
      </c>
      <c r="J302" s="16">
        <v>17089</v>
      </c>
      <c r="K302" s="16">
        <v>17195</v>
      </c>
      <c r="L302" s="16">
        <v>0</v>
      </c>
      <c r="M302" s="16">
        <v>1</v>
      </c>
      <c r="N302" s="16">
        <v>1</v>
      </c>
      <c r="O302" s="16">
        <v>0</v>
      </c>
      <c r="P302" s="16">
        <v>2</v>
      </c>
      <c r="Q302" s="16">
        <v>2</v>
      </c>
      <c r="R302" s="18">
        <f t="shared" si="32"/>
        <v>0</v>
      </c>
      <c r="S302" s="18">
        <f t="shared" si="33"/>
        <v>62.818016207048174</v>
      </c>
      <c r="T302" s="18">
        <f t="shared" si="34"/>
        <v>62.402496099843987</v>
      </c>
      <c r="U302" s="18">
        <f t="shared" si="35"/>
        <v>41.740170768964056</v>
      </c>
      <c r="V302" s="18">
        <f t="shared" si="36"/>
        <v>0</v>
      </c>
      <c r="W302" s="18">
        <f t="shared" si="37"/>
        <v>117.0343495816022</v>
      </c>
      <c r="X302" s="18">
        <f t="shared" si="38"/>
        <v>116.31288165164293</v>
      </c>
      <c r="Y302" s="18">
        <f t="shared" si="39"/>
        <v>77.782410411081699</v>
      </c>
    </row>
    <row r="303" spans="1:25">
      <c r="A303" s="15" t="s">
        <v>295</v>
      </c>
      <c r="B303" s="15" t="s">
        <v>545</v>
      </c>
      <c r="C303" s="15" t="s">
        <v>262</v>
      </c>
      <c r="D303" s="15" t="s">
        <v>262</v>
      </c>
      <c r="E303" s="16">
        <v>71302</v>
      </c>
      <c r="F303" s="16">
        <v>7205</v>
      </c>
      <c r="G303" s="16">
        <v>7390</v>
      </c>
      <c r="H303" s="16">
        <v>7278</v>
      </c>
      <c r="I303" s="16">
        <v>6272</v>
      </c>
      <c r="J303" s="16">
        <v>6160</v>
      </c>
      <c r="K303" s="16">
        <v>6048</v>
      </c>
      <c r="L303" s="16">
        <v>0</v>
      </c>
      <c r="M303" s="16">
        <v>1</v>
      </c>
      <c r="N303" s="16">
        <v>0</v>
      </c>
      <c r="O303" s="16">
        <v>0</v>
      </c>
      <c r="P303" s="16">
        <v>1</v>
      </c>
      <c r="Q303" s="16">
        <v>0</v>
      </c>
      <c r="R303" s="18">
        <f t="shared" si="32"/>
        <v>0</v>
      </c>
      <c r="S303" s="18">
        <f t="shared" si="33"/>
        <v>135.31799729364008</v>
      </c>
      <c r="T303" s="18">
        <f t="shared" si="34"/>
        <v>0</v>
      </c>
      <c r="U303" s="18">
        <f t="shared" si="35"/>
        <v>45.105999097880023</v>
      </c>
      <c r="V303" s="18">
        <f t="shared" si="36"/>
        <v>0</v>
      </c>
      <c r="W303" s="18">
        <f t="shared" si="37"/>
        <v>162.33766233766235</v>
      </c>
      <c r="X303" s="18">
        <f t="shared" si="38"/>
        <v>0</v>
      </c>
      <c r="Y303" s="18">
        <f t="shared" si="39"/>
        <v>54.112554112554115</v>
      </c>
    </row>
    <row r="304" spans="1:25">
      <c r="A304" s="15" t="s">
        <v>295</v>
      </c>
      <c r="B304" s="15" t="s">
        <v>546</v>
      </c>
      <c r="C304" s="15" t="s">
        <v>547</v>
      </c>
      <c r="D304" s="15" t="s">
        <v>547</v>
      </c>
      <c r="E304" s="16">
        <v>71401</v>
      </c>
      <c r="F304" s="16">
        <v>19409</v>
      </c>
      <c r="G304" s="16">
        <v>19829</v>
      </c>
      <c r="H304" s="16">
        <v>19628</v>
      </c>
      <c r="I304" s="16">
        <v>17819</v>
      </c>
      <c r="J304" s="16">
        <v>17618</v>
      </c>
      <c r="K304" s="16">
        <v>17417</v>
      </c>
      <c r="L304" s="16">
        <v>4</v>
      </c>
      <c r="M304" s="16">
        <v>1</v>
      </c>
      <c r="N304" s="16">
        <v>5</v>
      </c>
      <c r="O304" s="16">
        <v>6</v>
      </c>
      <c r="P304" s="16">
        <v>12</v>
      </c>
      <c r="Q304" s="16">
        <v>6</v>
      </c>
      <c r="R304" s="18">
        <f t="shared" si="32"/>
        <v>206.08995826678344</v>
      </c>
      <c r="S304" s="18">
        <f t="shared" si="33"/>
        <v>50.431186645821775</v>
      </c>
      <c r="T304" s="18">
        <f t="shared" si="34"/>
        <v>254.73812920317914</v>
      </c>
      <c r="U304" s="18">
        <f t="shared" si="35"/>
        <v>170.41975803859478</v>
      </c>
      <c r="V304" s="18">
        <f t="shared" si="36"/>
        <v>336.71923228015038</v>
      </c>
      <c r="W304" s="18">
        <f t="shared" si="37"/>
        <v>681.12158020206607</v>
      </c>
      <c r="X304" s="18">
        <f t="shared" si="38"/>
        <v>344.49101452603776</v>
      </c>
      <c r="Y304" s="18">
        <f t="shared" si="39"/>
        <v>454.11060900275146</v>
      </c>
    </row>
    <row r="305" spans="1:25">
      <c r="A305" s="15" t="s">
        <v>295</v>
      </c>
      <c r="B305" s="15" t="s">
        <v>546</v>
      </c>
      <c r="C305" s="15" t="s">
        <v>258</v>
      </c>
      <c r="D305" s="15" t="s">
        <v>258</v>
      </c>
      <c r="E305" s="16">
        <v>71402</v>
      </c>
      <c r="F305" s="16">
        <v>16318</v>
      </c>
      <c r="G305" s="16">
        <v>16659</v>
      </c>
      <c r="H305" s="16">
        <v>16769</v>
      </c>
      <c r="I305" s="16">
        <v>17755</v>
      </c>
      <c r="J305" s="16">
        <v>17864</v>
      </c>
      <c r="K305" s="16">
        <v>17974</v>
      </c>
      <c r="L305" s="16">
        <v>2</v>
      </c>
      <c r="M305" s="16">
        <v>0</v>
      </c>
      <c r="N305" s="16">
        <v>5</v>
      </c>
      <c r="O305" s="16">
        <v>5</v>
      </c>
      <c r="P305" s="16">
        <v>15</v>
      </c>
      <c r="Q305" s="16">
        <v>5</v>
      </c>
      <c r="R305" s="18">
        <f t="shared" si="32"/>
        <v>122.56403971074887</v>
      </c>
      <c r="S305" s="18">
        <f t="shared" si="33"/>
        <v>0</v>
      </c>
      <c r="T305" s="18">
        <f t="shared" si="34"/>
        <v>298.16924086111277</v>
      </c>
      <c r="U305" s="18">
        <f t="shared" si="35"/>
        <v>140.24442685728721</v>
      </c>
      <c r="V305" s="18">
        <f t="shared" si="36"/>
        <v>281.61081385525205</v>
      </c>
      <c r="W305" s="18">
        <f t="shared" si="37"/>
        <v>839.67756381549486</v>
      </c>
      <c r="X305" s="18">
        <f t="shared" si="38"/>
        <v>278.17959274507621</v>
      </c>
      <c r="Y305" s="18">
        <f t="shared" si="39"/>
        <v>466.48932347194108</v>
      </c>
    </row>
    <row r="306" spans="1:25">
      <c r="A306" s="15" t="s">
        <v>295</v>
      </c>
      <c r="B306" s="15" t="s">
        <v>546</v>
      </c>
      <c r="C306" s="15" t="s">
        <v>391</v>
      </c>
      <c r="D306" s="15" t="s">
        <v>391</v>
      </c>
      <c r="E306" s="16">
        <v>71403</v>
      </c>
      <c r="F306" s="16">
        <v>6210</v>
      </c>
      <c r="G306" s="16">
        <v>6342</v>
      </c>
      <c r="H306" s="16">
        <v>6548</v>
      </c>
      <c r="I306" s="16">
        <v>8404</v>
      </c>
      <c r="J306" s="16">
        <v>8610</v>
      </c>
      <c r="K306" s="16">
        <v>8816</v>
      </c>
      <c r="L306" s="16">
        <v>1</v>
      </c>
      <c r="M306" s="16">
        <v>0</v>
      </c>
      <c r="N306" s="16">
        <v>0</v>
      </c>
      <c r="O306" s="16">
        <v>0</v>
      </c>
      <c r="P306" s="16">
        <v>4</v>
      </c>
      <c r="Q306" s="16">
        <v>3</v>
      </c>
      <c r="R306" s="18">
        <f t="shared" si="32"/>
        <v>161.03059581320451</v>
      </c>
      <c r="S306" s="18">
        <f t="shared" si="33"/>
        <v>0</v>
      </c>
      <c r="T306" s="18">
        <f t="shared" si="34"/>
        <v>0</v>
      </c>
      <c r="U306" s="18">
        <f t="shared" si="35"/>
        <v>53.676865271068174</v>
      </c>
      <c r="V306" s="18">
        <f t="shared" si="36"/>
        <v>0</v>
      </c>
      <c r="W306" s="18">
        <f t="shared" si="37"/>
        <v>464.57607433217191</v>
      </c>
      <c r="X306" s="18">
        <f t="shared" si="38"/>
        <v>340.29038112522687</v>
      </c>
      <c r="Y306" s="18">
        <f t="shared" si="39"/>
        <v>268.2888184857996</v>
      </c>
    </row>
    <row r="307" spans="1:25">
      <c r="A307" s="15" t="s">
        <v>295</v>
      </c>
      <c r="B307" s="15" t="s">
        <v>548</v>
      </c>
      <c r="C307" s="15" t="s">
        <v>549</v>
      </c>
      <c r="D307" s="15" t="s">
        <v>549</v>
      </c>
      <c r="E307" s="16">
        <v>71501</v>
      </c>
      <c r="F307" s="16">
        <v>26153</v>
      </c>
      <c r="G307" s="16">
        <v>27070</v>
      </c>
      <c r="H307" s="16">
        <v>27654</v>
      </c>
      <c r="I307" s="16">
        <v>32911</v>
      </c>
      <c r="J307" s="16">
        <v>33495</v>
      </c>
      <c r="K307" s="16">
        <v>34079</v>
      </c>
      <c r="L307" s="16">
        <v>5</v>
      </c>
      <c r="M307" s="16">
        <v>4</v>
      </c>
      <c r="N307" s="16">
        <v>7</v>
      </c>
      <c r="O307" s="16">
        <v>5</v>
      </c>
      <c r="P307" s="16">
        <v>14</v>
      </c>
      <c r="Q307" s="16">
        <v>8</v>
      </c>
      <c r="R307" s="18">
        <f t="shared" si="32"/>
        <v>191.18265590945589</v>
      </c>
      <c r="S307" s="18">
        <f t="shared" si="33"/>
        <v>147.7650535648319</v>
      </c>
      <c r="T307" s="18">
        <f t="shared" si="34"/>
        <v>253.12793809213855</v>
      </c>
      <c r="U307" s="18">
        <f t="shared" si="35"/>
        <v>197.35854918880878</v>
      </c>
      <c r="V307" s="18">
        <f t="shared" si="36"/>
        <v>151.92488833520707</v>
      </c>
      <c r="W307" s="18">
        <f t="shared" si="37"/>
        <v>417.97283176593521</v>
      </c>
      <c r="X307" s="18">
        <f t="shared" si="38"/>
        <v>234.74867220282286</v>
      </c>
      <c r="Y307" s="18">
        <f t="shared" si="39"/>
        <v>268.21546410132174</v>
      </c>
    </row>
    <row r="308" spans="1:25">
      <c r="A308" s="15" t="s">
        <v>295</v>
      </c>
      <c r="B308" s="15" t="s">
        <v>548</v>
      </c>
      <c r="C308" s="15" t="s">
        <v>395</v>
      </c>
      <c r="D308" s="15" t="s">
        <v>274</v>
      </c>
      <c r="E308" s="16">
        <v>71502</v>
      </c>
      <c r="F308" s="16">
        <v>6929</v>
      </c>
      <c r="G308" s="16">
        <v>7026</v>
      </c>
      <c r="H308" s="16">
        <v>6987</v>
      </c>
      <c r="I308" s="16">
        <v>6634</v>
      </c>
      <c r="J308" s="16">
        <v>6594</v>
      </c>
      <c r="K308" s="16">
        <v>6555</v>
      </c>
      <c r="L308" s="16">
        <v>2</v>
      </c>
      <c r="M308" s="16">
        <v>10</v>
      </c>
      <c r="N308" s="16">
        <v>10</v>
      </c>
      <c r="O308" s="16">
        <v>1</v>
      </c>
      <c r="P308" s="16">
        <v>2</v>
      </c>
      <c r="Q308" s="16">
        <v>0</v>
      </c>
      <c r="R308" s="18">
        <f t="shared" si="32"/>
        <v>288.6419396738346</v>
      </c>
      <c r="S308" s="18">
        <f t="shared" si="33"/>
        <v>1423.2849416453173</v>
      </c>
      <c r="T308" s="18">
        <f t="shared" si="34"/>
        <v>1431.229426077</v>
      </c>
      <c r="U308" s="18">
        <f t="shared" si="35"/>
        <v>1047.7187691320507</v>
      </c>
      <c r="V308" s="18">
        <f t="shared" si="36"/>
        <v>150.73861923424781</v>
      </c>
      <c r="W308" s="18">
        <f t="shared" si="37"/>
        <v>303.30603579011222</v>
      </c>
      <c r="X308" s="18">
        <f t="shared" si="38"/>
        <v>0</v>
      </c>
      <c r="Y308" s="18">
        <f t="shared" si="39"/>
        <v>151.34821834145336</v>
      </c>
    </row>
    <row r="309" spans="1:25">
      <c r="A309" s="15" t="s">
        <v>295</v>
      </c>
      <c r="B309" s="15" t="s">
        <v>548</v>
      </c>
      <c r="C309" s="15" t="s">
        <v>245</v>
      </c>
      <c r="D309" s="15" t="s">
        <v>245</v>
      </c>
      <c r="E309" s="16">
        <v>71503</v>
      </c>
      <c r="F309" s="16">
        <v>13698</v>
      </c>
      <c r="G309" s="16">
        <v>14205</v>
      </c>
      <c r="H309" s="16">
        <v>14462</v>
      </c>
      <c r="I309" s="16">
        <v>16776</v>
      </c>
      <c r="J309" s="16">
        <v>17033</v>
      </c>
      <c r="K309" s="16">
        <v>17290</v>
      </c>
      <c r="L309" s="16">
        <v>0</v>
      </c>
      <c r="M309" s="16">
        <v>1</v>
      </c>
      <c r="N309" s="16">
        <v>2</v>
      </c>
      <c r="O309" s="16">
        <v>1</v>
      </c>
      <c r="P309" s="16">
        <v>3</v>
      </c>
      <c r="Q309" s="16">
        <v>2</v>
      </c>
      <c r="R309" s="18">
        <f t="shared" si="32"/>
        <v>0</v>
      </c>
      <c r="S309" s="18">
        <f t="shared" si="33"/>
        <v>70.397747272087287</v>
      </c>
      <c r="T309" s="18">
        <f t="shared" si="34"/>
        <v>138.29345871940257</v>
      </c>
      <c r="U309" s="18">
        <f t="shared" si="35"/>
        <v>69.563735330496613</v>
      </c>
      <c r="V309" s="18">
        <f t="shared" si="36"/>
        <v>59.60896518836433</v>
      </c>
      <c r="W309" s="18">
        <f t="shared" si="37"/>
        <v>176.12869136382315</v>
      </c>
      <c r="X309" s="18">
        <f t="shared" si="38"/>
        <v>115.6737998843262</v>
      </c>
      <c r="Y309" s="18">
        <f t="shared" si="39"/>
        <v>117.13715214550456</v>
      </c>
    </row>
    <row r="310" spans="1:25">
      <c r="A310" s="15" t="s">
        <v>297</v>
      </c>
      <c r="B310" s="15" t="s">
        <v>467</v>
      </c>
      <c r="C310" s="15" t="s">
        <v>25</v>
      </c>
      <c r="D310" s="15" t="s">
        <v>25</v>
      </c>
      <c r="E310" s="16">
        <v>80101</v>
      </c>
      <c r="F310" s="16">
        <v>104175</v>
      </c>
      <c r="G310" s="16">
        <v>106596</v>
      </c>
      <c r="H310" s="16">
        <v>108429</v>
      </c>
      <c r="I310" s="16">
        <v>124924</v>
      </c>
      <c r="J310" s="16">
        <v>126756</v>
      </c>
      <c r="K310" s="16">
        <v>128589</v>
      </c>
      <c r="L310" s="16">
        <v>11</v>
      </c>
      <c r="M310" s="16">
        <v>27</v>
      </c>
      <c r="N310" s="16">
        <v>31</v>
      </c>
      <c r="O310" s="16">
        <v>88</v>
      </c>
      <c r="P310" s="16">
        <v>95</v>
      </c>
      <c r="Q310" s="16">
        <v>83</v>
      </c>
      <c r="R310" s="18">
        <f t="shared" si="32"/>
        <v>105.59155267578593</v>
      </c>
      <c r="S310" s="18">
        <f t="shared" si="33"/>
        <v>253.29280648429585</v>
      </c>
      <c r="T310" s="18">
        <f t="shared" si="34"/>
        <v>285.9013732488541</v>
      </c>
      <c r="U310" s="18">
        <f t="shared" si="35"/>
        <v>214.92857746964532</v>
      </c>
      <c r="V310" s="18">
        <f t="shared" si="36"/>
        <v>704.42829240178025</v>
      </c>
      <c r="W310" s="18">
        <f t="shared" si="37"/>
        <v>749.47142541575943</v>
      </c>
      <c r="X310" s="18">
        <f t="shared" si="38"/>
        <v>645.46734168552518</v>
      </c>
      <c r="Y310" s="18">
        <f t="shared" si="39"/>
        <v>699.78901983435492</v>
      </c>
    </row>
    <row r="311" spans="1:25">
      <c r="A311" s="15" t="s">
        <v>297</v>
      </c>
      <c r="B311" s="15" t="s">
        <v>467</v>
      </c>
      <c r="C311" s="15" t="s">
        <v>20</v>
      </c>
      <c r="D311" s="15" t="s">
        <v>20</v>
      </c>
      <c r="E311" s="16">
        <v>80102</v>
      </c>
      <c r="F311" s="16">
        <v>5042</v>
      </c>
      <c r="G311" s="16">
        <v>5277</v>
      </c>
      <c r="H311" s="16">
        <v>5497</v>
      </c>
      <c r="I311" s="16">
        <v>7474</v>
      </c>
      <c r="J311" s="16">
        <v>7693</v>
      </c>
      <c r="K311" s="16">
        <v>7913</v>
      </c>
      <c r="L311" s="16">
        <v>0</v>
      </c>
      <c r="M311" s="16">
        <v>0</v>
      </c>
      <c r="N311" s="16">
        <v>0</v>
      </c>
      <c r="O311" s="16">
        <v>1</v>
      </c>
      <c r="P311" s="16">
        <v>0</v>
      </c>
      <c r="Q311" s="16">
        <v>0</v>
      </c>
      <c r="R311" s="18">
        <f t="shared" si="32"/>
        <v>0</v>
      </c>
      <c r="S311" s="18">
        <f t="shared" si="33"/>
        <v>0</v>
      </c>
      <c r="T311" s="18">
        <f t="shared" si="34"/>
        <v>0</v>
      </c>
      <c r="U311" s="18">
        <f t="shared" si="35"/>
        <v>0</v>
      </c>
      <c r="V311" s="18">
        <f t="shared" si="36"/>
        <v>133.79716350013379</v>
      </c>
      <c r="W311" s="18">
        <f t="shared" si="37"/>
        <v>0</v>
      </c>
      <c r="X311" s="18">
        <f t="shared" si="38"/>
        <v>0</v>
      </c>
      <c r="Y311" s="18">
        <f t="shared" si="39"/>
        <v>44.599054500044595</v>
      </c>
    </row>
    <row r="312" spans="1:25">
      <c r="A312" s="15" t="s">
        <v>297</v>
      </c>
      <c r="B312" s="15" t="s">
        <v>550</v>
      </c>
      <c r="C312" s="15" t="s">
        <v>16</v>
      </c>
      <c r="D312" s="15" t="s">
        <v>16</v>
      </c>
      <c r="E312" s="16">
        <v>80201</v>
      </c>
      <c r="F312" s="16">
        <v>87836</v>
      </c>
      <c r="G312" s="16">
        <v>89022</v>
      </c>
      <c r="H312" s="16">
        <v>90795</v>
      </c>
      <c r="I312" s="16">
        <v>106755</v>
      </c>
      <c r="J312" s="16">
        <v>108529</v>
      </c>
      <c r="K312" s="16">
        <v>110302</v>
      </c>
      <c r="L312" s="16">
        <v>1</v>
      </c>
      <c r="M312" s="16">
        <v>7</v>
      </c>
      <c r="N312" s="16">
        <v>2</v>
      </c>
      <c r="O312" s="16">
        <v>70</v>
      </c>
      <c r="P312" s="16">
        <v>79</v>
      </c>
      <c r="Q312" s="16">
        <v>74</v>
      </c>
      <c r="R312" s="18">
        <f t="shared" si="32"/>
        <v>11.384853590782823</v>
      </c>
      <c r="S312" s="18">
        <f t="shared" si="33"/>
        <v>78.632248208308056</v>
      </c>
      <c r="T312" s="18">
        <f t="shared" si="34"/>
        <v>22.027644694091084</v>
      </c>
      <c r="U312" s="18">
        <f t="shared" si="35"/>
        <v>37.348248831060651</v>
      </c>
      <c r="V312" s="18">
        <f t="shared" si="36"/>
        <v>655.70699264671441</v>
      </c>
      <c r="W312" s="18">
        <f t="shared" si="37"/>
        <v>727.91604087386781</v>
      </c>
      <c r="X312" s="18">
        <f t="shared" si="38"/>
        <v>670.88538739098112</v>
      </c>
      <c r="Y312" s="18">
        <f t="shared" si="39"/>
        <v>684.83614030385445</v>
      </c>
    </row>
    <row r="313" spans="1:25">
      <c r="A313" s="15" t="s">
        <v>297</v>
      </c>
      <c r="B313" s="15" t="s">
        <v>550</v>
      </c>
      <c r="C313" s="15" t="s">
        <v>368</v>
      </c>
      <c r="D313" s="15" t="s">
        <v>368</v>
      </c>
      <c r="E313" s="16">
        <v>80202</v>
      </c>
      <c r="F313" s="16">
        <v>41689</v>
      </c>
      <c r="G313" s="16">
        <v>41814</v>
      </c>
      <c r="H313" s="16">
        <v>41832</v>
      </c>
      <c r="I313" s="16">
        <v>41995</v>
      </c>
      <c r="J313" s="16">
        <v>42013</v>
      </c>
      <c r="K313" s="16">
        <v>42031</v>
      </c>
      <c r="L313" s="16">
        <v>2</v>
      </c>
      <c r="M313" s="16">
        <v>3</v>
      </c>
      <c r="N313" s="16">
        <v>3</v>
      </c>
      <c r="O313" s="16">
        <v>6</v>
      </c>
      <c r="P313" s="16">
        <v>18</v>
      </c>
      <c r="Q313" s="16">
        <v>15</v>
      </c>
      <c r="R313" s="18">
        <f t="shared" si="32"/>
        <v>47.974285782820409</v>
      </c>
      <c r="S313" s="18">
        <f t="shared" si="33"/>
        <v>71.746305065289135</v>
      </c>
      <c r="T313" s="18">
        <f t="shared" si="34"/>
        <v>71.715433161216282</v>
      </c>
      <c r="U313" s="18">
        <f t="shared" si="35"/>
        <v>63.812008003108609</v>
      </c>
      <c r="V313" s="18">
        <f t="shared" si="36"/>
        <v>142.87415168472438</v>
      </c>
      <c r="W313" s="18">
        <f t="shared" si="37"/>
        <v>428.43881655678007</v>
      </c>
      <c r="X313" s="18">
        <f t="shared" si="38"/>
        <v>356.87944612309963</v>
      </c>
      <c r="Y313" s="18">
        <f t="shared" si="39"/>
        <v>309.39747145486803</v>
      </c>
    </row>
    <row r="314" spans="1:25">
      <c r="A314" s="15" t="s">
        <v>297</v>
      </c>
      <c r="B314" s="15" t="s">
        <v>551</v>
      </c>
      <c r="C314" s="15" t="s">
        <v>15</v>
      </c>
      <c r="D314" s="15" t="s">
        <v>15</v>
      </c>
      <c r="E314" s="16">
        <v>80301</v>
      </c>
      <c r="F314" s="16">
        <v>13053</v>
      </c>
      <c r="G314" s="16">
        <v>13246</v>
      </c>
      <c r="H314" s="16">
        <v>13099</v>
      </c>
      <c r="I314" s="16">
        <v>11773</v>
      </c>
      <c r="J314" s="16">
        <v>11625</v>
      </c>
      <c r="K314" s="16">
        <v>11478</v>
      </c>
      <c r="L314" s="16">
        <v>0</v>
      </c>
      <c r="M314" s="16">
        <v>0</v>
      </c>
      <c r="N314" s="16">
        <v>0</v>
      </c>
      <c r="O314" s="16">
        <v>3</v>
      </c>
      <c r="P314" s="16">
        <v>3</v>
      </c>
      <c r="Q314" s="16">
        <v>1</v>
      </c>
      <c r="R314" s="18">
        <f t="shared" si="32"/>
        <v>0</v>
      </c>
      <c r="S314" s="18">
        <f t="shared" si="33"/>
        <v>0</v>
      </c>
      <c r="T314" s="18">
        <f t="shared" si="34"/>
        <v>0</v>
      </c>
      <c r="U314" s="18">
        <f t="shared" si="35"/>
        <v>0</v>
      </c>
      <c r="V314" s="18">
        <f t="shared" si="36"/>
        <v>254.82035165208526</v>
      </c>
      <c r="W314" s="18">
        <f t="shared" si="37"/>
        <v>258.06451612903226</v>
      </c>
      <c r="X314" s="18">
        <f t="shared" si="38"/>
        <v>87.12319219376198</v>
      </c>
      <c r="Y314" s="18">
        <f t="shared" si="39"/>
        <v>200.00268665829313</v>
      </c>
    </row>
    <row r="315" spans="1:25">
      <c r="A315" s="15" t="s">
        <v>297</v>
      </c>
      <c r="B315" s="15" t="s">
        <v>551</v>
      </c>
      <c r="C315" s="15" t="s">
        <v>18</v>
      </c>
      <c r="D315" s="15" t="s">
        <v>18</v>
      </c>
      <c r="E315" s="16">
        <v>80302</v>
      </c>
      <c r="F315" s="16">
        <v>40273</v>
      </c>
      <c r="G315" s="16">
        <v>40864</v>
      </c>
      <c r="H315" s="16">
        <v>41275</v>
      </c>
      <c r="I315" s="16">
        <v>44976</v>
      </c>
      <c r="J315" s="16">
        <v>45387</v>
      </c>
      <c r="K315" s="16">
        <v>45798</v>
      </c>
      <c r="L315" s="16">
        <v>0</v>
      </c>
      <c r="M315" s="16">
        <v>0</v>
      </c>
      <c r="N315" s="16">
        <v>3</v>
      </c>
      <c r="O315" s="16">
        <v>6</v>
      </c>
      <c r="P315" s="16">
        <v>6</v>
      </c>
      <c r="Q315" s="16">
        <v>6</v>
      </c>
      <c r="R315" s="18">
        <f t="shared" si="32"/>
        <v>0</v>
      </c>
      <c r="S315" s="18">
        <f t="shared" si="33"/>
        <v>0</v>
      </c>
      <c r="T315" s="18">
        <f t="shared" si="34"/>
        <v>72.683222289521495</v>
      </c>
      <c r="U315" s="18">
        <f t="shared" si="35"/>
        <v>24.227740763173831</v>
      </c>
      <c r="V315" s="18">
        <f t="shared" si="36"/>
        <v>133.40448239060834</v>
      </c>
      <c r="W315" s="18">
        <f t="shared" si="37"/>
        <v>132.19644391565865</v>
      </c>
      <c r="X315" s="18">
        <f t="shared" si="38"/>
        <v>131.01008777675884</v>
      </c>
      <c r="Y315" s="18">
        <f t="shared" si="39"/>
        <v>132.20367136100859</v>
      </c>
    </row>
    <row r="316" spans="1:25">
      <c r="A316" s="15" t="s">
        <v>297</v>
      </c>
      <c r="B316" s="15" t="s">
        <v>551</v>
      </c>
      <c r="C316" s="15" t="s">
        <v>24</v>
      </c>
      <c r="D316" s="15" t="s">
        <v>24</v>
      </c>
      <c r="E316" s="16">
        <v>80303</v>
      </c>
      <c r="F316" s="16">
        <v>9436</v>
      </c>
      <c r="G316" s="16">
        <v>9478</v>
      </c>
      <c r="H316" s="16">
        <v>9615</v>
      </c>
      <c r="I316" s="16">
        <v>10848</v>
      </c>
      <c r="J316" s="16">
        <v>10985</v>
      </c>
      <c r="K316" s="16">
        <v>11122</v>
      </c>
      <c r="L316" s="16">
        <v>0</v>
      </c>
      <c r="M316" s="16">
        <v>1</v>
      </c>
      <c r="N316" s="16">
        <v>0</v>
      </c>
      <c r="O316" s="16">
        <v>1</v>
      </c>
      <c r="P316" s="16">
        <v>3</v>
      </c>
      <c r="Q316" s="16">
        <v>3</v>
      </c>
      <c r="R316" s="18">
        <f t="shared" si="32"/>
        <v>0</v>
      </c>
      <c r="S316" s="18">
        <f t="shared" si="33"/>
        <v>105.50749103186325</v>
      </c>
      <c r="T316" s="18">
        <f t="shared" si="34"/>
        <v>0</v>
      </c>
      <c r="U316" s="18">
        <f t="shared" si="35"/>
        <v>35.169163677287749</v>
      </c>
      <c r="V316" s="18">
        <f t="shared" si="36"/>
        <v>92.182890855457231</v>
      </c>
      <c r="W316" s="18">
        <f t="shared" si="37"/>
        <v>273.09968138370505</v>
      </c>
      <c r="X316" s="18">
        <f t="shared" si="38"/>
        <v>269.73565905412698</v>
      </c>
      <c r="Y316" s="18">
        <f t="shared" si="39"/>
        <v>211.67274376442978</v>
      </c>
    </row>
    <row r="317" spans="1:25">
      <c r="A317" s="15" t="s">
        <v>297</v>
      </c>
      <c r="B317" s="15" t="s">
        <v>551</v>
      </c>
      <c r="C317" s="15" t="s">
        <v>363</v>
      </c>
      <c r="D317" s="15" t="s">
        <v>552</v>
      </c>
      <c r="E317" s="16">
        <v>80304</v>
      </c>
      <c r="F317" s="16">
        <v>18693</v>
      </c>
      <c r="G317" s="16">
        <v>19195</v>
      </c>
      <c r="H317" s="16">
        <v>19365</v>
      </c>
      <c r="I317" s="16">
        <v>20899</v>
      </c>
      <c r="J317" s="16">
        <v>21070</v>
      </c>
      <c r="K317" s="16">
        <v>21240</v>
      </c>
      <c r="L317" s="16">
        <v>0</v>
      </c>
      <c r="M317" s="16">
        <v>2</v>
      </c>
      <c r="N317" s="16">
        <v>1</v>
      </c>
      <c r="O317" s="16">
        <v>2</v>
      </c>
      <c r="P317" s="16">
        <v>10</v>
      </c>
      <c r="Q317" s="16">
        <v>6</v>
      </c>
      <c r="R317" s="18">
        <f t="shared" si="32"/>
        <v>0</v>
      </c>
      <c r="S317" s="18">
        <f t="shared" si="33"/>
        <v>104.1938004688721</v>
      </c>
      <c r="T317" s="18">
        <f t="shared" si="34"/>
        <v>51.639555899819264</v>
      </c>
      <c r="U317" s="18">
        <f t="shared" si="35"/>
        <v>51.944452122897125</v>
      </c>
      <c r="V317" s="18">
        <f t="shared" si="36"/>
        <v>95.698358773147049</v>
      </c>
      <c r="W317" s="18">
        <f t="shared" si="37"/>
        <v>474.60844803037497</v>
      </c>
      <c r="X317" s="18">
        <f t="shared" si="38"/>
        <v>282.4858757062147</v>
      </c>
      <c r="Y317" s="18">
        <f t="shared" si="39"/>
        <v>284.26422750324559</v>
      </c>
    </row>
    <row r="318" spans="1:25">
      <c r="A318" s="15" t="s">
        <v>297</v>
      </c>
      <c r="B318" s="15" t="s">
        <v>553</v>
      </c>
      <c r="C318" s="15" t="s">
        <v>364</v>
      </c>
      <c r="D318" s="15" t="s">
        <v>554</v>
      </c>
      <c r="E318" s="16">
        <v>80401</v>
      </c>
      <c r="F318" s="16">
        <v>17487</v>
      </c>
      <c r="G318" s="16">
        <v>17069</v>
      </c>
      <c r="H318" s="16">
        <v>17154</v>
      </c>
      <c r="I318" s="16">
        <v>17918</v>
      </c>
      <c r="J318" s="16">
        <v>18003</v>
      </c>
      <c r="K318" s="16">
        <v>18088</v>
      </c>
      <c r="L318" s="16">
        <v>0</v>
      </c>
      <c r="M318" s="16">
        <v>1</v>
      </c>
      <c r="N318" s="16">
        <v>2</v>
      </c>
      <c r="O318" s="16">
        <v>7</v>
      </c>
      <c r="P318" s="16">
        <v>18</v>
      </c>
      <c r="Q318" s="16">
        <v>14</v>
      </c>
      <c r="R318" s="18">
        <f t="shared" si="32"/>
        <v>0</v>
      </c>
      <c r="S318" s="18">
        <f t="shared" si="33"/>
        <v>58.585740230827817</v>
      </c>
      <c r="T318" s="18">
        <f t="shared" si="34"/>
        <v>116.59088259298122</v>
      </c>
      <c r="U318" s="18">
        <f t="shared" si="35"/>
        <v>58.392207607936342</v>
      </c>
      <c r="V318" s="18">
        <f t="shared" si="36"/>
        <v>390.66860140640699</v>
      </c>
      <c r="W318" s="18">
        <f t="shared" si="37"/>
        <v>999.83336110648224</v>
      </c>
      <c r="X318" s="18">
        <f t="shared" si="38"/>
        <v>773.99380804953569</v>
      </c>
      <c r="Y318" s="18">
        <f t="shared" si="39"/>
        <v>721.49859018747509</v>
      </c>
    </row>
    <row r="319" spans="1:25">
      <c r="A319" s="15" t="s">
        <v>297</v>
      </c>
      <c r="B319" s="15" t="s">
        <v>553</v>
      </c>
      <c r="C319" s="15" t="s">
        <v>366</v>
      </c>
      <c r="D319" s="15" t="s">
        <v>366</v>
      </c>
      <c r="E319" s="16">
        <v>80402</v>
      </c>
      <c r="F319" s="16">
        <v>6385</v>
      </c>
      <c r="G319" s="16">
        <v>6362</v>
      </c>
      <c r="H319" s="16">
        <v>6500</v>
      </c>
      <c r="I319" s="16">
        <v>7737</v>
      </c>
      <c r="J319" s="16">
        <v>7875</v>
      </c>
      <c r="K319" s="16">
        <v>8012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8">
        <f t="shared" si="32"/>
        <v>0</v>
      </c>
      <c r="S319" s="18">
        <f t="shared" si="33"/>
        <v>0</v>
      </c>
      <c r="T319" s="18">
        <f t="shared" si="34"/>
        <v>0</v>
      </c>
      <c r="U319" s="18">
        <f t="shared" si="35"/>
        <v>0</v>
      </c>
      <c r="V319" s="18">
        <f t="shared" si="36"/>
        <v>0</v>
      </c>
      <c r="W319" s="18">
        <f t="shared" si="37"/>
        <v>0</v>
      </c>
      <c r="X319" s="18">
        <f t="shared" si="38"/>
        <v>0</v>
      </c>
      <c r="Y319" s="18">
        <f t="shared" si="39"/>
        <v>0</v>
      </c>
    </row>
    <row r="320" spans="1:25">
      <c r="A320" s="15" t="s">
        <v>297</v>
      </c>
      <c r="B320" s="15" t="s">
        <v>555</v>
      </c>
      <c r="C320" s="15" t="s">
        <v>19</v>
      </c>
      <c r="D320" s="15" t="s">
        <v>19</v>
      </c>
      <c r="E320" s="16">
        <v>80501</v>
      </c>
      <c r="F320" s="16">
        <v>19252</v>
      </c>
      <c r="G320" s="16">
        <v>19252</v>
      </c>
      <c r="H320" s="16">
        <v>19446</v>
      </c>
      <c r="I320" s="16">
        <v>21195</v>
      </c>
      <c r="J320" s="16">
        <v>21390</v>
      </c>
      <c r="K320" s="16">
        <v>21584</v>
      </c>
      <c r="L320" s="16">
        <v>1</v>
      </c>
      <c r="M320" s="16">
        <v>2</v>
      </c>
      <c r="N320" s="16">
        <v>0</v>
      </c>
      <c r="O320" s="16">
        <v>8</v>
      </c>
      <c r="P320" s="16">
        <v>5</v>
      </c>
      <c r="Q320" s="16">
        <v>7</v>
      </c>
      <c r="R320" s="18">
        <f t="shared" si="32"/>
        <v>51.942655308539372</v>
      </c>
      <c r="S320" s="18">
        <f t="shared" si="33"/>
        <v>103.88531061707874</v>
      </c>
      <c r="T320" s="18">
        <f t="shared" si="34"/>
        <v>0</v>
      </c>
      <c r="U320" s="18">
        <f t="shared" si="35"/>
        <v>51.942655308539372</v>
      </c>
      <c r="V320" s="18">
        <f t="shared" si="36"/>
        <v>377.44751120547295</v>
      </c>
      <c r="W320" s="18">
        <f t="shared" si="37"/>
        <v>233.75409069658721</v>
      </c>
      <c r="X320" s="18">
        <f t="shared" si="38"/>
        <v>324.31430689399554</v>
      </c>
      <c r="Y320" s="18">
        <f t="shared" si="39"/>
        <v>311.83863626535191</v>
      </c>
    </row>
    <row r="321" spans="1:25">
      <c r="A321" s="15" t="s">
        <v>297</v>
      </c>
      <c r="B321" s="15" t="s">
        <v>556</v>
      </c>
      <c r="C321" s="15" t="s">
        <v>11</v>
      </c>
      <c r="D321" s="15" t="s">
        <v>11</v>
      </c>
      <c r="E321" s="16">
        <v>80601</v>
      </c>
      <c r="F321" s="16">
        <v>3831</v>
      </c>
      <c r="G321" s="16">
        <v>3828</v>
      </c>
      <c r="H321" s="16">
        <v>3865</v>
      </c>
      <c r="I321" s="16">
        <v>4196</v>
      </c>
      <c r="J321" s="16">
        <v>4232</v>
      </c>
      <c r="K321" s="16">
        <v>4269</v>
      </c>
      <c r="L321" s="16">
        <v>0</v>
      </c>
      <c r="M321" s="16">
        <v>0</v>
      </c>
      <c r="N321" s="16">
        <v>0</v>
      </c>
      <c r="O321" s="16">
        <v>1</v>
      </c>
      <c r="P321" s="16">
        <v>1</v>
      </c>
      <c r="Q321" s="16">
        <v>0</v>
      </c>
      <c r="R321" s="18">
        <f t="shared" si="32"/>
        <v>0</v>
      </c>
      <c r="S321" s="18">
        <f t="shared" si="33"/>
        <v>0</v>
      </c>
      <c r="T321" s="18">
        <f t="shared" si="34"/>
        <v>0</v>
      </c>
      <c r="U321" s="18">
        <f t="shared" si="35"/>
        <v>0</v>
      </c>
      <c r="V321" s="18">
        <f t="shared" si="36"/>
        <v>238.32221163012392</v>
      </c>
      <c r="W321" s="18">
        <f t="shared" si="37"/>
        <v>236.29489603024575</v>
      </c>
      <c r="X321" s="18">
        <f t="shared" si="38"/>
        <v>0</v>
      </c>
      <c r="Y321" s="18">
        <f t="shared" si="39"/>
        <v>158.20570255345658</v>
      </c>
    </row>
    <row r="322" spans="1:25">
      <c r="A322" s="15" t="s">
        <v>297</v>
      </c>
      <c r="B322" s="15" t="s">
        <v>556</v>
      </c>
      <c r="C322" s="15" t="s">
        <v>386</v>
      </c>
      <c r="D322" s="15" t="s">
        <v>386</v>
      </c>
      <c r="E322" s="16">
        <v>80602</v>
      </c>
      <c r="F322" s="16">
        <v>12330</v>
      </c>
      <c r="G322" s="16">
        <v>12503</v>
      </c>
      <c r="H322" s="16">
        <v>12759</v>
      </c>
      <c r="I322" s="16">
        <v>15059</v>
      </c>
      <c r="J322" s="16">
        <v>15314</v>
      </c>
      <c r="K322" s="16">
        <v>15570</v>
      </c>
      <c r="L322" s="16">
        <v>0</v>
      </c>
      <c r="M322" s="16">
        <v>0</v>
      </c>
      <c r="N322" s="16">
        <v>0</v>
      </c>
      <c r="O322" s="16">
        <v>2</v>
      </c>
      <c r="P322" s="16">
        <v>2</v>
      </c>
      <c r="Q322" s="16">
        <v>2</v>
      </c>
      <c r="R322" s="18">
        <f t="shared" ref="R322:R344" si="40">(L322/F322)*1000000</f>
        <v>0</v>
      </c>
      <c r="S322" s="18">
        <f t="shared" ref="S322:S344" si="41">(M322/G322)*1000000</f>
        <v>0</v>
      </c>
      <c r="T322" s="18">
        <f t="shared" ref="T322:T344" si="42">(N322/H322)*1000000</f>
        <v>0</v>
      </c>
      <c r="U322" s="18">
        <f t="shared" ref="U322:U344" si="43">AVERAGE(R322:T322)</f>
        <v>0</v>
      </c>
      <c r="V322" s="18">
        <f t="shared" ref="V322:V344" si="44">(O322/I322)*1000000</f>
        <v>132.81094362175443</v>
      </c>
      <c r="W322" s="18">
        <f t="shared" ref="W322:W344" si="45">(P322/J322)*1000000</f>
        <v>130.59945148230378</v>
      </c>
      <c r="X322" s="18">
        <f t="shared" ref="X322:X344" si="46">(Q322/K322)*1000000</f>
        <v>128.45215157353886</v>
      </c>
      <c r="Y322" s="18">
        <f t="shared" ref="Y322:Y344" si="47">AVERAGE(V322:X322)</f>
        <v>130.62084889253236</v>
      </c>
    </row>
    <row r="323" spans="1:25">
      <c r="A323" s="15" t="s">
        <v>297</v>
      </c>
      <c r="B323" s="15" t="s">
        <v>557</v>
      </c>
      <c r="C323" s="15" t="s">
        <v>21</v>
      </c>
      <c r="D323" s="15" t="s">
        <v>21</v>
      </c>
      <c r="E323" s="16">
        <v>80701</v>
      </c>
      <c r="F323" s="16">
        <v>6784</v>
      </c>
      <c r="G323" s="16">
        <v>6917</v>
      </c>
      <c r="H323" s="16">
        <v>6908</v>
      </c>
      <c r="I323" s="16">
        <v>6826</v>
      </c>
      <c r="J323" s="16">
        <v>6817</v>
      </c>
      <c r="K323" s="16">
        <v>6808</v>
      </c>
      <c r="L323" s="16">
        <v>0</v>
      </c>
      <c r="M323" s="16">
        <v>0</v>
      </c>
      <c r="N323" s="16">
        <v>0</v>
      </c>
      <c r="O323" s="16">
        <v>0</v>
      </c>
      <c r="P323" s="16">
        <v>1</v>
      </c>
      <c r="Q323" s="16">
        <v>1</v>
      </c>
      <c r="R323" s="18">
        <f t="shared" si="40"/>
        <v>0</v>
      </c>
      <c r="S323" s="18">
        <f t="shared" si="41"/>
        <v>0</v>
      </c>
      <c r="T323" s="18">
        <f t="shared" si="42"/>
        <v>0</v>
      </c>
      <c r="U323" s="18">
        <f t="shared" si="43"/>
        <v>0</v>
      </c>
      <c r="V323" s="18">
        <f t="shared" si="44"/>
        <v>0</v>
      </c>
      <c r="W323" s="18">
        <f t="shared" si="45"/>
        <v>146.69209329617132</v>
      </c>
      <c r="X323" s="18">
        <f t="shared" si="46"/>
        <v>146.88601645123384</v>
      </c>
      <c r="Y323" s="18">
        <f t="shared" si="47"/>
        <v>97.859369915801722</v>
      </c>
    </row>
    <row r="324" spans="1:25">
      <c r="A324" s="15" t="s">
        <v>297</v>
      </c>
      <c r="B324" s="15" t="s">
        <v>557</v>
      </c>
      <c r="C324" s="15" t="s">
        <v>326</v>
      </c>
      <c r="D324" s="15" t="s">
        <v>326</v>
      </c>
      <c r="E324" s="16">
        <v>80702</v>
      </c>
      <c r="F324" s="16">
        <v>5043</v>
      </c>
      <c r="G324" s="16">
        <v>4955</v>
      </c>
      <c r="H324" s="16">
        <v>5000</v>
      </c>
      <c r="I324" s="16">
        <v>5400</v>
      </c>
      <c r="J324" s="16">
        <v>5445</v>
      </c>
      <c r="K324" s="16">
        <v>5489</v>
      </c>
      <c r="L324" s="16">
        <v>0</v>
      </c>
      <c r="M324" s="16">
        <v>1</v>
      </c>
      <c r="N324" s="16">
        <v>0</v>
      </c>
      <c r="O324" s="16">
        <v>2</v>
      </c>
      <c r="P324" s="16">
        <v>0</v>
      </c>
      <c r="Q324" s="16">
        <v>1</v>
      </c>
      <c r="R324" s="18">
        <f t="shared" si="40"/>
        <v>0</v>
      </c>
      <c r="S324" s="18">
        <f t="shared" si="41"/>
        <v>201.81634712411704</v>
      </c>
      <c r="T324" s="18">
        <f t="shared" si="42"/>
        <v>0</v>
      </c>
      <c r="U324" s="18">
        <f t="shared" si="43"/>
        <v>67.27211570803901</v>
      </c>
      <c r="V324" s="18">
        <f t="shared" si="44"/>
        <v>370.37037037037032</v>
      </c>
      <c r="W324" s="18">
        <f t="shared" si="45"/>
        <v>0</v>
      </c>
      <c r="X324" s="18">
        <f t="shared" si="46"/>
        <v>182.18254691200585</v>
      </c>
      <c r="Y324" s="18">
        <f t="shared" si="47"/>
        <v>184.18430576079206</v>
      </c>
    </row>
    <row r="325" spans="1:25">
      <c r="A325" s="15" t="s">
        <v>297</v>
      </c>
      <c r="B325" s="15" t="s">
        <v>557</v>
      </c>
      <c r="C325" s="15" t="s">
        <v>365</v>
      </c>
      <c r="D325" s="15" t="s">
        <v>365</v>
      </c>
      <c r="E325" s="16">
        <v>80703</v>
      </c>
      <c r="F325" s="16">
        <v>952</v>
      </c>
      <c r="G325" s="16">
        <v>945</v>
      </c>
      <c r="H325" s="16">
        <v>957</v>
      </c>
      <c r="I325" s="16">
        <v>1067</v>
      </c>
      <c r="J325" s="16">
        <v>1079</v>
      </c>
      <c r="K325" s="16">
        <v>1091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8">
        <f t="shared" si="40"/>
        <v>0</v>
      </c>
      <c r="S325" s="18">
        <f t="shared" si="41"/>
        <v>0</v>
      </c>
      <c r="T325" s="18">
        <f t="shared" si="42"/>
        <v>0</v>
      </c>
      <c r="U325" s="18">
        <f t="shared" si="43"/>
        <v>0</v>
      </c>
      <c r="V325" s="18">
        <f t="shared" si="44"/>
        <v>0</v>
      </c>
      <c r="W325" s="18">
        <f t="shared" si="45"/>
        <v>0</v>
      </c>
      <c r="X325" s="18">
        <f t="shared" si="46"/>
        <v>0</v>
      </c>
      <c r="Y325" s="18">
        <f t="shared" si="47"/>
        <v>0</v>
      </c>
    </row>
    <row r="326" spans="1:25">
      <c r="A326" s="15" t="s">
        <v>297</v>
      </c>
      <c r="B326" s="15" t="s">
        <v>558</v>
      </c>
      <c r="C326" s="15" t="s">
        <v>12</v>
      </c>
      <c r="D326" s="15" t="s">
        <v>12</v>
      </c>
      <c r="E326" s="16">
        <v>80801</v>
      </c>
      <c r="F326" s="16">
        <v>11243</v>
      </c>
      <c r="G326" s="16">
        <v>11377</v>
      </c>
      <c r="H326" s="16">
        <v>11494</v>
      </c>
      <c r="I326" s="16">
        <v>12550</v>
      </c>
      <c r="J326" s="16">
        <v>12668</v>
      </c>
      <c r="K326" s="16">
        <v>12785</v>
      </c>
      <c r="L326" s="16">
        <v>1</v>
      </c>
      <c r="M326" s="16">
        <v>0</v>
      </c>
      <c r="N326" s="16">
        <v>1</v>
      </c>
      <c r="O326" s="16">
        <v>1</v>
      </c>
      <c r="P326" s="16">
        <v>2</v>
      </c>
      <c r="Q326" s="16">
        <v>0</v>
      </c>
      <c r="R326" s="18">
        <f t="shared" si="40"/>
        <v>88.94423196655697</v>
      </c>
      <c r="S326" s="18">
        <f t="shared" si="41"/>
        <v>0</v>
      </c>
      <c r="T326" s="18">
        <f t="shared" si="42"/>
        <v>87.001914042108936</v>
      </c>
      <c r="U326" s="18">
        <f t="shared" si="43"/>
        <v>58.648715336221962</v>
      </c>
      <c r="V326" s="18">
        <f t="shared" si="44"/>
        <v>79.681274900398407</v>
      </c>
      <c r="W326" s="18">
        <f t="shared" si="45"/>
        <v>157.87811809283232</v>
      </c>
      <c r="X326" s="18">
        <f t="shared" si="46"/>
        <v>0</v>
      </c>
      <c r="Y326" s="18">
        <f t="shared" si="47"/>
        <v>79.18646433107692</v>
      </c>
    </row>
    <row r="327" spans="1:25">
      <c r="A327" s="15" t="s">
        <v>297</v>
      </c>
      <c r="B327" s="15" t="s">
        <v>558</v>
      </c>
      <c r="C327" s="15" t="s">
        <v>8</v>
      </c>
      <c r="D327" s="15" t="s">
        <v>8</v>
      </c>
      <c r="E327" s="16">
        <v>80802</v>
      </c>
      <c r="F327" s="16">
        <v>5901</v>
      </c>
      <c r="G327" s="16">
        <v>5965</v>
      </c>
      <c r="H327" s="16">
        <v>6092</v>
      </c>
      <c r="I327" s="16">
        <v>7234</v>
      </c>
      <c r="J327" s="16">
        <v>7361</v>
      </c>
      <c r="K327" s="16">
        <v>7488</v>
      </c>
      <c r="L327" s="16">
        <v>2</v>
      </c>
      <c r="M327" s="16">
        <v>7</v>
      </c>
      <c r="N327" s="16">
        <v>7</v>
      </c>
      <c r="O327" s="16">
        <v>20</v>
      </c>
      <c r="P327" s="16">
        <v>33</v>
      </c>
      <c r="Q327" s="16">
        <v>28</v>
      </c>
      <c r="R327" s="18">
        <f t="shared" si="40"/>
        <v>338.92560582952041</v>
      </c>
      <c r="S327" s="18">
        <f t="shared" si="41"/>
        <v>1173.512154233026</v>
      </c>
      <c r="T327" s="18">
        <f t="shared" si="42"/>
        <v>1149.0479317137228</v>
      </c>
      <c r="U327" s="18">
        <f t="shared" si="43"/>
        <v>887.16189725875631</v>
      </c>
      <c r="V327" s="18">
        <f t="shared" si="44"/>
        <v>2764.722145424385</v>
      </c>
      <c r="W327" s="18">
        <f t="shared" si="45"/>
        <v>4483.0865371552773</v>
      </c>
      <c r="X327" s="18">
        <f t="shared" si="46"/>
        <v>3739.3162393162393</v>
      </c>
      <c r="Y327" s="18">
        <f t="shared" si="47"/>
        <v>3662.3749739653008</v>
      </c>
    </row>
    <row r="328" spans="1:25">
      <c r="A328" s="15" t="s">
        <v>297</v>
      </c>
      <c r="B328" s="15" t="s">
        <v>558</v>
      </c>
      <c r="C328" s="15" t="s">
        <v>10</v>
      </c>
      <c r="D328" s="15" t="s">
        <v>10</v>
      </c>
      <c r="E328" s="16">
        <v>80803</v>
      </c>
      <c r="F328" s="16">
        <v>4074</v>
      </c>
      <c r="G328" s="16">
        <v>4111</v>
      </c>
      <c r="H328" s="16">
        <v>4154</v>
      </c>
      <c r="I328" s="16">
        <v>4544</v>
      </c>
      <c r="J328" s="16">
        <v>4587</v>
      </c>
      <c r="K328" s="16">
        <v>4630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8">
        <f t="shared" si="40"/>
        <v>0</v>
      </c>
      <c r="S328" s="18">
        <f t="shared" si="41"/>
        <v>0</v>
      </c>
      <c r="T328" s="18">
        <f t="shared" si="42"/>
        <v>0</v>
      </c>
      <c r="U328" s="18">
        <f t="shared" si="43"/>
        <v>0</v>
      </c>
      <c r="V328" s="18">
        <f t="shared" si="44"/>
        <v>0</v>
      </c>
      <c r="W328" s="18">
        <f t="shared" si="45"/>
        <v>0</v>
      </c>
      <c r="X328" s="18">
        <f t="shared" si="46"/>
        <v>0</v>
      </c>
      <c r="Y328" s="18">
        <f t="shared" si="47"/>
        <v>0</v>
      </c>
    </row>
    <row r="329" spans="1:25">
      <c r="A329" s="15" t="s">
        <v>297</v>
      </c>
      <c r="B329" s="15" t="s">
        <v>555</v>
      </c>
      <c r="C329" s="15" t="s">
        <v>559</v>
      </c>
      <c r="D329" s="15" t="s">
        <v>559</v>
      </c>
      <c r="E329" s="16">
        <v>80901</v>
      </c>
      <c r="F329" s="16">
        <v>3121</v>
      </c>
      <c r="G329" s="16">
        <v>3232</v>
      </c>
      <c r="H329" s="16">
        <v>3294</v>
      </c>
      <c r="I329" s="16">
        <v>3850</v>
      </c>
      <c r="J329" s="16">
        <v>3911</v>
      </c>
      <c r="K329" s="16">
        <v>3973</v>
      </c>
      <c r="L329" s="16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8">
        <f t="shared" si="40"/>
        <v>0</v>
      </c>
      <c r="S329" s="18">
        <f t="shared" si="41"/>
        <v>0</v>
      </c>
      <c r="T329" s="18">
        <f t="shared" si="42"/>
        <v>0</v>
      </c>
      <c r="U329" s="18">
        <f t="shared" si="43"/>
        <v>0</v>
      </c>
      <c r="V329" s="18">
        <f t="shared" si="44"/>
        <v>0</v>
      </c>
      <c r="W329" s="18">
        <f t="shared" si="45"/>
        <v>0</v>
      </c>
      <c r="X329" s="18">
        <f t="shared" si="46"/>
        <v>0</v>
      </c>
      <c r="Y329" s="18">
        <f t="shared" si="47"/>
        <v>0</v>
      </c>
    </row>
    <row r="330" spans="1:25">
      <c r="A330" s="15" t="s">
        <v>298</v>
      </c>
      <c r="B330" s="15" t="s">
        <v>560</v>
      </c>
      <c r="C330" s="15" t="s">
        <v>189</v>
      </c>
      <c r="D330" s="15" t="s">
        <v>189</v>
      </c>
      <c r="E330" s="16">
        <v>90101</v>
      </c>
      <c r="F330" s="16">
        <v>44090</v>
      </c>
      <c r="G330" s="16">
        <v>46267</v>
      </c>
      <c r="H330" s="16">
        <v>47004</v>
      </c>
      <c r="I330" s="16">
        <v>53640</v>
      </c>
      <c r="J330" s="16">
        <v>54377</v>
      </c>
      <c r="K330" s="16">
        <v>55114</v>
      </c>
      <c r="L330" s="16">
        <v>3</v>
      </c>
      <c r="M330" s="16">
        <v>3</v>
      </c>
      <c r="N330" s="16">
        <v>6</v>
      </c>
      <c r="O330" s="16">
        <v>30</v>
      </c>
      <c r="P330" s="16">
        <v>49</v>
      </c>
      <c r="Q330" s="16">
        <v>30</v>
      </c>
      <c r="R330" s="18">
        <f t="shared" si="40"/>
        <v>68.042640054434102</v>
      </c>
      <c r="S330" s="18">
        <f t="shared" si="41"/>
        <v>64.841031404672876</v>
      </c>
      <c r="T330" s="18">
        <f t="shared" si="42"/>
        <v>127.64871074802146</v>
      </c>
      <c r="U330" s="18">
        <f t="shared" si="43"/>
        <v>86.844127402376145</v>
      </c>
      <c r="V330" s="18">
        <f t="shared" si="44"/>
        <v>559.28411633109613</v>
      </c>
      <c r="W330" s="18">
        <f t="shared" si="45"/>
        <v>901.11628078047704</v>
      </c>
      <c r="X330" s="18">
        <f t="shared" si="46"/>
        <v>544.3263054759226</v>
      </c>
      <c r="Y330" s="18">
        <f t="shared" si="47"/>
        <v>668.24223419583188</v>
      </c>
    </row>
    <row r="331" spans="1:25">
      <c r="A331" s="15" t="s">
        <v>298</v>
      </c>
      <c r="B331" s="15" t="s">
        <v>560</v>
      </c>
      <c r="C331" s="15" t="s">
        <v>192</v>
      </c>
      <c r="D331" s="15" t="s">
        <v>192</v>
      </c>
      <c r="E331" s="16">
        <v>90102</v>
      </c>
      <c r="F331" s="16">
        <v>7563</v>
      </c>
      <c r="G331" s="16">
        <v>7948</v>
      </c>
      <c r="H331" s="16">
        <v>8065</v>
      </c>
      <c r="I331" s="16">
        <v>9119</v>
      </c>
      <c r="J331" s="16">
        <v>9236</v>
      </c>
      <c r="K331" s="16">
        <v>9353</v>
      </c>
      <c r="L331" s="16">
        <v>0</v>
      </c>
      <c r="M331" s="16">
        <v>0</v>
      </c>
      <c r="N331" s="16">
        <v>0</v>
      </c>
      <c r="O331" s="16">
        <v>2</v>
      </c>
      <c r="P331" s="16">
        <v>1</v>
      </c>
      <c r="Q331" s="16">
        <v>4</v>
      </c>
      <c r="R331" s="18">
        <f t="shared" si="40"/>
        <v>0</v>
      </c>
      <c r="S331" s="18">
        <f t="shared" si="41"/>
        <v>0</v>
      </c>
      <c r="T331" s="18">
        <f t="shared" si="42"/>
        <v>0</v>
      </c>
      <c r="U331" s="18">
        <f t="shared" si="43"/>
        <v>0</v>
      </c>
      <c r="V331" s="18">
        <f t="shared" si="44"/>
        <v>219.32229411119641</v>
      </c>
      <c r="W331" s="18">
        <f t="shared" si="45"/>
        <v>108.27197921177999</v>
      </c>
      <c r="X331" s="18">
        <f t="shared" si="46"/>
        <v>427.67026622474071</v>
      </c>
      <c r="Y331" s="18">
        <f t="shared" si="47"/>
        <v>251.75484651590568</v>
      </c>
    </row>
    <row r="332" spans="1:25">
      <c r="A332" s="15" t="s">
        <v>298</v>
      </c>
      <c r="B332" s="15" t="s">
        <v>560</v>
      </c>
      <c r="C332" s="15" t="s">
        <v>188</v>
      </c>
      <c r="D332" s="15" t="s">
        <v>188</v>
      </c>
      <c r="E332" s="16">
        <v>90103</v>
      </c>
      <c r="F332" s="16">
        <v>2084</v>
      </c>
      <c r="G332" s="16">
        <v>2173</v>
      </c>
      <c r="H332" s="16">
        <v>2195</v>
      </c>
      <c r="I332" s="16">
        <v>2393</v>
      </c>
      <c r="J332" s="16">
        <v>2415</v>
      </c>
      <c r="K332" s="16">
        <v>2437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8">
        <f t="shared" si="40"/>
        <v>0</v>
      </c>
      <c r="S332" s="18">
        <f t="shared" si="41"/>
        <v>0</v>
      </c>
      <c r="T332" s="18">
        <f t="shared" si="42"/>
        <v>0</v>
      </c>
      <c r="U332" s="18">
        <f t="shared" si="43"/>
        <v>0</v>
      </c>
      <c r="V332" s="18">
        <f t="shared" si="44"/>
        <v>0</v>
      </c>
      <c r="W332" s="18">
        <f t="shared" si="45"/>
        <v>0</v>
      </c>
      <c r="X332" s="18">
        <f t="shared" si="46"/>
        <v>0</v>
      </c>
      <c r="Y332" s="18">
        <f t="shared" si="47"/>
        <v>0</v>
      </c>
    </row>
    <row r="333" spans="1:25">
      <c r="A333" s="15" t="s">
        <v>298</v>
      </c>
      <c r="B333" s="15" t="s">
        <v>560</v>
      </c>
      <c r="C333" s="15" t="s">
        <v>187</v>
      </c>
      <c r="D333" s="15" t="s">
        <v>187</v>
      </c>
      <c r="E333" s="16">
        <v>90104</v>
      </c>
      <c r="F333" s="16">
        <v>3763</v>
      </c>
      <c r="G333" s="16">
        <v>3909</v>
      </c>
      <c r="H333" s="16">
        <v>3886</v>
      </c>
      <c r="I333" s="16">
        <v>3677</v>
      </c>
      <c r="J333" s="16">
        <v>3653</v>
      </c>
      <c r="K333" s="16">
        <v>3630</v>
      </c>
      <c r="L333" s="16">
        <v>1</v>
      </c>
      <c r="M333" s="16">
        <v>1</v>
      </c>
      <c r="N333" s="16">
        <v>0</v>
      </c>
      <c r="O333" s="16">
        <v>0</v>
      </c>
      <c r="P333" s="16">
        <v>0</v>
      </c>
      <c r="Q333" s="16">
        <v>0</v>
      </c>
      <c r="R333" s="18">
        <f t="shared" si="40"/>
        <v>265.74541589157587</v>
      </c>
      <c r="S333" s="18">
        <f t="shared" si="41"/>
        <v>255.81990278843696</v>
      </c>
      <c r="T333" s="18">
        <f t="shared" si="42"/>
        <v>0</v>
      </c>
      <c r="U333" s="18">
        <f t="shared" si="43"/>
        <v>173.85510622667096</v>
      </c>
      <c r="V333" s="18">
        <f t="shared" si="44"/>
        <v>0</v>
      </c>
      <c r="W333" s="18">
        <f t="shared" si="45"/>
        <v>0</v>
      </c>
      <c r="X333" s="18">
        <f t="shared" si="46"/>
        <v>0</v>
      </c>
      <c r="Y333" s="18">
        <f t="shared" si="47"/>
        <v>0</v>
      </c>
    </row>
    <row r="334" spans="1:25">
      <c r="A334" s="15" t="s">
        <v>298</v>
      </c>
      <c r="B334" s="15" t="s">
        <v>561</v>
      </c>
      <c r="C334" s="15" t="s">
        <v>194</v>
      </c>
      <c r="D334" s="15" t="s">
        <v>194</v>
      </c>
      <c r="E334" s="16">
        <v>90201</v>
      </c>
      <c r="F334" s="16">
        <v>6036</v>
      </c>
      <c r="G334" s="16">
        <v>6239</v>
      </c>
      <c r="H334" s="16">
        <v>6333</v>
      </c>
      <c r="I334" s="16">
        <v>7179</v>
      </c>
      <c r="J334" s="16">
        <v>7273</v>
      </c>
      <c r="K334" s="16">
        <v>7367</v>
      </c>
      <c r="L334" s="16">
        <v>0</v>
      </c>
      <c r="M334" s="16">
        <v>0</v>
      </c>
      <c r="N334" s="16">
        <v>0</v>
      </c>
      <c r="O334" s="16">
        <v>0</v>
      </c>
      <c r="P334" s="16">
        <v>1</v>
      </c>
      <c r="Q334" s="16">
        <v>0</v>
      </c>
      <c r="R334" s="18">
        <f t="shared" si="40"/>
        <v>0</v>
      </c>
      <c r="S334" s="18">
        <f t="shared" si="41"/>
        <v>0</v>
      </c>
      <c r="T334" s="18">
        <f t="shared" si="42"/>
        <v>0</v>
      </c>
      <c r="U334" s="18">
        <f t="shared" si="43"/>
        <v>0</v>
      </c>
      <c r="V334" s="18">
        <f t="shared" si="44"/>
        <v>0</v>
      </c>
      <c r="W334" s="18">
        <f t="shared" si="45"/>
        <v>137.49484394335212</v>
      </c>
      <c r="X334" s="18">
        <f t="shared" si="46"/>
        <v>0</v>
      </c>
      <c r="Y334" s="18">
        <f t="shared" si="47"/>
        <v>45.831614647784043</v>
      </c>
    </row>
    <row r="335" spans="1:25">
      <c r="A335" s="15" t="s">
        <v>298</v>
      </c>
      <c r="B335" s="15" t="s">
        <v>561</v>
      </c>
      <c r="C335" s="15" t="s">
        <v>314</v>
      </c>
      <c r="D335" s="15" t="s">
        <v>314</v>
      </c>
      <c r="E335" s="16">
        <v>90202</v>
      </c>
      <c r="F335" s="16">
        <v>2817</v>
      </c>
      <c r="G335" s="16">
        <v>2991</v>
      </c>
      <c r="H335" s="16">
        <v>3035</v>
      </c>
      <c r="I335" s="16">
        <v>3430</v>
      </c>
      <c r="J335" s="16">
        <v>3474</v>
      </c>
      <c r="K335" s="16">
        <v>3518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8">
        <f t="shared" si="40"/>
        <v>0</v>
      </c>
      <c r="S335" s="18">
        <f t="shared" si="41"/>
        <v>0</v>
      </c>
      <c r="T335" s="18">
        <f t="shared" si="42"/>
        <v>0</v>
      </c>
      <c r="U335" s="18">
        <f t="shared" si="43"/>
        <v>0</v>
      </c>
      <c r="V335" s="18">
        <f t="shared" si="44"/>
        <v>0</v>
      </c>
      <c r="W335" s="18">
        <f t="shared" si="45"/>
        <v>0</v>
      </c>
      <c r="X335" s="18">
        <f t="shared" si="46"/>
        <v>0</v>
      </c>
      <c r="Y335" s="18">
        <f t="shared" si="47"/>
        <v>0</v>
      </c>
    </row>
    <row r="336" spans="1:25">
      <c r="A336" s="15" t="s">
        <v>298</v>
      </c>
      <c r="B336" s="15" t="s">
        <v>561</v>
      </c>
      <c r="C336" s="15" t="s">
        <v>190</v>
      </c>
      <c r="D336" s="15" t="s">
        <v>190</v>
      </c>
      <c r="E336" s="16">
        <v>90203</v>
      </c>
      <c r="F336" s="16">
        <v>5519</v>
      </c>
      <c r="G336" s="16">
        <v>5756</v>
      </c>
      <c r="H336" s="16">
        <v>5947</v>
      </c>
      <c r="I336" s="16">
        <v>7664</v>
      </c>
      <c r="J336" s="16">
        <v>7854</v>
      </c>
      <c r="K336" s="16">
        <v>8045</v>
      </c>
      <c r="L336" s="16">
        <v>2</v>
      </c>
      <c r="M336" s="16">
        <v>0</v>
      </c>
      <c r="N336" s="16">
        <v>0</v>
      </c>
      <c r="O336" s="16">
        <v>2</v>
      </c>
      <c r="P336" s="16">
        <v>1</v>
      </c>
      <c r="Q336" s="16">
        <v>1</v>
      </c>
      <c r="R336" s="18">
        <f t="shared" si="40"/>
        <v>362.38448994383037</v>
      </c>
      <c r="S336" s="18">
        <f t="shared" si="41"/>
        <v>0</v>
      </c>
      <c r="T336" s="18">
        <f t="shared" si="42"/>
        <v>0</v>
      </c>
      <c r="U336" s="18">
        <f t="shared" si="43"/>
        <v>120.79482998127679</v>
      </c>
      <c r="V336" s="18">
        <f t="shared" si="44"/>
        <v>260.96033402922751</v>
      </c>
      <c r="W336" s="18">
        <f t="shared" si="45"/>
        <v>127.32365673542142</v>
      </c>
      <c r="X336" s="18">
        <f t="shared" si="46"/>
        <v>124.30080795525171</v>
      </c>
      <c r="Y336" s="18">
        <f t="shared" si="47"/>
        <v>170.8615995733002</v>
      </c>
    </row>
    <row r="337" spans="1:25">
      <c r="A337" s="15" t="s">
        <v>298</v>
      </c>
      <c r="B337" s="15" t="s">
        <v>562</v>
      </c>
      <c r="C337" s="15" t="s">
        <v>193</v>
      </c>
      <c r="D337" s="15" t="s">
        <v>193</v>
      </c>
      <c r="E337" s="16">
        <v>90301</v>
      </c>
      <c r="F337" s="16">
        <v>7765</v>
      </c>
      <c r="G337" s="16">
        <v>8160</v>
      </c>
      <c r="H337" s="16">
        <v>8516</v>
      </c>
      <c r="I337" s="16">
        <v>11719</v>
      </c>
      <c r="J337" s="16">
        <v>12075</v>
      </c>
      <c r="K337" s="16">
        <v>12431</v>
      </c>
      <c r="L337" s="16">
        <v>0</v>
      </c>
      <c r="M337" s="16">
        <v>0</v>
      </c>
      <c r="N337" s="16">
        <v>0</v>
      </c>
      <c r="O337" s="16">
        <v>3</v>
      </c>
      <c r="P337" s="16">
        <v>2</v>
      </c>
      <c r="Q337" s="16">
        <v>0</v>
      </c>
      <c r="R337" s="18">
        <f t="shared" si="40"/>
        <v>0</v>
      </c>
      <c r="S337" s="18">
        <f t="shared" si="41"/>
        <v>0</v>
      </c>
      <c r="T337" s="18">
        <f t="shared" si="42"/>
        <v>0</v>
      </c>
      <c r="U337" s="18">
        <f t="shared" si="43"/>
        <v>0</v>
      </c>
      <c r="V337" s="18">
        <f t="shared" si="44"/>
        <v>255.99453878317266</v>
      </c>
      <c r="W337" s="18">
        <f t="shared" si="45"/>
        <v>165.63146997929604</v>
      </c>
      <c r="X337" s="18">
        <f t="shared" si="46"/>
        <v>0</v>
      </c>
      <c r="Y337" s="18">
        <f t="shared" si="47"/>
        <v>140.54200292082291</v>
      </c>
    </row>
    <row r="338" spans="1:25">
      <c r="A338" s="15" t="s">
        <v>298</v>
      </c>
      <c r="B338" s="15" t="s">
        <v>562</v>
      </c>
      <c r="C338" s="15" t="s">
        <v>195</v>
      </c>
      <c r="D338" s="15" t="s">
        <v>195</v>
      </c>
      <c r="E338" s="16">
        <v>90302</v>
      </c>
      <c r="F338" s="16">
        <v>7272</v>
      </c>
      <c r="G338" s="16">
        <v>7652</v>
      </c>
      <c r="H338" s="16">
        <v>7834</v>
      </c>
      <c r="I338" s="16">
        <v>9469</v>
      </c>
      <c r="J338" s="16">
        <v>9650</v>
      </c>
      <c r="K338" s="16">
        <v>9832</v>
      </c>
      <c r="L338" s="16">
        <v>0</v>
      </c>
      <c r="M338" s="16">
        <v>0</v>
      </c>
      <c r="N338" s="16">
        <v>0</v>
      </c>
      <c r="O338" s="16">
        <v>1</v>
      </c>
      <c r="P338" s="16">
        <v>0</v>
      </c>
      <c r="Q338" s="16">
        <v>0</v>
      </c>
      <c r="R338" s="18">
        <f t="shared" si="40"/>
        <v>0</v>
      </c>
      <c r="S338" s="18">
        <f t="shared" si="41"/>
        <v>0</v>
      </c>
      <c r="T338" s="18">
        <f t="shared" si="42"/>
        <v>0</v>
      </c>
      <c r="U338" s="18">
        <f t="shared" si="43"/>
        <v>0</v>
      </c>
      <c r="V338" s="18">
        <f t="shared" si="44"/>
        <v>105.60777273207307</v>
      </c>
      <c r="W338" s="18">
        <f t="shared" si="45"/>
        <v>0</v>
      </c>
      <c r="X338" s="18">
        <f t="shared" si="46"/>
        <v>0</v>
      </c>
      <c r="Y338" s="18">
        <f t="shared" si="47"/>
        <v>35.202590910691022</v>
      </c>
    </row>
    <row r="339" spans="1:25">
      <c r="A339" s="15" t="s">
        <v>298</v>
      </c>
      <c r="B339" s="15" t="s">
        <v>562</v>
      </c>
      <c r="C339" s="15" t="s">
        <v>196</v>
      </c>
      <c r="D339" s="15" t="s">
        <v>196</v>
      </c>
      <c r="E339" s="16">
        <v>90303</v>
      </c>
      <c r="F339" s="16">
        <v>7711</v>
      </c>
      <c r="G339" s="16">
        <v>8258</v>
      </c>
      <c r="H339" s="16">
        <v>8447</v>
      </c>
      <c r="I339" s="16">
        <v>10145</v>
      </c>
      <c r="J339" s="16">
        <v>10333</v>
      </c>
      <c r="K339" s="16">
        <v>10522</v>
      </c>
      <c r="L339" s="16">
        <v>0</v>
      </c>
      <c r="M339" s="16">
        <v>0</v>
      </c>
      <c r="N339" s="16">
        <v>0</v>
      </c>
      <c r="O339" s="16">
        <v>4</v>
      </c>
      <c r="P339" s="16">
        <v>0</v>
      </c>
      <c r="Q339" s="16">
        <v>0</v>
      </c>
      <c r="R339" s="18">
        <f t="shared" si="40"/>
        <v>0</v>
      </c>
      <c r="S339" s="18">
        <f t="shared" si="41"/>
        <v>0</v>
      </c>
      <c r="T339" s="18">
        <f t="shared" si="42"/>
        <v>0</v>
      </c>
      <c r="U339" s="18">
        <f t="shared" si="43"/>
        <v>0</v>
      </c>
      <c r="V339" s="18">
        <f t="shared" si="44"/>
        <v>394.28289797930017</v>
      </c>
      <c r="W339" s="18">
        <f t="shared" si="45"/>
        <v>0</v>
      </c>
      <c r="X339" s="18">
        <f t="shared" si="46"/>
        <v>0</v>
      </c>
      <c r="Y339" s="18">
        <f t="shared" si="47"/>
        <v>131.42763265976672</v>
      </c>
    </row>
    <row r="340" spans="1:25">
      <c r="A340" s="15" t="s">
        <v>298</v>
      </c>
      <c r="B340" s="15" t="s">
        <v>563</v>
      </c>
      <c r="C340" s="15" t="s">
        <v>24</v>
      </c>
      <c r="D340" s="15" t="s">
        <v>24</v>
      </c>
      <c r="E340" s="16">
        <v>90401</v>
      </c>
      <c r="F340" s="16">
        <v>2368</v>
      </c>
      <c r="G340" s="16">
        <v>2395</v>
      </c>
      <c r="H340" s="16">
        <v>2436</v>
      </c>
      <c r="I340" s="16">
        <v>2807</v>
      </c>
      <c r="J340" s="16">
        <v>2848</v>
      </c>
      <c r="K340" s="16">
        <v>2889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8">
        <f t="shared" si="40"/>
        <v>0</v>
      </c>
      <c r="S340" s="18">
        <f t="shared" si="41"/>
        <v>0</v>
      </c>
      <c r="T340" s="18">
        <f t="shared" si="42"/>
        <v>0</v>
      </c>
      <c r="U340" s="18">
        <f t="shared" si="43"/>
        <v>0</v>
      </c>
      <c r="V340" s="18">
        <f t="shared" si="44"/>
        <v>0</v>
      </c>
      <c r="W340" s="18">
        <f t="shared" si="45"/>
        <v>0</v>
      </c>
      <c r="X340" s="18">
        <f t="shared" si="46"/>
        <v>0</v>
      </c>
      <c r="Y340" s="18">
        <f t="shared" si="47"/>
        <v>0</v>
      </c>
    </row>
    <row r="341" spans="1:25">
      <c r="A341" s="15" t="s">
        <v>298</v>
      </c>
      <c r="B341" s="15" t="s">
        <v>563</v>
      </c>
      <c r="C341" s="15" t="s">
        <v>367</v>
      </c>
      <c r="D341" s="15" t="s">
        <v>367</v>
      </c>
      <c r="E341" s="16">
        <v>90402</v>
      </c>
      <c r="F341" s="16">
        <v>1585</v>
      </c>
      <c r="G341" s="16">
        <v>1654</v>
      </c>
      <c r="H341" s="16">
        <v>1733</v>
      </c>
      <c r="I341" s="16">
        <v>2442</v>
      </c>
      <c r="J341" s="16">
        <v>2521</v>
      </c>
      <c r="K341" s="16">
        <v>2600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8">
        <f t="shared" si="40"/>
        <v>0</v>
      </c>
      <c r="S341" s="18">
        <f t="shared" si="41"/>
        <v>0</v>
      </c>
      <c r="T341" s="18">
        <f t="shared" si="42"/>
        <v>0</v>
      </c>
      <c r="U341" s="18">
        <f t="shared" si="43"/>
        <v>0</v>
      </c>
      <c r="V341" s="18">
        <f t="shared" si="44"/>
        <v>0</v>
      </c>
      <c r="W341" s="18">
        <f t="shared" si="45"/>
        <v>0</v>
      </c>
      <c r="X341" s="18">
        <f t="shared" si="46"/>
        <v>0</v>
      </c>
      <c r="Y341" s="18">
        <f t="shared" si="47"/>
        <v>0</v>
      </c>
    </row>
    <row r="342" spans="1:25">
      <c r="A342" s="15" t="s">
        <v>298</v>
      </c>
      <c r="B342" s="15" t="s">
        <v>564</v>
      </c>
      <c r="C342" s="15" t="s">
        <v>371</v>
      </c>
      <c r="D342" s="15" t="s">
        <v>371</v>
      </c>
      <c r="E342" s="16">
        <v>90501</v>
      </c>
      <c r="F342" s="16">
        <v>1947</v>
      </c>
      <c r="G342" s="16">
        <v>2068</v>
      </c>
      <c r="H342" s="16">
        <v>2029</v>
      </c>
      <c r="I342" s="16">
        <v>1676</v>
      </c>
      <c r="J342" s="16">
        <v>1637</v>
      </c>
      <c r="K342" s="16">
        <v>1598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8">
        <f t="shared" si="40"/>
        <v>0</v>
      </c>
      <c r="S342" s="18">
        <f t="shared" si="41"/>
        <v>0</v>
      </c>
      <c r="T342" s="18">
        <f t="shared" si="42"/>
        <v>0</v>
      </c>
      <c r="U342" s="18">
        <f t="shared" si="43"/>
        <v>0</v>
      </c>
      <c r="V342" s="18">
        <f t="shared" si="44"/>
        <v>0</v>
      </c>
      <c r="W342" s="18">
        <f t="shared" si="45"/>
        <v>0</v>
      </c>
      <c r="X342" s="18">
        <f t="shared" si="46"/>
        <v>0</v>
      </c>
      <c r="Y342" s="18">
        <f t="shared" si="47"/>
        <v>0</v>
      </c>
    </row>
    <row r="343" spans="1:25">
      <c r="A343" s="15" t="s">
        <v>298</v>
      </c>
      <c r="B343" s="15" t="s">
        <v>564</v>
      </c>
      <c r="C343" s="15" t="s">
        <v>369</v>
      </c>
      <c r="D343" s="15" t="s">
        <v>565</v>
      </c>
      <c r="E343" s="16">
        <v>90502</v>
      </c>
      <c r="F343" s="16">
        <v>2637</v>
      </c>
      <c r="G343" s="16">
        <v>2801</v>
      </c>
      <c r="H343" s="16">
        <v>2777</v>
      </c>
      <c r="I343" s="16">
        <v>2559</v>
      </c>
      <c r="J343" s="16">
        <v>2535</v>
      </c>
      <c r="K343" s="16">
        <v>2511</v>
      </c>
      <c r="L343" s="16">
        <v>0</v>
      </c>
      <c r="M343" s="16">
        <v>0</v>
      </c>
      <c r="N343" s="16">
        <v>0</v>
      </c>
      <c r="O343" s="16">
        <v>0</v>
      </c>
      <c r="P343" s="16">
        <v>1</v>
      </c>
      <c r="Q343" s="16">
        <v>0</v>
      </c>
      <c r="R343" s="18">
        <f t="shared" si="40"/>
        <v>0</v>
      </c>
      <c r="S343" s="18">
        <f t="shared" si="41"/>
        <v>0</v>
      </c>
      <c r="T343" s="18">
        <f t="shared" si="42"/>
        <v>0</v>
      </c>
      <c r="U343" s="18">
        <f t="shared" si="43"/>
        <v>0</v>
      </c>
      <c r="V343" s="18">
        <f t="shared" si="44"/>
        <v>0</v>
      </c>
      <c r="W343" s="18">
        <f t="shared" si="45"/>
        <v>394.47731755424064</v>
      </c>
      <c r="X343" s="18">
        <f t="shared" si="46"/>
        <v>0</v>
      </c>
      <c r="Y343" s="18">
        <f t="shared" si="47"/>
        <v>131.49243918474687</v>
      </c>
    </row>
    <row r="344" spans="1:25">
      <c r="A344" s="15" t="s">
        <v>298</v>
      </c>
      <c r="B344" s="15" t="s">
        <v>564</v>
      </c>
      <c r="C344" s="15" t="s">
        <v>370</v>
      </c>
      <c r="D344" s="15" t="s">
        <v>370</v>
      </c>
      <c r="E344" s="16">
        <v>90503</v>
      </c>
      <c r="F344" s="16">
        <v>2014</v>
      </c>
      <c r="G344" s="16">
        <v>2165</v>
      </c>
      <c r="H344" s="16">
        <v>2180</v>
      </c>
      <c r="I344" s="16">
        <v>2317</v>
      </c>
      <c r="J344" s="16">
        <v>2332</v>
      </c>
      <c r="K344" s="16">
        <v>2347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8">
        <f t="shared" si="40"/>
        <v>0</v>
      </c>
      <c r="S344" s="18">
        <f t="shared" si="41"/>
        <v>0</v>
      </c>
      <c r="T344" s="18">
        <f t="shared" si="42"/>
        <v>0</v>
      </c>
      <c r="U344" s="18">
        <f t="shared" si="43"/>
        <v>0</v>
      </c>
      <c r="V344" s="18">
        <f t="shared" si="44"/>
        <v>0</v>
      </c>
      <c r="W344" s="18">
        <f t="shared" si="45"/>
        <v>0</v>
      </c>
      <c r="X344" s="18">
        <f t="shared" si="46"/>
        <v>0</v>
      </c>
      <c r="Y344" s="18">
        <f t="shared" si="47"/>
        <v>0</v>
      </c>
    </row>
    <row r="346" spans="1:25">
      <c r="F346" s="34">
        <f>SUM(F2:F344)</f>
        <v>9897541</v>
      </c>
      <c r="G346" s="34">
        <f t="shared" ref="G346:K346" si="48">SUM(G2:G344)</f>
        <v>10059856</v>
      </c>
      <c r="H346" s="34">
        <f t="shared" si="48"/>
        <v>10168656</v>
      </c>
      <c r="I346" s="34">
        <f t="shared" si="48"/>
        <v>11147781</v>
      </c>
      <c r="J346" s="34">
        <f t="shared" si="48"/>
        <v>11256556</v>
      </c>
      <c r="K346" s="34">
        <f t="shared" si="48"/>
        <v>11365333</v>
      </c>
      <c r="L346" s="34">
        <f>SUM(L2:L344)</f>
        <v>1386</v>
      </c>
      <c r="M346" s="34">
        <f t="shared" ref="M346:N346" si="49">SUM(M2:M344)</f>
        <v>1550</v>
      </c>
      <c r="N346" s="34">
        <f t="shared" si="49"/>
        <v>1746</v>
      </c>
      <c r="T346" t="s">
        <v>589</v>
      </c>
      <c r="U346" s="17">
        <f>AVERAGE(U2:U344)</f>
        <v>77.0940649028379</v>
      </c>
    </row>
    <row r="347" spans="1:25">
      <c r="T347" t="s">
        <v>590</v>
      </c>
      <c r="U347" s="17">
        <f>STDEVA(U2:U344)</f>
        <v>630.23391061713096</v>
      </c>
    </row>
    <row r="348" spans="1:25">
      <c r="L348" s="17">
        <f>(L346/F346)*1000000</f>
        <v>140.03478237675398</v>
      </c>
      <c r="M348" s="17">
        <f t="shared" ref="M348:N348" si="50">(M346/G346)*1000000</f>
        <v>154.07775220639343</v>
      </c>
      <c r="N348" s="17">
        <f>(N346/H346)*1000000</f>
        <v>171.70410720944832</v>
      </c>
      <c r="T348" t="s">
        <v>591</v>
      </c>
      <c r="U348" s="17">
        <f>SUM(U346:U347)</f>
        <v>707.32797551996885</v>
      </c>
    </row>
    <row r="349" spans="1:25">
      <c r="T349" s="17" t="s">
        <v>598</v>
      </c>
      <c r="U349" s="17">
        <f>U347-U346</f>
        <v>553.13984571429307</v>
      </c>
    </row>
    <row r="350" spans="1:25">
      <c r="M350" t="s">
        <v>603</v>
      </c>
      <c r="N350" s="17">
        <f>AVERAGE(L348:N348)</f>
        <v>155.27221393086526</v>
      </c>
    </row>
    <row r="351" spans="1:25">
      <c r="M351" t="s">
        <v>604</v>
      </c>
      <c r="N351">
        <f>N350*0.1</f>
        <v>15.527221393086528</v>
      </c>
    </row>
    <row r="352" spans="1:25">
      <c r="M352" t="s">
        <v>605</v>
      </c>
      <c r="N352">
        <f>N350*0.25</f>
        <v>38.818053482716316</v>
      </c>
    </row>
    <row r="353" spans="13:14">
      <c r="M353" t="s">
        <v>606</v>
      </c>
      <c r="N353">
        <f>N350*0.5</f>
        <v>77.636106965432631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428-335E-4165-82AF-8091D9A5CCFF}">
  <dimension ref="A1:D344"/>
  <sheetViews>
    <sheetView tabSelected="1" workbookViewId="0">
      <selection activeCell="D7" sqref="D7"/>
    </sheetView>
  </sheetViews>
  <sheetFormatPr baseColWidth="10" defaultRowHeight="15"/>
  <cols>
    <col min="2" max="2" width="36.42578125" bestFit="1" customWidth="1"/>
    <col min="3" max="3" width="23" style="17" customWidth="1"/>
    <col min="4" max="4" width="22.85546875" style="17" customWidth="1"/>
  </cols>
  <sheetData>
    <row r="1" spans="1:4" ht="42" customHeight="1">
      <c r="A1" s="19" t="s">
        <v>601</v>
      </c>
      <c r="B1" s="19" t="s">
        <v>299</v>
      </c>
      <c r="C1" s="25" t="s">
        <v>576</v>
      </c>
      <c r="D1" s="25" t="s">
        <v>577</v>
      </c>
    </row>
    <row r="2" spans="1:4">
      <c r="A2" s="16">
        <v>10101</v>
      </c>
      <c r="B2" s="15" t="s">
        <v>42</v>
      </c>
      <c r="C2" s="18">
        <v>86.461396770935622</v>
      </c>
      <c r="D2" s="18">
        <v>256.43362097923654</v>
      </c>
    </row>
    <row r="3" spans="1:4">
      <c r="A3" s="16">
        <v>10102</v>
      </c>
      <c r="B3" s="15" t="s">
        <v>53</v>
      </c>
      <c r="C3" s="18">
        <v>0</v>
      </c>
      <c r="D3" s="18">
        <v>72.025352924229324</v>
      </c>
    </row>
    <row r="4" spans="1:4">
      <c r="A4" s="16">
        <v>10103</v>
      </c>
      <c r="B4" s="15" t="s">
        <v>38</v>
      </c>
      <c r="C4" s="18">
        <v>0</v>
      </c>
      <c r="D4" s="18">
        <v>168.03665704418793</v>
      </c>
    </row>
    <row r="5" spans="1:4">
      <c r="A5" s="16">
        <v>10201</v>
      </c>
      <c r="B5" s="15" t="s">
        <v>47</v>
      </c>
      <c r="C5" s="18">
        <v>63.961111644120372</v>
      </c>
      <c r="D5" s="18">
        <v>249.57026906478757</v>
      </c>
    </row>
    <row r="6" spans="1:4">
      <c r="A6" s="16">
        <v>10202</v>
      </c>
      <c r="B6" s="15" t="s">
        <v>357</v>
      </c>
      <c r="C6" s="18">
        <v>46.059601123854264</v>
      </c>
      <c r="D6" s="18">
        <v>141.61527601261992</v>
      </c>
    </row>
    <row r="7" spans="1:4">
      <c r="A7" s="16">
        <v>10301</v>
      </c>
      <c r="B7" s="15" t="s">
        <v>424</v>
      </c>
      <c r="C7" s="18">
        <v>58.182602363045341</v>
      </c>
      <c r="D7" s="18">
        <v>98.777514961288418</v>
      </c>
    </row>
    <row r="8" spans="1:4">
      <c r="A8" s="16">
        <v>10302</v>
      </c>
      <c r="B8" s="15" t="s">
        <v>39</v>
      </c>
      <c r="C8" s="18">
        <v>0</v>
      </c>
      <c r="D8" s="18">
        <v>133.08427999774077</v>
      </c>
    </row>
    <row r="9" spans="1:4">
      <c r="A9" s="16">
        <v>10303</v>
      </c>
      <c r="B9" s="15" t="s">
        <v>426</v>
      </c>
      <c r="C9" s="18">
        <v>41.315485043794411</v>
      </c>
      <c r="D9" s="18">
        <v>0</v>
      </c>
    </row>
    <row r="10" spans="1:4">
      <c r="A10" s="16">
        <v>10304</v>
      </c>
      <c r="B10" s="15" t="s">
        <v>31</v>
      </c>
      <c r="C10" s="18">
        <v>42.87796929937398</v>
      </c>
      <c r="D10" s="18">
        <v>0</v>
      </c>
    </row>
    <row r="11" spans="1:4">
      <c r="A11" s="16">
        <v>10401</v>
      </c>
      <c r="B11" s="15" t="s">
        <v>37</v>
      </c>
      <c r="C11" s="18">
        <v>0</v>
      </c>
      <c r="D11" s="18">
        <v>36.263417464461845</v>
      </c>
    </row>
    <row r="12" spans="1:4">
      <c r="A12" s="16">
        <v>10402</v>
      </c>
      <c r="B12" s="15" t="s">
        <v>45</v>
      </c>
      <c r="C12" s="18">
        <v>39.009167154281258</v>
      </c>
      <c r="D12" s="18">
        <v>195.88945717781394</v>
      </c>
    </row>
    <row r="13" spans="1:4">
      <c r="A13" s="16">
        <v>10403</v>
      </c>
      <c r="B13" s="15" t="s">
        <v>41</v>
      </c>
      <c r="C13" s="18">
        <v>411.44903088491765</v>
      </c>
      <c r="D13" s="18">
        <v>47.803432286438174</v>
      </c>
    </row>
    <row r="14" spans="1:4">
      <c r="A14" s="16">
        <v>10404</v>
      </c>
      <c r="B14" s="15" t="s">
        <v>430</v>
      </c>
      <c r="C14" s="18">
        <v>0</v>
      </c>
      <c r="D14" s="18">
        <v>84.238901524724113</v>
      </c>
    </row>
    <row r="15" spans="1:4">
      <c r="A15" s="16">
        <v>10405</v>
      </c>
      <c r="B15" s="15" t="s">
        <v>361</v>
      </c>
      <c r="C15" s="18">
        <v>0</v>
      </c>
      <c r="D15" s="18">
        <v>0</v>
      </c>
    </row>
    <row r="16" spans="1:4">
      <c r="A16" s="16">
        <v>10501</v>
      </c>
      <c r="B16" s="15" t="s">
        <v>36</v>
      </c>
      <c r="C16" s="18">
        <v>0</v>
      </c>
      <c r="D16" s="18">
        <v>108.76144649138617</v>
      </c>
    </row>
    <row r="17" spans="1:4">
      <c r="A17" s="16">
        <v>10502</v>
      </c>
      <c r="B17" s="15" t="s">
        <v>432</v>
      </c>
      <c r="C17" s="18">
        <v>0</v>
      </c>
      <c r="D17" s="18">
        <v>0</v>
      </c>
    </row>
    <row r="18" spans="1:4">
      <c r="A18" s="16">
        <v>10601</v>
      </c>
      <c r="B18" s="15" t="s">
        <v>43</v>
      </c>
      <c r="C18" s="18">
        <v>118.83550252559775</v>
      </c>
      <c r="D18" s="18">
        <v>219.17057232480954</v>
      </c>
    </row>
    <row r="19" spans="1:4">
      <c r="A19" s="16">
        <v>10602</v>
      </c>
      <c r="B19" s="15" t="s">
        <v>52</v>
      </c>
      <c r="C19" s="18">
        <v>132.76854153648057</v>
      </c>
      <c r="D19" s="18">
        <v>77.394708702700839</v>
      </c>
    </row>
    <row r="20" spans="1:4">
      <c r="A20" s="16">
        <v>10701</v>
      </c>
      <c r="B20" s="15" t="s">
        <v>27</v>
      </c>
      <c r="C20" s="18">
        <v>192.02999131243712</v>
      </c>
      <c r="D20" s="18">
        <v>67.728155276990364</v>
      </c>
    </row>
    <row r="21" spans="1:4">
      <c r="A21" s="16">
        <v>10702</v>
      </c>
      <c r="B21" s="15" t="s">
        <v>40</v>
      </c>
      <c r="C21" s="18">
        <v>0</v>
      </c>
      <c r="D21" s="18">
        <v>222.16609869637287</v>
      </c>
    </row>
    <row r="22" spans="1:4">
      <c r="A22" s="16">
        <v>10703</v>
      </c>
      <c r="B22" s="15" t="s">
        <v>32</v>
      </c>
      <c r="C22" s="18">
        <v>0</v>
      </c>
      <c r="D22" s="18">
        <v>204.35854980213961</v>
      </c>
    </row>
    <row r="23" spans="1:4">
      <c r="A23" s="16">
        <v>10704</v>
      </c>
      <c r="B23" s="15" t="s">
        <v>401</v>
      </c>
      <c r="C23" s="18">
        <v>0</v>
      </c>
      <c r="D23" s="18">
        <v>0</v>
      </c>
    </row>
    <row r="24" spans="1:4">
      <c r="A24" s="16">
        <v>10801</v>
      </c>
      <c r="B24" s="15" t="s">
        <v>49</v>
      </c>
      <c r="C24" s="18">
        <v>29.865902099572917</v>
      </c>
      <c r="D24" s="18">
        <v>143.73354932772256</v>
      </c>
    </row>
    <row r="25" spans="1:4">
      <c r="A25" s="16">
        <v>10901</v>
      </c>
      <c r="B25" s="15" t="s">
        <v>334</v>
      </c>
      <c r="C25" s="18">
        <v>0</v>
      </c>
      <c r="D25" s="18">
        <v>0</v>
      </c>
    </row>
    <row r="26" spans="1:4">
      <c r="A26" s="16">
        <v>10902</v>
      </c>
      <c r="B26" s="15" t="s">
        <v>29</v>
      </c>
      <c r="C26" s="18">
        <v>0</v>
      </c>
      <c r="D26" s="18">
        <v>0</v>
      </c>
    </row>
    <row r="27" spans="1:4">
      <c r="A27" s="16">
        <v>10903</v>
      </c>
      <c r="B27" s="15" t="s">
        <v>33</v>
      </c>
      <c r="C27" s="18">
        <v>0</v>
      </c>
      <c r="D27" s="18">
        <v>66.454013822434874</v>
      </c>
    </row>
    <row r="28" spans="1:4">
      <c r="A28" s="16">
        <v>11001</v>
      </c>
      <c r="B28" s="15" t="s">
        <v>379</v>
      </c>
      <c r="C28" s="18">
        <v>33.27676283651126</v>
      </c>
      <c r="D28" s="18">
        <v>102.13543227108158</v>
      </c>
    </row>
    <row r="29" spans="1:4">
      <c r="A29" s="16">
        <v>11002</v>
      </c>
      <c r="B29" s="15" t="s">
        <v>437</v>
      </c>
      <c r="C29" s="18">
        <v>0</v>
      </c>
      <c r="D29" s="18">
        <v>0</v>
      </c>
    </row>
    <row r="30" spans="1:4">
      <c r="A30" s="16">
        <v>11003</v>
      </c>
      <c r="B30" s="15" t="s">
        <v>34</v>
      </c>
      <c r="C30" s="18">
        <v>44.935741889098587</v>
      </c>
      <c r="D30" s="18">
        <v>91.852779913373908</v>
      </c>
    </row>
    <row r="31" spans="1:4">
      <c r="A31" s="16">
        <v>20101</v>
      </c>
      <c r="B31" s="15" t="s">
        <v>353</v>
      </c>
      <c r="C31" s="18">
        <v>207.76604065135416</v>
      </c>
      <c r="D31" s="18">
        <v>393.48390175342541</v>
      </c>
    </row>
    <row r="32" spans="1:4">
      <c r="A32" s="16">
        <v>20102</v>
      </c>
      <c r="B32" s="15" t="s">
        <v>140</v>
      </c>
      <c r="C32" s="18">
        <v>0</v>
      </c>
      <c r="D32" s="18">
        <v>170.90442153696551</v>
      </c>
    </row>
    <row r="33" spans="1:4">
      <c r="A33" s="16">
        <v>20103</v>
      </c>
      <c r="B33" s="15" t="s">
        <v>137</v>
      </c>
      <c r="C33" s="18">
        <v>0</v>
      </c>
      <c r="D33" s="18">
        <v>83.400890418878518</v>
      </c>
    </row>
    <row r="34" spans="1:4">
      <c r="A34" s="16">
        <v>20104</v>
      </c>
      <c r="B34" s="15" t="s">
        <v>99</v>
      </c>
      <c r="C34" s="18">
        <v>0</v>
      </c>
      <c r="D34" s="18">
        <v>96.849046171204535</v>
      </c>
    </row>
    <row r="35" spans="1:4">
      <c r="A35" s="16">
        <v>20105</v>
      </c>
      <c r="B35" s="15" t="s">
        <v>124</v>
      </c>
      <c r="C35" s="18">
        <v>135.97852108081304</v>
      </c>
      <c r="D35" s="18">
        <v>441.82853520785255</v>
      </c>
    </row>
    <row r="36" spans="1:4">
      <c r="A36" s="16">
        <v>20201</v>
      </c>
      <c r="B36" s="15" t="s">
        <v>98</v>
      </c>
      <c r="C36" s="18">
        <v>477.05049235348514</v>
      </c>
      <c r="D36" s="18">
        <v>155.50941146808316</v>
      </c>
    </row>
    <row r="37" spans="1:4">
      <c r="A37" s="16">
        <v>20202</v>
      </c>
      <c r="B37" s="15" t="s">
        <v>100</v>
      </c>
      <c r="C37" s="18">
        <v>0</v>
      </c>
      <c r="D37" s="18">
        <v>40.076144674882279</v>
      </c>
    </row>
    <row r="38" spans="1:4">
      <c r="A38" s="16">
        <v>20203</v>
      </c>
      <c r="B38" s="15" t="s">
        <v>377</v>
      </c>
      <c r="C38" s="18">
        <v>0</v>
      </c>
      <c r="D38" s="18">
        <v>0</v>
      </c>
    </row>
    <row r="39" spans="1:4">
      <c r="A39" s="16">
        <v>20204</v>
      </c>
      <c r="B39" s="15" t="s">
        <v>376</v>
      </c>
      <c r="C39" s="18">
        <v>0</v>
      </c>
      <c r="D39" s="18">
        <v>0</v>
      </c>
    </row>
    <row r="40" spans="1:4">
      <c r="A40" s="16">
        <v>20205</v>
      </c>
      <c r="B40" s="15" t="s">
        <v>372</v>
      </c>
      <c r="C40" s="18">
        <v>0</v>
      </c>
      <c r="D40" s="18">
        <v>0</v>
      </c>
    </row>
    <row r="41" spans="1:4">
      <c r="A41" s="16">
        <v>20206</v>
      </c>
      <c r="B41" s="15" t="s">
        <v>350</v>
      </c>
      <c r="C41" s="18">
        <v>0</v>
      </c>
      <c r="D41" s="18">
        <v>0</v>
      </c>
    </row>
    <row r="42" spans="1:4">
      <c r="A42" s="16">
        <v>20301</v>
      </c>
      <c r="B42" s="15" t="s">
        <v>120</v>
      </c>
      <c r="C42" s="18">
        <v>0</v>
      </c>
      <c r="D42" s="18">
        <v>50.107983947847664</v>
      </c>
    </row>
    <row r="43" spans="1:4">
      <c r="A43" s="16">
        <v>20302</v>
      </c>
      <c r="B43" s="15" t="s">
        <v>110</v>
      </c>
      <c r="C43" s="18">
        <v>0</v>
      </c>
      <c r="D43" s="18">
        <v>0</v>
      </c>
    </row>
    <row r="44" spans="1:4">
      <c r="A44" s="16">
        <v>20303</v>
      </c>
      <c r="B44" s="15" t="s">
        <v>108</v>
      </c>
      <c r="C44" s="18">
        <v>0</v>
      </c>
      <c r="D44" s="18">
        <v>28.17933327697467</v>
      </c>
    </row>
    <row r="45" spans="1:4">
      <c r="A45" s="16">
        <v>20304</v>
      </c>
      <c r="B45" s="15" t="s">
        <v>117</v>
      </c>
      <c r="C45" s="18">
        <v>0</v>
      </c>
      <c r="D45" s="18">
        <v>130.14457042946745</v>
      </c>
    </row>
    <row r="46" spans="1:4">
      <c r="A46" s="16">
        <v>20305</v>
      </c>
      <c r="B46" s="15" t="s">
        <v>403</v>
      </c>
      <c r="C46" s="18">
        <v>0</v>
      </c>
      <c r="D46" s="18">
        <v>0</v>
      </c>
    </row>
    <row r="47" spans="1:4">
      <c r="A47" s="16">
        <v>20306</v>
      </c>
      <c r="B47" s="15" t="s">
        <v>442</v>
      </c>
      <c r="C47" s="18">
        <v>0</v>
      </c>
      <c r="D47" s="18">
        <v>0</v>
      </c>
    </row>
    <row r="48" spans="1:4">
      <c r="A48" s="16">
        <v>20307</v>
      </c>
      <c r="B48" s="15" t="s">
        <v>139</v>
      </c>
      <c r="C48" s="18">
        <v>0</v>
      </c>
      <c r="D48" s="18">
        <v>82.877507044588086</v>
      </c>
    </row>
    <row r="49" spans="1:4">
      <c r="A49" s="16">
        <v>20308</v>
      </c>
      <c r="B49" s="15" t="s">
        <v>153</v>
      </c>
      <c r="C49" s="18">
        <v>0</v>
      </c>
      <c r="D49" s="18">
        <v>83.604943248027254</v>
      </c>
    </row>
    <row r="50" spans="1:4">
      <c r="A50" s="16">
        <v>20401</v>
      </c>
      <c r="B50" s="15" t="s">
        <v>146</v>
      </c>
      <c r="C50" s="18">
        <v>0</v>
      </c>
      <c r="D50" s="18">
        <v>122.13205489219472</v>
      </c>
    </row>
    <row r="51" spans="1:4">
      <c r="A51" s="16">
        <v>20402</v>
      </c>
      <c r="B51" s="15" t="s">
        <v>138</v>
      </c>
      <c r="C51" s="18">
        <v>0</v>
      </c>
      <c r="D51" s="18">
        <v>37.810042347247425</v>
      </c>
    </row>
    <row r="52" spans="1:4">
      <c r="A52" s="16">
        <v>20403</v>
      </c>
      <c r="B52" s="15" t="s">
        <v>317</v>
      </c>
      <c r="C52" s="18">
        <v>0</v>
      </c>
      <c r="D52" s="18">
        <v>38.713012095831907</v>
      </c>
    </row>
    <row r="53" spans="1:4">
      <c r="A53" s="16">
        <v>20404</v>
      </c>
      <c r="B53" s="15" t="s">
        <v>378</v>
      </c>
      <c r="C53" s="18">
        <v>0</v>
      </c>
      <c r="D53" s="18">
        <v>0</v>
      </c>
    </row>
    <row r="54" spans="1:4">
      <c r="A54" s="16">
        <v>20405</v>
      </c>
      <c r="B54" s="15" t="s">
        <v>402</v>
      </c>
      <c r="C54" s="18">
        <v>0</v>
      </c>
      <c r="D54" s="18">
        <v>0</v>
      </c>
    </row>
    <row r="55" spans="1:4">
      <c r="A55" s="16">
        <v>20501</v>
      </c>
      <c r="B55" s="15" t="s">
        <v>113</v>
      </c>
      <c r="C55" s="18">
        <v>0</v>
      </c>
      <c r="D55" s="18">
        <v>38.570662069354981</v>
      </c>
    </row>
    <row r="56" spans="1:4">
      <c r="A56" s="16">
        <v>20502</v>
      </c>
      <c r="B56" s="15" t="s">
        <v>103</v>
      </c>
      <c r="C56" s="18">
        <v>0</v>
      </c>
      <c r="D56" s="18">
        <v>37.344088430801406</v>
      </c>
    </row>
    <row r="57" spans="1:4">
      <c r="A57" s="16">
        <v>20503</v>
      </c>
      <c r="B57" s="15" t="s">
        <v>102</v>
      </c>
      <c r="C57" s="18">
        <v>60.661207158022449</v>
      </c>
      <c r="D57" s="18">
        <v>99.191588553290671</v>
      </c>
    </row>
    <row r="58" spans="1:4">
      <c r="A58" s="16">
        <v>20601</v>
      </c>
      <c r="B58" s="15" t="s">
        <v>157</v>
      </c>
      <c r="C58" s="18">
        <v>0</v>
      </c>
      <c r="D58" s="18">
        <v>78.8041006776362</v>
      </c>
    </row>
    <row r="59" spans="1:4">
      <c r="A59" s="16">
        <v>20602</v>
      </c>
      <c r="B59" s="15" t="s">
        <v>125</v>
      </c>
      <c r="C59" s="18">
        <v>112.9634715177848</v>
      </c>
      <c r="D59" s="18">
        <v>553.4329685397438</v>
      </c>
    </row>
    <row r="60" spans="1:4">
      <c r="A60" s="16">
        <v>20603</v>
      </c>
      <c r="B60" s="15" t="s">
        <v>158</v>
      </c>
      <c r="C60" s="18">
        <v>0</v>
      </c>
      <c r="D60" s="18">
        <v>241.87403125683235</v>
      </c>
    </row>
    <row r="61" spans="1:4">
      <c r="A61" s="16">
        <v>20604</v>
      </c>
      <c r="B61" s="15" t="s">
        <v>149</v>
      </c>
      <c r="C61" s="18">
        <v>0</v>
      </c>
      <c r="D61" s="18">
        <v>81.380208333333329</v>
      </c>
    </row>
    <row r="62" spans="1:4">
      <c r="A62" s="16">
        <v>20605</v>
      </c>
      <c r="B62" s="15" t="s">
        <v>338</v>
      </c>
      <c r="C62" s="18">
        <v>0</v>
      </c>
      <c r="D62" s="18">
        <v>0</v>
      </c>
    </row>
    <row r="63" spans="1:4">
      <c r="A63" s="16">
        <v>20606</v>
      </c>
      <c r="B63" s="15" t="s">
        <v>160</v>
      </c>
      <c r="C63" s="18">
        <v>67.410902661328322</v>
      </c>
      <c r="D63" s="18">
        <v>293.29903407737112</v>
      </c>
    </row>
    <row r="64" spans="1:4">
      <c r="A64" s="16">
        <v>20607</v>
      </c>
      <c r="B64" s="15" t="s">
        <v>355</v>
      </c>
      <c r="C64" s="18">
        <v>0</v>
      </c>
      <c r="D64" s="18">
        <v>0</v>
      </c>
    </row>
    <row r="65" spans="1:4">
      <c r="A65" s="16">
        <v>20608</v>
      </c>
      <c r="B65" s="15" t="s">
        <v>354</v>
      </c>
      <c r="C65" s="18">
        <v>0</v>
      </c>
      <c r="D65" s="18">
        <v>0</v>
      </c>
    </row>
    <row r="66" spans="1:4">
      <c r="A66" s="16">
        <v>20701</v>
      </c>
      <c r="B66" s="15" t="s">
        <v>101</v>
      </c>
      <c r="C66" s="18">
        <v>0</v>
      </c>
      <c r="D66" s="18">
        <v>121.1144812373912</v>
      </c>
    </row>
    <row r="67" spans="1:4">
      <c r="A67" s="16">
        <v>20702</v>
      </c>
      <c r="B67" s="15" t="s">
        <v>144</v>
      </c>
      <c r="C67" s="18">
        <v>0</v>
      </c>
      <c r="D67" s="18">
        <v>36.791758646063279</v>
      </c>
    </row>
    <row r="68" spans="1:4">
      <c r="A68" s="16">
        <v>20801</v>
      </c>
      <c r="B68" s="15" t="s">
        <v>162</v>
      </c>
      <c r="C68" s="18">
        <v>32.552316384842193</v>
      </c>
      <c r="D68" s="18">
        <v>137.23844631789768</v>
      </c>
    </row>
    <row r="69" spans="1:4">
      <c r="A69" s="16">
        <v>20802</v>
      </c>
      <c r="B69" s="15" t="s">
        <v>352</v>
      </c>
      <c r="C69" s="18">
        <v>45.643342918435344</v>
      </c>
      <c r="D69" s="18">
        <v>0</v>
      </c>
    </row>
    <row r="70" spans="1:4">
      <c r="A70" s="16">
        <v>20803</v>
      </c>
      <c r="B70" s="15" t="s">
        <v>159</v>
      </c>
      <c r="C70" s="18">
        <v>0</v>
      </c>
      <c r="D70" s="18">
        <v>148.08797689941505</v>
      </c>
    </row>
    <row r="71" spans="1:4">
      <c r="A71" s="16">
        <v>20804</v>
      </c>
      <c r="B71" s="15" t="s">
        <v>123</v>
      </c>
      <c r="C71" s="18">
        <v>0</v>
      </c>
      <c r="D71" s="18">
        <v>43.038519474930069</v>
      </c>
    </row>
    <row r="72" spans="1:4">
      <c r="A72" s="16">
        <v>20805</v>
      </c>
      <c r="B72" s="15" t="s">
        <v>448</v>
      </c>
      <c r="C72" s="18">
        <v>0</v>
      </c>
      <c r="D72" s="18">
        <v>0</v>
      </c>
    </row>
    <row r="73" spans="1:4">
      <c r="A73" s="16">
        <v>20806</v>
      </c>
      <c r="B73" s="15" t="s">
        <v>351</v>
      </c>
      <c r="C73" s="18">
        <v>0</v>
      </c>
      <c r="D73" s="18">
        <v>0</v>
      </c>
    </row>
    <row r="74" spans="1:4">
      <c r="A74" s="16">
        <v>20807</v>
      </c>
      <c r="B74" s="15" t="s">
        <v>404</v>
      </c>
      <c r="C74" s="18">
        <v>0</v>
      </c>
      <c r="D74" s="18">
        <v>0</v>
      </c>
    </row>
    <row r="75" spans="1:4">
      <c r="A75" s="16">
        <v>20901</v>
      </c>
      <c r="B75" s="15" t="s">
        <v>135</v>
      </c>
      <c r="C75" s="18">
        <v>0</v>
      </c>
      <c r="D75" s="18">
        <v>93.222942636865284</v>
      </c>
    </row>
    <row r="76" spans="1:4">
      <c r="A76" s="16">
        <v>20902</v>
      </c>
      <c r="B76" s="15" t="s">
        <v>155</v>
      </c>
      <c r="C76" s="18">
        <v>0</v>
      </c>
      <c r="D76" s="18">
        <v>82.094347445876593</v>
      </c>
    </row>
    <row r="77" spans="1:4">
      <c r="A77" s="16">
        <v>20903</v>
      </c>
      <c r="B77" s="15" t="s">
        <v>164</v>
      </c>
      <c r="C77" s="18">
        <v>0</v>
      </c>
      <c r="D77" s="18">
        <v>0</v>
      </c>
    </row>
    <row r="78" spans="1:4">
      <c r="A78" s="16">
        <v>20904</v>
      </c>
      <c r="B78" s="15" t="s">
        <v>136</v>
      </c>
      <c r="C78" s="18">
        <v>0</v>
      </c>
      <c r="D78" s="18">
        <v>126.31047113805734</v>
      </c>
    </row>
    <row r="79" spans="1:4">
      <c r="A79" s="16">
        <v>20905</v>
      </c>
      <c r="B79" s="15" t="s">
        <v>106</v>
      </c>
      <c r="C79" s="18">
        <v>0</v>
      </c>
      <c r="D79" s="18">
        <v>0</v>
      </c>
    </row>
    <row r="80" spans="1:4">
      <c r="A80" s="16">
        <v>21001</v>
      </c>
      <c r="B80" s="15" t="s">
        <v>128</v>
      </c>
      <c r="C80" s="18">
        <v>67.750311937700602</v>
      </c>
      <c r="D80" s="18">
        <v>17.845352178025234</v>
      </c>
    </row>
    <row r="81" spans="1:4">
      <c r="A81" s="16">
        <v>21002</v>
      </c>
      <c r="B81" s="15" t="s">
        <v>150</v>
      </c>
      <c r="C81" s="18">
        <v>80.651665456891678</v>
      </c>
      <c r="D81" s="18">
        <v>95.039018827071757</v>
      </c>
    </row>
    <row r="82" spans="1:4">
      <c r="A82" s="16">
        <v>21003</v>
      </c>
      <c r="B82" s="15" t="s">
        <v>107</v>
      </c>
      <c r="C82" s="18">
        <v>0</v>
      </c>
      <c r="D82" s="18">
        <v>44.036374044961143</v>
      </c>
    </row>
    <row r="83" spans="1:4">
      <c r="A83" s="16">
        <v>21004</v>
      </c>
      <c r="B83" s="15" t="s">
        <v>116</v>
      </c>
      <c r="C83" s="18">
        <v>16.989466530750935</v>
      </c>
      <c r="D83" s="18">
        <v>100.86532273533618</v>
      </c>
    </row>
    <row r="84" spans="1:4">
      <c r="A84" s="16">
        <v>21005</v>
      </c>
      <c r="B84" s="15" t="s">
        <v>127</v>
      </c>
      <c r="C84" s="18">
        <v>0</v>
      </c>
      <c r="D84" s="18">
        <v>0</v>
      </c>
    </row>
    <row r="85" spans="1:4">
      <c r="A85" s="16">
        <v>21006</v>
      </c>
      <c r="B85" s="15" t="s">
        <v>163</v>
      </c>
      <c r="C85" s="18">
        <v>0</v>
      </c>
      <c r="D85" s="18">
        <v>0</v>
      </c>
    </row>
    <row r="86" spans="1:4">
      <c r="A86" s="16">
        <v>21101</v>
      </c>
      <c r="B86" s="15" t="s">
        <v>322</v>
      </c>
      <c r="C86" s="18">
        <v>93.428369128994021</v>
      </c>
      <c r="D86" s="18">
        <v>127.84334893647021</v>
      </c>
    </row>
    <row r="87" spans="1:4">
      <c r="A87" s="16">
        <v>21102</v>
      </c>
      <c r="B87" s="15" t="s">
        <v>321</v>
      </c>
      <c r="C87" s="18">
        <v>0</v>
      </c>
      <c r="D87" s="18">
        <v>87.499970547528051</v>
      </c>
    </row>
    <row r="88" spans="1:4">
      <c r="A88" s="16">
        <v>21103</v>
      </c>
      <c r="B88" s="15" t="s">
        <v>165</v>
      </c>
      <c r="C88" s="18">
        <v>0</v>
      </c>
      <c r="D88" s="18">
        <v>0</v>
      </c>
    </row>
    <row r="89" spans="1:4">
      <c r="A89" s="16">
        <v>21104</v>
      </c>
      <c r="B89" s="15" t="s">
        <v>141</v>
      </c>
      <c r="C89" s="18">
        <v>0</v>
      </c>
      <c r="D89" s="18">
        <v>160.96954277156269</v>
      </c>
    </row>
    <row r="90" spans="1:4">
      <c r="A90" s="16">
        <v>21105</v>
      </c>
      <c r="B90" s="15" t="s">
        <v>132</v>
      </c>
      <c r="C90" s="18">
        <v>8.7344635729196689</v>
      </c>
      <c r="D90" s="18">
        <v>73.708680046855207</v>
      </c>
    </row>
    <row r="91" spans="1:4">
      <c r="A91" s="16">
        <v>21201</v>
      </c>
      <c r="B91" s="15" t="s">
        <v>145</v>
      </c>
      <c r="C91" s="18">
        <v>0</v>
      </c>
      <c r="D91" s="18">
        <v>27.903219251366256</v>
      </c>
    </row>
    <row r="92" spans="1:4">
      <c r="A92" s="16">
        <v>21202</v>
      </c>
      <c r="B92" s="15" t="s">
        <v>134</v>
      </c>
      <c r="C92" s="18">
        <v>0</v>
      </c>
      <c r="D92" s="18">
        <v>8.8948187680675996</v>
      </c>
    </row>
    <row r="93" spans="1:4">
      <c r="A93" s="16">
        <v>21203</v>
      </c>
      <c r="B93" s="15" t="s">
        <v>105</v>
      </c>
      <c r="C93" s="18">
        <v>0</v>
      </c>
      <c r="D93" s="18">
        <v>49.159374692753914</v>
      </c>
    </row>
    <row r="94" spans="1:4">
      <c r="A94" s="16">
        <v>21204</v>
      </c>
      <c r="B94" s="15" t="s">
        <v>373</v>
      </c>
      <c r="C94" s="18">
        <v>0</v>
      </c>
      <c r="D94" s="18">
        <v>43.482041916688409</v>
      </c>
    </row>
    <row r="95" spans="1:4">
      <c r="A95" s="16">
        <v>21301</v>
      </c>
      <c r="B95" s="15" t="s">
        <v>456</v>
      </c>
      <c r="C95" s="18">
        <v>0</v>
      </c>
      <c r="D95" s="18">
        <v>19.800529359614874</v>
      </c>
    </row>
    <row r="96" spans="1:4">
      <c r="A96" s="16">
        <v>21302</v>
      </c>
      <c r="B96" s="15" t="s">
        <v>307</v>
      </c>
      <c r="C96" s="18">
        <v>0</v>
      </c>
      <c r="D96" s="18">
        <v>0</v>
      </c>
    </row>
    <row r="97" spans="1:4">
      <c r="A97" s="16">
        <v>21303</v>
      </c>
      <c r="B97" s="15" t="s">
        <v>104</v>
      </c>
      <c r="C97" s="18">
        <v>0</v>
      </c>
      <c r="D97" s="18">
        <v>29.608574643216674</v>
      </c>
    </row>
    <row r="98" spans="1:4">
      <c r="A98" s="16">
        <v>21304</v>
      </c>
      <c r="B98" s="15" t="s">
        <v>109</v>
      </c>
      <c r="C98" s="18">
        <v>0</v>
      </c>
      <c r="D98" s="18">
        <v>132.61377110846686</v>
      </c>
    </row>
    <row r="99" spans="1:4">
      <c r="A99" s="16">
        <v>21305</v>
      </c>
      <c r="B99" s="15" t="s">
        <v>143</v>
      </c>
      <c r="C99" s="18">
        <v>130.68519074130106</v>
      </c>
      <c r="D99" s="18">
        <v>53.42678939352777</v>
      </c>
    </row>
    <row r="100" spans="1:4">
      <c r="A100" s="16">
        <v>21306</v>
      </c>
      <c r="B100" s="15" t="s">
        <v>115</v>
      </c>
      <c r="C100" s="18">
        <v>0</v>
      </c>
      <c r="D100" s="18">
        <v>0</v>
      </c>
    </row>
    <row r="101" spans="1:4">
      <c r="A101" s="16">
        <v>21307</v>
      </c>
      <c r="B101" s="15" t="s">
        <v>114</v>
      </c>
      <c r="C101" s="18">
        <v>0</v>
      </c>
      <c r="D101" s="18">
        <v>61.218243036424859</v>
      </c>
    </row>
    <row r="102" spans="1:4">
      <c r="A102" s="16">
        <v>21401</v>
      </c>
      <c r="B102" s="15" t="s">
        <v>121</v>
      </c>
      <c r="C102" s="18">
        <v>0</v>
      </c>
      <c r="D102" s="18">
        <v>124.07283506139065</v>
      </c>
    </row>
    <row r="103" spans="1:4">
      <c r="A103" s="16">
        <v>21402</v>
      </c>
      <c r="B103" s="15" t="s">
        <v>119</v>
      </c>
      <c r="C103" s="18">
        <v>0</v>
      </c>
      <c r="D103" s="18">
        <v>72.54346265628098</v>
      </c>
    </row>
    <row r="104" spans="1:4">
      <c r="A104" s="16">
        <v>21501</v>
      </c>
      <c r="B104" s="15" t="s">
        <v>130</v>
      </c>
      <c r="C104" s="18">
        <v>36.946722825685363</v>
      </c>
      <c r="D104" s="18">
        <v>26.465528648934761</v>
      </c>
    </row>
    <row r="105" spans="1:4">
      <c r="A105" s="16">
        <v>21502</v>
      </c>
      <c r="B105" s="15" t="s">
        <v>151</v>
      </c>
      <c r="C105" s="18">
        <v>0</v>
      </c>
      <c r="D105" s="18">
        <v>232.45007350040237</v>
      </c>
    </row>
    <row r="106" spans="1:4">
      <c r="A106" s="16">
        <v>21601</v>
      </c>
      <c r="B106" s="15" t="s">
        <v>461</v>
      </c>
      <c r="C106" s="18">
        <v>25.155334188614699</v>
      </c>
      <c r="D106" s="18">
        <v>64.381444078880492</v>
      </c>
    </row>
    <row r="107" spans="1:4">
      <c r="A107" s="16">
        <v>21602</v>
      </c>
      <c r="B107" s="15" t="s">
        <v>122</v>
      </c>
      <c r="C107" s="18">
        <v>0</v>
      </c>
      <c r="D107" s="18">
        <v>0</v>
      </c>
    </row>
    <row r="108" spans="1:4">
      <c r="A108" s="16">
        <v>21701</v>
      </c>
      <c r="B108" s="15" t="s">
        <v>118</v>
      </c>
      <c r="C108" s="18">
        <v>0</v>
      </c>
      <c r="D108" s="18">
        <v>39.12133481994406</v>
      </c>
    </row>
    <row r="109" spans="1:4">
      <c r="A109" s="16">
        <v>21702</v>
      </c>
      <c r="B109" s="15" t="s">
        <v>152</v>
      </c>
      <c r="C109" s="18">
        <v>0</v>
      </c>
      <c r="D109" s="18">
        <v>75.990087515250778</v>
      </c>
    </row>
    <row r="110" spans="1:4">
      <c r="A110" s="16">
        <v>21703</v>
      </c>
      <c r="B110" s="15" t="s">
        <v>161</v>
      </c>
      <c r="C110" s="18">
        <v>0</v>
      </c>
      <c r="D110" s="18">
        <v>44.296788482834991</v>
      </c>
    </row>
    <row r="111" spans="1:4">
      <c r="A111" s="16">
        <v>21801</v>
      </c>
      <c r="B111" s="15" t="s">
        <v>309</v>
      </c>
      <c r="C111" s="18">
        <v>0</v>
      </c>
      <c r="D111" s="18">
        <v>0</v>
      </c>
    </row>
    <row r="112" spans="1:4">
      <c r="A112" s="16">
        <v>21802</v>
      </c>
      <c r="B112" s="15" t="s">
        <v>142</v>
      </c>
      <c r="C112" s="18">
        <v>0</v>
      </c>
      <c r="D112" s="18">
        <v>49.691910157026435</v>
      </c>
    </row>
    <row r="113" spans="1:4">
      <c r="A113" s="16">
        <v>21803</v>
      </c>
      <c r="B113" s="15" t="s">
        <v>306</v>
      </c>
      <c r="C113" s="18">
        <v>0</v>
      </c>
      <c r="D113" s="18">
        <v>0</v>
      </c>
    </row>
    <row r="114" spans="1:4">
      <c r="A114" s="16">
        <v>21901</v>
      </c>
      <c r="B114" s="15" t="s">
        <v>154</v>
      </c>
      <c r="C114" s="18">
        <v>0</v>
      </c>
      <c r="D114" s="18">
        <v>153.92886893617802</v>
      </c>
    </row>
    <row r="115" spans="1:4">
      <c r="A115" s="16">
        <v>21902</v>
      </c>
      <c r="B115" s="15" t="s">
        <v>348</v>
      </c>
      <c r="C115" s="18">
        <v>0</v>
      </c>
      <c r="D115" s="18">
        <v>0</v>
      </c>
    </row>
    <row r="116" spans="1:4">
      <c r="A116" s="16">
        <v>22001</v>
      </c>
      <c r="B116" s="15" t="s">
        <v>111</v>
      </c>
      <c r="C116" s="18">
        <v>65.913903993612948</v>
      </c>
      <c r="D116" s="18">
        <v>317.04304620115812</v>
      </c>
    </row>
    <row r="117" spans="1:4">
      <c r="A117" s="16">
        <v>22002</v>
      </c>
      <c r="B117" s="15" t="s">
        <v>375</v>
      </c>
      <c r="C117" s="18">
        <v>0</v>
      </c>
      <c r="D117" s="18">
        <v>0</v>
      </c>
    </row>
    <row r="118" spans="1:4">
      <c r="A118" s="16">
        <v>30101</v>
      </c>
      <c r="B118" s="15" t="s">
        <v>65</v>
      </c>
      <c r="C118" s="18">
        <v>367.62908716537112</v>
      </c>
      <c r="D118" s="18">
        <v>497.96230582936545</v>
      </c>
    </row>
    <row r="119" spans="1:4">
      <c r="A119" s="16">
        <v>30201</v>
      </c>
      <c r="B119" s="15" t="s">
        <v>55</v>
      </c>
      <c r="C119" s="18">
        <v>557.13768433116354</v>
      </c>
      <c r="D119" s="18">
        <v>201.67724151872548</v>
      </c>
    </row>
    <row r="120" spans="1:4">
      <c r="A120" s="16">
        <v>30202</v>
      </c>
      <c r="B120" s="15" t="s">
        <v>71</v>
      </c>
      <c r="C120" s="18">
        <v>0</v>
      </c>
      <c r="D120" s="18">
        <v>153.93381921736002</v>
      </c>
    </row>
    <row r="121" spans="1:4">
      <c r="A121" s="16">
        <v>30203</v>
      </c>
      <c r="B121" s="15" t="s">
        <v>70</v>
      </c>
      <c r="C121" s="18">
        <v>0</v>
      </c>
      <c r="D121" s="18">
        <v>100.16463357742445</v>
      </c>
    </row>
    <row r="122" spans="1:4">
      <c r="A122" s="16">
        <v>30301</v>
      </c>
      <c r="B122" s="15" t="s">
        <v>469</v>
      </c>
      <c r="C122" s="18">
        <v>0</v>
      </c>
      <c r="D122" s="18">
        <v>106.4288325556148</v>
      </c>
    </row>
    <row r="123" spans="1:4">
      <c r="A123" s="16">
        <v>30302</v>
      </c>
      <c r="B123" s="15" t="s">
        <v>69</v>
      </c>
      <c r="C123" s="18">
        <v>0</v>
      </c>
      <c r="D123" s="18">
        <v>45.538700430004781</v>
      </c>
    </row>
    <row r="124" spans="1:4">
      <c r="A124" s="16">
        <v>30303</v>
      </c>
      <c r="B124" s="15" t="s">
        <v>381</v>
      </c>
      <c r="C124" s="18">
        <v>0</v>
      </c>
      <c r="D124" s="18">
        <v>0</v>
      </c>
    </row>
    <row r="125" spans="1:4">
      <c r="A125" s="16">
        <v>30401</v>
      </c>
      <c r="B125" s="15" t="s">
        <v>86</v>
      </c>
      <c r="C125" s="18">
        <v>160.35863757044442</v>
      </c>
      <c r="D125" s="18">
        <v>149.88245581299702</v>
      </c>
    </row>
    <row r="126" spans="1:4">
      <c r="A126" s="16">
        <v>30402</v>
      </c>
      <c r="B126" s="15" t="s">
        <v>57</v>
      </c>
      <c r="C126" s="18">
        <v>45.240680419833517</v>
      </c>
      <c r="D126" s="18">
        <v>45.518685420365053</v>
      </c>
    </row>
    <row r="127" spans="1:4">
      <c r="A127" s="16">
        <v>30403</v>
      </c>
      <c r="B127" s="15" t="s">
        <v>59</v>
      </c>
      <c r="C127" s="18">
        <v>0</v>
      </c>
      <c r="D127" s="18">
        <v>60.429845898069168</v>
      </c>
    </row>
    <row r="128" spans="1:4">
      <c r="A128" s="16">
        <v>30404</v>
      </c>
      <c r="B128" s="15" t="s">
        <v>78</v>
      </c>
      <c r="C128" s="18">
        <v>0</v>
      </c>
      <c r="D128" s="18">
        <v>68.250068250068253</v>
      </c>
    </row>
    <row r="129" spans="1:4">
      <c r="A129" s="16">
        <v>30501</v>
      </c>
      <c r="B129" s="15" t="s">
        <v>58</v>
      </c>
      <c r="C129" s="18">
        <v>0</v>
      </c>
      <c r="D129" s="18">
        <v>90.952398296695506</v>
      </c>
    </row>
    <row r="130" spans="1:4">
      <c r="A130" s="16">
        <v>30502</v>
      </c>
      <c r="B130" s="15" t="s">
        <v>92</v>
      </c>
      <c r="C130" s="18">
        <v>0</v>
      </c>
      <c r="D130" s="18">
        <v>78.867463228045267</v>
      </c>
    </row>
    <row r="131" spans="1:4">
      <c r="A131" s="16">
        <v>30601</v>
      </c>
      <c r="B131" s="15" t="s">
        <v>60</v>
      </c>
      <c r="C131" s="18">
        <v>0</v>
      </c>
      <c r="D131" s="18">
        <v>156.81257207312311</v>
      </c>
    </row>
    <row r="132" spans="1:4">
      <c r="A132" s="16">
        <v>30602</v>
      </c>
      <c r="B132" s="15" t="s">
        <v>84</v>
      </c>
      <c r="C132" s="18">
        <v>0</v>
      </c>
      <c r="D132" s="18">
        <v>93.383242240750704</v>
      </c>
    </row>
    <row r="133" spans="1:4">
      <c r="A133" s="16">
        <v>30701</v>
      </c>
      <c r="B133" s="15" t="s">
        <v>62</v>
      </c>
      <c r="C133" s="18">
        <v>51.346124704739019</v>
      </c>
      <c r="D133" s="18">
        <v>51.474751634323361</v>
      </c>
    </row>
    <row r="134" spans="1:4">
      <c r="A134" s="16">
        <v>30702</v>
      </c>
      <c r="B134" s="15" t="s">
        <v>80</v>
      </c>
      <c r="C134" s="18">
        <v>0</v>
      </c>
      <c r="D134" s="18">
        <v>128.50543035561432</v>
      </c>
    </row>
    <row r="135" spans="1:4">
      <c r="A135" s="16">
        <v>30703</v>
      </c>
      <c r="B135" s="15" t="s">
        <v>81</v>
      </c>
      <c r="C135" s="18">
        <v>89.126559714795007</v>
      </c>
      <c r="D135" s="18">
        <v>420.45672482118675</v>
      </c>
    </row>
    <row r="136" spans="1:4">
      <c r="A136" s="16">
        <v>30801</v>
      </c>
      <c r="B136" s="15" t="s">
        <v>64</v>
      </c>
      <c r="C136" s="18">
        <v>76.37409110098919</v>
      </c>
      <c r="D136" s="18">
        <v>204.14799286609096</v>
      </c>
    </row>
    <row r="137" spans="1:4">
      <c r="A137" s="16">
        <v>30802</v>
      </c>
      <c r="B137" s="15" t="s">
        <v>342</v>
      </c>
      <c r="C137" s="18">
        <v>0</v>
      </c>
      <c r="D137" s="18">
        <v>45.32064355313846</v>
      </c>
    </row>
    <row r="138" spans="1:4">
      <c r="A138" s="16">
        <v>30803</v>
      </c>
      <c r="B138" s="15" t="s">
        <v>90</v>
      </c>
      <c r="C138" s="18">
        <v>60.375535832880523</v>
      </c>
      <c r="D138" s="18">
        <v>117.57768643731258</v>
      </c>
    </row>
    <row r="139" spans="1:4">
      <c r="A139" s="16">
        <v>30901</v>
      </c>
      <c r="B139" s="15" t="s">
        <v>76</v>
      </c>
      <c r="C139" s="18">
        <v>129.34562642326622</v>
      </c>
      <c r="D139" s="18">
        <v>272.20307377708582</v>
      </c>
    </row>
    <row r="140" spans="1:4">
      <c r="A140" s="16">
        <v>30902</v>
      </c>
      <c r="B140" s="15" t="s">
        <v>327</v>
      </c>
      <c r="C140" s="18">
        <v>16.403795838356995</v>
      </c>
      <c r="D140" s="18">
        <v>108.76300002174794</v>
      </c>
    </row>
    <row r="141" spans="1:4">
      <c r="A141" s="16">
        <v>30903</v>
      </c>
      <c r="B141" s="15" t="s">
        <v>87</v>
      </c>
      <c r="C141" s="18">
        <v>111.89608302947302</v>
      </c>
      <c r="D141" s="18">
        <v>223.93960825201316</v>
      </c>
    </row>
    <row r="142" spans="1:4">
      <c r="A142" s="16">
        <v>30904</v>
      </c>
      <c r="B142" s="15" t="s">
        <v>96</v>
      </c>
      <c r="C142" s="18">
        <v>71.020435181990095</v>
      </c>
      <c r="D142" s="18">
        <v>304.98079885316264</v>
      </c>
    </row>
    <row r="143" spans="1:4">
      <c r="A143" s="16">
        <v>30905</v>
      </c>
      <c r="B143" s="15" t="s">
        <v>66</v>
      </c>
      <c r="C143" s="18">
        <v>95.900102346043283</v>
      </c>
      <c r="D143" s="18">
        <v>249.44483182779709</v>
      </c>
    </row>
    <row r="144" spans="1:4">
      <c r="A144" s="16">
        <v>31001</v>
      </c>
      <c r="B144" s="15" t="s">
        <v>77</v>
      </c>
      <c r="C144" s="18">
        <v>77.554129533431777</v>
      </c>
      <c r="D144" s="18">
        <v>221.99636975159618</v>
      </c>
    </row>
    <row r="145" spans="1:4">
      <c r="A145" s="16">
        <v>31002</v>
      </c>
      <c r="B145" s="15" t="s">
        <v>67</v>
      </c>
      <c r="C145" s="18">
        <v>17.28459078731311</v>
      </c>
      <c r="D145" s="18">
        <v>153.9427734287874</v>
      </c>
    </row>
    <row r="146" spans="1:4">
      <c r="A146" s="16">
        <v>31003</v>
      </c>
      <c r="B146" s="15" t="s">
        <v>95</v>
      </c>
      <c r="C146" s="18">
        <v>92.996196769408456</v>
      </c>
      <c r="D146" s="18">
        <v>210.53979741481132</v>
      </c>
    </row>
    <row r="147" spans="1:4">
      <c r="A147" s="16">
        <v>31101</v>
      </c>
      <c r="B147" s="15" t="s">
        <v>85</v>
      </c>
      <c r="C147" s="18">
        <v>0</v>
      </c>
      <c r="D147" s="18">
        <v>40.543280084640116</v>
      </c>
    </row>
    <row r="148" spans="1:4">
      <c r="A148" s="16">
        <v>31201</v>
      </c>
      <c r="B148" s="15" t="s">
        <v>91</v>
      </c>
      <c r="C148" s="18">
        <v>0</v>
      </c>
      <c r="D148" s="18">
        <v>67.511319696636065</v>
      </c>
    </row>
    <row r="149" spans="1:4">
      <c r="A149" s="16">
        <v>31202</v>
      </c>
      <c r="B149" s="15" t="s">
        <v>73</v>
      </c>
      <c r="C149" s="18">
        <v>0</v>
      </c>
      <c r="D149" s="18">
        <v>1880.3589823980037</v>
      </c>
    </row>
    <row r="150" spans="1:4">
      <c r="A150" s="16">
        <v>31203</v>
      </c>
      <c r="B150" s="15" t="s">
        <v>72</v>
      </c>
      <c r="C150" s="18">
        <v>0</v>
      </c>
      <c r="D150" s="18">
        <v>164.29566935286371</v>
      </c>
    </row>
    <row r="151" spans="1:4">
      <c r="A151" s="16">
        <v>31204</v>
      </c>
      <c r="B151" s="15" t="s">
        <v>63</v>
      </c>
      <c r="C151" s="18">
        <v>171.21415391229436</v>
      </c>
      <c r="D151" s="18">
        <v>579.99855314332524</v>
      </c>
    </row>
    <row r="152" spans="1:4">
      <c r="A152" s="16">
        <v>31205</v>
      </c>
      <c r="B152" s="15" t="s">
        <v>74</v>
      </c>
      <c r="C152" s="18">
        <v>77.831091271443313</v>
      </c>
      <c r="D152" s="18">
        <v>1034.1548201465578</v>
      </c>
    </row>
    <row r="153" spans="1:4">
      <c r="A153" s="16">
        <v>31206</v>
      </c>
      <c r="B153" s="15" t="s">
        <v>281</v>
      </c>
      <c r="C153" s="18">
        <v>0</v>
      </c>
      <c r="D153" s="18">
        <v>0</v>
      </c>
    </row>
    <row r="154" spans="1:4">
      <c r="A154" s="16">
        <v>31301</v>
      </c>
      <c r="B154" s="15" t="s">
        <v>68</v>
      </c>
      <c r="C154" s="18">
        <v>50.224851293883297</v>
      </c>
      <c r="D154" s="18">
        <v>150.81439876408714</v>
      </c>
    </row>
    <row r="155" spans="1:4">
      <c r="A155" s="16">
        <v>31302</v>
      </c>
      <c r="B155" s="15" t="s">
        <v>93</v>
      </c>
      <c r="C155" s="18">
        <v>0</v>
      </c>
      <c r="D155" s="18">
        <v>0</v>
      </c>
    </row>
    <row r="156" spans="1:4">
      <c r="A156" s="16">
        <v>31303</v>
      </c>
      <c r="B156" s="15" t="s">
        <v>56</v>
      </c>
      <c r="C156" s="18">
        <v>0</v>
      </c>
      <c r="D156" s="18">
        <v>0</v>
      </c>
    </row>
    <row r="157" spans="1:4">
      <c r="A157" s="16">
        <v>31304</v>
      </c>
      <c r="B157" s="15" t="s">
        <v>301</v>
      </c>
      <c r="C157" s="18">
        <v>0</v>
      </c>
      <c r="D157" s="18">
        <v>0</v>
      </c>
    </row>
    <row r="158" spans="1:4">
      <c r="A158" s="16">
        <v>31401</v>
      </c>
      <c r="B158" s="15" t="s">
        <v>349</v>
      </c>
      <c r="C158" s="18">
        <v>115.48647143677067</v>
      </c>
      <c r="D158" s="18">
        <v>201.80469233251083</v>
      </c>
    </row>
    <row r="159" spans="1:4">
      <c r="A159" s="16">
        <v>31402</v>
      </c>
      <c r="B159" s="15" t="s">
        <v>94</v>
      </c>
      <c r="C159" s="18">
        <v>40.975209997951232</v>
      </c>
      <c r="D159" s="18">
        <v>116.81945623355575</v>
      </c>
    </row>
    <row r="160" spans="1:4">
      <c r="A160" s="16">
        <v>31403</v>
      </c>
      <c r="B160" s="15" t="s">
        <v>311</v>
      </c>
      <c r="C160" s="18">
        <v>0</v>
      </c>
      <c r="D160" s="18">
        <v>51.069914713242433</v>
      </c>
    </row>
    <row r="161" spans="1:4">
      <c r="A161" s="16">
        <v>31404</v>
      </c>
      <c r="B161" s="15" t="s">
        <v>345</v>
      </c>
      <c r="C161" s="18">
        <v>0</v>
      </c>
      <c r="D161" s="18">
        <v>0</v>
      </c>
    </row>
    <row r="162" spans="1:4">
      <c r="A162" s="16">
        <v>31405</v>
      </c>
      <c r="B162" s="15" t="s">
        <v>481</v>
      </c>
      <c r="C162" s="18">
        <v>0</v>
      </c>
      <c r="D162" s="18">
        <v>0</v>
      </c>
    </row>
    <row r="163" spans="1:4">
      <c r="A163" s="16">
        <v>31501</v>
      </c>
      <c r="B163" s="15" t="s">
        <v>291</v>
      </c>
      <c r="C163" s="18">
        <v>0</v>
      </c>
      <c r="D163" s="18">
        <v>40.24792723174756</v>
      </c>
    </row>
    <row r="164" spans="1:4">
      <c r="A164" s="16">
        <v>31601</v>
      </c>
      <c r="B164" s="15" t="s">
        <v>88</v>
      </c>
      <c r="C164" s="18">
        <v>15.872260051108677</v>
      </c>
      <c r="D164" s="18">
        <v>622.48282337053547</v>
      </c>
    </row>
    <row r="165" spans="1:4">
      <c r="A165" s="16">
        <v>31602</v>
      </c>
      <c r="B165" s="15" t="s">
        <v>385</v>
      </c>
      <c r="C165" s="18">
        <v>0</v>
      </c>
      <c r="D165" s="18">
        <v>0</v>
      </c>
    </row>
    <row r="166" spans="1:4">
      <c r="A166" s="16">
        <v>40101</v>
      </c>
      <c r="B166" s="15" t="s">
        <v>179</v>
      </c>
      <c r="C166" s="18">
        <v>146.2355415390104</v>
      </c>
      <c r="D166" s="18">
        <v>374.29594101565471</v>
      </c>
    </row>
    <row r="167" spans="1:4">
      <c r="A167" s="16">
        <v>40102</v>
      </c>
      <c r="B167" s="15" t="s">
        <v>169</v>
      </c>
      <c r="C167" s="18">
        <v>14.434388487131743</v>
      </c>
      <c r="D167" s="18">
        <v>58.309499989553103</v>
      </c>
    </row>
    <row r="168" spans="1:4">
      <c r="A168" s="16">
        <v>40103</v>
      </c>
      <c r="B168" s="15" t="s">
        <v>173</v>
      </c>
      <c r="C168" s="18">
        <v>0</v>
      </c>
      <c r="D168" s="18">
        <v>34.065746891500595</v>
      </c>
    </row>
    <row r="169" spans="1:4">
      <c r="A169" s="16">
        <v>40104</v>
      </c>
      <c r="B169" s="15" t="s">
        <v>347</v>
      </c>
      <c r="C169" s="18">
        <v>0</v>
      </c>
      <c r="D169" s="18">
        <v>0</v>
      </c>
    </row>
    <row r="170" spans="1:4">
      <c r="A170" s="16">
        <v>40201</v>
      </c>
      <c r="B170" s="15" t="s">
        <v>170</v>
      </c>
      <c r="C170" s="18">
        <v>22.629554197782301</v>
      </c>
      <c r="D170" s="18">
        <v>133.34410928300531</v>
      </c>
    </row>
    <row r="171" spans="1:4">
      <c r="A171" s="16">
        <v>40202</v>
      </c>
      <c r="B171" s="15" t="s">
        <v>184</v>
      </c>
      <c r="C171" s="18">
        <v>0</v>
      </c>
      <c r="D171" s="18">
        <v>0</v>
      </c>
    </row>
    <row r="172" spans="1:4">
      <c r="A172" s="16">
        <v>40301</v>
      </c>
      <c r="B172" s="15" t="s">
        <v>171</v>
      </c>
      <c r="C172" s="18">
        <v>0</v>
      </c>
      <c r="D172" s="18">
        <v>41.405295737324799</v>
      </c>
    </row>
    <row r="173" spans="1:4">
      <c r="A173" s="16">
        <v>40302</v>
      </c>
      <c r="B173" s="15" t="s">
        <v>396</v>
      </c>
      <c r="C173" s="18">
        <v>0</v>
      </c>
      <c r="D173" s="18">
        <v>0</v>
      </c>
    </row>
    <row r="174" spans="1:4">
      <c r="A174" s="16">
        <v>40401</v>
      </c>
      <c r="B174" s="15" t="s">
        <v>172</v>
      </c>
      <c r="C174" s="18">
        <v>0</v>
      </c>
      <c r="D174" s="18">
        <v>49.877799391490846</v>
      </c>
    </row>
    <row r="175" spans="1:4">
      <c r="A175" s="16">
        <v>40402</v>
      </c>
      <c r="B175" s="15" t="s">
        <v>185</v>
      </c>
      <c r="C175" s="18">
        <v>0</v>
      </c>
      <c r="D175" s="18">
        <v>0</v>
      </c>
    </row>
    <row r="176" spans="1:4">
      <c r="A176" s="16">
        <v>40501</v>
      </c>
      <c r="B176" s="15" t="s">
        <v>175</v>
      </c>
      <c r="C176" s="18">
        <v>0</v>
      </c>
      <c r="D176" s="18">
        <v>83.104795146679962</v>
      </c>
    </row>
    <row r="177" spans="1:4">
      <c r="A177" s="16">
        <v>40502</v>
      </c>
      <c r="B177" s="15" t="s">
        <v>397</v>
      </c>
      <c r="C177" s="18">
        <v>0</v>
      </c>
      <c r="D177" s="18">
        <v>0</v>
      </c>
    </row>
    <row r="178" spans="1:4">
      <c r="A178" s="16">
        <v>40503</v>
      </c>
      <c r="B178" s="15" t="s">
        <v>337</v>
      </c>
      <c r="C178" s="18">
        <v>0</v>
      </c>
      <c r="D178" s="18">
        <v>0</v>
      </c>
    </row>
    <row r="179" spans="1:4">
      <c r="A179" s="16">
        <v>40504</v>
      </c>
      <c r="B179" s="15" t="s">
        <v>336</v>
      </c>
      <c r="C179" s="18">
        <v>0</v>
      </c>
      <c r="D179" s="18">
        <v>0</v>
      </c>
    </row>
    <row r="180" spans="1:4">
      <c r="A180" s="16">
        <v>40505</v>
      </c>
      <c r="B180" s="15" t="s">
        <v>302</v>
      </c>
      <c r="C180" s="18">
        <v>0</v>
      </c>
      <c r="D180" s="18">
        <v>0</v>
      </c>
    </row>
    <row r="181" spans="1:4">
      <c r="A181" s="16">
        <v>40601</v>
      </c>
      <c r="B181" s="15" t="s">
        <v>323</v>
      </c>
      <c r="C181" s="18">
        <v>43.172300651901743</v>
      </c>
      <c r="D181" s="18">
        <v>36.275256647440777</v>
      </c>
    </row>
    <row r="182" spans="1:4">
      <c r="A182" s="16">
        <v>40602</v>
      </c>
      <c r="B182" s="15" t="s">
        <v>180</v>
      </c>
      <c r="C182" s="18">
        <v>0</v>
      </c>
      <c r="D182" s="18">
        <v>75.878291220881707</v>
      </c>
    </row>
    <row r="183" spans="1:4">
      <c r="A183" s="16">
        <v>40603</v>
      </c>
      <c r="B183" s="15" t="s">
        <v>168</v>
      </c>
      <c r="C183" s="18">
        <v>0</v>
      </c>
      <c r="D183" s="18">
        <v>0</v>
      </c>
    </row>
    <row r="184" spans="1:4">
      <c r="A184" s="16">
        <v>40701</v>
      </c>
      <c r="B184" s="15" t="s">
        <v>176</v>
      </c>
      <c r="C184" s="18">
        <v>54.665199345707471</v>
      </c>
      <c r="D184" s="18">
        <v>322.91186952843702</v>
      </c>
    </row>
    <row r="185" spans="1:4">
      <c r="A185" s="16">
        <v>40702</v>
      </c>
      <c r="B185" s="15" t="s">
        <v>178</v>
      </c>
      <c r="C185" s="18">
        <v>206.79558589137537</v>
      </c>
      <c r="D185" s="18">
        <v>111.91312858687918</v>
      </c>
    </row>
    <row r="186" spans="1:4">
      <c r="A186" s="16">
        <v>40801</v>
      </c>
      <c r="B186" s="15" t="s">
        <v>490</v>
      </c>
      <c r="C186" s="18">
        <v>0</v>
      </c>
      <c r="D186" s="18">
        <v>0</v>
      </c>
    </row>
    <row r="187" spans="1:4">
      <c r="A187" s="16">
        <v>40802</v>
      </c>
      <c r="B187" s="15" t="s">
        <v>303</v>
      </c>
      <c r="C187" s="18">
        <v>0</v>
      </c>
      <c r="D187" s="18">
        <v>0</v>
      </c>
    </row>
    <row r="188" spans="1:4">
      <c r="A188" s="16">
        <v>40901</v>
      </c>
      <c r="B188" s="15" t="s">
        <v>182</v>
      </c>
      <c r="C188" s="18">
        <v>0</v>
      </c>
      <c r="D188" s="18">
        <v>23.381967826412275</v>
      </c>
    </row>
    <row r="189" spans="1:4">
      <c r="A189" s="16">
        <v>40902</v>
      </c>
      <c r="B189" s="15" t="s">
        <v>398</v>
      </c>
      <c r="C189" s="18">
        <v>0</v>
      </c>
      <c r="D189" s="18">
        <v>0</v>
      </c>
    </row>
    <row r="190" spans="1:4">
      <c r="A190" s="16">
        <v>40903</v>
      </c>
      <c r="B190" s="15" t="s">
        <v>491</v>
      </c>
      <c r="C190" s="18">
        <v>0</v>
      </c>
      <c r="D190" s="18">
        <v>0</v>
      </c>
    </row>
    <row r="191" spans="1:4">
      <c r="A191" s="16">
        <v>41001</v>
      </c>
      <c r="B191" s="15" t="s">
        <v>346</v>
      </c>
      <c r="C191" s="18">
        <v>0</v>
      </c>
      <c r="D191" s="18">
        <v>0</v>
      </c>
    </row>
    <row r="192" spans="1:4">
      <c r="A192" s="16">
        <v>41101</v>
      </c>
      <c r="B192" s="15" t="s">
        <v>174</v>
      </c>
      <c r="C192" s="18">
        <v>0</v>
      </c>
      <c r="D192" s="18">
        <v>0</v>
      </c>
    </row>
    <row r="193" spans="1:4">
      <c r="A193" s="16">
        <v>41201</v>
      </c>
      <c r="B193" s="15" t="s">
        <v>305</v>
      </c>
      <c r="C193" s="18">
        <v>506.47449081195128</v>
      </c>
      <c r="D193" s="18">
        <v>0</v>
      </c>
    </row>
    <row r="194" spans="1:4">
      <c r="A194" s="16">
        <v>41202</v>
      </c>
      <c r="B194" s="15" t="s">
        <v>339</v>
      </c>
      <c r="C194" s="18">
        <v>0</v>
      </c>
      <c r="D194" s="18">
        <v>0</v>
      </c>
    </row>
    <row r="195" spans="1:4">
      <c r="A195" s="16">
        <v>41301</v>
      </c>
      <c r="B195" s="15" t="s">
        <v>91</v>
      </c>
      <c r="C195" s="18">
        <v>0</v>
      </c>
      <c r="D195" s="18">
        <v>0</v>
      </c>
    </row>
    <row r="196" spans="1:4">
      <c r="A196" s="16">
        <v>41401</v>
      </c>
      <c r="B196" s="15" t="s">
        <v>183</v>
      </c>
      <c r="C196" s="18">
        <v>25.631167499679609</v>
      </c>
      <c r="D196" s="18">
        <v>0</v>
      </c>
    </row>
    <row r="197" spans="1:4">
      <c r="A197" s="16">
        <v>41501</v>
      </c>
      <c r="B197" s="15" t="s">
        <v>177</v>
      </c>
      <c r="C197" s="18">
        <v>0</v>
      </c>
      <c r="D197" s="18">
        <v>864.34776953040853</v>
      </c>
    </row>
    <row r="198" spans="1:4">
      <c r="A198" s="16">
        <v>41502</v>
      </c>
      <c r="B198" s="15" t="s">
        <v>324</v>
      </c>
      <c r="C198" s="18">
        <v>0</v>
      </c>
      <c r="D198" s="18">
        <v>0</v>
      </c>
    </row>
    <row r="199" spans="1:4">
      <c r="A199" s="16">
        <v>41503</v>
      </c>
      <c r="B199" s="15" t="s">
        <v>335</v>
      </c>
      <c r="C199" s="18">
        <v>0</v>
      </c>
      <c r="D199" s="18">
        <v>0</v>
      </c>
    </row>
    <row r="200" spans="1:4">
      <c r="A200" s="16">
        <v>41601</v>
      </c>
      <c r="B200" s="15" t="s">
        <v>500</v>
      </c>
      <c r="C200" s="18">
        <v>0</v>
      </c>
      <c r="D200" s="18">
        <v>0</v>
      </c>
    </row>
    <row r="201" spans="1:4">
      <c r="A201" s="16">
        <v>50101</v>
      </c>
      <c r="B201" s="15" t="s">
        <v>294</v>
      </c>
      <c r="C201" s="18">
        <v>43.588614383591818</v>
      </c>
      <c r="D201" s="18">
        <v>369.56387100421495</v>
      </c>
    </row>
    <row r="202" spans="1:4">
      <c r="A202" s="16">
        <v>50102</v>
      </c>
      <c r="B202" s="15" t="s">
        <v>222</v>
      </c>
      <c r="C202" s="18">
        <v>0</v>
      </c>
      <c r="D202" s="18">
        <v>81.028132761626992</v>
      </c>
    </row>
    <row r="203" spans="1:4">
      <c r="A203" s="16">
        <v>50103</v>
      </c>
      <c r="B203" s="15" t="s">
        <v>230</v>
      </c>
      <c r="C203" s="18">
        <v>0</v>
      </c>
      <c r="D203" s="18">
        <v>27.204222095269188</v>
      </c>
    </row>
    <row r="204" spans="1:4">
      <c r="A204" s="16">
        <v>50104</v>
      </c>
      <c r="B204" s="15" t="s">
        <v>319</v>
      </c>
      <c r="C204" s="18">
        <v>0</v>
      </c>
      <c r="D204" s="18">
        <v>0</v>
      </c>
    </row>
    <row r="205" spans="1:4">
      <c r="A205" s="16">
        <v>50201</v>
      </c>
      <c r="B205" s="15" t="s">
        <v>226</v>
      </c>
      <c r="C205" s="18">
        <v>15.137753557372086</v>
      </c>
      <c r="D205" s="18">
        <v>161.28546927124785</v>
      </c>
    </row>
    <row r="206" spans="1:4">
      <c r="A206" s="16">
        <v>50202</v>
      </c>
      <c r="B206" s="15" t="s">
        <v>205</v>
      </c>
      <c r="C206" s="18">
        <v>0</v>
      </c>
      <c r="D206" s="18">
        <v>103.96006442516416</v>
      </c>
    </row>
    <row r="207" spans="1:4">
      <c r="A207" s="16">
        <v>50203</v>
      </c>
      <c r="B207" s="15" t="s">
        <v>209</v>
      </c>
      <c r="C207" s="18">
        <v>81.303411828282478</v>
      </c>
      <c r="D207" s="18">
        <v>216.07582173328592</v>
      </c>
    </row>
    <row r="208" spans="1:4">
      <c r="A208" s="16">
        <v>50204</v>
      </c>
      <c r="B208" s="15" t="s">
        <v>374</v>
      </c>
      <c r="C208" s="18">
        <v>0</v>
      </c>
      <c r="D208" s="18">
        <v>0</v>
      </c>
    </row>
    <row r="209" spans="1:4">
      <c r="A209" s="16">
        <v>50301</v>
      </c>
      <c r="B209" s="15" t="s">
        <v>202</v>
      </c>
      <c r="C209" s="18">
        <v>0</v>
      </c>
      <c r="D209" s="18">
        <v>93.486518255195833</v>
      </c>
    </row>
    <row r="210" spans="1:4">
      <c r="A210" s="16">
        <v>50302</v>
      </c>
      <c r="B210" s="15" t="s">
        <v>358</v>
      </c>
      <c r="C210" s="18">
        <v>0</v>
      </c>
      <c r="D210" s="18">
        <v>107.30071867489092</v>
      </c>
    </row>
    <row r="211" spans="1:4">
      <c r="A211" s="16">
        <v>50303</v>
      </c>
      <c r="B211" s="15" t="s">
        <v>220</v>
      </c>
      <c r="C211" s="18">
        <v>27.966552003803454</v>
      </c>
      <c r="D211" s="18">
        <v>47.81028877414419</v>
      </c>
    </row>
    <row r="212" spans="1:4">
      <c r="A212" s="16">
        <v>50401</v>
      </c>
      <c r="B212" s="15" t="s">
        <v>207</v>
      </c>
      <c r="C212" s="18">
        <v>21.712697585548028</v>
      </c>
      <c r="D212" s="18">
        <v>184.26585924364761</v>
      </c>
    </row>
    <row r="213" spans="1:4">
      <c r="A213" s="16">
        <v>50402</v>
      </c>
      <c r="B213" s="15" t="s">
        <v>216</v>
      </c>
      <c r="C213" s="18">
        <v>0</v>
      </c>
      <c r="D213" s="18">
        <v>233.72707261805056</v>
      </c>
    </row>
    <row r="214" spans="1:4">
      <c r="A214" s="16">
        <v>50403</v>
      </c>
      <c r="B214" s="15" t="s">
        <v>212</v>
      </c>
      <c r="C214" s="18">
        <v>0</v>
      </c>
      <c r="D214" s="18">
        <v>124.74750137979549</v>
      </c>
    </row>
    <row r="215" spans="1:4">
      <c r="A215" s="16">
        <v>50404</v>
      </c>
      <c r="B215" s="15" t="s">
        <v>211</v>
      </c>
      <c r="C215" s="18">
        <v>20.851578464489762</v>
      </c>
      <c r="D215" s="18">
        <v>112.84585105571801</v>
      </c>
    </row>
    <row r="216" spans="1:4">
      <c r="A216" s="16">
        <v>50405</v>
      </c>
      <c r="B216" s="15" t="s">
        <v>300</v>
      </c>
      <c r="C216" s="18">
        <v>0</v>
      </c>
      <c r="D216" s="18">
        <v>0</v>
      </c>
    </row>
    <row r="217" spans="1:4">
      <c r="A217" s="16">
        <v>50501</v>
      </c>
      <c r="B217" s="15" t="s">
        <v>314</v>
      </c>
      <c r="C217" s="18">
        <v>11.156107411002154</v>
      </c>
      <c r="D217" s="18">
        <v>268.49506715391527</v>
      </c>
    </row>
    <row r="218" spans="1:4">
      <c r="A218" s="16">
        <v>50502</v>
      </c>
      <c r="B218" s="15" t="s">
        <v>224</v>
      </c>
      <c r="C218" s="18">
        <v>0</v>
      </c>
      <c r="D218" s="18">
        <v>528.14936110911719</v>
      </c>
    </row>
    <row r="219" spans="1:4">
      <c r="A219" s="16">
        <v>50601</v>
      </c>
      <c r="B219" s="15" t="s">
        <v>208</v>
      </c>
      <c r="C219" s="18">
        <v>10.720181814283571</v>
      </c>
      <c r="D219" s="18">
        <v>22.731323574150689</v>
      </c>
    </row>
    <row r="220" spans="1:4">
      <c r="A220" s="16">
        <v>50602</v>
      </c>
      <c r="B220" s="15" t="s">
        <v>340</v>
      </c>
      <c r="C220" s="18">
        <v>31.310664412298831</v>
      </c>
      <c r="D220" s="18">
        <v>32.731081434930609</v>
      </c>
    </row>
    <row r="221" spans="1:4">
      <c r="A221" s="16">
        <v>50701</v>
      </c>
      <c r="B221" s="15" t="s">
        <v>304</v>
      </c>
      <c r="C221" s="18">
        <v>17.17239365995226</v>
      </c>
      <c r="D221" s="18">
        <v>58.122638767800062</v>
      </c>
    </row>
    <row r="222" spans="1:4">
      <c r="A222" s="16">
        <v>50702</v>
      </c>
      <c r="B222" s="15" t="s">
        <v>203</v>
      </c>
      <c r="C222" s="18">
        <v>0</v>
      </c>
      <c r="D222" s="18">
        <v>78.440600855002558</v>
      </c>
    </row>
    <row r="223" spans="1:4">
      <c r="A223" s="16">
        <v>50801</v>
      </c>
      <c r="B223" s="15" t="s">
        <v>225</v>
      </c>
      <c r="C223" s="18">
        <v>29.830124374599265</v>
      </c>
      <c r="D223" s="18">
        <v>109.79805156660963</v>
      </c>
    </row>
    <row r="224" spans="1:4">
      <c r="A224" s="16">
        <v>50802</v>
      </c>
      <c r="B224" s="15" t="s">
        <v>201</v>
      </c>
      <c r="C224" s="18">
        <v>0</v>
      </c>
      <c r="D224" s="18">
        <v>34.686090877558101</v>
      </c>
    </row>
    <row r="225" spans="1:4">
      <c r="A225" s="16">
        <v>50901</v>
      </c>
      <c r="B225" s="15" t="s">
        <v>316</v>
      </c>
      <c r="C225" s="18">
        <v>0</v>
      </c>
      <c r="D225" s="18">
        <v>52.152598503220425</v>
      </c>
    </row>
    <row r="226" spans="1:4">
      <c r="A226" s="16">
        <v>50902</v>
      </c>
      <c r="B226" s="15" t="s">
        <v>399</v>
      </c>
      <c r="C226" s="18">
        <v>0</v>
      </c>
      <c r="D226" s="18">
        <v>0</v>
      </c>
    </row>
    <row r="227" spans="1:4">
      <c r="A227" s="16">
        <v>51001</v>
      </c>
      <c r="B227" s="15" t="s">
        <v>333</v>
      </c>
      <c r="C227" s="18">
        <v>0</v>
      </c>
      <c r="D227" s="18">
        <v>0</v>
      </c>
    </row>
    <row r="228" spans="1:4">
      <c r="A228" s="16">
        <v>51002</v>
      </c>
      <c r="B228" s="15" t="s">
        <v>329</v>
      </c>
      <c r="C228" s="18">
        <v>0</v>
      </c>
      <c r="D228" s="18">
        <v>0</v>
      </c>
    </row>
    <row r="229" spans="1:4">
      <c r="A229" s="16">
        <v>51003</v>
      </c>
      <c r="B229" s="15" t="s">
        <v>325</v>
      </c>
      <c r="C229" s="18">
        <v>0</v>
      </c>
      <c r="D229" s="18">
        <v>0</v>
      </c>
    </row>
    <row r="230" spans="1:4">
      <c r="A230" s="16">
        <v>51101</v>
      </c>
      <c r="B230" s="15" t="s">
        <v>359</v>
      </c>
      <c r="C230" s="18">
        <v>0</v>
      </c>
      <c r="D230" s="18">
        <v>40.677690320743586</v>
      </c>
    </row>
    <row r="231" spans="1:4">
      <c r="A231" s="16">
        <v>51102</v>
      </c>
      <c r="B231" s="15" t="s">
        <v>356</v>
      </c>
      <c r="C231" s="18">
        <v>0</v>
      </c>
      <c r="D231" s="18">
        <v>0</v>
      </c>
    </row>
    <row r="232" spans="1:4">
      <c r="A232" s="16">
        <v>51103</v>
      </c>
      <c r="B232" s="15" t="s">
        <v>360</v>
      </c>
      <c r="C232" s="18">
        <v>0</v>
      </c>
      <c r="D232" s="18">
        <v>0</v>
      </c>
    </row>
    <row r="233" spans="1:4">
      <c r="A233" s="16">
        <v>51201</v>
      </c>
      <c r="B233" s="15" t="s">
        <v>227</v>
      </c>
      <c r="C233" s="18">
        <v>11.233935472274647</v>
      </c>
      <c r="D233" s="18">
        <v>162.24413119277509</v>
      </c>
    </row>
    <row r="234" spans="1:4">
      <c r="A234" s="16">
        <v>51202</v>
      </c>
      <c r="B234" s="15" t="s">
        <v>223</v>
      </c>
      <c r="C234" s="18">
        <v>0</v>
      </c>
      <c r="D234" s="18">
        <v>0</v>
      </c>
    </row>
    <row r="235" spans="1:4">
      <c r="A235" s="16">
        <v>51203</v>
      </c>
      <c r="B235" s="15" t="s">
        <v>213</v>
      </c>
      <c r="C235" s="18">
        <v>59.61962678113634</v>
      </c>
      <c r="D235" s="18">
        <v>114.73724289295892</v>
      </c>
    </row>
    <row r="236" spans="1:4">
      <c r="A236" s="16">
        <v>51204</v>
      </c>
      <c r="B236" s="15" t="s">
        <v>519</v>
      </c>
      <c r="C236" s="18">
        <v>0</v>
      </c>
      <c r="D236" s="18">
        <v>0</v>
      </c>
    </row>
    <row r="237" spans="1:4">
      <c r="A237" s="16">
        <v>51301</v>
      </c>
      <c r="B237" s="15" t="s">
        <v>200</v>
      </c>
      <c r="C237" s="18">
        <v>0</v>
      </c>
      <c r="D237" s="18">
        <v>0</v>
      </c>
    </row>
    <row r="238" spans="1:4">
      <c r="A238" s="16">
        <v>51302</v>
      </c>
      <c r="B238" s="15" t="s">
        <v>199</v>
      </c>
      <c r="C238" s="18">
        <v>1038.1189184453312</v>
      </c>
      <c r="D238" s="18">
        <v>149.10907328710951</v>
      </c>
    </row>
    <row r="239" spans="1:4">
      <c r="A239" s="16">
        <v>51401</v>
      </c>
      <c r="B239" s="15" t="s">
        <v>210</v>
      </c>
      <c r="C239" s="18">
        <v>0</v>
      </c>
      <c r="D239" s="18">
        <v>79.725743442557601</v>
      </c>
    </row>
    <row r="240" spans="1:4">
      <c r="A240" s="16">
        <v>51402</v>
      </c>
      <c r="B240" s="15" t="s">
        <v>221</v>
      </c>
      <c r="C240" s="18">
        <v>0</v>
      </c>
      <c r="D240" s="18">
        <v>0</v>
      </c>
    </row>
    <row r="241" spans="1:4">
      <c r="A241" s="16">
        <v>51501</v>
      </c>
      <c r="B241" s="15" t="s">
        <v>406</v>
      </c>
      <c r="C241" s="18">
        <v>59.658187795325269</v>
      </c>
      <c r="D241" s="18">
        <v>108.60347265683662</v>
      </c>
    </row>
    <row r="242" spans="1:4">
      <c r="A242" s="16">
        <v>51601</v>
      </c>
      <c r="B242" s="15" t="s">
        <v>332</v>
      </c>
      <c r="C242" s="18">
        <v>0</v>
      </c>
      <c r="D242" s="18">
        <v>0</v>
      </c>
    </row>
    <row r="243" spans="1:4">
      <c r="A243" s="16">
        <v>60101</v>
      </c>
      <c r="B243" s="15" t="s">
        <v>283</v>
      </c>
      <c r="C243" s="18">
        <v>56.863180426547125</v>
      </c>
      <c r="D243" s="18">
        <v>255.42349863184756</v>
      </c>
    </row>
    <row r="244" spans="1:4">
      <c r="A244" s="16">
        <v>60201</v>
      </c>
      <c r="B244" s="15" t="s">
        <v>282</v>
      </c>
      <c r="C244" s="18">
        <v>0</v>
      </c>
      <c r="D244" s="18">
        <v>37.192153735345407</v>
      </c>
    </row>
    <row r="245" spans="1:4">
      <c r="A245" s="16">
        <v>60202</v>
      </c>
      <c r="B245" s="15" t="s">
        <v>279</v>
      </c>
      <c r="C245" s="18">
        <v>116.05602692567952</v>
      </c>
      <c r="D245" s="18">
        <v>190.4033559587001</v>
      </c>
    </row>
    <row r="246" spans="1:4">
      <c r="A246" s="16">
        <v>60301</v>
      </c>
      <c r="B246" s="15" t="s">
        <v>287</v>
      </c>
      <c r="C246" s="18">
        <v>122.74885172218809</v>
      </c>
      <c r="D246" s="18">
        <v>219.59528733054489</v>
      </c>
    </row>
    <row r="247" spans="1:4">
      <c r="A247" s="16">
        <v>60302</v>
      </c>
      <c r="B247" s="15" t="s">
        <v>331</v>
      </c>
      <c r="C247" s="18">
        <v>0</v>
      </c>
      <c r="D247" s="18">
        <v>42.891808088109322</v>
      </c>
    </row>
    <row r="248" spans="1:4">
      <c r="A248" s="16">
        <v>60303</v>
      </c>
      <c r="B248" s="15" t="s">
        <v>318</v>
      </c>
      <c r="C248" s="18">
        <v>93.245071605260023</v>
      </c>
      <c r="D248" s="18">
        <v>168.5598524298054</v>
      </c>
    </row>
    <row r="249" spans="1:4">
      <c r="A249" s="16">
        <v>60401</v>
      </c>
      <c r="B249" s="15" t="s">
        <v>328</v>
      </c>
      <c r="C249" s="18">
        <v>22.551473738808834</v>
      </c>
      <c r="D249" s="18">
        <v>20.934078586531012</v>
      </c>
    </row>
    <row r="250" spans="1:4">
      <c r="A250" s="16">
        <v>60402</v>
      </c>
      <c r="B250" s="15" t="s">
        <v>330</v>
      </c>
      <c r="C250" s="18">
        <v>0</v>
      </c>
      <c r="D250" s="18">
        <v>0</v>
      </c>
    </row>
    <row r="251" spans="1:4">
      <c r="A251" s="16">
        <v>60501</v>
      </c>
      <c r="B251" s="15" t="s">
        <v>195</v>
      </c>
      <c r="C251" s="18">
        <v>14.102184428367954</v>
      </c>
      <c r="D251" s="18">
        <v>33.763986263460104</v>
      </c>
    </row>
    <row r="252" spans="1:4">
      <c r="A252" s="16">
        <v>60502</v>
      </c>
      <c r="B252" s="15" t="s">
        <v>245</v>
      </c>
      <c r="C252" s="18">
        <v>29.522038201517432</v>
      </c>
      <c r="D252" s="18">
        <v>33.916700583367252</v>
      </c>
    </row>
    <row r="253" spans="1:4">
      <c r="A253" s="16">
        <v>60601</v>
      </c>
      <c r="B253" s="15" t="s">
        <v>281</v>
      </c>
      <c r="C253" s="18">
        <v>15.157716035347795</v>
      </c>
      <c r="D253" s="18">
        <v>111.12136705604996</v>
      </c>
    </row>
    <row r="254" spans="1:4">
      <c r="A254" s="16">
        <v>70101</v>
      </c>
      <c r="B254" s="15" t="s">
        <v>272</v>
      </c>
      <c r="C254" s="18">
        <v>318.66337245038108</v>
      </c>
      <c r="D254" s="18">
        <v>595.7016812924229</v>
      </c>
    </row>
    <row r="255" spans="1:4">
      <c r="A255" s="16">
        <v>70102</v>
      </c>
      <c r="B255" s="15" t="s">
        <v>243</v>
      </c>
      <c r="C255" s="18">
        <v>63.551950229726835</v>
      </c>
      <c r="D255" s="18">
        <v>292.86867283010565</v>
      </c>
    </row>
    <row r="256" spans="1:4">
      <c r="A256" s="16">
        <v>70103</v>
      </c>
      <c r="B256" s="15" t="s">
        <v>320</v>
      </c>
      <c r="C256" s="18">
        <v>0</v>
      </c>
      <c r="D256" s="18">
        <v>89.871186049069834</v>
      </c>
    </row>
    <row r="257" spans="1:4">
      <c r="A257" s="16">
        <v>70104</v>
      </c>
      <c r="B257" s="15" t="s">
        <v>248</v>
      </c>
      <c r="C257" s="18">
        <v>29.106862268600292</v>
      </c>
      <c r="D257" s="18">
        <v>242.70480307398989</v>
      </c>
    </row>
    <row r="258" spans="1:4">
      <c r="A258" s="16">
        <v>70105</v>
      </c>
      <c r="B258" s="15" t="s">
        <v>246</v>
      </c>
      <c r="C258" s="18">
        <v>120.95631583214102</v>
      </c>
      <c r="D258" s="18">
        <v>338.88534082505925</v>
      </c>
    </row>
    <row r="259" spans="1:4">
      <c r="A259" s="16">
        <v>70201</v>
      </c>
      <c r="B259" s="15" t="s">
        <v>276</v>
      </c>
      <c r="C259" s="18">
        <v>174.03732648957296</v>
      </c>
      <c r="D259" s="18">
        <v>403.04712212226923</v>
      </c>
    </row>
    <row r="260" spans="1:4">
      <c r="A260" s="16">
        <v>70202</v>
      </c>
      <c r="B260" s="15" t="s">
        <v>253</v>
      </c>
      <c r="C260" s="18">
        <v>26.866553827140592</v>
      </c>
      <c r="D260" s="18">
        <v>154.96538845289251</v>
      </c>
    </row>
    <row r="261" spans="1:4">
      <c r="A261" s="16">
        <v>70301</v>
      </c>
      <c r="B261" s="15" t="s">
        <v>266</v>
      </c>
      <c r="C261" s="18">
        <v>90.232953389857244</v>
      </c>
      <c r="D261" s="18">
        <v>141.52605992599004</v>
      </c>
    </row>
    <row r="262" spans="1:4">
      <c r="A262" s="16">
        <v>70302</v>
      </c>
      <c r="B262" s="15" t="s">
        <v>270</v>
      </c>
      <c r="C262" s="18">
        <v>0</v>
      </c>
      <c r="D262" s="18">
        <v>45.70279472589749</v>
      </c>
    </row>
    <row r="263" spans="1:4">
      <c r="A263" s="16">
        <v>70303</v>
      </c>
      <c r="B263" s="15" t="s">
        <v>271</v>
      </c>
      <c r="C263" s="18">
        <v>54.297659770863874</v>
      </c>
      <c r="D263" s="18">
        <v>77.419230099403521</v>
      </c>
    </row>
    <row r="264" spans="1:4">
      <c r="A264" s="16">
        <v>70401</v>
      </c>
      <c r="B264" s="15" t="s">
        <v>236</v>
      </c>
      <c r="C264" s="18">
        <v>77.429345722028657</v>
      </c>
      <c r="D264" s="18">
        <v>98.135930914168981</v>
      </c>
    </row>
    <row r="265" spans="1:4">
      <c r="A265" s="16">
        <v>70402</v>
      </c>
      <c r="B265" s="15" t="s">
        <v>265</v>
      </c>
      <c r="C265" s="18">
        <v>117.57430260747294</v>
      </c>
      <c r="D265" s="18">
        <v>419.51210899679842</v>
      </c>
    </row>
    <row r="266" spans="1:4">
      <c r="A266" s="16">
        <v>70403</v>
      </c>
      <c r="B266" s="15" t="s">
        <v>277</v>
      </c>
      <c r="C266" s="18">
        <v>139.23391708464408</v>
      </c>
      <c r="D266" s="18">
        <v>437.28703577746472</v>
      </c>
    </row>
    <row r="267" spans="1:4">
      <c r="A267" s="16">
        <v>70404</v>
      </c>
      <c r="B267" s="15" t="s">
        <v>313</v>
      </c>
      <c r="C267" s="18">
        <v>0</v>
      </c>
      <c r="D267" s="18">
        <v>0</v>
      </c>
    </row>
    <row r="268" spans="1:4">
      <c r="A268" s="16">
        <v>70501</v>
      </c>
      <c r="B268" s="15" t="s">
        <v>393</v>
      </c>
      <c r="C268" s="18">
        <v>34.26671769791426</v>
      </c>
      <c r="D268" s="18">
        <v>92.187163905697886</v>
      </c>
    </row>
    <row r="269" spans="1:4">
      <c r="A269" s="16">
        <v>70502</v>
      </c>
      <c r="B269" s="15" t="s">
        <v>388</v>
      </c>
      <c r="C269" s="18">
        <v>113.69302856331124</v>
      </c>
      <c r="D269" s="18">
        <v>137.32480012955057</v>
      </c>
    </row>
    <row r="270" spans="1:4">
      <c r="A270" s="16">
        <v>70503</v>
      </c>
      <c r="B270" s="15" t="s">
        <v>392</v>
      </c>
      <c r="C270" s="18">
        <v>0</v>
      </c>
      <c r="D270" s="18">
        <v>161.90758055836861</v>
      </c>
    </row>
    <row r="271" spans="1:4">
      <c r="A271" s="16">
        <v>70601</v>
      </c>
      <c r="B271" s="15" t="s">
        <v>256</v>
      </c>
      <c r="C271" s="18">
        <v>185.81896705099109</v>
      </c>
      <c r="D271" s="18">
        <v>374.49153133515756</v>
      </c>
    </row>
    <row r="272" spans="1:4">
      <c r="A272" s="16">
        <v>70602</v>
      </c>
      <c r="B272" s="15" t="s">
        <v>273</v>
      </c>
      <c r="C272" s="18">
        <v>52.735213910912982</v>
      </c>
      <c r="D272" s="18">
        <v>18.415188847761634</v>
      </c>
    </row>
    <row r="273" spans="1:4">
      <c r="A273" s="16">
        <v>70603</v>
      </c>
      <c r="B273" s="15" t="s">
        <v>390</v>
      </c>
      <c r="C273" s="18">
        <v>0</v>
      </c>
      <c r="D273" s="18">
        <v>0</v>
      </c>
    </row>
    <row r="274" spans="1:4">
      <c r="A274" s="16">
        <v>70701</v>
      </c>
      <c r="B274" s="15" t="s">
        <v>249</v>
      </c>
      <c r="C274" s="18">
        <v>0</v>
      </c>
      <c r="D274" s="18">
        <v>56.060096423365849</v>
      </c>
    </row>
    <row r="275" spans="1:4">
      <c r="A275" s="16">
        <v>70702</v>
      </c>
      <c r="B275" s="15" t="s">
        <v>240</v>
      </c>
      <c r="C275" s="18">
        <v>10.191809861595221</v>
      </c>
      <c r="D275" s="18">
        <v>35.54640098250794</v>
      </c>
    </row>
    <row r="276" spans="1:4">
      <c r="A276" s="16">
        <v>70703</v>
      </c>
      <c r="B276" s="15" t="s">
        <v>237</v>
      </c>
      <c r="C276" s="18">
        <v>0</v>
      </c>
      <c r="D276" s="18">
        <v>81.588322684942014</v>
      </c>
    </row>
    <row r="277" spans="1:4">
      <c r="A277" s="16">
        <v>70704</v>
      </c>
      <c r="B277" s="15" t="s">
        <v>244</v>
      </c>
      <c r="C277" s="18">
        <v>0</v>
      </c>
      <c r="D277" s="18">
        <v>62.480474851608875</v>
      </c>
    </row>
    <row r="278" spans="1:4">
      <c r="A278" s="16">
        <v>70705</v>
      </c>
      <c r="B278" s="15" t="s">
        <v>538</v>
      </c>
      <c r="C278" s="18">
        <v>54.497980435064648</v>
      </c>
      <c r="D278" s="18">
        <v>69.497532837584274</v>
      </c>
    </row>
    <row r="279" spans="1:4">
      <c r="A279" s="16">
        <v>70706</v>
      </c>
      <c r="B279" s="15" t="s">
        <v>238</v>
      </c>
      <c r="C279" s="18">
        <v>49.486379498054781</v>
      </c>
      <c r="D279" s="18">
        <v>195.34782203008555</v>
      </c>
    </row>
    <row r="280" spans="1:4">
      <c r="A280" s="16">
        <v>70707</v>
      </c>
      <c r="B280" s="15" t="s">
        <v>235</v>
      </c>
      <c r="C280" s="18">
        <v>0</v>
      </c>
      <c r="D280" s="18">
        <v>119.26243162571718</v>
      </c>
    </row>
    <row r="281" spans="1:4">
      <c r="A281" s="16">
        <v>70801</v>
      </c>
      <c r="B281" s="15" t="s">
        <v>275</v>
      </c>
      <c r="C281" s="18">
        <v>19.367458795731412</v>
      </c>
      <c r="D281" s="18">
        <v>57.982220909125665</v>
      </c>
    </row>
    <row r="282" spans="1:4">
      <c r="A282" s="16">
        <v>70802</v>
      </c>
      <c r="B282" s="15" t="s">
        <v>383</v>
      </c>
      <c r="C282" s="18">
        <v>0</v>
      </c>
      <c r="D282" s="18">
        <v>0</v>
      </c>
    </row>
    <row r="283" spans="1:4">
      <c r="A283" s="16">
        <v>70803</v>
      </c>
      <c r="B283" s="15" t="s">
        <v>539</v>
      </c>
      <c r="C283" s="18">
        <v>0</v>
      </c>
      <c r="D283" s="18">
        <v>0</v>
      </c>
    </row>
    <row r="284" spans="1:4">
      <c r="A284" s="16">
        <v>70804</v>
      </c>
      <c r="B284" s="15" t="s">
        <v>382</v>
      </c>
      <c r="C284" s="18">
        <v>0</v>
      </c>
      <c r="D284" s="18">
        <v>0</v>
      </c>
    </row>
    <row r="285" spans="1:4">
      <c r="A285" s="16">
        <v>70805</v>
      </c>
      <c r="B285" s="15" t="s">
        <v>380</v>
      </c>
      <c r="C285" s="18">
        <v>0</v>
      </c>
      <c r="D285" s="18">
        <v>0</v>
      </c>
    </row>
    <row r="286" spans="1:4">
      <c r="A286" s="16">
        <v>70901</v>
      </c>
      <c r="B286" s="15" t="s">
        <v>263</v>
      </c>
      <c r="C286" s="18">
        <v>0</v>
      </c>
      <c r="D286" s="18">
        <v>114.79408810446262</v>
      </c>
    </row>
    <row r="287" spans="1:4">
      <c r="A287" s="16">
        <v>70902</v>
      </c>
      <c r="B287" s="15" t="s">
        <v>255</v>
      </c>
      <c r="C287" s="18">
        <v>0</v>
      </c>
      <c r="D287" s="18">
        <v>0</v>
      </c>
    </row>
    <row r="288" spans="1:4">
      <c r="A288" s="16">
        <v>70903</v>
      </c>
      <c r="B288" s="15" t="s">
        <v>250</v>
      </c>
      <c r="C288" s="18">
        <v>129.67144992093586</v>
      </c>
      <c r="D288" s="18">
        <v>212.97393525859943</v>
      </c>
    </row>
    <row r="289" spans="1:4">
      <c r="A289" s="16">
        <v>70904</v>
      </c>
      <c r="B289" s="15" t="s">
        <v>260</v>
      </c>
      <c r="C289" s="18">
        <v>0</v>
      </c>
      <c r="D289" s="18">
        <v>0</v>
      </c>
    </row>
    <row r="290" spans="1:4">
      <c r="A290" s="16">
        <v>71001</v>
      </c>
      <c r="B290" s="15" t="s">
        <v>252</v>
      </c>
      <c r="C290" s="18">
        <v>286.77664451963341</v>
      </c>
      <c r="D290" s="18">
        <v>393.44748763930193</v>
      </c>
    </row>
    <row r="291" spans="1:4">
      <c r="A291" s="16">
        <v>71002</v>
      </c>
      <c r="B291" s="15" t="s">
        <v>387</v>
      </c>
      <c r="C291" s="18">
        <v>11516.406945323282</v>
      </c>
      <c r="D291" s="18">
        <v>956.45531910998977</v>
      </c>
    </row>
    <row r="292" spans="1:4">
      <c r="A292" s="16">
        <v>71003</v>
      </c>
      <c r="B292" s="15" t="s">
        <v>251</v>
      </c>
      <c r="C292" s="18">
        <v>245.87030362932197</v>
      </c>
      <c r="D292" s="18">
        <v>490.14627728132058</v>
      </c>
    </row>
    <row r="293" spans="1:4">
      <c r="A293" s="16">
        <v>71004</v>
      </c>
      <c r="B293" s="15" t="s">
        <v>389</v>
      </c>
      <c r="C293" s="18">
        <v>0</v>
      </c>
      <c r="D293" s="18">
        <v>0</v>
      </c>
    </row>
    <row r="294" spans="1:4">
      <c r="A294" s="16">
        <v>71005</v>
      </c>
      <c r="B294" s="15" t="s">
        <v>314</v>
      </c>
      <c r="C294" s="18">
        <v>0</v>
      </c>
      <c r="D294" s="18">
        <v>0</v>
      </c>
    </row>
    <row r="295" spans="1:4">
      <c r="A295" s="16">
        <v>71101</v>
      </c>
      <c r="B295" s="15" t="s">
        <v>242</v>
      </c>
      <c r="C295" s="18">
        <v>35.460992907801419</v>
      </c>
      <c r="D295" s="18">
        <v>149.00620791647248</v>
      </c>
    </row>
    <row r="296" spans="1:4">
      <c r="A296" s="16">
        <v>71102</v>
      </c>
      <c r="B296" s="15" t="s">
        <v>20</v>
      </c>
      <c r="C296" s="18">
        <v>49.710436706186464</v>
      </c>
      <c r="D296" s="18">
        <v>45.42254320819422</v>
      </c>
    </row>
    <row r="297" spans="1:4">
      <c r="A297" s="16">
        <v>71103</v>
      </c>
      <c r="B297" s="15" t="s">
        <v>326</v>
      </c>
      <c r="C297" s="18">
        <v>0</v>
      </c>
      <c r="D297" s="18">
        <v>157.32863112977816</v>
      </c>
    </row>
    <row r="298" spans="1:4">
      <c r="A298" s="16">
        <v>71104</v>
      </c>
      <c r="B298" s="15" t="s">
        <v>400</v>
      </c>
      <c r="C298" s="18">
        <v>113.31104507480376</v>
      </c>
      <c r="D298" s="18">
        <v>340.06031573054537</v>
      </c>
    </row>
    <row r="299" spans="1:4">
      <c r="A299" s="16">
        <v>71105</v>
      </c>
      <c r="B299" s="15" t="s">
        <v>543</v>
      </c>
      <c r="C299" s="18">
        <v>51.432392120557523</v>
      </c>
      <c r="D299" s="18">
        <v>52.377959354703542</v>
      </c>
    </row>
    <row r="300" spans="1:4">
      <c r="A300" s="16">
        <v>71106</v>
      </c>
      <c r="B300" s="15" t="s">
        <v>384</v>
      </c>
      <c r="C300" s="18">
        <v>0</v>
      </c>
      <c r="D300" s="18">
        <v>0</v>
      </c>
    </row>
    <row r="301" spans="1:4">
      <c r="A301" s="16">
        <v>71201</v>
      </c>
      <c r="B301" s="15" t="s">
        <v>269</v>
      </c>
      <c r="C301" s="18">
        <v>115.87636880568338</v>
      </c>
      <c r="D301" s="18">
        <v>108.81020370156295</v>
      </c>
    </row>
    <row r="302" spans="1:4">
      <c r="A302" s="16">
        <v>71301</v>
      </c>
      <c r="B302" s="15" t="s">
        <v>241</v>
      </c>
      <c r="C302" s="18">
        <v>41.740170768964056</v>
      </c>
      <c r="D302" s="18">
        <v>77.782410411081699</v>
      </c>
    </row>
    <row r="303" spans="1:4">
      <c r="A303" s="16">
        <v>71302</v>
      </c>
      <c r="B303" s="15" t="s">
        <v>262</v>
      </c>
      <c r="C303" s="18">
        <v>45.105999097880023</v>
      </c>
      <c r="D303" s="18">
        <v>54.112554112554115</v>
      </c>
    </row>
    <row r="304" spans="1:4">
      <c r="A304" s="16">
        <v>71401</v>
      </c>
      <c r="B304" s="15" t="s">
        <v>547</v>
      </c>
      <c r="C304" s="18">
        <v>170.41975803859478</v>
      </c>
      <c r="D304" s="18">
        <v>454.11060900275146</v>
      </c>
    </row>
    <row r="305" spans="1:4">
      <c r="A305" s="16">
        <v>71402</v>
      </c>
      <c r="B305" s="15" t="s">
        <v>258</v>
      </c>
      <c r="C305" s="18">
        <v>140.24442685728721</v>
      </c>
      <c r="D305" s="18">
        <v>466.48932347194108</v>
      </c>
    </row>
    <row r="306" spans="1:4">
      <c r="A306" s="16">
        <v>71403</v>
      </c>
      <c r="B306" s="15" t="s">
        <v>391</v>
      </c>
      <c r="C306" s="18">
        <v>53.676865271068174</v>
      </c>
      <c r="D306" s="18">
        <v>268.2888184857996</v>
      </c>
    </row>
    <row r="307" spans="1:4">
      <c r="A307" s="16">
        <v>71501</v>
      </c>
      <c r="B307" s="15" t="s">
        <v>549</v>
      </c>
      <c r="C307" s="18">
        <v>197.35854918880878</v>
      </c>
      <c r="D307" s="18">
        <v>268.21546410132174</v>
      </c>
    </row>
    <row r="308" spans="1:4">
      <c r="A308" s="16">
        <v>71502</v>
      </c>
      <c r="B308" s="15" t="s">
        <v>395</v>
      </c>
      <c r="C308" s="18">
        <v>1047.7187691320507</v>
      </c>
      <c r="D308" s="18">
        <v>151.34821834145336</v>
      </c>
    </row>
    <row r="309" spans="1:4">
      <c r="A309" s="16">
        <v>71503</v>
      </c>
      <c r="B309" s="15" t="s">
        <v>245</v>
      </c>
      <c r="C309" s="18">
        <v>69.563735330496613</v>
      </c>
      <c r="D309" s="18">
        <v>117.13715214550456</v>
      </c>
    </row>
    <row r="310" spans="1:4">
      <c r="A310" s="16">
        <v>80101</v>
      </c>
      <c r="B310" s="15" t="s">
        <v>25</v>
      </c>
      <c r="C310" s="18">
        <v>214.92857746964532</v>
      </c>
      <c r="D310" s="18">
        <v>699.78901983435492</v>
      </c>
    </row>
    <row r="311" spans="1:4">
      <c r="A311" s="16">
        <v>80102</v>
      </c>
      <c r="B311" s="15" t="s">
        <v>20</v>
      </c>
      <c r="C311" s="18">
        <v>0</v>
      </c>
      <c r="D311" s="18">
        <v>44.599054500044595</v>
      </c>
    </row>
    <row r="312" spans="1:4">
      <c r="A312" s="16">
        <v>80201</v>
      </c>
      <c r="B312" s="15" t="s">
        <v>16</v>
      </c>
      <c r="C312" s="18">
        <v>37.348248831060651</v>
      </c>
      <c r="D312" s="18">
        <v>684.83614030385445</v>
      </c>
    </row>
    <row r="313" spans="1:4">
      <c r="A313" s="16">
        <v>80202</v>
      </c>
      <c r="B313" s="15" t="s">
        <v>368</v>
      </c>
      <c r="C313" s="18">
        <v>63.812008003108609</v>
      </c>
      <c r="D313" s="18">
        <v>309.39747145486803</v>
      </c>
    </row>
    <row r="314" spans="1:4">
      <c r="A314" s="16">
        <v>80301</v>
      </c>
      <c r="B314" s="15" t="s">
        <v>15</v>
      </c>
      <c r="C314" s="18">
        <v>0</v>
      </c>
      <c r="D314" s="18">
        <v>200.00268665829313</v>
      </c>
    </row>
    <row r="315" spans="1:4">
      <c r="A315" s="16">
        <v>80302</v>
      </c>
      <c r="B315" s="15" t="s">
        <v>18</v>
      </c>
      <c r="C315" s="18">
        <v>24.227740763173831</v>
      </c>
      <c r="D315" s="18">
        <v>132.20367136100859</v>
      </c>
    </row>
    <row r="316" spans="1:4">
      <c r="A316" s="16">
        <v>80303</v>
      </c>
      <c r="B316" s="15" t="s">
        <v>24</v>
      </c>
      <c r="C316" s="18">
        <v>35.169163677287749</v>
      </c>
      <c r="D316" s="18">
        <v>211.67274376442978</v>
      </c>
    </row>
    <row r="317" spans="1:4">
      <c r="A317" s="16">
        <v>80304</v>
      </c>
      <c r="B317" s="15" t="s">
        <v>363</v>
      </c>
      <c r="C317" s="18">
        <v>51.944452122897125</v>
      </c>
      <c r="D317" s="18">
        <v>284.26422750324559</v>
      </c>
    </row>
    <row r="318" spans="1:4">
      <c r="A318" s="16">
        <v>80401</v>
      </c>
      <c r="B318" s="15" t="s">
        <v>364</v>
      </c>
      <c r="C318" s="18">
        <v>58.392207607936342</v>
      </c>
      <c r="D318" s="18">
        <v>721.49859018747509</v>
      </c>
    </row>
    <row r="319" spans="1:4">
      <c r="A319" s="16">
        <v>80402</v>
      </c>
      <c r="B319" s="15" t="s">
        <v>366</v>
      </c>
      <c r="C319" s="18">
        <v>0</v>
      </c>
      <c r="D319" s="18">
        <v>0</v>
      </c>
    </row>
    <row r="320" spans="1:4">
      <c r="A320" s="16">
        <v>80501</v>
      </c>
      <c r="B320" s="15" t="s">
        <v>19</v>
      </c>
      <c r="C320" s="18">
        <v>51.942655308539372</v>
      </c>
      <c r="D320" s="18">
        <v>311.83863626535191</v>
      </c>
    </row>
    <row r="321" spans="1:4">
      <c r="A321" s="16">
        <v>80601</v>
      </c>
      <c r="B321" s="15" t="s">
        <v>11</v>
      </c>
      <c r="C321" s="18">
        <v>0</v>
      </c>
      <c r="D321" s="18">
        <v>158.20570255345658</v>
      </c>
    </row>
    <row r="322" spans="1:4">
      <c r="A322" s="16">
        <v>80602</v>
      </c>
      <c r="B322" s="15" t="s">
        <v>386</v>
      </c>
      <c r="C322" s="18">
        <v>0</v>
      </c>
      <c r="D322" s="18">
        <v>130.62084889253236</v>
      </c>
    </row>
    <row r="323" spans="1:4">
      <c r="A323" s="16">
        <v>80701</v>
      </c>
      <c r="B323" s="15" t="s">
        <v>21</v>
      </c>
      <c r="C323" s="18">
        <v>0</v>
      </c>
      <c r="D323" s="18">
        <v>97.859369915801722</v>
      </c>
    </row>
    <row r="324" spans="1:4">
      <c r="A324" s="16">
        <v>80702</v>
      </c>
      <c r="B324" s="15" t="s">
        <v>326</v>
      </c>
      <c r="C324" s="18">
        <v>67.27211570803901</v>
      </c>
      <c r="D324" s="18">
        <v>184.18430576079206</v>
      </c>
    </row>
    <row r="325" spans="1:4">
      <c r="A325" s="16">
        <v>80703</v>
      </c>
      <c r="B325" s="15" t="s">
        <v>365</v>
      </c>
      <c r="C325" s="18">
        <v>0</v>
      </c>
      <c r="D325" s="18">
        <v>0</v>
      </c>
    </row>
    <row r="326" spans="1:4">
      <c r="A326" s="16">
        <v>80801</v>
      </c>
      <c r="B326" s="15" t="s">
        <v>12</v>
      </c>
      <c r="C326" s="18">
        <v>58.648715336221962</v>
      </c>
      <c r="D326" s="18">
        <v>79.18646433107692</v>
      </c>
    </row>
    <row r="327" spans="1:4">
      <c r="A327" s="16">
        <v>80802</v>
      </c>
      <c r="B327" s="15" t="s">
        <v>8</v>
      </c>
      <c r="C327" s="18">
        <v>887.16189725875631</v>
      </c>
      <c r="D327" s="18">
        <v>3662.3749739653008</v>
      </c>
    </row>
    <row r="328" spans="1:4">
      <c r="A328" s="16">
        <v>80803</v>
      </c>
      <c r="B328" s="15" t="s">
        <v>10</v>
      </c>
      <c r="C328" s="18">
        <v>0</v>
      </c>
      <c r="D328" s="18">
        <v>0</v>
      </c>
    </row>
    <row r="329" spans="1:4">
      <c r="A329" s="16">
        <v>80901</v>
      </c>
      <c r="B329" s="15" t="s">
        <v>559</v>
      </c>
      <c r="C329" s="18">
        <v>0</v>
      </c>
      <c r="D329" s="18">
        <v>0</v>
      </c>
    </row>
    <row r="330" spans="1:4">
      <c r="A330" s="16">
        <v>90101</v>
      </c>
      <c r="B330" s="15" t="s">
        <v>189</v>
      </c>
      <c r="C330" s="18">
        <v>86.844127402376145</v>
      </c>
      <c r="D330" s="18">
        <v>668.24223419583188</v>
      </c>
    </row>
    <row r="331" spans="1:4">
      <c r="A331" s="16">
        <v>90102</v>
      </c>
      <c r="B331" s="15" t="s">
        <v>192</v>
      </c>
      <c r="C331" s="18">
        <v>0</v>
      </c>
      <c r="D331" s="18">
        <v>251.75484651590568</v>
      </c>
    </row>
    <row r="332" spans="1:4">
      <c r="A332" s="16">
        <v>90103</v>
      </c>
      <c r="B332" s="15" t="s">
        <v>188</v>
      </c>
      <c r="C332" s="18">
        <v>0</v>
      </c>
      <c r="D332" s="18">
        <v>0</v>
      </c>
    </row>
    <row r="333" spans="1:4">
      <c r="A333" s="16">
        <v>90104</v>
      </c>
      <c r="B333" s="15" t="s">
        <v>187</v>
      </c>
      <c r="C333" s="18">
        <v>173.85510622667096</v>
      </c>
      <c r="D333" s="18">
        <v>0</v>
      </c>
    </row>
    <row r="334" spans="1:4">
      <c r="A334" s="16">
        <v>90201</v>
      </c>
      <c r="B334" s="15" t="s">
        <v>194</v>
      </c>
      <c r="C334" s="18">
        <v>0</v>
      </c>
      <c r="D334" s="18">
        <v>45.831614647784043</v>
      </c>
    </row>
    <row r="335" spans="1:4">
      <c r="A335" s="16">
        <v>90202</v>
      </c>
      <c r="B335" s="15" t="s">
        <v>314</v>
      </c>
      <c r="C335" s="18">
        <v>0</v>
      </c>
      <c r="D335" s="18">
        <v>0</v>
      </c>
    </row>
    <row r="336" spans="1:4">
      <c r="A336" s="16">
        <v>90203</v>
      </c>
      <c r="B336" s="15" t="s">
        <v>190</v>
      </c>
      <c r="C336" s="18">
        <v>120.79482998127679</v>
      </c>
      <c r="D336" s="18">
        <v>170.8615995733002</v>
      </c>
    </row>
    <row r="337" spans="1:4">
      <c r="A337" s="16">
        <v>90301</v>
      </c>
      <c r="B337" s="15" t="s">
        <v>193</v>
      </c>
      <c r="C337" s="18">
        <v>0</v>
      </c>
      <c r="D337" s="18">
        <v>140.54200292082291</v>
      </c>
    </row>
    <row r="338" spans="1:4">
      <c r="A338" s="16">
        <v>90302</v>
      </c>
      <c r="B338" s="15" t="s">
        <v>195</v>
      </c>
      <c r="C338" s="18">
        <v>0</v>
      </c>
      <c r="D338" s="18">
        <v>35.202590910691022</v>
      </c>
    </row>
    <row r="339" spans="1:4">
      <c r="A339" s="16">
        <v>90303</v>
      </c>
      <c r="B339" s="15" t="s">
        <v>196</v>
      </c>
      <c r="C339" s="18">
        <v>0</v>
      </c>
      <c r="D339" s="18">
        <v>131.42763265976672</v>
      </c>
    </row>
    <row r="340" spans="1:4">
      <c r="A340" s="16">
        <v>90401</v>
      </c>
      <c r="B340" s="15" t="s">
        <v>24</v>
      </c>
      <c r="C340" s="18">
        <v>0</v>
      </c>
      <c r="D340" s="18">
        <v>0</v>
      </c>
    </row>
    <row r="341" spans="1:4">
      <c r="A341" s="16">
        <v>90402</v>
      </c>
      <c r="B341" s="15" t="s">
        <v>367</v>
      </c>
      <c r="C341" s="18">
        <v>0</v>
      </c>
      <c r="D341" s="18">
        <v>0</v>
      </c>
    </row>
    <row r="342" spans="1:4">
      <c r="A342" s="16">
        <v>90501</v>
      </c>
      <c r="B342" s="15" t="s">
        <v>371</v>
      </c>
      <c r="C342" s="18">
        <v>0</v>
      </c>
      <c r="D342" s="18">
        <v>0</v>
      </c>
    </row>
    <row r="343" spans="1:4">
      <c r="A343" s="16">
        <v>90502</v>
      </c>
      <c r="B343" s="15" t="s">
        <v>369</v>
      </c>
      <c r="C343" s="18">
        <v>0</v>
      </c>
      <c r="D343" s="18">
        <v>131.49243918474687</v>
      </c>
    </row>
    <row r="344" spans="1:4">
      <c r="A344" s="16">
        <v>90503</v>
      </c>
      <c r="B344" s="15" t="s">
        <v>370</v>
      </c>
      <c r="C344" s="18">
        <v>0</v>
      </c>
      <c r="D344" s="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33DA-86C8-4831-A8F1-4C63075389F6}">
  <dimension ref="A1:D344"/>
  <sheetViews>
    <sheetView workbookViewId="0">
      <selection activeCell="D12" sqref="D12"/>
    </sheetView>
  </sheetViews>
  <sheetFormatPr baseColWidth="10" defaultRowHeight="15"/>
  <cols>
    <col min="2" max="2" width="36.42578125" bestFit="1" customWidth="1"/>
    <col min="3" max="4" width="29.140625" bestFit="1" customWidth="1"/>
  </cols>
  <sheetData>
    <row r="1" spans="1:4" ht="30" customHeight="1">
      <c r="A1" s="19" t="s">
        <v>601</v>
      </c>
      <c r="B1" s="19" t="s">
        <v>299</v>
      </c>
      <c r="C1" s="22" t="s">
        <v>599</v>
      </c>
      <c r="D1" s="22" t="s">
        <v>600</v>
      </c>
    </row>
    <row r="2" spans="1:4">
      <c r="A2" s="16">
        <v>10101</v>
      </c>
      <c r="B2" s="15" t="s">
        <v>42</v>
      </c>
      <c r="C2" s="15">
        <v>23</v>
      </c>
      <c r="D2" s="15">
        <v>75</v>
      </c>
    </row>
    <row r="3" spans="1:4">
      <c r="A3" s="16">
        <v>10102</v>
      </c>
      <c r="B3" s="15" t="s">
        <v>53</v>
      </c>
      <c r="C3" s="15">
        <v>0</v>
      </c>
      <c r="D3" s="15">
        <v>1</v>
      </c>
    </row>
    <row r="4" spans="1:4">
      <c r="A4" s="16">
        <v>10103</v>
      </c>
      <c r="B4" s="15" t="s">
        <v>38</v>
      </c>
      <c r="C4" s="15">
        <v>0</v>
      </c>
      <c r="D4" s="15">
        <v>2</v>
      </c>
    </row>
    <row r="5" spans="1:4">
      <c r="A5" s="16">
        <v>10201</v>
      </c>
      <c r="B5" s="15" t="s">
        <v>47</v>
      </c>
      <c r="C5" s="15">
        <v>1</v>
      </c>
      <c r="D5" s="15">
        <v>2</v>
      </c>
    </row>
    <row r="6" spans="1:4">
      <c r="A6" s="16">
        <v>10202</v>
      </c>
      <c r="B6" s="15" t="s">
        <v>357</v>
      </c>
      <c r="C6" s="15">
        <v>1</v>
      </c>
      <c r="D6" s="15">
        <v>2</v>
      </c>
    </row>
    <row r="7" spans="1:4">
      <c r="A7" s="16">
        <v>10301</v>
      </c>
      <c r="B7" s="15" t="s">
        <v>424</v>
      </c>
      <c r="C7" s="15">
        <v>1</v>
      </c>
      <c r="D7" s="15">
        <v>1</v>
      </c>
    </row>
    <row r="8" spans="1:4">
      <c r="A8" s="16">
        <v>10302</v>
      </c>
      <c r="B8" s="15" t="s">
        <v>39</v>
      </c>
      <c r="C8" s="15">
        <v>0</v>
      </c>
      <c r="D8" s="15">
        <v>2</v>
      </c>
    </row>
    <row r="9" spans="1:4">
      <c r="A9" s="16">
        <v>10303</v>
      </c>
      <c r="B9" s="15" t="s">
        <v>426</v>
      </c>
      <c r="C9" s="15">
        <v>0</v>
      </c>
      <c r="D9" s="15">
        <v>0</v>
      </c>
    </row>
    <row r="10" spans="1:4">
      <c r="A10" s="16">
        <v>10304</v>
      </c>
      <c r="B10" s="15" t="s">
        <v>31</v>
      </c>
      <c r="C10" s="15">
        <v>0</v>
      </c>
      <c r="D10" s="15">
        <v>0</v>
      </c>
    </row>
    <row r="11" spans="1:4">
      <c r="A11" s="16">
        <v>10401</v>
      </c>
      <c r="B11" s="15" t="s">
        <v>37</v>
      </c>
      <c r="C11" s="15">
        <v>0</v>
      </c>
      <c r="D11" s="15">
        <v>0</v>
      </c>
    </row>
    <row r="12" spans="1:4">
      <c r="A12" s="16">
        <v>10402</v>
      </c>
      <c r="B12" s="15" t="s">
        <v>45</v>
      </c>
      <c r="C12" s="15">
        <v>0</v>
      </c>
      <c r="D12" s="15">
        <v>2</v>
      </c>
    </row>
    <row r="13" spans="1:4">
      <c r="A13" s="16">
        <v>10403</v>
      </c>
      <c r="B13" s="15" t="s">
        <v>41</v>
      </c>
      <c r="C13" s="15">
        <v>3</v>
      </c>
      <c r="D13" s="15">
        <v>0</v>
      </c>
    </row>
    <row r="14" spans="1:4">
      <c r="A14" s="16">
        <v>10404</v>
      </c>
      <c r="B14" s="15" t="s">
        <v>430</v>
      </c>
      <c r="C14" s="15">
        <v>0</v>
      </c>
      <c r="D14" s="15">
        <v>0</v>
      </c>
    </row>
    <row r="15" spans="1:4">
      <c r="A15" s="16">
        <v>10405</v>
      </c>
      <c r="B15" s="15" t="s">
        <v>361</v>
      </c>
      <c r="C15" s="15">
        <v>0</v>
      </c>
      <c r="D15" s="15">
        <v>0</v>
      </c>
    </row>
    <row r="16" spans="1:4">
      <c r="A16" s="16">
        <v>10501</v>
      </c>
      <c r="B16" s="15" t="s">
        <v>36</v>
      </c>
      <c r="C16" s="15">
        <v>0</v>
      </c>
      <c r="D16" s="15">
        <v>3</v>
      </c>
    </row>
    <row r="17" spans="1:4">
      <c r="A17" s="16">
        <v>10502</v>
      </c>
      <c r="B17" s="15" t="s">
        <v>432</v>
      </c>
      <c r="C17" s="15">
        <v>0</v>
      </c>
      <c r="D17" s="15">
        <v>0</v>
      </c>
    </row>
    <row r="18" spans="1:4">
      <c r="A18" s="16">
        <v>10601</v>
      </c>
      <c r="B18" s="15" t="s">
        <v>43</v>
      </c>
      <c r="C18" s="15">
        <v>2</v>
      </c>
      <c r="D18" s="15">
        <v>3</v>
      </c>
    </row>
    <row r="19" spans="1:4">
      <c r="A19" s="16">
        <v>10602</v>
      </c>
      <c r="B19" s="15" t="s">
        <v>52</v>
      </c>
      <c r="C19" s="15">
        <v>1</v>
      </c>
      <c r="D19" s="15">
        <v>1</v>
      </c>
    </row>
    <row r="20" spans="1:4">
      <c r="A20" s="16">
        <v>10701</v>
      </c>
      <c r="B20" s="15" t="s">
        <v>27</v>
      </c>
      <c r="C20" s="15">
        <v>3</v>
      </c>
      <c r="D20" s="15">
        <v>1</v>
      </c>
    </row>
    <row r="21" spans="1:4">
      <c r="A21" s="16">
        <v>10702</v>
      </c>
      <c r="B21" s="15" t="s">
        <v>40</v>
      </c>
      <c r="C21" s="15">
        <v>0</v>
      </c>
      <c r="D21" s="15">
        <v>6</v>
      </c>
    </row>
    <row r="22" spans="1:4">
      <c r="A22" s="16">
        <v>10703</v>
      </c>
      <c r="B22" s="15" t="s">
        <v>32</v>
      </c>
      <c r="C22" s="15">
        <v>0</v>
      </c>
      <c r="D22" s="15">
        <v>3</v>
      </c>
    </row>
    <row r="23" spans="1:4">
      <c r="A23" s="16">
        <v>10704</v>
      </c>
      <c r="B23" s="15" t="s">
        <v>401</v>
      </c>
      <c r="C23" s="15">
        <v>0</v>
      </c>
      <c r="D23" s="15">
        <v>0</v>
      </c>
    </row>
    <row r="24" spans="1:4">
      <c r="A24" s="16">
        <v>10801</v>
      </c>
      <c r="B24" s="15" t="s">
        <v>49</v>
      </c>
      <c r="C24" s="15">
        <v>0</v>
      </c>
      <c r="D24" s="15">
        <v>1</v>
      </c>
    </row>
    <row r="25" spans="1:4">
      <c r="A25" s="16">
        <v>10901</v>
      </c>
      <c r="B25" s="15" t="s">
        <v>334</v>
      </c>
      <c r="C25" s="15">
        <v>0</v>
      </c>
      <c r="D25" s="15">
        <v>0</v>
      </c>
    </row>
    <row r="26" spans="1:4">
      <c r="A26" s="16">
        <v>10902</v>
      </c>
      <c r="B26" s="15" t="s">
        <v>29</v>
      </c>
      <c r="C26" s="15">
        <v>0</v>
      </c>
      <c r="D26" s="15">
        <v>0</v>
      </c>
    </row>
    <row r="27" spans="1:4">
      <c r="A27" s="16">
        <v>10903</v>
      </c>
      <c r="B27" s="15" t="s">
        <v>33</v>
      </c>
      <c r="C27" s="15">
        <v>0</v>
      </c>
      <c r="D27" s="15">
        <v>0</v>
      </c>
    </row>
    <row r="28" spans="1:4">
      <c r="A28" s="16">
        <v>11001</v>
      </c>
      <c r="B28" s="15" t="s">
        <v>379</v>
      </c>
      <c r="C28" s="15">
        <v>0</v>
      </c>
      <c r="D28" s="15">
        <v>1</v>
      </c>
    </row>
    <row r="29" spans="1:4">
      <c r="A29" s="16">
        <v>11002</v>
      </c>
      <c r="B29" s="15" t="s">
        <v>437</v>
      </c>
      <c r="C29" s="15">
        <v>0</v>
      </c>
      <c r="D29" s="15">
        <v>0</v>
      </c>
    </row>
    <row r="30" spans="1:4">
      <c r="A30" s="16">
        <v>11003</v>
      </c>
      <c r="B30" s="15" t="s">
        <v>34</v>
      </c>
      <c r="C30" s="15">
        <v>0</v>
      </c>
      <c r="D30" s="15">
        <v>1</v>
      </c>
    </row>
    <row r="31" spans="1:4">
      <c r="A31" s="16">
        <v>20101</v>
      </c>
      <c r="B31" s="15" t="s">
        <v>353</v>
      </c>
      <c r="C31" s="15">
        <v>159</v>
      </c>
      <c r="D31" s="15">
        <v>298</v>
      </c>
    </row>
    <row r="32" spans="1:4">
      <c r="A32" s="16">
        <v>20102</v>
      </c>
      <c r="B32" s="15" t="s">
        <v>140</v>
      </c>
      <c r="C32" s="15">
        <v>0</v>
      </c>
      <c r="D32" s="15">
        <v>4</v>
      </c>
    </row>
    <row r="33" spans="1:4">
      <c r="A33" s="16">
        <v>20103</v>
      </c>
      <c r="B33" s="15" t="s">
        <v>137</v>
      </c>
      <c r="C33" s="15">
        <v>0</v>
      </c>
      <c r="D33" s="15">
        <v>2</v>
      </c>
    </row>
    <row r="34" spans="1:4">
      <c r="A34" s="16">
        <v>20104</v>
      </c>
      <c r="B34" s="15" t="s">
        <v>99</v>
      </c>
      <c r="C34" s="15">
        <v>0</v>
      </c>
      <c r="D34" s="15">
        <v>4</v>
      </c>
    </row>
    <row r="35" spans="1:4">
      <c r="A35" s="16">
        <v>20105</v>
      </c>
      <c r="B35" s="15" t="s">
        <v>124</v>
      </c>
      <c r="C35" s="15">
        <v>115</v>
      </c>
      <c r="D35" s="15">
        <v>390</v>
      </c>
    </row>
    <row r="36" spans="1:4">
      <c r="A36" s="16">
        <v>20201</v>
      </c>
      <c r="B36" s="15" t="s">
        <v>98</v>
      </c>
      <c r="C36" s="15">
        <v>22</v>
      </c>
      <c r="D36" s="15">
        <v>7</v>
      </c>
    </row>
    <row r="37" spans="1:4">
      <c r="A37" s="16">
        <v>20202</v>
      </c>
      <c r="B37" s="15" t="s">
        <v>100</v>
      </c>
      <c r="C37" s="15">
        <v>0</v>
      </c>
      <c r="D37" s="15">
        <v>1</v>
      </c>
    </row>
    <row r="38" spans="1:4">
      <c r="A38" s="16">
        <v>20203</v>
      </c>
      <c r="B38" s="15" t="s">
        <v>377</v>
      </c>
      <c r="C38" s="15">
        <v>0</v>
      </c>
      <c r="D38" s="15">
        <v>0</v>
      </c>
    </row>
    <row r="39" spans="1:4">
      <c r="A39" s="16">
        <v>20204</v>
      </c>
      <c r="B39" s="15" t="s">
        <v>376</v>
      </c>
      <c r="C39" s="15">
        <v>0</v>
      </c>
      <c r="D39" s="15">
        <v>0</v>
      </c>
    </row>
    <row r="40" spans="1:4">
      <c r="A40" s="16">
        <v>20205</v>
      </c>
      <c r="B40" s="15" t="s">
        <v>372</v>
      </c>
      <c r="C40" s="15">
        <v>0</v>
      </c>
      <c r="D40" s="15">
        <v>0</v>
      </c>
    </row>
    <row r="41" spans="1:4">
      <c r="A41" s="16">
        <v>20206</v>
      </c>
      <c r="B41" s="15" t="s">
        <v>350</v>
      </c>
      <c r="C41" s="15">
        <v>0</v>
      </c>
      <c r="D41" s="15">
        <v>0</v>
      </c>
    </row>
    <row r="42" spans="1:4">
      <c r="A42" s="16">
        <v>20301</v>
      </c>
      <c r="B42" s="15" t="s">
        <v>120</v>
      </c>
      <c r="C42" s="15">
        <v>0</v>
      </c>
      <c r="D42" s="15">
        <v>1</v>
      </c>
    </row>
    <row r="43" spans="1:4">
      <c r="A43" s="16">
        <v>20302</v>
      </c>
      <c r="B43" s="15" t="s">
        <v>110</v>
      </c>
      <c r="C43" s="15">
        <v>0</v>
      </c>
      <c r="D43" s="15">
        <v>0</v>
      </c>
    </row>
    <row r="44" spans="1:4">
      <c r="A44" s="16">
        <v>20303</v>
      </c>
      <c r="B44" s="15" t="s">
        <v>108</v>
      </c>
      <c r="C44" s="15">
        <v>0</v>
      </c>
      <c r="D44" s="15">
        <v>0</v>
      </c>
    </row>
    <row r="45" spans="1:4">
      <c r="A45" s="16">
        <v>20304</v>
      </c>
      <c r="B45" s="15" t="s">
        <v>117</v>
      </c>
      <c r="C45" s="15">
        <v>0</v>
      </c>
      <c r="D45" s="15">
        <v>1</v>
      </c>
    </row>
    <row r="46" spans="1:4">
      <c r="A46" s="16">
        <v>20305</v>
      </c>
      <c r="B46" s="15" t="s">
        <v>403</v>
      </c>
      <c r="C46" s="15">
        <v>0</v>
      </c>
      <c r="D46" s="15">
        <v>0</v>
      </c>
    </row>
    <row r="47" spans="1:4">
      <c r="A47" s="16">
        <v>20306</v>
      </c>
      <c r="B47" s="15" t="s">
        <v>442</v>
      </c>
      <c r="C47" s="15">
        <v>0</v>
      </c>
      <c r="D47" s="15">
        <v>0</v>
      </c>
    </row>
    <row r="48" spans="1:4">
      <c r="A48" s="16">
        <v>20307</v>
      </c>
      <c r="B48" s="15" t="s">
        <v>139</v>
      </c>
      <c r="C48" s="15">
        <v>0</v>
      </c>
      <c r="D48" s="15">
        <v>0</v>
      </c>
    </row>
    <row r="49" spans="1:4">
      <c r="A49" s="16">
        <v>20308</v>
      </c>
      <c r="B49" s="15" t="s">
        <v>153</v>
      </c>
      <c r="C49" s="15">
        <v>0</v>
      </c>
      <c r="D49" s="15">
        <v>1</v>
      </c>
    </row>
    <row r="50" spans="1:4">
      <c r="A50" s="16">
        <v>20401</v>
      </c>
      <c r="B50" s="15" t="s">
        <v>146</v>
      </c>
      <c r="C50" s="15">
        <v>0</v>
      </c>
      <c r="D50" s="15">
        <v>2</v>
      </c>
    </row>
    <row r="51" spans="1:4">
      <c r="A51" s="16">
        <v>20402</v>
      </c>
      <c r="B51" s="15" t="s">
        <v>138</v>
      </c>
      <c r="C51" s="15">
        <v>0</v>
      </c>
      <c r="D51" s="15">
        <v>1</v>
      </c>
    </row>
    <row r="52" spans="1:4">
      <c r="A52" s="16">
        <v>20403</v>
      </c>
      <c r="B52" s="15" t="s">
        <v>317</v>
      </c>
      <c r="C52" s="15">
        <v>0</v>
      </c>
      <c r="D52" s="15">
        <v>1</v>
      </c>
    </row>
    <row r="53" spans="1:4">
      <c r="A53" s="16">
        <v>20404</v>
      </c>
      <c r="B53" s="15" t="s">
        <v>378</v>
      </c>
      <c r="C53" s="15">
        <v>0</v>
      </c>
      <c r="D53" s="15">
        <v>0</v>
      </c>
    </row>
    <row r="54" spans="1:4">
      <c r="A54" s="16">
        <v>20405</v>
      </c>
      <c r="B54" s="15" t="s">
        <v>402</v>
      </c>
      <c r="C54" s="15">
        <v>0</v>
      </c>
      <c r="D54" s="15">
        <v>0</v>
      </c>
    </row>
    <row r="55" spans="1:4">
      <c r="A55" s="16">
        <v>20501</v>
      </c>
      <c r="B55" s="15" t="s">
        <v>113</v>
      </c>
      <c r="C55" s="15">
        <v>0</v>
      </c>
      <c r="D55" s="15">
        <v>1</v>
      </c>
    </row>
    <row r="56" spans="1:4">
      <c r="A56" s="16">
        <v>20502</v>
      </c>
      <c r="B56" s="15" t="s">
        <v>103</v>
      </c>
      <c r="C56" s="15">
        <v>0</v>
      </c>
      <c r="D56" s="15">
        <v>0</v>
      </c>
    </row>
    <row r="57" spans="1:4">
      <c r="A57" s="16">
        <v>20503</v>
      </c>
      <c r="B57" s="15" t="s">
        <v>102</v>
      </c>
      <c r="C57" s="15">
        <v>0</v>
      </c>
      <c r="D57" s="15">
        <v>1</v>
      </c>
    </row>
    <row r="58" spans="1:4">
      <c r="A58" s="16">
        <v>20601</v>
      </c>
      <c r="B58" s="15" t="s">
        <v>157</v>
      </c>
      <c r="C58" s="15">
        <v>0</v>
      </c>
      <c r="D58" s="15">
        <v>2</v>
      </c>
    </row>
    <row r="59" spans="1:4">
      <c r="A59" s="16">
        <v>20602</v>
      </c>
      <c r="B59" s="15" t="s">
        <v>125</v>
      </c>
      <c r="C59" s="15">
        <v>2</v>
      </c>
      <c r="D59" s="15">
        <v>9</v>
      </c>
    </row>
    <row r="60" spans="1:4">
      <c r="A60" s="16">
        <v>20603</v>
      </c>
      <c r="B60" s="15" t="s">
        <v>158</v>
      </c>
      <c r="C60" s="15">
        <v>0</v>
      </c>
      <c r="D60" s="15">
        <v>2</v>
      </c>
    </row>
    <row r="61" spans="1:4">
      <c r="A61" s="16">
        <v>20604</v>
      </c>
      <c r="B61" s="15" t="s">
        <v>149</v>
      </c>
      <c r="C61" s="15">
        <v>0</v>
      </c>
      <c r="D61" s="15">
        <v>0</v>
      </c>
    </row>
    <row r="62" spans="1:4">
      <c r="A62" s="16">
        <v>20605</v>
      </c>
      <c r="B62" s="15" t="s">
        <v>338</v>
      </c>
      <c r="C62" s="15">
        <v>0</v>
      </c>
      <c r="D62" s="15">
        <v>0</v>
      </c>
    </row>
    <row r="63" spans="1:4">
      <c r="A63" s="16">
        <v>20606</v>
      </c>
      <c r="B63" s="15" t="s">
        <v>160</v>
      </c>
      <c r="C63" s="15">
        <v>1</v>
      </c>
      <c r="D63" s="15">
        <v>2</v>
      </c>
    </row>
    <row r="64" spans="1:4">
      <c r="A64" s="16">
        <v>20607</v>
      </c>
      <c r="B64" s="15" t="s">
        <v>355</v>
      </c>
      <c r="C64" s="15">
        <v>0</v>
      </c>
      <c r="D64" s="15">
        <v>0</v>
      </c>
    </row>
    <row r="65" spans="1:4">
      <c r="A65" s="16">
        <v>20608</v>
      </c>
      <c r="B65" s="15" t="s">
        <v>354</v>
      </c>
      <c r="C65" s="15">
        <v>0</v>
      </c>
      <c r="D65" s="15">
        <v>0</v>
      </c>
    </row>
    <row r="66" spans="1:4">
      <c r="A66" s="16">
        <v>20701</v>
      </c>
      <c r="B66" s="15" t="s">
        <v>101</v>
      </c>
      <c r="C66" s="15">
        <v>0</v>
      </c>
      <c r="D66" s="15">
        <v>2</v>
      </c>
    </row>
    <row r="67" spans="1:4">
      <c r="A67" s="16">
        <v>20702</v>
      </c>
      <c r="B67" s="15" t="s">
        <v>144</v>
      </c>
      <c r="C67" s="15">
        <v>0</v>
      </c>
      <c r="D67" s="15">
        <v>0</v>
      </c>
    </row>
    <row r="68" spans="1:4">
      <c r="A68" s="16">
        <v>20801</v>
      </c>
      <c r="B68" s="15" t="s">
        <v>162</v>
      </c>
      <c r="C68" s="15">
        <v>3</v>
      </c>
      <c r="D68" s="15">
        <v>15</v>
      </c>
    </row>
    <row r="69" spans="1:4">
      <c r="A69" s="16">
        <v>20802</v>
      </c>
      <c r="B69" s="15" t="s">
        <v>352</v>
      </c>
      <c r="C69" s="15">
        <v>0</v>
      </c>
      <c r="D69" s="15">
        <v>0</v>
      </c>
    </row>
    <row r="70" spans="1:4">
      <c r="A70" s="16">
        <v>20803</v>
      </c>
      <c r="B70" s="15" t="s">
        <v>159</v>
      </c>
      <c r="C70" s="15">
        <v>0</v>
      </c>
      <c r="D70" s="15">
        <v>2</v>
      </c>
    </row>
    <row r="71" spans="1:4">
      <c r="A71" s="16">
        <v>20804</v>
      </c>
      <c r="B71" s="15" t="s">
        <v>123</v>
      </c>
      <c r="C71" s="15">
        <v>0</v>
      </c>
      <c r="D71" s="15">
        <v>0</v>
      </c>
    </row>
    <row r="72" spans="1:4">
      <c r="A72" s="16">
        <v>20805</v>
      </c>
      <c r="B72" s="15" t="s">
        <v>448</v>
      </c>
      <c r="C72" s="15">
        <v>0</v>
      </c>
      <c r="D72" s="15">
        <v>0</v>
      </c>
    </row>
    <row r="73" spans="1:4">
      <c r="A73" s="16">
        <v>20806</v>
      </c>
      <c r="B73" s="15" t="s">
        <v>351</v>
      </c>
      <c r="C73" s="15">
        <v>0</v>
      </c>
      <c r="D73" s="15">
        <v>0</v>
      </c>
    </row>
    <row r="74" spans="1:4">
      <c r="A74" s="16">
        <v>20807</v>
      </c>
      <c r="B74" s="15" t="s">
        <v>404</v>
      </c>
      <c r="C74" s="15">
        <v>0</v>
      </c>
      <c r="D74" s="15">
        <v>0</v>
      </c>
    </row>
    <row r="75" spans="1:4">
      <c r="A75" s="16">
        <v>20901</v>
      </c>
      <c r="B75" s="15" t="s">
        <v>135</v>
      </c>
      <c r="C75" s="15">
        <v>0</v>
      </c>
      <c r="D75" s="15">
        <v>1</v>
      </c>
    </row>
    <row r="76" spans="1:4">
      <c r="A76" s="16">
        <v>20902</v>
      </c>
      <c r="B76" s="15" t="s">
        <v>155</v>
      </c>
      <c r="C76" s="15">
        <v>0</v>
      </c>
      <c r="D76" s="15">
        <v>1</v>
      </c>
    </row>
    <row r="77" spans="1:4">
      <c r="A77" s="16">
        <v>20903</v>
      </c>
      <c r="B77" s="15" t="s">
        <v>164</v>
      </c>
      <c r="C77" s="15">
        <v>0</v>
      </c>
      <c r="D77" s="15">
        <v>0</v>
      </c>
    </row>
    <row r="78" spans="1:4">
      <c r="A78" s="16">
        <v>20904</v>
      </c>
      <c r="B78" s="15" t="s">
        <v>136</v>
      </c>
      <c r="C78" s="15">
        <v>0</v>
      </c>
      <c r="D78" s="15">
        <v>1</v>
      </c>
    </row>
    <row r="79" spans="1:4">
      <c r="A79" s="16">
        <v>20905</v>
      </c>
      <c r="B79" s="15" t="s">
        <v>106</v>
      </c>
      <c r="C79" s="15">
        <v>0</v>
      </c>
      <c r="D79" s="15">
        <v>0</v>
      </c>
    </row>
    <row r="80" spans="1:4">
      <c r="A80" s="16">
        <v>21001</v>
      </c>
      <c r="B80" s="15" t="s">
        <v>128</v>
      </c>
      <c r="C80" s="15">
        <v>1</v>
      </c>
      <c r="D80" s="15">
        <v>0</v>
      </c>
    </row>
    <row r="81" spans="1:4">
      <c r="A81" s="16">
        <v>21002</v>
      </c>
      <c r="B81" s="15" t="s">
        <v>150</v>
      </c>
      <c r="C81" s="15">
        <v>1</v>
      </c>
      <c r="D81" s="15">
        <v>1</v>
      </c>
    </row>
    <row r="82" spans="1:4">
      <c r="A82" s="16">
        <v>21003</v>
      </c>
      <c r="B82" s="15" t="s">
        <v>107</v>
      </c>
      <c r="C82" s="15">
        <v>0</v>
      </c>
      <c r="D82" s="15">
        <v>1</v>
      </c>
    </row>
    <row r="83" spans="1:4">
      <c r="A83" s="16">
        <v>21004</v>
      </c>
      <c r="B83" s="15" t="s">
        <v>116</v>
      </c>
      <c r="C83" s="15">
        <v>0</v>
      </c>
      <c r="D83" s="15">
        <v>2</v>
      </c>
    </row>
    <row r="84" spans="1:4">
      <c r="A84" s="16">
        <v>21005</v>
      </c>
      <c r="B84" s="15" t="s">
        <v>127</v>
      </c>
      <c r="C84" s="15">
        <v>0</v>
      </c>
      <c r="D84" s="15">
        <v>0</v>
      </c>
    </row>
    <row r="85" spans="1:4">
      <c r="A85" s="16">
        <v>21006</v>
      </c>
      <c r="B85" s="15" t="s">
        <v>163</v>
      </c>
      <c r="C85" s="15">
        <v>0</v>
      </c>
      <c r="D85" s="15">
        <v>0</v>
      </c>
    </row>
    <row r="86" spans="1:4">
      <c r="A86" s="16">
        <v>21101</v>
      </c>
      <c r="B86" s="15" t="s">
        <v>322</v>
      </c>
      <c r="C86" s="15">
        <v>2</v>
      </c>
      <c r="D86" s="15">
        <v>2</v>
      </c>
    </row>
    <row r="87" spans="1:4">
      <c r="A87" s="16">
        <v>21102</v>
      </c>
      <c r="B87" s="15" t="s">
        <v>321</v>
      </c>
      <c r="C87" s="15">
        <v>0</v>
      </c>
      <c r="D87" s="15">
        <v>2</v>
      </c>
    </row>
    <row r="88" spans="1:4">
      <c r="A88" s="16">
        <v>21103</v>
      </c>
      <c r="B88" s="15" t="s">
        <v>165</v>
      </c>
      <c r="C88" s="15">
        <v>0</v>
      </c>
      <c r="D88" s="15">
        <v>0</v>
      </c>
    </row>
    <row r="89" spans="1:4">
      <c r="A89" s="16">
        <v>21104</v>
      </c>
      <c r="B89" s="15" t="s">
        <v>141</v>
      </c>
      <c r="C89" s="15">
        <v>0</v>
      </c>
      <c r="D89" s="15">
        <v>4</v>
      </c>
    </row>
    <row r="90" spans="1:4">
      <c r="A90" s="16">
        <v>21105</v>
      </c>
      <c r="B90" s="15" t="s">
        <v>132</v>
      </c>
      <c r="C90" s="15">
        <v>0</v>
      </c>
      <c r="D90" s="15">
        <v>3</v>
      </c>
    </row>
    <row r="91" spans="1:4">
      <c r="A91" s="16">
        <v>21201</v>
      </c>
      <c r="B91" s="15" t="s">
        <v>145</v>
      </c>
      <c r="C91" s="15">
        <v>0</v>
      </c>
      <c r="D91" s="15">
        <v>1</v>
      </c>
    </row>
    <row r="92" spans="1:4">
      <c r="A92" s="16">
        <v>21202</v>
      </c>
      <c r="B92" s="15" t="s">
        <v>134</v>
      </c>
      <c r="C92" s="15">
        <v>0</v>
      </c>
      <c r="D92" s="15">
        <v>0</v>
      </c>
    </row>
    <row r="93" spans="1:4">
      <c r="A93" s="16">
        <v>21203</v>
      </c>
      <c r="B93" s="15" t="s">
        <v>105</v>
      </c>
      <c r="C93" s="15">
        <v>0</v>
      </c>
      <c r="D93" s="15">
        <v>1</v>
      </c>
    </row>
    <row r="94" spans="1:4">
      <c r="A94" s="16">
        <v>21204</v>
      </c>
      <c r="B94" s="15" t="s">
        <v>373</v>
      </c>
      <c r="C94" s="15">
        <v>0</v>
      </c>
      <c r="D94" s="15">
        <v>0</v>
      </c>
    </row>
    <row r="95" spans="1:4">
      <c r="A95" s="16">
        <v>21301</v>
      </c>
      <c r="B95" s="15" t="s">
        <v>456</v>
      </c>
      <c r="C95" s="15">
        <v>0</v>
      </c>
      <c r="D95" s="15">
        <v>1</v>
      </c>
    </row>
    <row r="96" spans="1:4">
      <c r="A96" s="16">
        <v>21302</v>
      </c>
      <c r="B96" s="15" t="s">
        <v>307</v>
      </c>
      <c r="C96" s="15">
        <v>0</v>
      </c>
      <c r="D96" s="15">
        <v>0</v>
      </c>
    </row>
    <row r="97" spans="1:4">
      <c r="A97" s="16">
        <v>21303</v>
      </c>
      <c r="B97" s="15" t="s">
        <v>104</v>
      </c>
      <c r="C97" s="15">
        <v>0</v>
      </c>
      <c r="D97" s="15">
        <v>0</v>
      </c>
    </row>
    <row r="98" spans="1:4">
      <c r="A98" s="16">
        <v>21304</v>
      </c>
      <c r="B98" s="15" t="s">
        <v>109</v>
      </c>
      <c r="C98" s="15">
        <v>0</v>
      </c>
      <c r="D98" s="15">
        <v>2</v>
      </c>
    </row>
    <row r="99" spans="1:4">
      <c r="A99" s="16">
        <v>21305</v>
      </c>
      <c r="B99" s="15" t="s">
        <v>143</v>
      </c>
      <c r="C99" s="15">
        <v>3</v>
      </c>
      <c r="D99" s="15">
        <v>1</v>
      </c>
    </row>
    <row r="100" spans="1:4">
      <c r="A100" s="16">
        <v>21306</v>
      </c>
      <c r="B100" s="15" t="s">
        <v>115</v>
      </c>
      <c r="C100" s="15">
        <v>0</v>
      </c>
      <c r="D100" s="15">
        <v>0</v>
      </c>
    </row>
    <row r="101" spans="1:4">
      <c r="A101" s="16">
        <v>21307</v>
      </c>
      <c r="B101" s="15" t="s">
        <v>114</v>
      </c>
      <c r="C101" s="15">
        <v>0</v>
      </c>
      <c r="D101" s="15">
        <v>0</v>
      </c>
    </row>
    <row r="102" spans="1:4">
      <c r="A102" s="16">
        <v>21401</v>
      </c>
      <c r="B102" s="15" t="s">
        <v>121</v>
      </c>
      <c r="C102" s="15">
        <v>0</v>
      </c>
      <c r="D102" s="15">
        <v>3</v>
      </c>
    </row>
    <row r="103" spans="1:4">
      <c r="A103" s="16">
        <v>21402</v>
      </c>
      <c r="B103" s="15" t="s">
        <v>119</v>
      </c>
      <c r="C103" s="15">
        <v>0</v>
      </c>
      <c r="D103" s="15">
        <v>2</v>
      </c>
    </row>
    <row r="104" spans="1:4">
      <c r="A104" s="16">
        <v>21501</v>
      </c>
      <c r="B104" s="15" t="s">
        <v>130</v>
      </c>
      <c r="C104" s="15">
        <v>0</v>
      </c>
      <c r="D104" s="15">
        <v>0</v>
      </c>
    </row>
    <row r="105" spans="1:4">
      <c r="A105" s="16">
        <v>21502</v>
      </c>
      <c r="B105" s="15" t="s">
        <v>151</v>
      </c>
      <c r="C105" s="15">
        <v>0</v>
      </c>
      <c r="D105" s="15">
        <v>2</v>
      </c>
    </row>
    <row r="106" spans="1:4">
      <c r="A106" s="16">
        <v>21601</v>
      </c>
      <c r="B106" s="15" t="s">
        <v>461</v>
      </c>
      <c r="C106" s="15">
        <v>0</v>
      </c>
      <c r="D106" s="15">
        <v>1</v>
      </c>
    </row>
    <row r="107" spans="1:4">
      <c r="A107" s="16">
        <v>21602</v>
      </c>
      <c r="B107" s="15" t="s">
        <v>122</v>
      </c>
      <c r="C107" s="15">
        <v>0</v>
      </c>
      <c r="D107" s="15">
        <v>0</v>
      </c>
    </row>
    <row r="108" spans="1:4">
      <c r="A108" s="16">
        <v>21701</v>
      </c>
      <c r="B108" s="15" t="s">
        <v>118</v>
      </c>
      <c r="C108" s="15">
        <v>0</v>
      </c>
      <c r="D108" s="15">
        <v>1</v>
      </c>
    </row>
    <row r="109" spans="1:4">
      <c r="A109" s="16">
        <v>21702</v>
      </c>
      <c r="B109" s="15" t="s">
        <v>152</v>
      </c>
      <c r="C109" s="15">
        <v>0</v>
      </c>
      <c r="D109" s="15">
        <v>1</v>
      </c>
    </row>
    <row r="110" spans="1:4">
      <c r="A110" s="16">
        <v>21703</v>
      </c>
      <c r="B110" s="15" t="s">
        <v>161</v>
      </c>
      <c r="C110" s="15">
        <v>0</v>
      </c>
      <c r="D110" s="15">
        <v>0</v>
      </c>
    </row>
    <row r="111" spans="1:4">
      <c r="A111" s="16">
        <v>21801</v>
      </c>
      <c r="B111" s="15" t="s">
        <v>309</v>
      </c>
      <c r="C111" s="15">
        <v>0</v>
      </c>
      <c r="D111" s="15">
        <v>0</v>
      </c>
    </row>
    <row r="112" spans="1:4">
      <c r="A112" s="16">
        <v>21802</v>
      </c>
      <c r="B112" s="15" t="s">
        <v>142</v>
      </c>
      <c r="C112" s="15">
        <v>0</v>
      </c>
      <c r="D112" s="15">
        <v>0</v>
      </c>
    </row>
    <row r="113" spans="1:4">
      <c r="A113" s="16">
        <v>21803</v>
      </c>
      <c r="B113" s="15" t="s">
        <v>306</v>
      </c>
      <c r="C113" s="15">
        <v>0</v>
      </c>
      <c r="D113" s="15">
        <v>0</v>
      </c>
    </row>
    <row r="114" spans="1:4">
      <c r="A114" s="16">
        <v>21901</v>
      </c>
      <c r="B114" s="15" t="s">
        <v>154</v>
      </c>
      <c r="C114" s="15">
        <v>0</v>
      </c>
      <c r="D114" s="15">
        <v>1</v>
      </c>
    </row>
    <row r="115" spans="1:4">
      <c r="A115" s="16">
        <v>21902</v>
      </c>
      <c r="B115" s="15" t="s">
        <v>348</v>
      </c>
      <c r="C115" s="15">
        <v>0</v>
      </c>
      <c r="D115" s="15">
        <v>0</v>
      </c>
    </row>
    <row r="116" spans="1:4">
      <c r="A116" s="16">
        <v>22001</v>
      </c>
      <c r="B116" s="15" t="s">
        <v>111</v>
      </c>
      <c r="C116" s="15">
        <v>3</v>
      </c>
      <c r="D116" s="15">
        <v>19</v>
      </c>
    </row>
    <row r="117" spans="1:4">
      <c r="A117" s="16">
        <v>22002</v>
      </c>
      <c r="B117" s="15" t="s">
        <v>375</v>
      </c>
      <c r="C117" s="15">
        <v>0</v>
      </c>
      <c r="D117" s="15">
        <v>0</v>
      </c>
    </row>
    <row r="118" spans="1:4">
      <c r="A118" s="16">
        <v>30101</v>
      </c>
      <c r="B118" s="15" t="s">
        <v>65</v>
      </c>
      <c r="C118" s="15">
        <v>232</v>
      </c>
      <c r="D118" s="15">
        <v>330</v>
      </c>
    </row>
    <row r="119" spans="1:4">
      <c r="A119" s="16">
        <v>30201</v>
      </c>
      <c r="B119" s="15" t="s">
        <v>55</v>
      </c>
      <c r="C119" s="15">
        <v>13</v>
      </c>
      <c r="D119" s="15">
        <v>5</v>
      </c>
    </row>
    <row r="120" spans="1:4">
      <c r="A120" s="16">
        <v>30202</v>
      </c>
      <c r="B120" s="15" t="s">
        <v>71</v>
      </c>
      <c r="C120" s="15">
        <v>0</v>
      </c>
      <c r="D120" s="15">
        <v>1</v>
      </c>
    </row>
    <row r="121" spans="1:4">
      <c r="A121" s="16">
        <v>30203</v>
      </c>
      <c r="B121" s="15" t="s">
        <v>70</v>
      </c>
      <c r="C121" s="15">
        <v>0</v>
      </c>
      <c r="D121" s="15">
        <v>1</v>
      </c>
    </row>
    <row r="122" spans="1:4">
      <c r="A122" s="16">
        <v>30301</v>
      </c>
      <c r="B122" s="15" t="s">
        <v>469</v>
      </c>
      <c r="C122" s="15">
        <v>0</v>
      </c>
      <c r="D122" s="15">
        <v>2</v>
      </c>
    </row>
    <row r="123" spans="1:4">
      <c r="A123" s="16">
        <v>30302</v>
      </c>
      <c r="B123" s="15" t="s">
        <v>69</v>
      </c>
      <c r="C123" s="15">
        <v>0</v>
      </c>
      <c r="D123" s="15">
        <v>1</v>
      </c>
    </row>
    <row r="124" spans="1:4">
      <c r="A124" s="16">
        <v>30303</v>
      </c>
      <c r="B124" s="15" t="s">
        <v>381</v>
      </c>
      <c r="C124" s="15">
        <v>0</v>
      </c>
      <c r="D124" s="15">
        <v>0</v>
      </c>
    </row>
    <row r="125" spans="1:4">
      <c r="A125" s="16">
        <v>30401</v>
      </c>
      <c r="B125" s="15" t="s">
        <v>86</v>
      </c>
      <c r="C125" s="15">
        <v>1</v>
      </c>
      <c r="D125" s="15">
        <v>2</v>
      </c>
    </row>
    <row r="126" spans="1:4">
      <c r="A126" s="16">
        <v>30402</v>
      </c>
      <c r="B126" s="15" t="s">
        <v>57</v>
      </c>
      <c r="C126" s="15">
        <v>0</v>
      </c>
      <c r="D126" s="15">
        <v>0</v>
      </c>
    </row>
    <row r="127" spans="1:4">
      <c r="A127" s="16">
        <v>30403</v>
      </c>
      <c r="B127" s="15" t="s">
        <v>59</v>
      </c>
      <c r="C127" s="15">
        <v>0</v>
      </c>
      <c r="D127" s="15">
        <v>2</v>
      </c>
    </row>
    <row r="128" spans="1:4">
      <c r="A128" s="16">
        <v>30404</v>
      </c>
      <c r="B128" s="15" t="s">
        <v>78</v>
      </c>
      <c r="C128" s="15">
        <v>0</v>
      </c>
      <c r="D128" s="15">
        <v>0</v>
      </c>
    </row>
    <row r="129" spans="1:4">
      <c r="A129" s="16">
        <v>30501</v>
      </c>
      <c r="B129" s="15" t="s">
        <v>58</v>
      </c>
      <c r="C129" s="15">
        <v>0</v>
      </c>
      <c r="D129" s="15">
        <v>1</v>
      </c>
    </row>
    <row r="130" spans="1:4">
      <c r="A130" s="16">
        <v>30502</v>
      </c>
      <c r="B130" s="15" t="s">
        <v>92</v>
      </c>
      <c r="C130" s="15">
        <v>0</v>
      </c>
      <c r="D130" s="15">
        <v>1</v>
      </c>
    </row>
    <row r="131" spans="1:4">
      <c r="A131" s="16">
        <v>30601</v>
      </c>
      <c r="B131" s="15" t="s">
        <v>60</v>
      </c>
      <c r="C131" s="15">
        <v>0</v>
      </c>
      <c r="D131" s="15">
        <v>2</v>
      </c>
    </row>
    <row r="132" spans="1:4">
      <c r="A132" s="16">
        <v>30602</v>
      </c>
      <c r="B132" s="15" t="s">
        <v>84</v>
      </c>
      <c r="C132" s="15">
        <v>0</v>
      </c>
      <c r="D132" s="15">
        <v>1</v>
      </c>
    </row>
    <row r="133" spans="1:4">
      <c r="A133" s="16">
        <v>30701</v>
      </c>
      <c r="B133" s="15" t="s">
        <v>62</v>
      </c>
      <c r="C133" s="15">
        <v>1</v>
      </c>
      <c r="D133" s="15">
        <v>1</v>
      </c>
    </row>
    <row r="134" spans="1:4">
      <c r="A134" s="16">
        <v>30702</v>
      </c>
      <c r="B134" s="15" t="s">
        <v>80</v>
      </c>
      <c r="C134" s="15">
        <v>0</v>
      </c>
      <c r="D134" s="15">
        <v>1</v>
      </c>
    </row>
    <row r="135" spans="1:4">
      <c r="A135" s="16">
        <v>30703</v>
      </c>
      <c r="B135" s="15" t="s">
        <v>81</v>
      </c>
      <c r="C135" s="15">
        <v>0</v>
      </c>
      <c r="D135" s="15">
        <v>2</v>
      </c>
    </row>
    <row r="136" spans="1:4">
      <c r="A136" s="16">
        <v>30801</v>
      </c>
      <c r="B136" s="15" t="s">
        <v>64</v>
      </c>
      <c r="C136" s="15">
        <v>2</v>
      </c>
      <c r="D136" s="15">
        <v>4</v>
      </c>
    </row>
    <row r="137" spans="1:4">
      <c r="A137" s="16">
        <v>30802</v>
      </c>
      <c r="B137" s="15" t="s">
        <v>342</v>
      </c>
      <c r="C137" s="15">
        <v>0</v>
      </c>
      <c r="D137" s="15">
        <v>0</v>
      </c>
    </row>
    <row r="138" spans="1:4">
      <c r="A138" s="16">
        <v>30803</v>
      </c>
      <c r="B138" s="15" t="s">
        <v>90</v>
      </c>
      <c r="C138" s="15">
        <v>0</v>
      </c>
      <c r="D138" s="15">
        <v>1</v>
      </c>
    </row>
    <row r="139" spans="1:4">
      <c r="A139" s="16">
        <v>30901</v>
      </c>
      <c r="B139" s="15" t="s">
        <v>76</v>
      </c>
      <c r="C139" s="15">
        <v>18</v>
      </c>
      <c r="D139" s="15">
        <v>45</v>
      </c>
    </row>
    <row r="140" spans="1:4">
      <c r="A140" s="16">
        <v>30902</v>
      </c>
      <c r="B140" s="15" t="s">
        <v>327</v>
      </c>
      <c r="C140" s="15">
        <v>1</v>
      </c>
      <c r="D140" s="15">
        <v>6</v>
      </c>
    </row>
    <row r="141" spans="1:4">
      <c r="A141" s="16">
        <v>30903</v>
      </c>
      <c r="B141" s="15" t="s">
        <v>87</v>
      </c>
      <c r="C141" s="15">
        <v>6</v>
      </c>
      <c r="D141" s="15">
        <v>14</v>
      </c>
    </row>
    <row r="142" spans="1:4">
      <c r="A142" s="16">
        <v>30904</v>
      </c>
      <c r="B142" s="15" t="s">
        <v>96</v>
      </c>
      <c r="C142" s="15">
        <v>4</v>
      </c>
      <c r="D142" s="15">
        <v>17</v>
      </c>
    </row>
    <row r="143" spans="1:4">
      <c r="A143" s="16">
        <v>30905</v>
      </c>
      <c r="B143" s="15" t="s">
        <v>66</v>
      </c>
      <c r="C143" s="15">
        <v>5</v>
      </c>
      <c r="D143" s="15">
        <v>16</v>
      </c>
    </row>
    <row r="144" spans="1:4">
      <c r="A144" s="16">
        <v>31001</v>
      </c>
      <c r="B144" s="15" t="s">
        <v>77</v>
      </c>
      <c r="C144" s="15">
        <v>13</v>
      </c>
      <c r="D144" s="15">
        <v>48</v>
      </c>
    </row>
    <row r="145" spans="1:4">
      <c r="A145" s="16">
        <v>31002</v>
      </c>
      <c r="B145" s="15" t="s">
        <v>67</v>
      </c>
      <c r="C145" s="15">
        <v>0</v>
      </c>
      <c r="D145" s="15">
        <v>3</v>
      </c>
    </row>
    <row r="146" spans="1:4">
      <c r="A146" s="16">
        <v>31003</v>
      </c>
      <c r="B146" s="15" t="s">
        <v>95</v>
      </c>
      <c r="C146" s="15">
        <v>7</v>
      </c>
      <c r="D146" s="15">
        <v>19</v>
      </c>
    </row>
    <row r="147" spans="1:4">
      <c r="A147" s="16">
        <v>31101</v>
      </c>
      <c r="B147" s="15" t="s">
        <v>85</v>
      </c>
      <c r="C147" s="15">
        <v>0</v>
      </c>
      <c r="D147" s="15">
        <v>1</v>
      </c>
    </row>
    <row r="148" spans="1:4">
      <c r="A148" s="16">
        <v>31201</v>
      </c>
      <c r="B148" s="15" t="s">
        <v>91</v>
      </c>
      <c r="C148" s="15">
        <v>0</v>
      </c>
      <c r="D148" s="15">
        <v>1</v>
      </c>
    </row>
    <row r="149" spans="1:4">
      <c r="A149" s="16">
        <v>31202</v>
      </c>
      <c r="B149" s="15" t="s">
        <v>73</v>
      </c>
      <c r="C149" s="15">
        <v>0</v>
      </c>
      <c r="D149" s="15">
        <v>22</v>
      </c>
    </row>
    <row r="150" spans="1:4">
      <c r="A150" s="16">
        <v>31203</v>
      </c>
      <c r="B150" s="15" t="s">
        <v>72</v>
      </c>
      <c r="C150" s="15">
        <v>0</v>
      </c>
      <c r="D150" s="15">
        <v>2</v>
      </c>
    </row>
    <row r="151" spans="1:4">
      <c r="A151" s="16">
        <v>31204</v>
      </c>
      <c r="B151" s="15" t="s">
        <v>63</v>
      </c>
      <c r="C151" s="15">
        <v>4</v>
      </c>
      <c r="D151" s="15">
        <v>16</v>
      </c>
    </row>
    <row r="152" spans="1:4">
      <c r="A152" s="16">
        <v>31205</v>
      </c>
      <c r="B152" s="15" t="s">
        <v>74</v>
      </c>
      <c r="C152" s="15">
        <v>4</v>
      </c>
      <c r="D152" s="15">
        <v>65</v>
      </c>
    </row>
    <row r="153" spans="1:4">
      <c r="A153" s="16">
        <v>31206</v>
      </c>
      <c r="B153" s="15" t="s">
        <v>281</v>
      </c>
      <c r="C153" s="15">
        <v>0</v>
      </c>
      <c r="D153" s="15">
        <v>0</v>
      </c>
    </row>
    <row r="154" spans="1:4">
      <c r="A154" s="16">
        <v>31301</v>
      </c>
      <c r="B154" s="15" t="s">
        <v>68</v>
      </c>
      <c r="C154" s="15">
        <v>1</v>
      </c>
      <c r="D154" s="15">
        <v>3</v>
      </c>
    </row>
    <row r="155" spans="1:4">
      <c r="A155" s="16">
        <v>31302</v>
      </c>
      <c r="B155" s="15" t="s">
        <v>93</v>
      </c>
      <c r="C155" s="15">
        <v>0</v>
      </c>
      <c r="D155" s="15">
        <v>0</v>
      </c>
    </row>
    <row r="156" spans="1:4">
      <c r="A156" s="16">
        <v>31303</v>
      </c>
      <c r="B156" s="15" t="s">
        <v>56</v>
      </c>
      <c r="C156" s="15">
        <v>0</v>
      </c>
      <c r="D156" s="15">
        <v>0</v>
      </c>
    </row>
    <row r="157" spans="1:4">
      <c r="A157" s="16">
        <v>31304</v>
      </c>
      <c r="B157" s="15" t="s">
        <v>301</v>
      </c>
      <c r="C157" s="15">
        <v>0</v>
      </c>
      <c r="D157" s="15">
        <v>0</v>
      </c>
    </row>
    <row r="158" spans="1:4">
      <c r="A158" s="16">
        <v>31401</v>
      </c>
      <c r="B158" s="15" t="s">
        <v>349</v>
      </c>
      <c r="C158" s="15">
        <v>3</v>
      </c>
      <c r="D158" s="15">
        <v>7</v>
      </c>
    </row>
    <row r="159" spans="1:4">
      <c r="A159" s="16">
        <v>31402</v>
      </c>
      <c r="B159" s="15" t="s">
        <v>94</v>
      </c>
      <c r="C159" s="15">
        <v>0</v>
      </c>
      <c r="D159" s="15">
        <v>1</v>
      </c>
    </row>
    <row r="160" spans="1:4">
      <c r="A160" s="16">
        <v>31403</v>
      </c>
      <c r="B160" s="15" t="s">
        <v>311</v>
      </c>
      <c r="C160" s="15">
        <v>0</v>
      </c>
      <c r="D160" s="15">
        <v>1</v>
      </c>
    </row>
    <row r="161" spans="1:4">
      <c r="A161" s="16">
        <v>31404</v>
      </c>
      <c r="B161" s="15" t="s">
        <v>345</v>
      </c>
      <c r="C161" s="15">
        <v>0</v>
      </c>
      <c r="D161" s="15">
        <v>0</v>
      </c>
    </row>
    <row r="162" spans="1:4">
      <c r="A162" s="16">
        <v>31405</v>
      </c>
      <c r="B162" s="15" t="s">
        <v>481</v>
      </c>
      <c r="C162" s="15">
        <v>0</v>
      </c>
      <c r="D162" s="15">
        <v>0</v>
      </c>
    </row>
    <row r="163" spans="1:4">
      <c r="A163" s="16">
        <v>31501</v>
      </c>
      <c r="B163" s="15" t="s">
        <v>291</v>
      </c>
      <c r="C163" s="15">
        <v>0</v>
      </c>
      <c r="D163" s="15">
        <v>0</v>
      </c>
    </row>
    <row r="164" spans="1:4">
      <c r="A164" s="16">
        <v>31601</v>
      </c>
      <c r="B164" s="15" t="s">
        <v>88</v>
      </c>
      <c r="C164" s="15">
        <v>0</v>
      </c>
      <c r="D164" s="15">
        <v>12</v>
      </c>
    </row>
    <row r="165" spans="1:4">
      <c r="A165" s="16">
        <v>31602</v>
      </c>
      <c r="B165" s="15" t="s">
        <v>385</v>
      </c>
      <c r="C165" s="15">
        <v>0</v>
      </c>
      <c r="D165" s="15">
        <v>0</v>
      </c>
    </row>
    <row r="166" spans="1:4">
      <c r="A166" s="16">
        <v>40101</v>
      </c>
      <c r="B166" s="15" t="s">
        <v>179</v>
      </c>
      <c r="C166" s="15">
        <v>39</v>
      </c>
      <c r="D166" s="15">
        <v>111</v>
      </c>
    </row>
    <row r="167" spans="1:4">
      <c r="A167" s="16">
        <v>40102</v>
      </c>
      <c r="B167" s="15" t="s">
        <v>169</v>
      </c>
      <c r="C167" s="15">
        <v>0</v>
      </c>
      <c r="D167" s="15">
        <v>1</v>
      </c>
    </row>
    <row r="168" spans="1:4">
      <c r="A168" s="16">
        <v>40103</v>
      </c>
      <c r="B168" s="15" t="s">
        <v>173</v>
      </c>
      <c r="C168" s="15">
        <v>0</v>
      </c>
      <c r="D168" s="15">
        <v>0</v>
      </c>
    </row>
    <row r="169" spans="1:4">
      <c r="A169" s="16">
        <v>40104</v>
      </c>
      <c r="B169" s="15" t="s">
        <v>347</v>
      </c>
      <c r="C169" s="15">
        <v>0</v>
      </c>
      <c r="D169" s="15">
        <v>0</v>
      </c>
    </row>
    <row r="170" spans="1:4">
      <c r="A170" s="16">
        <v>40201</v>
      </c>
      <c r="B170" s="15" t="s">
        <v>170</v>
      </c>
      <c r="C170" s="15">
        <v>1</v>
      </c>
      <c r="D170" s="15">
        <v>5</v>
      </c>
    </row>
    <row r="171" spans="1:4">
      <c r="A171" s="16">
        <v>40202</v>
      </c>
      <c r="B171" s="15" t="s">
        <v>184</v>
      </c>
      <c r="C171" s="15">
        <v>0</v>
      </c>
      <c r="D171" s="15">
        <v>0</v>
      </c>
    </row>
    <row r="172" spans="1:4">
      <c r="A172" s="16">
        <v>40301</v>
      </c>
      <c r="B172" s="15" t="s">
        <v>171</v>
      </c>
      <c r="C172" s="15">
        <v>0</v>
      </c>
      <c r="D172" s="15">
        <v>1</v>
      </c>
    </row>
    <row r="173" spans="1:4">
      <c r="A173" s="16">
        <v>40302</v>
      </c>
      <c r="B173" s="15" t="s">
        <v>396</v>
      </c>
      <c r="C173" s="15">
        <v>0</v>
      </c>
      <c r="D173" s="15">
        <v>0</v>
      </c>
    </row>
    <row r="174" spans="1:4">
      <c r="A174" s="16">
        <v>40401</v>
      </c>
      <c r="B174" s="15" t="s">
        <v>172</v>
      </c>
      <c r="C174" s="15">
        <v>0</v>
      </c>
      <c r="D174" s="15">
        <v>0</v>
      </c>
    </row>
    <row r="175" spans="1:4">
      <c r="A175" s="16">
        <v>40402</v>
      </c>
      <c r="B175" s="15" t="s">
        <v>185</v>
      </c>
      <c r="C175" s="15">
        <v>0</v>
      </c>
      <c r="D175" s="15">
        <v>0</v>
      </c>
    </row>
    <row r="176" spans="1:4">
      <c r="A176" s="16">
        <v>40501</v>
      </c>
      <c r="B176" s="15" t="s">
        <v>175</v>
      </c>
      <c r="C176" s="15">
        <v>0</v>
      </c>
      <c r="D176" s="15">
        <v>0</v>
      </c>
    </row>
    <row r="177" spans="1:4">
      <c r="A177" s="16">
        <v>40502</v>
      </c>
      <c r="B177" s="15" t="s">
        <v>397</v>
      </c>
      <c r="C177" s="15">
        <v>0</v>
      </c>
      <c r="D177" s="15">
        <v>0</v>
      </c>
    </row>
    <row r="178" spans="1:4">
      <c r="A178" s="16">
        <v>40503</v>
      </c>
      <c r="B178" s="15" t="s">
        <v>337</v>
      </c>
      <c r="C178" s="15">
        <v>0</v>
      </c>
      <c r="D178" s="15">
        <v>0</v>
      </c>
    </row>
    <row r="179" spans="1:4">
      <c r="A179" s="16">
        <v>40504</v>
      </c>
      <c r="B179" s="15" t="s">
        <v>336</v>
      </c>
      <c r="C179" s="15">
        <v>0</v>
      </c>
      <c r="D179" s="15">
        <v>0</v>
      </c>
    </row>
    <row r="180" spans="1:4">
      <c r="A180" s="16">
        <v>40505</v>
      </c>
      <c r="B180" s="15" t="s">
        <v>302</v>
      </c>
      <c r="C180" s="15">
        <v>0</v>
      </c>
      <c r="D180" s="15">
        <v>0</v>
      </c>
    </row>
    <row r="181" spans="1:4">
      <c r="A181" s="16">
        <v>40601</v>
      </c>
      <c r="B181" s="15" t="s">
        <v>323</v>
      </c>
      <c r="C181" s="15">
        <v>0</v>
      </c>
      <c r="D181" s="15">
        <v>0</v>
      </c>
    </row>
    <row r="182" spans="1:4">
      <c r="A182" s="16">
        <v>40602</v>
      </c>
      <c r="B182" s="15" t="s">
        <v>180</v>
      </c>
      <c r="C182" s="15">
        <v>0</v>
      </c>
      <c r="D182" s="15">
        <v>0</v>
      </c>
    </row>
    <row r="183" spans="1:4">
      <c r="A183" s="16">
        <v>40603</v>
      </c>
      <c r="B183" s="15" t="s">
        <v>168</v>
      </c>
      <c r="C183" s="15">
        <v>0</v>
      </c>
      <c r="D183" s="15">
        <v>0</v>
      </c>
    </row>
    <row r="184" spans="1:4">
      <c r="A184" s="16">
        <v>40701</v>
      </c>
      <c r="B184" s="15" t="s">
        <v>176</v>
      </c>
      <c r="C184" s="15">
        <v>1</v>
      </c>
      <c r="D184" s="15">
        <v>7</v>
      </c>
    </row>
    <row r="185" spans="1:4">
      <c r="A185" s="16">
        <v>40702</v>
      </c>
      <c r="B185" s="15" t="s">
        <v>178</v>
      </c>
      <c r="C185" s="15">
        <v>1</v>
      </c>
      <c r="D185" s="15">
        <v>1</v>
      </c>
    </row>
    <row r="186" spans="1:4">
      <c r="A186" s="16">
        <v>40801</v>
      </c>
      <c r="B186" s="15" t="s">
        <v>490</v>
      </c>
      <c r="C186" s="15">
        <v>0</v>
      </c>
      <c r="D186" s="15">
        <v>0</v>
      </c>
    </row>
    <row r="187" spans="1:4">
      <c r="A187" s="16">
        <v>40802</v>
      </c>
      <c r="B187" s="15" t="s">
        <v>303</v>
      </c>
      <c r="C187" s="15">
        <v>0</v>
      </c>
      <c r="D187" s="15">
        <v>0</v>
      </c>
    </row>
    <row r="188" spans="1:4">
      <c r="A188" s="16">
        <v>40901</v>
      </c>
      <c r="B188" s="15" t="s">
        <v>182</v>
      </c>
      <c r="C188" s="15">
        <v>0</v>
      </c>
      <c r="D188" s="15">
        <v>0</v>
      </c>
    </row>
    <row r="189" spans="1:4">
      <c r="A189" s="16">
        <v>40902</v>
      </c>
      <c r="B189" s="15" t="s">
        <v>398</v>
      </c>
      <c r="C189" s="15">
        <v>0</v>
      </c>
      <c r="D189" s="15">
        <v>0</v>
      </c>
    </row>
    <row r="190" spans="1:4">
      <c r="A190" s="16">
        <v>40903</v>
      </c>
      <c r="B190" s="15" t="s">
        <v>491</v>
      </c>
      <c r="C190" s="15">
        <v>0</v>
      </c>
      <c r="D190" s="15">
        <v>0</v>
      </c>
    </row>
    <row r="191" spans="1:4">
      <c r="A191" s="16">
        <v>41001</v>
      </c>
      <c r="B191" s="15" t="s">
        <v>346</v>
      </c>
      <c r="C191" s="15">
        <v>0</v>
      </c>
      <c r="D191" s="15">
        <v>0</v>
      </c>
    </row>
    <row r="192" spans="1:4">
      <c r="A192" s="16">
        <v>41101</v>
      </c>
      <c r="B192" s="15" t="s">
        <v>174</v>
      </c>
      <c r="C192" s="15">
        <v>0</v>
      </c>
      <c r="D192" s="15">
        <v>0</v>
      </c>
    </row>
    <row r="193" spans="1:4">
      <c r="A193" s="16">
        <v>41201</v>
      </c>
      <c r="B193" s="15" t="s">
        <v>305</v>
      </c>
      <c r="C193" s="15">
        <v>3</v>
      </c>
      <c r="D193" s="15">
        <v>0</v>
      </c>
    </row>
    <row r="194" spans="1:4">
      <c r="A194" s="16">
        <v>41202</v>
      </c>
      <c r="B194" s="15" t="s">
        <v>339</v>
      </c>
      <c r="C194" s="15">
        <v>0</v>
      </c>
      <c r="D194" s="15">
        <v>0</v>
      </c>
    </row>
    <row r="195" spans="1:4">
      <c r="A195" s="16">
        <v>41301</v>
      </c>
      <c r="B195" s="15" t="s">
        <v>91</v>
      </c>
      <c r="C195" s="15">
        <v>0</v>
      </c>
      <c r="D195" s="15">
        <v>0</v>
      </c>
    </row>
    <row r="196" spans="1:4">
      <c r="A196" s="16">
        <v>41401</v>
      </c>
      <c r="B196" s="15" t="s">
        <v>183</v>
      </c>
      <c r="C196" s="15">
        <v>0</v>
      </c>
      <c r="D196" s="15">
        <v>0</v>
      </c>
    </row>
    <row r="197" spans="1:4">
      <c r="A197" s="16">
        <v>41501</v>
      </c>
      <c r="B197" s="15" t="s">
        <v>177</v>
      </c>
      <c r="C197" s="15">
        <v>0</v>
      </c>
      <c r="D197" s="15">
        <v>1</v>
      </c>
    </row>
    <row r="198" spans="1:4">
      <c r="A198" s="16">
        <v>41502</v>
      </c>
      <c r="B198" s="15" t="s">
        <v>324</v>
      </c>
      <c r="C198" s="15">
        <v>0</v>
      </c>
      <c r="D198" s="15">
        <v>0</v>
      </c>
    </row>
    <row r="199" spans="1:4">
      <c r="A199" s="16">
        <v>41503</v>
      </c>
      <c r="B199" s="15" t="s">
        <v>335</v>
      </c>
      <c r="C199" s="15">
        <v>0</v>
      </c>
      <c r="D199" s="15">
        <v>0</v>
      </c>
    </row>
    <row r="200" spans="1:4">
      <c r="A200" s="16">
        <v>41601</v>
      </c>
      <c r="B200" s="15" t="s">
        <v>500</v>
      </c>
      <c r="C200" s="15">
        <v>0</v>
      </c>
      <c r="D200" s="15">
        <v>0</v>
      </c>
    </row>
    <row r="201" spans="1:4">
      <c r="A201" s="16">
        <v>50101</v>
      </c>
      <c r="B201" s="15" t="s">
        <v>294</v>
      </c>
      <c r="C201" s="15">
        <v>8</v>
      </c>
      <c r="D201" s="15">
        <v>80</v>
      </c>
    </row>
    <row r="202" spans="1:4">
      <c r="A202" s="16">
        <v>50102</v>
      </c>
      <c r="B202" s="15" t="s">
        <v>222</v>
      </c>
      <c r="C202" s="15">
        <v>0</v>
      </c>
      <c r="D202" s="15">
        <v>2</v>
      </c>
    </row>
    <row r="203" spans="1:4">
      <c r="A203" s="16">
        <v>50103</v>
      </c>
      <c r="B203" s="15" t="s">
        <v>230</v>
      </c>
      <c r="C203" s="15">
        <v>0</v>
      </c>
      <c r="D203" s="15">
        <v>0</v>
      </c>
    </row>
    <row r="204" spans="1:4">
      <c r="A204" s="16">
        <v>50104</v>
      </c>
      <c r="B204" s="15" t="s">
        <v>319</v>
      </c>
      <c r="C204" s="15">
        <v>0</v>
      </c>
      <c r="D204" s="15">
        <v>0</v>
      </c>
    </row>
    <row r="205" spans="1:4">
      <c r="A205" s="16">
        <v>50201</v>
      </c>
      <c r="B205" s="15" t="s">
        <v>226</v>
      </c>
      <c r="C205" s="15">
        <v>0</v>
      </c>
      <c r="D205" s="15">
        <v>4</v>
      </c>
    </row>
    <row r="206" spans="1:4">
      <c r="A206" s="16">
        <v>50202</v>
      </c>
      <c r="B206" s="15" t="s">
        <v>205</v>
      </c>
      <c r="C206" s="15">
        <v>0</v>
      </c>
      <c r="D206" s="15">
        <v>2</v>
      </c>
    </row>
    <row r="207" spans="1:4">
      <c r="A207" s="16">
        <v>50203</v>
      </c>
      <c r="B207" s="15" t="s">
        <v>209</v>
      </c>
      <c r="C207" s="15">
        <v>3</v>
      </c>
      <c r="D207" s="15">
        <v>9</v>
      </c>
    </row>
    <row r="208" spans="1:4">
      <c r="A208" s="16">
        <v>50204</v>
      </c>
      <c r="B208" s="15" t="s">
        <v>374</v>
      </c>
      <c r="C208" s="15">
        <v>0</v>
      </c>
      <c r="D208" s="15">
        <v>0</v>
      </c>
    </row>
    <row r="209" spans="1:4">
      <c r="A209" s="16">
        <v>50301</v>
      </c>
      <c r="B209" s="15" t="s">
        <v>202</v>
      </c>
      <c r="C209" s="15">
        <v>0</v>
      </c>
      <c r="D209" s="15">
        <v>3</v>
      </c>
    </row>
    <row r="210" spans="1:4">
      <c r="A210" s="16">
        <v>50302</v>
      </c>
      <c r="B210" s="15" t="s">
        <v>358</v>
      </c>
      <c r="C210" s="15">
        <v>0</v>
      </c>
      <c r="D210" s="15">
        <v>1</v>
      </c>
    </row>
    <row r="211" spans="1:4">
      <c r="A211" s="16">
        <v>50303</v>
      </c>
      <c r="B211" s="15" t="s">
        <v>220</v>
      </c>
      <c r="C211" s="15">
        <v>0</v>
      </c>
      <c r="D211" s="15">
        <v>1</v>
      </c>
    </row>
    <row r="212" spans="1:4">
      <c r="A212" s="16">
        <v>50401</v>
      </c>
      <c r="B212" s="15" t="s">
        <v>207</v>
      </c>
      <c r="C212" s="15">
        <v>0</v>
      </c>
      <c r="D212" s="15">
        <v>3</v>
      </c>
    </row>
    <row r="213" spans="1:4">
      <c r="A213" s="16">
        <v>50402</v>
      </c>
      <c r="B213" s="15" t="s">
        <v>216</v>
      </c>
      <c r="C213" s="15">
        <v>0</v>
      </c>
      <c r="D213" s="15">
        <v>4</v>
      </c>
    </row>
    <row r="214" spans="1:4">
      <c r="A214" s="16">
        <v>50403</v>
      </c>
      <c r="B214" s="15" t="s">
        <v>212</v>
      </c>
      <c r="C214" s="15">
        <v>0</v>
      </c>
      <c r="D214" s="15">
        <v>4</v>
      </c>
    </row>
    <row r="215" spans="1:4">
      <c r="A215" s="16">
        <v>50404</v>
      </c>
      <c r="B215" s="15" t="s">
        <v>211</v>
      </c>
      <c r="C215" s="15">
        <v>0</v>
      </c>
      <c r="D215" s="15">
        <v>2</v>
      </c>
    </row>
    <row r="216" spans="1:4">
      <c r="A216" s="16">
        <v>50405</v>
      </c>
      <c r="B216" s="15" t="s">
        <v>300</v>
      </c>
      <c r="C216" s="15">
        <v>0</v>
      </c>
      <c r="D216" s="15">
        <v>0</v>
      </c>
    </row>
    <row r="217" spans="1:4">
      <c r="A217" s="16">
        <v>50501</v>
      </c>
      <c r="B217" s="15" t="s">
        <v>314</v>
      </c>
      <c r="C217" s="15">
        <v>0</v>
      </c>
      <c r="D217" s="15">
        <v>8</v>
      </c>
    </row>
    <row r="218" spans="1:4">
      <c r="A218" s="16">
        <v>50502</v>
      </c>
      <c r="B218" s="15" t="s">
        <v>224</v>
      </c>
      <c r="C218" s="15">
        <v>0</v>
      </c>
      <c r="D218" s="15">
        <v>6</v>
      </c>
    </row>
    <row r="219" spans="1:4">
      <c r="A219" s="16">
        <v>50601</v>
      </c>
      <c r="B219" s="15" t="s">
        <v>208</v>
      </c>
      <c r="C219" s="15">
        <v>0</v>
      </c>
      <c r="D219" s="15">
        <v>1</v>
      </c>
    </row>
    <row r="220" spans="1:4">
      <c r="A220" s="16">
        <v>50602</v>
      </c>
      <c r="B220" s="15" t="s">
        <v>340</v>
      </c>
      <c r="C220" s="15">
        <v>0</v>
      </c>
      <c r="D220" s="15">
        <v>0</v>
      </c>
    </row>
    <row r="221" spans="1:4">
      <c r="A221" s="16">
        <v>50701</v>
      </c>
      <c r="B221" s="15" t="s">
        <v>304</v>
      </c>
      <c r="C221" s="15">
        <v>0</v>
      </c>
      <c r="D221" s="15">
        <v>1</v>
      </c>
    </row>
    <row r="222" spans="1:4">
      <c r="A222" s="16">
        <v>50702</v>
      </c>
      <c r="B222" s="15" t="s">
        <v>203</v>
      </c>
      <c r="C222" s="15">
        <v>0</v>
      </c>
      <c r="D222" s="15">
        <v>1</v>
      </c>
    </row>
    <row r="223" spans="1:4">
      <c r="A223" s="16">
        <v>50801</v>
      </c>
      <c r="B223" s="15" t="s">
        <v>225</v>
      </c>
      <c r="C223" s="15">
        <v>1</v>
      </c>
      <c r="D223" s="15">
        <v>5</v>
      </c>
    </row>
    <row r="224" spans="1:4">
      <c r="A224" s="16">
        <v>50802</v>
      </c>
      <c r="B224" s="15" t="s">
        <v>201</v>
      </c>
      <c r="C224" s="15">
        <v>0</v>
      </c>
      <c r="D224" s="15">
        <v>0</v>
      </c>
    </row>
    <row r="225" spans="1:4">
      <c r="A225" s="16">
        <v>50901</v>
      </c>
      <c r="B225" s="15" t="s">
        <v>316</v>
      </c>
      <c r="C225" s="15">
        <v>0</v>
      </c>
      <c r="D225" s="15">
        <v>1</v>
      </c>
    </row>
    <row r="226" spans="1:4">
      <c r="A226" s="16">
        <v>50902</v>
      </c>
      <c r="B226" s="15" t="s">
        <v>399</v>
      </c>
      <c r="C226" s="15">
        <v>0</v>
      </c>
      <c r="D226" s="15">
        <v>0</v>
      </c>
    </row>
    <row r="227" spans="1:4">
      <c r="A227" s="16">
        <v>51001</v>
      </c>
      <c r="B227" s="15" t="s">
        <v>333</v>
      </c>
      <c r="C227" s="15">
        <v>0</v>
      </c>
      <c r="D227" s="15">
        <v>0</v>
      </c>
    </row>
    <row r="228" spans="1:4">
      <c r="A228" s="16">
        <v>51002</v>
      </c>
      <c r="B228" s="15" t="s">
        <v>329</v>
      </c>
      <c r="C228" s="15">
        <v>0</v>
      </c>
      <c r="D228" s="15">
        <v>0</v>
      </c>
    </row>
    <row r="229" spans="1:4">
      <c r="A229" s="16">
        <v>51003</v>
      </c>
      <c r="B229" s="15" t="s">
        <v>325</v>
      </c>
      <c r="C229" s="15">
        <v>0</v>
      </c>
      <c r="D229" s="15">
        <v>0</v>
      </c>
    </row>
    <row r="230" spans="1:4">
      <c r="A230" s="16">
        <v>51101</v>
      </c>
      <c r="B230" s="15" t="s">
        <v>359</v>
      </c>
      <c r="C230" s="15">
        <v>0</v>
      </c>
      <c r="D230" s="15">
        <v>1</v>
      </c>
    </row>
    <row r="231" spans="1:4">
      <c r="A231" s="16">
        <v>51102</v>
      </c>
      <c r="B231" s="15" t="s">
        <v>356</v>
      </c>
      <c r="C231" s="15">
        <v>0</v>
      </c>
      <c r="D231" s="15">
        <v>0</v>
      </c>
    </row>
    <row r="232" spans="1:4">
      <c r="A232" s="16">
        <v>51103</v>
      </c>
      <c r="B232" s="15" t="s">
        <v>360</v>
      </c>
      <c r="C232" s="15">
        <v>0</v>
      </c>
      <c r="D232" s="15">
        <v>0</v>
      </c>
    </row>
    <row r="233" spans="1:4">
      <c r="A233" s="16">
        <v>51201</v>
      </c>
      <c r="B233" s="15" t="s">
        <v>227</v>
      </c>
      <c r="C233" s="15">
        <v>0</v>
      </c>
      <c r="D233" s="15">
        <v>6</v>
      </c>
    </row>
    <row r="234" spans="1:4">
      <c r="A234" s="16">
        <v>51202</v>
      </c>
      <c r="B234" s="15" t="s">
        <v>223</v>
      </c>
      <c r="C234" s="15">
        <v>0</v>
      </c>
      <c r="D234" s="15">
        <v>0</v>
      </c>
    </row>
    <row r="235" spans="1:4">
      <c r="A235" s="16">
        <v>51203</v>
      </c>
      <c r="B235" s="15" t="s">
        <v>213</v>
      </c>
      <c r="C235" s="15">
        <v>1</v>
      </c>
      <c r="D235" s="15">
        <v>2</v>
      </c>
    </row>
    <row r="236" spans="1:4">
      <c r="A236" s="16">
        <v>51204</v>
      </c>
      <c r="B236" s="15" t="s">
        <v>519</v>
      </c>
      <c r="C236" s="15">
        <v>0</v>
      </c>
      <c r="D236" s="15">
        <v>0</v>
      </c>
    </row>
    <row r="237" spans="1:4">
      <c r="A237" s="16">
        <v>51301</v>
      </c>
      <c r="B237" s="15" t="s">
        <v>200</v>
      </c>
      <c r="C237" s="15">
        <v>0</v>
      </c>
      <c r="D237" s="15">
        <v>0</v>
      </c>
    </row>
    <row r="238" spans="1:4">
      <c r="A238" s="16">
        <v>51302</v>
      </c>
      <c r="B238" s="15" t="s">
        <v>199</v>
      </c>
      <c r="C238" s="15">
        <v>6</v>
      </c>
      <c r="D238" s="15">
        <v>1</v>
      </c>
    </row>
    <row r="239" spans="1:4">
      <c r="A239" s="16">
        <v>51401</v>
      </c>
      <c r="B239" s="15" t="s">
        <v>210</v>
      </c>
      <c r="C239" s="15">
        <v>0</v>
      </c>
      <c r="D239" s="15">
        <v>0</v>
      </c>
    </row>
    <row r="240" spans="1:4">
      <c r="A240" s="16">
        <v>51402</v>
      </c>
      <c r="B240" s="15" t="s">
        <v>221</v>
      </c>
      <c r="C240" s="15">
        <v>0</v>
      </c>
      <c r="D240" s="15">
        <v>0</v>
      </c>
    </row>
    <row r="241" spans="1:4">
      <c r="A241" s="16">
        <v>51501</v>
      </c>
      <c r="B241" s="15" t="s">
        <v>406</v>
      </c>
      <c r="C241" s="15">
        <v>3</v>
      </c>
      <c r="D241" s="15">
        <v>5</v>
      </c>
    </row>
    <row r="242" spans="1:4">
      <c r="A242" s="16">
        <v>51601</v>
      </c>
      <c r="B242" s="15" t="s">
        <v>332</v>
      </c>
      <c r="C242" s="15">
        <v>0</v>
      </c>
      <c r="D242" s="15">
        <v>0</v>
      </c>
    </row>
    <row r="243" spans="1:4">
      <c r="A243" s="16">
        <v>60101</v>
      </c>
      <c r="B243" s="15" t="s">
        <v>283</v>
      </c>
      <c r="C243" s="15">
        <v>12</v>
      </c>
      <c r="D243" s="15">
        <v>60</v>
      </c>
    </row>
    <row r="244" spans="1:4">
      <c r="A244" s="16">
        <v>60201</v>
      </c>
      <c r="B244" s="15" t="s">
        <v>282</v>
      </c>
      <c r="C244" s="15">
        <v>0</v>
      </c>
      <c r="D244" s="15">
        <v>1</v>
      </c>
    </row>
    <row r="245" spans="1:4">
      <c r="A245" s="16">
        <v>60202</v>
      </c>
      <c r="B245" s="15" t="s">
        <v>279</v>
      </c>
      <c r="C245" s="15">
        <v>4</v>
      </c>
      <c r="D245" s="15">
        <v>7</v>
      </c>
    </row>
    <row r="246" spans="1:4">
      <c r="A246" s="16">
        <v>60301</v>
      </c>
      <c r="B246" s="15" t="s">
        <v>287</v>
      </c>
      <c r="C246" s="15">
        <v>11</v>
      </c>
      <c r="D246" s="15">
        <v>21</v>
      </c>
    </row>
    <row r="247" spans="1:4">
      <c r="A247" s="16">
        <v>60302</v>
      </c>
      <c r="B247" s="15" t="s">
        <v>331</v>
      </c>
      <c r="C247" s="15">
        <v>0</v>
      </c>
      <c r="D247" s="15">
        <v>1</v>
      </c>
    </row>
    <row r="248" spans="1:4">
      <c r="A248" s="16">
        <v>60303</v>
      </c>
      <c r="B248" s="15" t="s">
        <v>318</v>
      </c>
      <c r="C248" s="15">
        <v>4</v>
      </c>
      <c r="D248" s="15">
        <v>8</v>
      </c>
    </row>
    <row r="249" spans="1:4">
      <c r="A249" s="16">
        <v>60401</v>
      </c>
      <c r="B249" s="15" t="s">
        <v>328</v>
      </c>
      <c r="C249" s="15">
        <v>0</v>
      </c>
      <c r="D249" s="15">
        <v>0</v>
      </c>
    </row>
    <row r="250" spans="1:4">
      <c r="A250" s="16">
        <v>60402</v>
      </c>
      <c r="B250" s="15" t="s">
        <v>330</v>
      </c>
      <c r="C250" s="15">
        <v>0</v>
      </c>
      <c r="D250" s="15">
        <v>0</v>
      </c>
    </row>
    <row r="251" spans="1:4">
      <c r="A251" s="16">
        <v>60501</v>
      </c>
      <c r="B251" s="15" t="s">
        <v>195</v>
      </c>
      <c r="C251" s="15">
        <v>0</v>
      </c>
      <c r="D251" s="15">
        <v>1</v>
      </c>
    </row>
    <row r="252" spans="1:4">
      <c r="A252" s="16">
        <v>60502</v>
      </c>
      <c r="B252" s="15" t="s">
        <v>245</v>
      </c>
      <c r="C252" s="15">
        <v>0</v>
      </c>
      <c r="D252" s="15">
        <v>0</v>
      </c>
    </row>
    <row r="253" spans="1:4">
      <c r="A253" s="16">
        <v>60601</v>
      </c>
      <c r="B253" s="15" t="s">
        <v>281</v>
      </c>
      <c r="C253" s="15">
        <v>0</v>
      </c>
      <c r="D253" s="15">
        <v>2</v>
      </c>
    </row>
    <row r="254" spans="1:4">
      <c r="A254" s="16">
        <v>70101</v>
      </c>
      <c r="B254" s="15" t="s">
        <v>272</v>
      </c>
      <c r="C254" s="15">
        <v>458</v>
      </c>
      <c r="D254" s="15">
        <v>951</v>
      </c>
    </row>
    <row r="255" spans="1:4">
      <c r="A255" s="16">
        <v>70102</v>
      </c>
      <c r="B255" s="15" t="s">
        <v>243</v>
      </c>
      <c r="C255" s="15">
        <v>4</v>
      </c>
      <c r="D255" s="15">
        <v>30</v>
      </c>
    </row>
    <row r="256" spans="1:4">
      <c r="A256" s="16">
        <v>70103</v>
      </c>
      <c r="B256" s="15" t="s">
        <v>320</v>
      </c>
      <c r="C256" s="15">
        <v>0</v>
      </c>
      <c r="D256" s="15">
        <v>2</v>
      </c>
    </row>
    <row r="257" spans="1:4">
      <c r="A257" s="16">
        <v>70104</v>
      </c>
      <c r="B257" s="15" t="s">
        <v>248</v>
      </c>
      <c r="C257" s="15">
        <v>3</v>
      </c>
      <c r="D257" s="15">
        <v>35</v>
      </c>
    </row>
    <row r="258" spans="1:4">
      <c r="A258" s="16">
        <v>70105</v>
      </c>
      <c r="B258" s="15" t="s">
        <v>246</v>
      </c>
      <c r="C258" s="15">
        <v>6</v>
      </c>
      <c r="D258" s="15">
        <v>19</v>
      </c>
    </row>
    <row r="259" spans="1:4">
      <c r="A259" s="16">
        <v>70201</v>
      </c>
      <c r="B259" s="15" t="s">
        <v>276</v>
      </c>
      <c r="C259" s="15">
        <v>17</v>
      </c>
      <c r="D259" s="15">
        <v>59</v>
      </c>
    </row>
    <row r="260" spans="1:4">
      <c r="A260" s="16">
        <v>70202</v>
      </c>
      <c r="B260" s="15" t="s">
        <v>253</v>
      </c>
      <c r="C260" s="15">
        <v>0</v>
      </c>
      <c r="D260" s="15">
        <v>2</v>
      </c>
    </row>
    <row r="261" spans="1:4">
      <c r="A261" s="16">
        <v>70301</v>
      </c>
      <c r="B261" s="15" t="s">
        <v>266</v>
      </c>
      <c r="C261" s="15">
        <v>5</v>
      </c>
      <c r="D261" s="15">
        <v>9</v>
      </c>
    </row>
    <row r="262" spans="1:4">
      <c r="A262" s="16">
        <v>70302</v>
      </c>
      <c r="B262" s="15" t="s">
        <v>270</v>
      </c>
      <c r="C262" s="15">
        <v>0</v>
      </c>
      <c r="D262" s="15">
        <v>1</v>
      </c>
    </row>
    <row r="263" spans="1:4">
      <c r="A263" s="16">
        <v>70303</v>
      </c>
      <c r="B263" s="15" t="s">
        <v>271</v>
      </c>
      <c r="C263" s="15">
        <v>0</v>
      </c>
      <c r="D263" s="15">
        <v>1</v>
      </c>
    </row>
    <row r="264" spans="1:4">
      <c r="A264" s="16">
        <v>70401</v>
      </c>
      <c r="B264" s="15" t="s">
        <v>236</v>
      </c>
      <c r="C264" s="15">
        <v>1</v>
      </c>
      <c r="D264" s="15">
        <v>1</v>
      </c>
    </row>
    <row r="265" spans="1:4">
      <c r="A265" s="16">
        <v>70402</v>
      </c>
      <c r="B265" s="15" t="s">
        <v>265</v>
      </c>
      <c r="C265" s="15">
        <v>2</v>
      </c>
      <c r="D265" s="15">
        <v>8</v>
      </c>
    </row>
    <row r="266" spans="1:4">
      <c r="A266" s="16">
        <v>70403</v>
      </c>
      <c r="B266" s="15" t="s">
        <v>277</v>
      </c>
      <c r="C266" s="15">
        <v>7</v>
      </c>
      <c r="D266" s="15">
        <v>25</v>
      </c>
    </row>
    <row r="267" spans="1:4">
      <c r="A267" s="16">
        <v>70404</v>
      </c>
      <c r="B267" s="15" t="s">
        <v>313</v>
      </c>
      <c r="C267" s="15">
        <v>0</v>
      </c>
      <c r="D267" s="15">
        <v>0</v>
      </c>
    </row>
    <row r="268" spans="1:4">
      <c r="A268" s="16">
        <v>70501</v>
      </c>
      <c r="B268" s="15" t="s">
        <v>393</v>
      </c>
      <c r="C268" s="15">
        <v>1</v>
      </c>
      <c r="D268" s="15">
        <v>4</v>
      </c>
    </row>
    <row r="269" spans="1:4">
      <c r="A269" s="16">
        <v>70502</v>
      </c>
      <c r="B269" s="15" t="s">
        <v>388</v>
      </c>
      <c r="C269" s="15">
        <v>4</v>
      </c>
      <c r="D269" s="15">
        <v>7</v>
      </c>
    </row>
    <row r="270" spans="1:4">
      <c r="A270" s="16">
        <v>70503</v>
      </c>
      <c r="B270" s="15" t="s">
        <v>392</v>
      </c>
      <c r="C270" s="15">
        <v>0</v>
      </c>
      <c r="D270" s="15">
        <v>3</v>
      </c>
    </row>
    <row r="271" spans="1:4">
      <c r="A271" s="16">
        <v>70601</v>
      </c>
      <c r="B271" s="15" t="s">
        <v>256</v>
      </c>
      <c r="C271" s="15">
        <v>3</v>
      </c>
      <c r="D271" s="15">
        <v>8</v>
      </c>
    </row>
    <row r="272" spans="1:4">
      <c r="A272" s="16">
        <v>70602</v>
      </c>
      <c r="B272" s="15" t="s">
        <v>273</v>
      </c>
      <c r="C272" s="15">
        <v>1</v>
      </c>
      <c r="D272" s="15">
        <v>0</v>
      </c>
    </row>
    <row r="273" spans="1:4">
      <c r="A273" s="16">
        <v>70603</v>
      </c>
      <c r="B273" s="15" t="s">
        <v>390</v>
      </c>
      <c r="C273" s="15">
        <v>0</v>
      </c>
      <c r="D273" s="15">
        <v>0</v>
      </c>
    </row>
    <row r="274" spans="1:4">
      <c r="A274" s="16">
        <v>70701</v>
      </c>
      <c r="B274" s="15" t="s">
        <v>249</v>
      </c>
      <c r="C274" s="15">
        <v>0</v>
      </c>
      <c r="D274" s="15">
        <v>0</v>
      </c>
    </row>
    <row r="275" spans="1:4">
      <c r="A275" s="16">
        <v>70702</v>
      </c>
      <c r="B275" s="15" t="s">
        <v>240</v>
      </c>
      <c r="C275" s="15">
        <v>0</v>
      </c>
      <c r="D275" s="15">
        <v>1</v>
      </c>
    </row>
    <row r="276" spans="1:4">
      <c r="A276" s="16">
        <v>70703</v>
      </c>
      <c r="B276" s="15" t="s">
        <v>237</v>
      </c>
      <c r="C276" s="15">
        <v>0</v>
      </c>
      <c r="D276" s="15">
        <v>3</v>
      </c>
    </row>
    <row r="277" spans="1:4">
      <c r="A277" s="16">
        <v>70704</v>
      </c>
      <c r="B277" s="15" t="s">
        <v>244</v>
      </c>
      <c r="C277" s="15">
        <v>0</v>
      </c>
      <c r="D277" s="15">
        <v>0</v>
      </c>
    </row>
    <row r="278" spans="1:4">
      <c r="A278" s="16">
        <v>70705</v>
      </c>
      <c r="B278" s="15" t="s">
        <v>538</v>
      </c>
      <c r="C278" s="15">
        <v>1</v>
      </c>
      <c r="D278" s="15">
        <v>1</v>
      </c>
    </row>
    <row r="279" spans="1:4">
      <c r="A279" s="16">
        <v>70706</v>
      </c>
      <c r="B279" s="15" t="s">
        <v>238</v>
      </c>
      <c r="C279" s="15">
        <v>2</v>
      </c>
      <c r="D279" s="15">
        <v>6</v>
      </c>
    </row>
    <row r="280" spans="1:4">
      <c r="A280" s="16">
        <v>70707</v>
      </c>
      <c r="B280" s="15" t="s">
        <v>235</v>
      </c>
      <c r="C280" s="15">
        <v>0</v>
      </c>
      <c r="D280" s="15">
        <v>1</v>
      </c>
    </row>
    <row r="281" spans="1:4">
      <c r="A281" s="16">
        <v>70801</v>
      </c>
      <c r="B281" s="15" t="s">
        <v>275</v>
      </c>
      <c r="C281" s="15">
        <v>0</v>
      </c>
      <c r="D281" s="15">
        <v>1</v>
      </c>
    </row>
    <row r="282" spans="1:4">
      <c r="A282" s="16">
        <v>70802</v>
      </c>
      <c r="B282" s="15" t="s">
        <v>383</v>
      </c>
      <c r="C282" s="15">
        <v>0</v>
      </c>
      <c r="D282" s="15">
        <v>0</v>
      </c>
    </row>
    <row r="283" spans="1:4">
      <c r="A283" s="16">
        <v>70803</v>
      </c>
      <c r="B283" s="15" t="s">
        <v>539</v>
      </c>
      <c r="C283" s="15">
        <v>0</v>
      </c>
      <c r="D283" s="15">
        <v>0</v>
      </c>
    </row>
    <row r="284" spans="1:4">
      <c r="A284" s="16">
        <v>70804</v>
      </c>
      <c r="B284" s="15" t="s">
        <v>382</v>
      </c>
      <c r="C284" s="15">
        <v>0</v>
      </c>
      <c r="D284" s="15">
        <v>0</v>
      </c>
    </row>
    <row r="285" spans="1:4">
      <c r="A285" s="16">
        <v>70805</v>
      </c>
      <c r="B285" s="15" t="s">
        <v>380</v>
      </c>
      <c r="C285" s="15">
        <v>0</v>
      </c>
      <c r="D285" s="15">
        <v>0</v>
      </c>
    </row>
    <row r="286" spans="1:4">
      <c r="A286" s="16">
        <v>70901</v>
      </c>
      <c r="B286" s="15" t="s">
        <v>263</v>
      </c>
      <c r="C286" s="15">
        <v>0</v>
      </c>
      <c r="D286" s="15">
        <v>1</v>
      </c>
    </row>
    <row r="287" spans="1:4">
      <c r="A287" s="16">
        <v>70902</v>
      </c>
      <c r="B287" s="15" t="s">
        <v>255</v>
      </c>
      <c r="C287" s="15">
        <v>0</v>
      </c>
      <c r="D287" s="15">
        <v>0</v>
      </c>
    </row>
    <row r="288" spans="1:4">
      <c r="A288" s="16">
        <v>70903</v>
      </c>
      <c r="B288" s="15" t="s">
        <v>250</v>
      </c>
      <c r="C288" s="15">
        <v>1</v>
      </c>
      <c r="D288" s="15">
        <v>3</v>
      </c>
    </row>
    <row r="289" spans="1:4">
      <c r="A289" s="16">
        <v>70904</v>
      </c>
      <c r="B289" s="15" t="s">
        <v>260</v>
      </c>
      <c r="C289" s="15">
        <v>0</v>
      </c>
      <c r="D289" s="15">
        <v>0</v>
      </c>
    </row>
    <row r="290" spans="1:4">
      <c r="A290" s="16">
        <v>71001</v>
      </c>
      <c r="B290" s="15" t="s">
        <v>252</v>
      </c>
      <c r="C290" s="15">
        <v>31</v>
      </c>
      <c r="D290" s="15">
        <v>49</v>
      </c>
    </row>
    <row r="291" spans="1:4">
      <c r="A291" s="16">
        <v>71002</v>
      </c>
      <c r="B291" s="15" t="s">
        <v>387</v>
      </c>
      <c r="C291" s="15">
        <v>165</v>
      </c>
      <c r="D291" s="15">
        <v>16</v>
      </c>
    </row>
    <row r="292" spans="1:4">
      <c r="A292" s="16">
        <v>71003</v>
      </c>
      <c r="B292" s="15" t="s">
        <v>251</v>
      </c>
      <c r="C292" s="15">
        <v>6</v>
      </c>
      <c r="D292" s="15">
        <v>11</v>
      </c>
    </row>
    <row r="293" spans="1:4">
      <c r="A293" s="16">
        <v>71004</v>
      </c>
      <c r="B293" s="15" t="s">
        <v>389</v>
      </c>
      <c r="C293" s="15">
        <v>0</v>
      </c>
      <c r="D293" s="15">
        <v>0</v>
      </c>
    </row>
    <row r="294" spans="1:4">
      <c r="A294" s="16">
        <v>71005</v>
      </c>
      <c r="B294" s="15" t="s">
        <v>314</v>
      </c>
      <c r="C294" s="15">
        <v>0</v>
      </c>
      <c r="D294" s="15">
        <v>0</v>
      </c>
    </row>
    <row r="295" spans="1:4">
      <c r="A295" s="16">
        <v>71101</v>
      </c>
      <c r="B295" s="15" t="s">
        <v>242</v>
      </c>
      <c r="C295" s="15">
        <v>1</v>
      </c>
      <c r="D295" s="15">
        <v>4</v>
      </c>
    </row>
    <row r="296" spans="1:4">
      <c r="A296" s="16">
        <v>71102</v>
      </c>
      <c r="B296" s="15" t="s">
        <v>20</v>
      </c>
      <c r="C296" s="15">
        <v>1</v>
      </c>
      <c r="D296" s="15">
        <v>1</v>
      </c>
    </row>
    <row r="297" spans="1:4">
      <c r="A297" s="16">
        <v>71103</v>
      </c>
      <c r="B297" s="15" t="s">
        <v>326</v>
      </c>
      <c r="C297" s="15">
        <v>0</v>
      </c>
      <c r="D297" s="15">
        <v>1</v>
      </c>
    </row>
    <row r="298" spans="1:4">
      <c r="A298" s="16">
        <v>71104</v>
      </c>
      <c r="B298" s="15" t="s">
        <v>400</v>
      </c>
      <c r="C298" s="15">
        <v>5</v>
      </c>
      <c r="D298" s="15">
        <v>15</v>
      </c>
    </row>
    <row r="299" spans="1:4">
      <c r="A299" s="16">
        <v>71105</v>
      </c>
      <c r="B299" s="15" t="s">
        <v>543</v>
      </c>
      <c r="C299" s="15">
        <v>0</v>
      </c>
      <c r="D299" s="15">
        <v>0</v>
      </c>
    </row>
    <row r="300" spans="1:4">
      <c r="A300" s="16">
        <v>71106</v>
      </c>
      <c r="B300" s="15" t="s">
        <v>384</v>
      </c>
      <c r="C300" s="15">
        <v>0</v>
      </c>
      <c r="D300" s="15">
        <v>0</v>
      </c>
    </row>
    <row r="301" spans="1:4">
      <c r="A301" s="16">
        <v>71201</v>
      </c>
      <c r="B301" s="15" t="s">
        <v>269</v>
      </c>
      <c r="C301" s="15">
        <v>2</v>
      </c>
      <c r="D301" s="15">
        <v>2</v>
      </c>
    </row>
    <row r="302" spans="1:4">
      <c r="A302" s="16">
        <v>71301</v>
      </c>
      <c r="B302" s="15" t="s">
        <v>241</v>
      </c>
      <c r="C302" s="15">
        <v>1</v>
      </c>
      <c r="D302" s="15">
        <v>1</v>
      </c>
    </row>
    <row r="303" spans="1:4">
      <c r="A303" s="16">
        <v>71302</v>
      </c>
      <c r="B303" s="15" t="s">
        <v>262</v>
      </c>
      <c r="C303" s="15">
        <v>0</v>
      </c>
      <c r="D303" s="15">
        <v>0</v>
      </c>
    </row>
    <row r="304" spans="1:4">
      <c r="A304" s="16">
        <v>71401</v>
      </c>
      <c r="B304" s="15" t="s">
        <v>547</v>
      </c>
      <c r="C304" s="15">
        <v>3</v>
      </c>
      <c r="D304" s="15">
        <v>8</v>
      </c>
    </row>
    <row r="305" spans="1:4">
      <c r="A305" s="16">
        <v>71402</v>
      </c>
      <c r="B305" s="15" t="s">
        <v>258</v>
      </c>
      <c r="C305" s="15">
        <v>2</v>
      </c>
      <c r="D305" s="15">
        <v>8</v>
      </c>
    </row>
    <row r="306" spans="1:4">
      <c r="A306" s="16">
        <v>71403</v>
      </c>
      <c r="B306" s="15" t="s">
        <v>391</v>
      </c>
      <c r="C306" s="15">
        <v>0</v>
      </c>
      <c r="D306" s="15">
        <v>2</v>
      </c>
    </row>
    <row r="307" spans="1:4">
      <c r="A307" s="16">
        <v>71501</v>
      </c>
      <c r="B307" s="15" t="s">
        <v>549</v>
      </c>
      <c r="C307" s="15">
        <v>5</v>
      </c>
      <c r="D307" s="15">
        <v>9</v>
      </c>
    </row>
    <row r="308" spans="1:4">
      <c r="A308" s="16">
        <v>71502</v>
      </c>
      <c r="B308" s="15" t="s">
        <v>395</v>
      </c>
      <c r="C308" s="15">
        <v>7</v>
      </c>
      <c r="D308" s="15">
        <v>1</v>
      </c>
    </row>
    <row r="309" spans="1:4">
      <c r="A309" s="16">
        <v>71503</v>
      </c>
      <c r="B309" s="15" t="s">
        <v>245</v>
      </c>
      <c r="C309" s="15">
        <v>1</v>
      </c>
      <c r="D309" s="15">
        <v>2</v>
      </c>
    </row>
    <row r="310" spans="1:4">
      <c r="A310" s="16">
        <v>80101</v>
      </c>
      <c r="B310" s="15" t="s">
        <v>25</v>
      </c>
      <c r="C310" s="15">
        <v>23</v>
      </c>
      <c r="D310" s="15">
        <v>89</v>
      </c>
    </row>
    <row r="311" spans="1:4">
      <c r="A311" s="16">
        <v>80102</v>
      </c>
      <c r="B311" s="15" t="s">
        <v>20</v>
      </c>
      <c r="C311" s="15">
        <v>0</v>
      </c>
      <c r="D311" s="15">
        <v>0</v>
      </c>
    </row>
    <row r="312" spans="1:4">
      <c r="A312" s="16">
        <v>80201</v>
      </c>
      <c r="B312" s="15" t="s">
        <v>16</v>
      </c>
      <c r="C312" s="15">
        <v>3</v>
      </c>
      <c r="D312" s="15">
        <v>74</v>
      </c>
    </row>
    <row r="313" spans="1:4">
      <c r="A313" s="16">
        <v>80202</v>
      </c>
      <c r="B313" s="15" t="s">
        <v>368</v>
      </c>
      <c r="C313" s="15">
        <v>3</v>
      </c>
      <c r="D313" s="15">
        <v>13</v>
      </c>
    </row>
    <row r="314" spans="1:4">
      <c r="A314" s="16">
        <v>80301</v>
      </c>
      <c r="B314" s="15" t="s">
        <v>15</v>
      </c>
      <c r="C314" s="15">
        <v>0</v>
      </c>
      <c r="D314" s="15">
        <v>2</v>
      </c>
    </row>
    <row r="315" spans="1:4">
      <c r="A315" s="16">
        <v>80302</v>
      </c>
      <c r="B315" s="15" t="s">
        <v>18</v>
      </c>
      <c r="C315" s="15">
        <v>1</v>
      </c>
      <c r="D315" s="15">
        <v>6</v>
      </c>
    </row>
    <row r="316" spans="1:4">
      <c r="A316" s="16">
        <v>80303</v>
      </c>
      <c r="B316" s="15" t="s">
        <v>24</v>
      </c>
      <c r="C316" s="15">
        <v>0</v>
      </c>
      <c r="D316" s="15">
        <v>2</v>
      </c>
    </row>
    <row r="317" spans="1:4">
      <c r="A317" s="16">
        <v>80304</v>
      </c>
      <c r="B317" s="15" t="s">
        <v>363</v>
      </c>
      <c r="C317" s="15">
        <v>1</v>
      </c>
      <c r="D317" s="15">
        <v>6</v>
      </c>
    </row>
    <row r="318" spans="1:4">
      <c r="A318" s="16">
        <v>80401</v>
      </c>
      <c r="B318" s="15" t="s">
        <v>364</v>
      </c>
      <c r="C318" s="15">
        <v>1</v>
      </c>
      <c r="D318" s="15">
        <v>13</v>
      </c>
    </row>
    <row r="319" spans="1:4">
      <c r="A319" s="16">
        <v>80402</v>
      </c>
      <c r="B319" s="15" t="s">
        <v>366</v>
      </c>
      <c r="C319" s="15">
        <v>0</v>
      </c>
      <c r="D319" s="15">
        <v>0</v>
      </c>
    </row>
    <row r="320" spans="1:4">
      <c r="A320" s="16">
        <v>80501</v>
      </c>
      <c r="B320" s="15" t="s">
        <v>19</v>
      </c>
      <c r="C320" s="15">
        <v>1</v>
      </c>
      <c r="D320" s="15">
        <v>7</v>
      </c>
    </row>
    <row r="321" spans="1:4">
      <c r="A321" s="16">
        <v>80601</v>
      </c>
      <c r="B321" s="15" t="s">
        <v>11</v>
      </c>
      <c r="C321" s="15">
        <v>0</v>
      </c>
      <c r="D321" s="15">
        <v>1</v>
      </c>
    </row>
    <row r="322" spans="1:4">
      <c r="A322" s="16">
        <v>80602</v>
      </c>
      <c r="B322" s="15" t="s">
        <v>386</v>
      </c>
      <c r="C322" s="15">
        <v>0</v>
      </c>
      <c r="D322" s="15">
        <v>2</v>
      </c>
    </row>
    <row r="323" spans="1:4">
      <c r="A323" s="16">
        <v>80701</v>
      </c>
      <c r="B323" s="15" t="s">
        <v>21</v>
      </c>
      <c r="C323" s="15">
        <v>0</v>
      </c>
      <c r="D323" s="15">
        <v>1</v>
      </c>
    </row>
    <row r="324" spans="1:4">
      <c r="A324" s="16">
        <v>80702</v>
      </c>
      <c r="B324" s="15" t="s">
        <v>326</v>
      </c>
      <c r="C324" s="15">
        <v>0</v>
      </c>
      <c r="D324" s="15">
        <v>1</v>
      </c>
    </row>
    <row r="325" spans="1:4">
      <c r="A325" s="16">
        <v>80703</v>
      </c>
      <c r="B325" s="15" t="s">
        <v>365</v>
      </c>
      <c r="C325" s="15">
        <v>0</v>
      </c>
      <c r="D325" s="15">
        <v>0</v>
      </c>
    </row>
    <row r="326" spans="1:4">
      <c r="A326" s="16">
        <v>80801</v>
      </c>
      <c r="B326" s="15" t="s">
        <v>12</v>
      </c>
      <c r="C326" s="15">
        <v>1</v>
      </c>
      <c r="D326" s="15">
        <v>1</v>
      </c>
    </row>
    <row r="327" spans="1:4">
      <c r="A327" s="16">
        <v>80802</v>
      </c>
      <c r="B327" s="15" t="s">
        <v>8</v>
      </c>
      <c r="C327" s="15">
        <v>5</v>
      </c>
      <c r="D327" s="15">
        <v>27</v>
      </c>
    </row>
    <row r="328" spans="1:4">
      <c r="A328" s="16">
        <v>80803</v>
      </c>
      <c r="B328" s="15" t="s">
        <v>10</v>
      </c>
      <c r="C328" s="15">
        <v>0</v>
      </c>
      <c r="D328" s="15">
        <v>0</v>
      </c>
    </row>
    <row r="329" spans="1:4">
      <c r="A329" s="16">
        <v>80901</v>
      </c>
      <c r="B329" s="15" t="s">
        <v>559</v>
      </c>
      <c r="C329" s="15">
        <v>0</v>
      </c>
      <c r="D329" s="15">
        <v>0</v>
      </c>
    </row>
    <row r="330" spans="1:4">
      <c r="A330" s="16">
        <v>90101</v>
      </c>
      <c r="B330" s="15" t="s">
        <v>189</v>
      </c>
      <c r="C330" s="15">
        <v>4</v>
      </c>
      <c r="D330" s="15">
        <v>36</v>
      </c>
    </row>
    <row r="331" spans="1:4">
      <c r="A331" s="16">
        <v>90102</v>
      </c>
      <c r="B331" s="15" t="s">
        <v>192</v>
      </c>
      <c r="C331" s="15">
        <v>0</v>
      </c>
      <c r="D331" s="15">
        <v>2</v>
      </c>
    </row>
    <row r="332" spans="1:4">
      <c r="A332" s="16">
        <v>90103</v>
      </c>
      <c r="B332" s="15" t="s">
        <v>188</v>
      </c>
      <c r="C332" s="15">
        <v>0</v>
      </c>
      <c r="D332" s="15">
        <v>0</v>
      </c>
    </row>
    <row r="333" spans="1:4">
      <c r="A333" s="16">
        <v>90104</v>
      </c>
      <c r="B333" s="15" t="s">
        <v>187</v>
      </c>
      <c r="C333" s="15">
        <v>1</v>
      </c>
      <c r="D333" s="15">
        <v>0</v>
      </c>
    </row>
    <row r="334" spans="1:4">
      <c r="A334" s="16">
        <v>90201</v>
      </c>
      <c r="B334" s="15" t="s">
        <v>194</v>
      </c>
      <c r="C334" s="15">
        <v>0</v>
      </c>
      <c r="D334" s="15">
        <v>0</v>
      </c>
    </row>
    <row r="335" spans="1:4">
      <c r="A335" s="16">
        <v>90202</v>
      </c>
      <c r="B335" s="15" t="s">
        <v>314</v>
      </c>
      <c r="C335" s="15">
        <v>0</v>
      </c>
      <c r="D335" s="15">
        <v>0</v>
      </c>
    </row>
    <row r="336" spans="1:4">
      <c r="A336" s="16">
        <v>90203</v>
      </c>
      <c r="B336" s="15" t="s">
        <v>190</v>
      </c>
      <c r="C336" s="15">
        <v>1</v>
      </c>
      <c r="D336" s="15">
        <v>1</v>
      </c>
    </row>
    <row r="337" spans="1:4">
      <c r="A337" s="16">
        <v>90301</v>
      </c>
      <c r="B337" s="15" t="s">
        <v>193</v>
      </c>
      <c r="C337" s="15">
        <v>0</v>
      </c>
      <c r="D337" s="15">
        <v>2</v>
      </c>
    </row>
    <row r="338" spans="1:4">
      <c r="A338" s="16">
        <v>90302</v>
      </c>
      <c r="B338" s="15" t="s">
        <v>195</v>
      </c>
      <c r="C338" s="15">
        <v>0</v>
      </c>
      <c r="D338" s="15">
        <v>0</v>
      </c>
    </row>
    <row r="339" spans="1:4">
      <c r="A339" s="16">
        <v>90303</v>
      </c>
      <c r="B339" s="15" t="s">
        <v>196</v>
      </c>
      <c r="C339" s="15">
        <v>0</v>
      </c>
      <c r="D339" s="15">
        <v>1</v>
      </c>
    </row>
    <row r="340" spans="1:4">
      <c r="A340" s="16">
        <v>90401</v>
      </c>
      <c r="B340" s="15" t="s">
        <v>24</v>
      </c>
      <c r="C340" s="15">
        <v>0</v>
      </c>
      <c r="D340" s="15">
        <v>0</v>
      </c>
    </row>
    <row r="341" spans="1:4">
      <c r="A341" s="16">
        <v>90402</v>
      </c>
      <c r="B341" s="15" t="s">
        <v>367</v>
      </c>
      <c r="C341" s="15">
        <v>0</v>
      </c>
      <c r="D341" s="15">
        <v>0</v>
      </c>
    </row>
    <row r="342" spans="1:4">
      <c r="A342" s="16">
        <v>90501</v>
      </c>
      <c r="B342" s="15" t="s">
        <v>371</v>
      </c>
      <c r="C342" s="15">
        <v>0</v>
      </c>
      <c r="D342" s="15">
        <v>0</v>
      </c>
    </row>
    <row r="343" spans="1:4">
      <c r="A343" s="16">
        <v>90502</v>
      </c>
      <c r="B343" s="15" t="s">
        <v>369</v>
      </c>
      <c r="C343" s="15">
        <v>0</v>
      </c>
      <c r="D343" s="15">
        <v>0</v>
      </c>
    </row>
    <row r="344" spans="1:4">
      <c r="A344" s="16">
        <v>90503</v>
      </c>
      <c r="B344" s="15" t="s">
        <v>370</v>
      </c>
      <c r="C344" s="15">
        <v>0</v>
      </c>
      <c r="D344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8D04-27D4-41F4-837A-2A2D604E1CFA}">
  <dimension ref="A1:D12"/>
  <sheetViews>
    <sheetView workbookViewId="0">
      <selection activeCell="F14" sqref="F14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26.7109375" customWidth="1"/>
  </cols>
  <sheetData>
    <row r="1" spans="1:4" ht="45">
      <c r="A1" s="23" t="s">
        <v>574</v>
      </c>
      <c r="B1" s="23" t="s">
        <v>575</v>
      </c>
      <c r="C1" s="22" t="s">
        <v>576</v>
      </c>
      <c r="D1" s="22" t="s">
        <v>577</v>
      </c>
    </row>
    <row r="2" spans="1:4">
      <c r="A2" s="15">
        <v>1</v>
      </c>
      <c r="B2" s="24" t="s">
        <v>296</v>
      </c>
      <c r="C2" s="31">
        <v>61.936192309802998</v>
      </c>
      <c r="D2" s="31">
        <v>179.91854453319976</v>
      </c>
    </row>
    <row r="3" spans="1:4">
      <c r="A3" s="15">
        <v>2</v>
      </c>
      <c r="B3" s="24" t="s">
        <v>133</v>
      </c>
      <c r="C3" s="31">
        <v>115.00580774736511</v>
      </c>
      <c r="D3" s="31">
        <v>268.67122977255411</v>
      </c>
    </row>
    <row r="4" spans="1:4">
      <c r="A4" s="15">
        <v>3</v>
      </c>
      <c r="B4" s="24" t="s">
        <v>65</v>
      </c>
      <c r="C4" s="31">
        <v>178.91944299320349</v>
      </c>
      <c r="D4" s="31">
        <v>328.75388435182458</v>
      </c>
    </row>
    <row r="5" spans="1:4">
      <c r="A5" s="15">
        <v>4</v>
      </c>
      <c r="B5" s="24" t="s">
        <v>179</v>
      </c>
      <c r="C5" s="31">
        <v>91.605972655661915</v>
      </c>
      <c r="D5" s="31">
        <v>225.88455070621214</v>
      </c>
    </row>
    <row r="6" spans="1:4">
      <c r="A6" s="15">
        <v>5</v>
      </c>
      <c r="B6" s="24" t="s">
        <v>294</v>
      </c>
      <c r="C6" s="31">
        <v>31.067605301375902</v>
      </c>
      <c r="D6" s="31">
        <v>175.44515847916884</v>
      </c>
    </row>
    <row r="7" spans="1:4">
      <c r="A7" s="15">
        <v>6</v>
      </c>
      <c r="B7" s="24" t="s">
        <v>283</v>
      </c>
      <c r="C7" s="31">
        <v>66.331267984974843</v>
      </c>
      <c r="D7" s="31">
        <v>191.8165813347205</v>
      </c>
    </row>
    <row r="8" spans="1:4">
      <c r="A8" s="15">
        <v>7</v>
      </c>
      <c r="B8" s="24" t="s">
        <v>295</v>
      </c>
      <c r="C8" s="31">
        <v>282.24162891281429</v>
      </c>
      <c r="D8" s="31">
        <v>426.26757664906313</v>
      </c>
    </row>
    <row r="9" spans="1:4">
      <c r="A9" s="15">
        <v>8</v>
      </c>
      <c r="B9" s="24" t="s">
        <v>297</v>
      </c>
      <c r="C9" s="31">
        <v>93.669519971457504</v>
      </c>
      <c r="D9" s="31">
        <v>507.37939702277504</v>
      </c>
    </row>
    <row r="10" spans="1:4">
      <c r="A10" s="15">
        <v>9</v>
      </c>
      <c r="B10" s="24" t="s">
        <v>298</v>
      </c>
      <c r="C10" s="31">
        <v>48.880910308817015</v>
      </c>
      <c r="D10" s="31">
        <v>333.10110277186612</v>
      </c>
    </row>
    <row r="11" spans="1:4">
      <c r="A11" s="32">
        <v>10</v>
      </c>
      <c r="B11" s="33" t="s">
        <v>525</v>
      </c>
      <c r="C11" s="31">
        <v>101.82560943921327</v>
      </c>
      <c r="D11" s="31">
        <v>187.53874178566358</v>
      </c>
    </row>
    <row r="12" spans="1:4">
      <c r="A12" s="32">
        <v>11</v>
      </c>
      <c r="B12" s="33" t="s">
        <v>602</v>
      </c>
      <c r="C12" s="31">
        <v>155.27221393086526</v>
      </c>
      <c r="D12" s="31">
        <v>315.83830929899847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AE52-721D-45C5-BC8B-23D2C0365C4B}">
  <dimension ref="A1:I12"/>
  <sheetViews>
    <sheetView workbookViewId="0">
      <selection activeCell="D18" sqref="D18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29.140625" bestFit="1" customWidth="1"/>
    <col min="5" max="8" width="11.85546875" customWidth="1"/>
  </cols>
  <sheetData>
    <row r="1" spans="1:9" ht="30" customHeight="1">
      <c r="A1" s="23" t="s">
        <v>574</v>
      </c>
      <c r="B1" s="23" t="s">
        <v>575</v>
      </c>
      <c r="C1" s="22" t="s">
        <v>599</v>
      </c>
      <c r="D1" s="22" t="s">
        <v>600</v>
      </c>
      <c r="E1" s="35"/>
      <c r="F1" s="35"/>
      <c r="G1" s="35"/>
      <c r="H1" s="35"/>
    </row>
    <row r="2" spans="1:9">
      <c r="A2" s="15">
        <v>1</v>
      </c>
      <c r="B2" s="24" t="s">
        <v>296</v>
      </c>
      <c r="C2" s="15">
        <v>36</v>
      </c>
      <c r="D2" s="15">
        <v>109</v>
      </c>
      <c r="E2" s="36"/>
      <c r="F2" s="36"/>
      <c r="G2" s="37"/>
      <c r="H2" s="37"/>
    </row>
    <row r="3" spans="1:9">
      <c r="A3" s="15">
        <v>2</v>
      </c>
      <c r="B3" s="24" t="s">
        <v>133</v>
      </c>
      <c r="C3" s="15">
        <v>313</v>
      </c>
      <c r="D3" s="15">
        <v>807</v>
      </c>
      <c r="E3" s="36"/>
      <c r="F3" s="36"/>
      <c r="G3" s="37"/>
      <c r="H3" s="37"/>
    </row>
    <row r="4" spans="1:9">
      <c r="A4" s="15">
        <v>3</v>
      </c>
      <c r="B4" s="24" t="s">
        <v>65</v>
      </c>
      <c r="C4" s="15">
        <v>315</v>
      </c>
      <c r="D4" s="15">
        <v>656</v>
      </c>
      <c r="E4" s="36"/>
      <c r="F4" s="36"/>
      <c r="G4" s="37"/>
      <c r="H4" s="37"/>
    </row>
    <row r="5" spans="1:9">
      <c r="A5" s="15">
        <v>4</v>
      </c>
      <c r="B5" s="24" t="s">
        <v>179</v>
      </c>
      <c r="C5" s="15">
        <v>45</v>
      </c>
      <c r="D5" s="15">
        <v>128</v>
      </c>
      <c r="E5" s="36"/>
      <c r="F5" s="36"/>
      <c r="G5" s="37"/>
      <c r="H5" s="37"/>
    </row>
    <row r="6" spans="1:9">
      <c r="A6" s="15">
        <v>5</v>
      </c>
      <c r="B6" s="24" t="s">
        <v>294</v>
      </c>
      <c r="C6" s="15">
        <v>26</v>
      </c>
      <c r="D6" s="15">
        <v>151</v>
      </c>
      <c r="E6" s="36"/>
      <c r="F6" s="36"/>
      <c r="G6" s="37"/>
      <c r="H6" s="37"/>
      <c r="I6" s="34"/>
    </row>
    <row r="7" spans="1:9">
      <c r="A7" s="15">
        <v>6</v>
      </c>
      <c r="B7" s="24" t="s">
        <v>283</v>
      </c>
      <c r="C7" s="15">
        <v>32</v>
      </c>
      <c r="D7" s="15">
        <v>102</v>
      </c>
      <c r="E7" s="36"/>
      <c r="F7" s="36"/>
      <c r="G7" s="37"/>
      <c r="H7" s="37"/>
    </row>
    <row r="8" spans="1:9">
      <c r="A8" s="15">
        <v>7</v>
      </c>
      <c r="B8" s="24" t="s">
        <v>295</v>
      </c>
      <c r="C8" s="15">
        <v>748</v>
      </c>
      <c r="D8" s="15">
        <v>1314</v>
      </c>
      <c r="E8" s="36"/>
      <c r="F8" s="36"/>
      <c r="G8" s="37"/>
      <c r="H8" s="37"/>
    </row>
    <row r="9" spans="1:9">
      <c r="A9" s="15">
        <v>8</v>
      </c>
      <c r="B9" s="24" t="s">
        <v>297</v>
      </c>
      <c r="C9" s="15">
        <v>40</v>
      </c>
      <c r="D9" s="15">
        <v>245</v>
      </c>
      <c r="E9" s="36"/>
      <c r="F9" s="36"/>
      <c r="G9" s="37"/>
      <c r="H9" s="37"/>
    </row>
    <row r="10" spans="1:9">
      <c r="A10" s="15">
        <v>9</v>
      </c>
      <c r="B10" s="24" t="s">
        <v>298</v>
      </c>
      <c r="C10" s="15">
        <v>5</v>
      </c>
      <c r="D10" s="15">
        <v>44</v>
      </c>
      <c r="E10" s="36"/>
      <c r="F10" s="36"/>
      <c r="G10" s="37"/>
      <c r="H10" s="37"/>
    </row>
    <row r="11" spans="1:9">
      <c r="A11" s="32">
        <v>10</v>
      </c>
      <c r="B11" s="33" t="s">
        <v>525</v>
      </c>
      <c r="C11" s="15">
        <v>15</v>
      </c>
      <c r="D11" s="15">
        <v>30</v>
      </c>
      <c r="E11" s="36"/>
      <c r="F11" s="36"/>
      <c r="G11" s="36"/>
      <c r="H11" s="36"/>
    </row>
    <row r="12" spans="1:9">
      <c r="A12" s="32">
        <v>11</v>
      </c>
      <c r="B12" s="33" t="s">
        <v>602</v>
      </c>
      <c r="C12" s="15">
        <v>1561</v>
      </c>
      <c r="D12" s="15">
        <v>3555</v>
      </c>
      <c r="E12" s="36"/>
      <c r="F12" s="36"/>
      <c r="G12" s="36"/>
      <c r="H12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3F32-E9AF-4D5E-BABE-7FFB89DFFC19}">
  <dimension ref="A1:J6"/>
  <sheetViews>
    <sheetView workbookViewId="0">
      <selection activeCell="H9" sqref="H9"/>
    </sheetView>
  </sheetViews>
  <sheetFormatPr baseColWidth="10" defaultRowHeight="15"/>
  <sheetData>
    <row r="1" spans="1:10" ht="48">
      <c r="A1" s="26" t="s">
        <v>578</v>
      </c>
      <c r="B1" s="26" t="s">
        <v>579</v>
      </c>
      <c r="C1" s="27" t="s">
        <v>580</v>
      </c>
      <c r="D1" s="27" t="s">
        <v>581</v>
      </c>
      <c r="E1" s="28" t="s">
        <v>582</v>
      </c>
      <c r="F1" s="28" t="s">
        <v>583</v>
      </c>
      <c r="G1" s="29" t="s">
        <v>584</v>
      </c>
      <c r="H1" s="29" t="s">
        <v>585</v>
      </c>
      <c r="I1" s="30" t="s">
        <v>586</v>
      </c>
      <c r="J1" s="30" t="s">
        <v>587</v>
      </c>
    </row>
    <row r="2" spans="1:10">
      <c r="A2" s="15">
        <v>3</v>
      </c>
      <c r="B2" s="15" t="s">
        <v>588</v>
      </c>
      <c r="C2" s="15">
        <v>0</v>
      </c>
      <c r="D2" s="31">
        <v>15.526999999999999</v>
      </c>
      <c r="E2" s="31">
        <v>15.526999999999999</v>
      </c>
      <c r="F2" s="31">
        <v>77.635999999999996</v>
      </c>
      <c r="G2" s="31">
        <v>77.635999999999996</v>
      </c>
      <c r="H2" s="15">
        <v>155.27199999999999</v>
      </c>
      <c r="I2" s="15">
        <v>155.27199999999999</v>
      </c>
      <c r="J2" s="15">
        <v>11516.4</v>
      </c>
    </row>
    <row r="4" spans="1:10">
      <c r="D4" s="39"/>
      <c r="F4" s="39"/>
      <c r="H4" s="39"/>
    </row>
    <row r="6" spans="1:10">
      <c r="D6" s="39"/>
      <c r="F6" s="39"/>
      <c r="H6" s="3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7F9D-24D0-4CE0-AA8C-ED9E36E040DF}">
  <dimension ref="A1"/>
  <sheetViews>
    <sheetView zoomScale="80" zoomScaleNormal="80" workbookViewId="0">
      <selection activeCell="M13" sqref="M13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2026-02-26T18:11:45Z</dcterms:created>
  <dcterms:modified xsi:type="dcterms:W3CDTF">2026-05-29T19:13:00Z</dcterms:modified>
</cp:coreProperties>
</file>