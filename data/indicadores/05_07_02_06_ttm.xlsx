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procesados" sheetId="1" r:id="rId5"/>
    <sheet state="visible" name="Indicador_MUN" sheetId="2" r:id="rId6"/>
    <sheet state="visible" name="Absoluto_MUN" sheetId="3" r:id="rId7"/>
    <sheet state="visible" name="Indicador_DEP" sheetId="4" r:id="rId8"/>
    <sheet state="visible" name="Absoluto_DEP" sheetId="5" r:id="rId9"/>
    <sheet state="visible" name="Umbral" sheetId="6" r:id="rId10"/>
    <sheet state="visible" name="Mapa" sheetId="7" r:id="rId11"/>
  </sheets>
  <definedNames/>
  <calcPr/>
</workbook>
</file>

<file path=xl/sharedStrings.xml><?xml version="1.0" encoding="utf-8"?>
<sst xmlns="http://schemas.openxmlformats.org/spreadsheetml/2006/main" count="1109" uniqueCount="363">
  <si>
    <t>ID</t>
  </si>
  <si>
    <t>Municipio</t>
  </si>
  <si>
    <t>Total mujeres beneficiarias de derecho sobre la tierra 2008-2012</t>
  </si>
  <si>
    <t>Total varones beneficiarios de derecho sobre la tierra 2008-2012</t>
  </si>
  <si>
    <t>% de mujeres beneficiarias de derechos sobre la tierra 2008-2012</t>
  </si>
  <si>
    <t>Total mujeres beneficiarias de derecho sobre la tierra 2020-2024</t>
  </si>
  <si>
    <t>Total varones beneficiarios de derecho sobre la tierra 2020-2024</t>
  </si>
  <si>
    <t>% de mujeres beneficiarias de derechos sobre la tierra 2020-2024</t>
  </si>
  <si>
    <t>Departamento</t>
  </si>
  <si>
    <t>Sucre</t>
  </si>
  <si>
    <t>Chuquisaca</t>
  </si>
  <si>
    <t>Yotala</t>
  </si>
  <si>
    <t>La Paz</t>
  </si>
  <si>
    <t>Poroma</t>
  </si>
  <si>
    <t>Cochabamba</t>
  </si>
  <si>
    <t>Azurduy</t>
  </si>
  <si>
    <t>Oruro</t>
  </si>
  <si>
    <t>Tarvita</t>
  </si>
  <si>
    <t>Potosí</t>
  </si>
  <si>
    <t>Zudáñez</t>
  </si>
  <si>
    <t>Tarija</t>
  </si>
  <si>
    <t>Presto</t>
  </si>
  <si>
    <t>Santa Cruz</t>
  </si>
  <si>
    <t>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</si>
  <si>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</si>
  <si>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</si>
  <si>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</si>
  <si>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</si>
  <si>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</si>
  <si>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</si>
  <si>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</si>
  <si>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</si>
  <si>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</si>
  <si>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</si>
  <si>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</si>
  <si>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</si>
  <si>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</si>
  <si>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</si>
  <si>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</si>
  <si>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</si>
  <si>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</si>
  <si>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</si>
  <si>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</si>
  <si>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</si>
  <si>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</si>
  <si>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</si>
  <si>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</si>
  <si>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</si>
  <si>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</si>
  <si>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</si>
  <si>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</si>
  <si>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</si>
  <si>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</si>
  <si>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</si>
  <si>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</si>
  <si>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</si>
  <si>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</si>
  <si>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</si>
  <si>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</si>
  <si>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</si>
  <si>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</si>
  <si>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</si>
  <si>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</si>
  <si>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</si>
  <si>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</si>
  <si>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</si>
  <si>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</si>
  <si>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</si>
  <si>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</si>
  <si>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</si>
  <si>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</si>
  <si>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</si>
  <si>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</si>
  <si>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</si>
  <si>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</si>
  <si>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</si>
  <si>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</si>
  <si>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</si>
  <si>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</si>
  <si>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</si>
  <si>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</si>
  <si>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</si>
  <si>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</si>
  <si>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</si>
  <si>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</si>
  <si>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</si>
  <si>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</si>
  <si>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</si>
  <si>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</si>
  <si>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</si>
  <si>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</si>
  <si>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</si>
  <si>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</si>
  <si>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</si>
  <si>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</si>
  <si>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</si>
  <si>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</si>
  <si>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</si>
  <si>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</si>
  <si>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</si>
  <si>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</si>
  <si>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</si>
  <si>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</si>
  <si>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</si>
  <si>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</si>
  <si>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</si>
  <si>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</si>
  <si>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</si>
  <si>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</si>
  <si>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</si>
  <si>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</si>
  <si>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</si>
  <si>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</si>
  <si>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</si>
  <si>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</si>
  <si>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</si>
  <si>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</si>
  <si>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</si>
  <si>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</si>
  <si>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</si>
  <si>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</si>
  <si>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</si>
  <si>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</si>
  <si>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</si>
  <si>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</si>
  <si>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</si>
  <si>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</si>
  <si>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</si>
  <si>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</si>
  <si>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</si>
  <si>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</si>
  <si>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</si>
  <si>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</si>
  <si>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</si>
  <si>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</si>
  <si>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</si>
  <si>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</si>
  <si>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</si>
  <si>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</si>
  <si>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</si>
  <si>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</si>
  <si>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</si>
  <si>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</si>
  <si>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</si>
  <si>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</si>
  <si>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</si>
  <si>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</si>
  <si>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</si>
  <si>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</si>
  <si>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</si>
  <si>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</si>
  <si>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</si>
  <si>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</si>
  <si>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</si>
  <si>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</si>
  <si>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</si>
  <si>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</si>
  <si>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</si>
  <si>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</si>
  <si>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</si>
  <si>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</si>
  <si>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</si>
  <si>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</si>
  <si>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</si>
  <si>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</si>
  <si>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</si>
  <si>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</si>
  <si>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</si>
  <si>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</si>
  <si>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</si>
  <si>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</si>
  <si>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</si>
  <si>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</si>
  <si>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</si>
  <si>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</si>
  <si>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</si>
  <si>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</si>
  <si>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</si>
  <si>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</si>
  <si>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</si>
  <si>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</si>
  <si>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</si>
  <si>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</si>
  <si>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</si>
  <si>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</si>
  <si>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</si>
  <si>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</si>
  <si>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</si>
  <si>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</si>
  <si>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</si>
  <si>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</si>
  <si>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</si>
  <si>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</si>
  <si>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</si>
  <si>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</si>
  <si>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</si>
  <si>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</si>
  <si>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</si>
  <si>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</si>
  <si>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</si>
  <si>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</si>
  <si>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</si>
  <si>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</si>
  <si>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</si>
  <si>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</si>
  <si>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</si>
  <si>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</si>
  <si>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</si>
  <si>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</si>
  <si>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</si>
  <si>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</si>
  <si>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</si>
  <si>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</si>
  <si>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</si>
  <si>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</si>
  <si>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</si>
  <si>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</si>
  <si>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</si>
  <si>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</si>
  <si>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</si>
  <si>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</si>
  <si>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</si>
  <si>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</si>
  <si>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</si>
  <si>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</si>
  <si>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</si>
  <si>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</si>
  <si>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</si>
  <si>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</si>
  <si>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</si>
  <si>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</si>
  <si>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</si>
  <si>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</si>
  <si>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</si>
  <si>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</si>
  <si>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</si>
  <si>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</si>
  <si>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</si>
  <si>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</si>
  <si>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</si>
  <si>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</si>
  <si>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</si>
  <si>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</si>
  <si>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</si>
  <si>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</si>
  <si>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</si>
  <si>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</si>
  <si>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</si>
  <si>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</si>
  <si>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</si>
  <si>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</si>
  <si>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</si>
  <si>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</si>
  <si>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</si>
  <si>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</si>
  <si>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</si>
  <si>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</si>
  <si>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</si>
  <si>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</si>
  <si>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</si>
  <si>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</si>
  <si>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</si>
  <si>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</si>
  <si>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</si>
  <si>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</si>
  <si>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</si>
  <si>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</si>
  <si>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</si>
  <si>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</si>
  <si>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</si>
  <si>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</si>
  <si>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</si>
  <si>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</si>
  <si>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</si>
  <si>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</si>
  <si>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</si>
  <si>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</si>
  <si>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</si>
  <si>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</si>
  <si>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</si>
  <si>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</si>
  <si>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</si>
  <si>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</si>
  <si>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</si>
  <si>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</si>
  <si>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</si>
  <si>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</si>
  <si>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</si>
  <si>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</si>
  <si>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</si>
  <si>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</si>
  <si>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</si>
  <si>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</si>
  <si>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</si>
  <si>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</si>
  <si>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</si>
  <si>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</si>
  <si>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</si>
  <si>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</si>
  <si>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</si>
  <si>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</si>
  <si>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</si>
  <si>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</si>
  <si>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</si>
  <si>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</si>
  <si>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</si>
  <si>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</si>
  <si>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</si>
  <si>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</si>
  <si>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</si>
  <si>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</si>
  <si>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</si>
  <si>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</si>
  <si>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</si>
  <si>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</si>
  <si>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</si>
  <si>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</si>
  <si>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</si>
  <si>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</si>
  <si>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</si>
  <si>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</si>
  <si>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</si>
  <si>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</si>
  <si>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</si>
  <si>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</si>
  <si>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</si>
  <si>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</si>
  <si>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</si>
  <si>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</si>
  <si>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</si>
  <si>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</si>
  <si>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</si>
  <si>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</si>
  <si>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</si>
  <si>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</si>
  <si>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</si>
  <si>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</si>
  <si>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</si>
  <si>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</si>
  <si>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</si>
  <si>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</si>
  <si>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</si>
  <si>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</si>
  <si>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</si>
  <si>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</si>
  <si>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</si>
  <si>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</si>
  <si>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</si>
  <si>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promedio</t>
  </si>
  <si>
    <t>desviacion</t>
  </si>
  <si>
    <t>max</t>
  </si>
  <si>
    <t>min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</si>
  <si>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</si>
  <si>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</si>
  <si>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</si>
  <si>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</si>
  <si>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</si>
  <si>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</si>
  <si>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</si>
  <si>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</si>
  <si>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</si>
  <si>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</si>
  <si>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Derechos de la mujer a propiedad/control de tierras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</si>
</sst>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9.0"/>
      <color theme="1"/>
      <name val="Aptos Display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4" numFmtId="0" xfId="0" applyBorder="1" applyFont="1"/>
    <xf borderId="1" fillId="0" fontId="4" numFmtId="2" xfId="0" applyBorder="1" applyFont="1" applyNumberFormat="1"/>
    <xf borderId="1" fillId="0" fontId="4" numFmtId="0" xfId="0" applyAlignment="1" applyBorder="1" applyFont="1">
      <alignment readingOrder="0"/>
    </xf>
    <xf borderId="1" fillId="0" fontId="4" numFmtId="3" xfId="0" applyBorder="1" applyFont="1" applyNumberFormat="1"/>
    <xf borderId="1" fillId="0" fontId="4" numFmtId="4" xfId="0" applyBorder="1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2" xfId="0" applyFont="1" applyNumberFormat="1"/>
    <xf borderId="1" fillId="3" fontId="1" numFmtId="0" xfId="0" applyAlignment="1" applyBorder="1" applyFill="1" applyFont="1">
      <alignment shrinkToFit="0" wrapText="1"/>
    </xf>
    <xf borderId="1" fillId="4" fontId="5" numFmtId="0" xfId="0" applyAlignment="1" applyBorder="1" applyFill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1" fillId="6" fontId="5" numFmtId="0" xfId="0" applyAlignment="1" applyBorder="1" applyFill="1" applyFont="1">
      <alignment horizontal="center" shrinkToFit="0" wrapText="1"/>
    </xf>
    <xf borderId="1" fillId="7" fontId="5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34150" cy="4410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2" t="s">
        <v>0</v>
      </c>
      <c r="K1" s="2" t="s">
        <v>8</v>
      </c>
      <c r="L1" s="2" t="s">
        <v>2</v>
      </c>
      <c r="M1" s="2" t="s">
        <v>3</v>
      </c>
      <c r="N1" s="4" t="s">
        <v>4</v>
      </c>
      <c r="O1" s="2" t="s">
        <v>5</v>
      </c>
      <c r="P1" s="2" t="s">
        <v>6</v>
      </c>
      <c r="Q1" s="4" t="s">
        <v>7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10101.0</v>
      </c>
      <c r="B2" s="6" t="s">
        <v>9</v>
      </c>
      <c r="C2" s="7">
        <v>9108.0</v>
      </c>
      <c r="D2" s="7">
        <v>10494.0</v>
      </c>
      <c r="E2" s="8">
        <f t="shared" ref="E2:E344" si="3">IF(D2+C2=0,0,(C2/(C2+D2)))</f>
        <v>0.4646464646</v>
      </c>
      <c r="F2" s="7">
        <v>477.0</v>
      </c>
      <c r="G2" s="7">
        <v>514.0</v>
      </c>
      <c r="H2" s="8">
        <f t="shared" ref="H2:H344" si="4">IF(G2+F2=0,0,(F2/(F2+G2)))</f>
        <v>0.4813319879</v>
      </c>
      <c r="J2" s="9">
        <v>1.0</v>
      </c>
      <c r="K2" s="9" t="s">
        <v>10</v>
      </c>
      <c r="L2" s="10">
        <f t="shared" ref="L2:M2" si="1">SUM(C2:C30)</f>
        <v>42350</v>
      </c>
      <c r="M2" s="10">
        <f t="shared" si="1"/>
        <v>52678</v>
      </c>
      <c r="N2" s="11">
        <f t="shared" ref="N2:N12" si="6">L2/(L2+M2)</f>
        <v>0.4456581218</v>
      </c>
      <c r="O2" s="10">
        <f t="shared" ref="O2:P2" si="2">SUM(F2:F30)</f>
        <v>3036</v>
      </c>
      <c r="P2" s="10">
        <f t="shared" si="2"/>
        <v>3471</v>
      </c>
      <c r="Q2" s="11">
        <f t="shared" ref="Q2:Q12" si="8">O2/(O2+P2)</f>
        <v>0.4665744583</v>
      </c>
    </row>
    <row r="3">
      <c r="A3" s="5">
        <v>10102.0</v>
      </c>
      <c r="B3" s="6" t="s">
        <v>11</v>
      </c>
      <c r="C3" s="7">
        <v>10.0</v>
      </c>
      <c r="D3" s="7">
        <v>7.0</v>
      </c>
      <c r="E3" s="8">
        <f t="shared" si="3"/>
        <v>0.5882352941</v>
      </c>
      <c r="F3" s="7">
        <v>229.0</v>
      </c>
      <c r="G3" s="7">
        <v>275.0</v>
      </c>
      <c r="H3" s="8">
        <f t="shared" si="4"/>
        <v>0.4543650794</v>
      </c>
      <c r="J3" s="9">
        <v>2.0</v>
      </c>
      <c r="K3" s="9" t="s">
        <v>12</v>
      </c>
      <c r="L3" s="10">
        <f t="shared" ref="L3:M3" si="5">SUM(C31:C117)</f>
        <v>21880</v>
      </c>
      <c r="M3" s="10">
        <f t="shared" si="5"/>
        <v>24829</v>
      </c>
      <c r="N3" s="11">
        <f t="shared" si="6"/>
        <v>0.4684322079</v>
      </c>
      <c r="O3" s="10">
        <f t="shared" ref="O3:P3" si="7">SUM(F31:F117)</f>
        <v>73039</v>
      </c>
      <c r="P3" s="10">
        <f t="shared" si="7"/>
        <v>84424</v>
      </c>
      <c r="Q3" s="11">
        <f t="shared" si="8"/>
        <v>0.4638486502</v>
      </c>
    </row>
    <row r="4">
      <c r="A4" s="5">
        <v>10103.0</v>
      </c>
      <c r="B4" s="6" t="s">
        <v>13</v>
      </c>
      <c r="C4" s="7">
        <v>501.0</v>
      </c>
      <c r="D4" s="7">
        <v>682.0</v>
      </c>
      <c r="E4" s="8">
        <f t="shared" si="3"/>
        <v>0.4234995773</v>
      </c>
      <c r="F4" s="7">
        <v>46.0</v>
      </c>
      <c r="G4" s="7">
        <v>64.0</v>
      </c>
      <c r="H4" s="8">
        <f t="shared" si="4"/>
        <v>0.4181818182</v>
      </c>
      <c r="J4" s="9">
        <v>3.0</v>
      </c>
      <c r="K4" s="9" t="s">
        <v>14</v>
      </c>
      <c r="L4" s="10">
        <f t="shared" ref="L4:M4" si="9">SUM(C118:C165)</f>
        <v>81834</v>
      </c>
      <c r="M4" s="10">
        <f t="shared" si="9"/>
        <v>93969</v>
      </c>
      <c r="N4" s="11">
        <f t="shared" si="6"/>
        <v>0.4654869371</v>
      </c>
      <c r="O4" s="10">
        <f t="shared" ref="O4:P4" si="10">SUM(F118:F165)</f>
        <v>23983</v>
      </c>
      <c r="P4" s="10">
        <f t="shared" si="10"/>
        <v>26189</v>
      </c>
      <c r="Q4" s="11">
        <f t="shared" si="8"/>
        <v>0.4780156262</v>
      </c>
    </row>
    <row r="5">
      <c r="A5" s="5">
        <v>10201.0</v>
      </c>
      <c r="B5" s="6" t="s">
        <v>15</v>
      </c>
      <c r="C5" s="7">
        <v>1159.0</v>
      </c>
      <c r="D5" s="7">
        <v>1362.0</v>
      </c>
      <c r="E5" s="8">
        <f t="shared" si="3"/>
        <v>0.4597381991</v>
      </c>
      <c r="F5" s="7">
        <v>105.0</v>
      </c>
      <c r="G5" s="7">
        <v>120.0</v>
      </c>
      <c r="H5" s="8">
        <f t="shared" si="4"/>
        <v>0.4666666667</v>
      </c>
      <c r="J5" s="9">
        <v>4.0</v>
      </c>
      <c r="K5" s="9" t="s">
        <v>16</v>
      </c>
      <c r="L5" s="10">
        <f t="shared" ref="L5:M5" si="11">SUM(C166:C200)</f>
        <v>10578</v>
      </c>
      <c r="M5" s="10">
        <f t="shared" si="11"/>
        <v>14307</v>
      </c>
      <c r="N5" s="11">
        <f t="shared" si="6"/>
        <v>0.4250753466</v>
      </c>
      <c r="O5" s="10">
        <f t="shared" ref="O5:P5" si="12">SUM(F166:F200)</f>
        <v>1204</v>
      </c>
      <c r="P5" s="10">
        <f t="shared" si="12"/>
        <v>1740</v>
      </c>
      <c r="Q5" s="11">
        <f t="shared" si="8"/>
        <v>0.4089673913</v>
      </c>
    </row>
    <row r="6">
      <c r="A6" s="5">
        <v>10202.0</v>
      </c>
      <c r="B6" s="6" t="s">
        <v>17</v>
      </c>
      <c r="C6" s="7">
        <v>115.0</v>
      </c>
      <c r="D6" s="7">
        <v>138.0</v>
      </c>
      <c r="E6" s="8">
        <f t="shared" si="3"/>
        <v>0.4545454545</v>
      </c>
      <c r="F6" s="7">
        <v>342.0</v>
      </c>
      <c r="G6" s="7">
        <v>421.0</v>
      </c>
      <c r="H6" s="8">
        <f t="shared" si="4"/>
        <v>0.4482306684</v>
      </c>
      <c r="J6" s="9">
        <v>5.0</v>
      </c>
      <c r="K6" s="9" t="s">
        <v>18</v>
      </c>
      <c r="L6" s="10">
        <f t="shared" ref="L6:M6" si="13">SUM(C201:C242)</f>
        <v>2803</v>
      </c>
      <c r="M6" s="10">
        <f t="shared" si="13"/>
        <v>3870</v>
      </c>
      <c r="N6" s="11">
        <f t="shared" si="6"/>
        <v>0.4200509516</v>
      </c>
      <c r="O6" s="10">
        <f t="shared" ref="O6:P6" si="14">SUM(F201:F242)</f>
        <v>5327</v>
      </c>
      <c r="P6" s="10">
        <f t="shared" si="14"/>
        <v>7865</v>
      </c>
      <c r="Q6" s="11">
        <f t="shared" si="8"/>
        <v>0.4038053366</v>
      </c>
    </row>
    <row r="7">
      <c r="A7" s="5">
        <v>10301.0</v>
      </c>
      <c r="B7" s="6" t="s">
        <v>19</v>
      </c>
      <c r="C7" s="7">
        <v>1201.0</v>
      </c>
      <c r="D7" s="7">
        <v>1562.0</v>
      </c>
      <c r="E7" s="8">
        <f t="shared" si="3"/>
        <v>0.4346724575</v>
      </c>
      <c r="F7" s="7">
        <v>7.0</v>
      </c>
      <c r="G7" s="7">
        <v>16.0</v>
      </c>
      <c r="H7" s="8">
        <f t="shared" si="4"/>
        <v>0.3043478261</v>
      </c>
      <c r="J7" s="9">
        <v>6.0</v>
      </c>
      <c r="K7" s="9" t="s">
        <v>20</v>
      </c>
      <c r="L7" s="10">
        <f t="shared" ref="L7:M7" si="15">SUM(C243:C253)</f>
        <v>23829</v>
      </c>
      <c r="M7" s="10">
        <f t="shared" si="15"/>
        <v>25358</v>
      </c>
      <c r="N7" s="11">
        <f t="shared" si="6"/>
        <v>0.4844572753</v>
      </c>
      <c r="O7" s="10">
        <f t="shared" ref="O7:P7" si="16">SUM(F243:F253)</f>
        <v>3586</v>
      </c>
      <c r="P7" s="10">
        <f t="shared" si="16"/>
        <v>3653</v>
      </c>
      <c r="Q7" s="11">
        <f t="shared" si="8"/>
        <v>0.495372289</v>
      </c>
    </row>
    <row r="8">
      <c r="A8" s="5">
        <v>10302.0</v>
      </c>
      <c r="B8" s="6" t="s">
        <v>21</v>
      </c>
      <c r="C8" s="7">
        <v>1929.0</v>
      </c>
      <c r="D8" s="7">
        <v>2334.0</v>
      </c>
      <c r="E8" s="8">
        <f t="shared" si="3"/>
        <v>0.4524982407</v>
      </c>
      <c r="F8" s="7">
        <v>257.0</v>
      </c>
      <c r="G8" s="7">
        <v>268.0</v>
      </c>
      <c r="H8" s="8">
        <f t="shared" si="4"/>
        <v>0.4895238095</v>
      </c>
      <c r="J8" s="9">
        <v>7.0</v>
      </c>
      <c r="K8" s="9" t="s">
        <v>22</v>
      </c>
      <c r="L8" s="10">
        <f t="shared" ref="L8:M8" si="17">SUM(C254:C309)</f>
        <v>21364</v>
      </c>
      <c r="M8" s="10">
        <f t="shared" si="17"/>
        <v>29960</v>
      </c>
      <c r="N8" s="11">
        <f t="shared" si="6"/>
        <v>0.4162575014</v>
      </c>
      <c r="O8" s="10">
        <f t="shared" ref="O8:P8" si="18">SUM(F254:F309)</f>
        <v>1789</v>
      </c>
      <c r="P8" s="10">
        <f t="shared" si="18"/>
        <v>2779</v>
      </c>
      <c r="Q8" s="11">
        <f t="shared" si="8"/>
        <v>0.3916374781</v>
      </c>
    </row>
    <row r="9">
      <c r="A9" s="5">
        <v>10303.0</v>
      </c>
      <c r="B9" s="6" t="s">
        <v>23</v>
      </c>
      <c r="C9" s="7">
        <v>393.0</v>
      </c>
      <c r="D9" s="7">
        <v>475.0</v>
      </c>
      <c r="E9" s="8">
        <f t="shared" si="3"/>
        <v>0.452764977</v>
      </c>
      <c r="F9" s="7">
        <v>22.0</v>
      </c>
      <c r="G9" s="7">
        <v>21.0</v>
      </c>
      <c r="H9" s="8">
        <f t="shared" si="4"/>
        <v>0.511627907</v>
      </c>
      <c r="J9" s="9">
        <v>8.0</v>
      </c>
      <c r="K9" s="9" t="s">
        <v>24</v>
      </c>
      <c r="L9" s="10">
        <f t="shared" ref="L9:M9" si="19">SUM(C310:C329)</f>
        <v>1875</v>
      </c>
      <c r="M9" s="10">
        <f t="shared" si="19"/>
        <v>3502</v>
      </c>
      <c r="N9" s="11">
        <f t="shared" si="6"/>
        <v>0.3487074577</v>
      </c>
      <c r="O9" s="10">
        <f t="shared" ref="O9:P9" si="20">SUM(F310:F329)</f>
        <v>383</v>
      </c>
      <c r="P9" s="10">
        <f t="shared" si="20"/>
        <v>523</v>
      </c>
      <c r="Q9" s="11">
        <f t="shared" si="8"/>
        <v>0.4227373068</v>
      </c>
    </row>
    <row r="10">
      <c r="A10" s="5">
        <v>10304.0</v>
      </c>
      <c r="B10" s="6" t="s">
        <v>25</v>
      </c>
      <c r="C10" s="7">
        <v>0.0</v>
      </c>
      <c r="D10" s="7">
        <v>0.0</v>
      </c>
      <c r="E10" s="8">
        <f t="shared" si="3"/>
        <v>0</v>
      </c>
      <c r="F10" s="7">
        <v>333.0</v>
      </c>
      <c r="G10" s="7">
        <v>351.0</v>
      </c>
      <c r="H10" s="8">
        <f t="shared" si="4"/>
        <v>0.4868421053</v>
      </c>
      <c r="J10" s="9">
        <v>9.0</v>
      </c>
      <c r="K10" s="9" t="s">
        <v>26</v>
      </c>
      <c r="L10" s="10">
        <f t="shared" ref="L10:M10" si="21">SUM(C330:C344)</f>
        <v>331</v>
      </c>
      <c r="M10" s="10">
        <f t="shared" si="21"/>
        <v>446</v>
      </c>
      <c r="N10" s="11">
        <f t="shared" si="6"/>
        <v>0.425997426</v>
      </c>
      <c r="O10" s="10">
        <f t="shared" ref="O10:P10" si="22">SUM(F330:F344)</f>
        <v>2</v>
      </c>
      <c r="P10" s="10">
        <f t="shared" si="22"/>
        <v>5</v>
      </c>
      <c r="Q10" s="11">
        <f t="shared" si="8"/>
        <v>0.2857142857</v>
      </c>
    </row>
    <row r="11">
      <c r="A11" s="5">
        <v>10401.0</v>
      </c>
      <c r="B11" s="6" t="s">
        <v>27</v>
      </c>
      <c r="C11" s="7">
        <v>2622.0</v>
      </c>
      <c r="D11" s="7">
        <v>3005.0</v>
      </c>
      <c r="E11" s="8">
        <f t="shared" si="3"/>
        <v>0.4659676559</v>
      </c>
      <c r="F11" s="7">
        <v>4.0</v>
      </c>
      <c r="G11" s="7">
        <v>6.0</v>
      </c>
      <c r="H11" s="8">
        <f t="shared" si="4"/>
        <v>0.4</v>
      </c>
      <c r="J11" s="9">
        <v>10.0</v>
      </c>
      <c r="K11" s="9" t="s">
        <v>28</v>
      </c>
      <c r="L11" s="10">
        <f t="shared" ref="L11:M11" si="23">SUM(C246:C248)</f>
        <v>739</v>
      </c>
      <c r="M11" s="10">
        <f t="shared" si="23"/>
        <v>1046</v>
      </c>
      <c r="N11" s="11">
        <f t="shared" si="6"/>
        <v>0.4140056022</v>
      </c>
      <c r="O11" s="10">
        <f t="shared" ref="O11:P11" si="24">SUM(F246:F248)</f>
        <v>161</v>
      </c>
      <c r="P11" s="10">
        <f t="shared" si="24"/>
        <v>201</v>
      </c>
      <c r="Q11" s="11">
        <f t="shared" si="8"/>
        <v>0.4447513812</v>
      </c>
    </row>
    <row r="12">
      <c r="A12" s="5">
        <v>10402.0</v>
      </c>
      <c r="B12" s="6" t="s">
        <v>29</v>
      </c>
      <c r="C12" s="7">
        <v>2653.0</v>
      </c>
      <c r="D12" s="7">
        <v>2948.0</v>
      </c>
      <c r="E12" s="8">
        <f t="shared" si="3"/>
        <v>0.4736654169</v>
      </c>
      <c r="F12" s="7">
        <v>0.0</v>
      </c>
      <c r="G12" s="7">
        <v>0.0</v>
      </c>
      <c r="H12" s="8">
        <f t="shared" si="4"/>
        <v>0</v>
      </c>
      <c r="J12" s="9">
        <v>11.0</v>
      </c>
      <c r="K12" s="9" t="s">
        <v>30</v>
      </c>
      <c r="L12" s="10">
        <f t="shared" ref="L12:M12" si="25">SUM(L2:L10)</f>
        <v>206844</v>
      </c>
      <c r="M12" s="10">
        <f t="shared" si="25"/>
        <v>248919</v>
      </c>
      <c r="N12" s="11">
        <f t="shared" si="6"/>
        <v>0.4538411411</v>
      </c>
      <c r="O12" s="10">
        <f t="shared" ref="O12:P12" si="26">SUM(O2:O10)</f>
        <v>112349</v>
      </c>
      <c r="P12" s="10">
        <f t="shared" si="26"/>
        <v>130649</v>
      </c>
      <c r="Q12" s="11">
        <f t="shared" si="8"/>
        <v>0.4623453691</v>
      </c>
    </row>
    <row r="13">
      <c r="A13" s="5">
        <v>10403.0</v>
      </c>
      <c r="B13" s="6" t="s">
        <v>31</v>
      </c>
      <c r="C13" s="7">
        <v>1805.0</v>
      </c>
      <c r="D13" s="7">
        <v>2522.0</v>
      </c>
      <c r="E13" s="8">
        <f t="shared" si="3"/>
        <v>0.4171481396</v>
      </c>
      <c r="F13" s="7">
        <v>15.0</v>
      </c>
      <c r="G13" s="7">
        <v>22.0</v>
      </c>
      <c r="H13" s="8">
        <f t="shared" si="4"/>
        <v>0.4054054054</v>
      </c>
    </row>
    <row r="14">
      <c r="A14" s="5">
        <v>10404.0</v>
      </c>
      <c r="B14" s="6" t="s">
        <v>32</v>
      </c>
      <c r="C14" s="7">
        <v>309.0</v>
      </c>
      <c r="D14" s="7">
        <v>383.0</v>
      </c>
      <c r="E14" s="8">
        <f t="shared" si="3"/>
        <v>0.4465317919</v>
      </c>
      <c r="F14" s="7">
        <v>4.0</v>
      </c>
      <c r="G14" s="7">
        <v>5.0</v>
      </c>
      <c r="H14" s="8">
        <f t="shared" si="4"/>
        <v>0.4444444444</v>
      </c>
    </row>
    <row r="15">
      <c r="A15" s="5">
        <v>10405.0</v>
      </c>
      <c r="B15" s="6" t="s">
        <v>33</v>
      </c>
      <c r="C15" s="7">
        <v>52.0</v>
      </c>
      <c r="D15" s="7">
        <v>45.0</v>
      </c>
      <c r="E15" s="8">
        <f t="shared" si="3"/>
        <v>0.5360824742</v>
      </c>
      <c r="F15" s="7">
        <v>6.0</v>
      </c>
      <c r="G15" s="7">
        <v>7.0</v>
      </c>
      <c r="H15" s="8">
        <f t="shared" si="4"/>
        <v>0.4615384615</v>
      </c>
    </row>
    <row r="16">
      <c r="A16" s="5">
        <v>10501.0</v>
      </c>
      <c r="B16" s="6" t="s">
        <v>34</v>
      </c>
      <c r="C16" s="7">
        <v>504.0</v>
      </c>
      <c r="D16" s="7">
        <v>612.0</v>
      </c>
      <c r="E16" s="8">
        <f t="shared" si="3"/>
        <v>0.4516129032</v>
      </c>
      <c r="F16" s="7">
        <v>327.0</v>
      </c>
      <c r="G16" s="7">
        <v>322.0</v>
      </c>
      <c r="H16" s="8">
        <f t="shared" si="4"/>
        <v>0.5038520801</v>
      </c>
    </row>
    <row r="17">
      <c r="A17" s="5">
        <v>10502.0</v>
      </c>
      <c r="B17" s="6" t="s">
        <v>35</v>
      </c>
      <c r="C17" s="7">
        <v>204.0</v>
      </c>
      <c r="D17" s="7">
        <v>210.0</v>
      </c>
      <c r="E17" s="8">
        <f t="shared" si="3"/>
        <v>0.4927536232</v>
      </c>
      <c r="F17" s="7">
        <v>3.0</v>
      </c>
      <c r="G17" s="7">
        <v>2.0</v>
      </c>
      <c r="H17" s="8">
        <f t="shared" si="4"/>
        <v>0.6</v>
      </c>
    </row>
    <row r="18">
      <c r="A18" s="5">
        <v>10601.0</v>
      </c>
      <c r="B18" s="6" t="s">
        <v>36</v>
      </c>
      <c r="C18" s="7">
        <v>27.0</v>
      </c>
      <c r="D18" s="7">
        <v>28.0</v>
      </c>
      <c r="E18" s="8">
        <f t="shared" si="3"/>
        <v>0.4909090909</v>
      </c>
      <c r="F18" s="7">
        <v>305.0</v>
      </c>
      <c r="G18" s="7">
        <v>403.0</v>
      </c>
      <c r="H18" s="8">
        <f t="shared" si="4"/>
        <v>0.4307909605</v>
      </c>
    </row>
    <row r="19">
      <c r="A19" s="5">
        <v>10602.0</v>
      </c>
      <c r="B19" s="6" t="s">
        <v>37</v>
      </c>
      <c r="C19" s="7">
        <v>2679.0</v>
      </c>
      <c r="D19" s="7">
        <v>3686.0</v>
      </c>
      <c r="E19" s="8">
        <f t="shared" si="3"/>
        <v>0.4208955224</v>
      </c>
      <c r="F19" s="7">
        <v>0.0</v>
      </c>
      <c r="G19" s="7">
        <v>0.0</v>
      </c>
      <c r="H19" s="8">
        <f t="shared" si="4"/>
        <v>0</v>
      </c>
    </row>
    <row r="20">
      <c r="A20" s="5">
        <v>10701.0</v>
      </c>
      <c r="B20" s="6" t="s">
        <v>38</v>
      </c>
      <c r="C20" s="7">
        <v>7127.0</v>
      </c>
      <c r="D20" s="7">
        <v>8522.0</v>
      </c>
      <c r="E20" s="8">
        <f t="shared" si="3"/>
        <v>0.4554284619</v>
      </c>
      <c r="F20" s="7">
        <v>37.0</v>
      </c>
      <c r="G20" s="7">
        <v>19.0</v>
      </c>
      <c r="H20" s="8">
        <f t="shared" si="4"/>
        <v>0.6607142857</v>
      </c>
    </row>
    <row r="21">
      <c r="A21" s="5">
        <v>10702.0</v>
      </c>
      <c r="B21" s="6" t="s">
        <v>39</v>
      </c>
      <c r="C21" s="7">
        <v>7.0</v>
      </c>
      <c r="D21" s="7">
        <v>12.0</v>
      </c>
      <c r="E21" s="8">
        <f t="shared" si="3"/>
        <v>0.3684210526</v>
      </c>
      <c r="F21" s="7">
        <v>135.0</v>
      </c>
      <c r="G21" s="7">
        <v>216.0</v>
      </c>
      <c r="H21" s="8">
        <f t="shared" si="4"/>
        <v>0.3846153846</v>
      </c>
    </row>
    <row r="22">
      <c r="A22" s="5">
        <v>10703.0</v>
      </c>
      <c r="B22" s="6" t="s">
        <v>40</v>
      </c>
      <c r="C22" s="7">
        <v>433.0</v>
      </c>
      <c r="D22" s="7">
        <v>597.0</v>
      </c>
      <c r="E22" s="8">
        <f t="shared" si="3"/>
        <v>0.4203883495</v>
      </c>
      <c r="F22" s="7">
        <v>59.0</v>
      </c>
      <c r="G22" s="7">
        <v>52.0</v>
      </c>
      <c r="H22" s="8">
        <f t="shared" si="4"/>
        <v>0.5315315315</v>
      </c>
    </row>
    <row r="23">
      <c r="A23" s="5">
        <v>10704.0</v>
      </c>
      <c r="B23" s="6" t="s">
        <v>41</v>
      </c>
      <c r="C23" s="7">
        <v>0.0</v>
      </c>
      <c r="D23" s="7">
        <v>0.0</v>
      </c>
      <c r="E23" s="8">
        <f t="shared" si="3"/>
        <v>0</v>
      </c>
      <c r="F23" s="7">
        <v>165.0</v>
      </c>
      <c r="G23" s="7">
        <v>186.0</v>
      </c>
      <c r="H23" s="8">
        <f t="shared" si="4"/>
        <v>0.4700854701</v>
      </c>
    </row>
    <row r="24">
      <c r="A24" s="5">
        <v>10801.0</v>
      </c>
      <c r="B24" s="6" t="s">
        <v>42</v>
      </c>
      <c r="C24" s="7">
        <v>4710.0</v>
      </c>
      <c r="D24" s="7">
        <v>6716.0</v>
      </c>
      <c r="E24" s="8">
        <f t="shared" si="3"/>
        <v>0.412217749</v>
      </c>
      <c r="F24" s="7">
        <v>19.0</v>
      </c>
      <c r="G24" s="7">
        <v>13.0</v>
      </c>
      <c r="H24" s="8">
        <f t="shared" si="4"/>
        <v>0.59375</v>
      </c>
    </row>
    <row r="25">
      <c r="A25" s="5">
        <v>10901.0</v>
      </c>
      <c r="B25" s="6" t="s">
        <v>43</v>
      </c>
      <c r="C25" s="7">
        <v>115.0</v>
      </c>
      <c r="D25" s="7">
        <v>137.0</v>
      </c>
      <c r="E25" s="8">
        <f t="shared" si="3"/>
        <v>0.4563492063</v>
      </c>
      <c r="F25" s="7">
        <v>0.0</v>
      </c>
      <c r="G25" s="7">
        <v>0.0</v>
      </c>
      <c r="H25" s="8">
        <f t="shared" si="4"/>
        <v>0</v>
      </c>
    </row>
    <row r="26">
      <c r="A26" s="5">
        <v>10902.0</v>
      </c>
      <c r="B26" s="6" t="s">
        <v>44</v>
      </c>
      <c r="C26" s="7">
        <v>4057.0</v>
      </c>
      <c r="D26" s="7">
        <v>5410.0</v>
      </c>
      <c r="E26" s="8">
        <f t="shared" si="3"/>
        <v>0.4285412485</v>
      </c>
      <c r="F26" s="7">
        <v>3.0</v>
      </c>
      <c r="G26" s="7">
        <v>5.0</v>
      </c>
      <c r="H26" s="8">
        <f t="shared" si="4"/>
        <v>0.375</v>
      </c>
    </row>
    <row r="27">
      <c r="A27" s="5">
        <v>10903.0</v>
      </c>
      <c r="B27" s="6" t="s">
        <v>45</v>
      </c>
      <c r="C27" s="7">
        <v>181.0</v>
      </c>
      <c r="D27" s="7">
        <v>154.0</v>
      </c>
      <c r="E27" s="8">
        <f t="shared" si="3"/>
        <v>0.5402985075</v>
      </c>
      <c r="F27" s="7">
        <v>8.0</v>
      </c>
      <c r="G27" s="7">
        <v>33.0</v>
      </c>
      <c r="H27" s="8">
        <f t="shared" si="4"/>
        <v>0.1951219512</v>
      </c>
    </row>
    <row r="28">
      <c r="A28" s="5">
        <v>11001.0</v>
      </c>
      <c r="B28" s="6" t="s">
        <v>46</v>
      </c>
      <c r="C28" s="7">
        <v>313.0</v>
      </c>
      <c r="D28" s="7">
        <v>458.0</v>
      </c>
      <c r="E28" s="8">
        <f t="shared" si="3"/>
        <v>0.4059662776</v>
      </c>
      <c r="F28" s="7">
        <v>104.0</v>
      </c>
      <c r="G28" s="7">
        <v>103.0</v>
      </c>
      <c r="H28" s="8">
        <f t="shared" si="4"/>
        <v>0.5024154589</v>
      </c>
    </row>
    <row r="29">
      <c r="A29" s="5">
        <v>11002.0</v>
      </c>
      <c r="B29" s="6" t="s">
        <v>47</v>
      </c>
      <c r="C29" s="7">
        <v>13.0</v>
      </c>
      <c r="D29" s="7">
        <v>15.0</v>
      </c>
      <c r="E29" s="8">
        <f t="shared" si="3"/>
        <v>0.4642857143</v>
      </c>
      <c r="F29" s="7">
        <v>7.0</v>
      </c>
      <c r="G29" s="7">
        <v>7.0</v>
      </c>
      <c r="H29" s="8">
        <f t="shared" si="4"/>
        <v>0.5</v>
      </c>
    </row>
    <row r="30">
      <c r="A30" s="5">
        <v>11003.0</v>
      </c>
      <c r="B30" s="6" t="s">
        <v>48</v>
      </c>
      <c r="C30" s="7">
        <v>123.0</v>
      </c>
      <c r="D30" s="7">
        <v>164.0</v>
      </c>
      <c r="E30" s="8">
        <f t="shared" si="3"/>
        <v>0.4285714286</v>
      </c>
      <c r="F30" s="7">
        <v>17.0</v>
      </c>
      <c r="G30" s="7">
        <v>20.0</v>
      </c>
      <c r="H30" s="8">
        <f t="shared" si="4"/>
        <v>0.4594594595</v>
      </c>
    </row>
    <row r="31">
      <c r="A31" s="5">
        <v>20101.0</v>
      </c>
      <c r="B31" s="6" t="s">
        <v>49</v>
      </c>
      <c r="C31" s="7">
        <v>1.0</v>
      </c>
      <c r="D31" s="7">
        <v>2.0</v>
      </c>
      <c r="E31" s="8">
        <f t="shared" si="3"/>
        <v>0.3333333333</v>
      </c>
      <c r="F31" s="7">
        <v>188.0</v>
      </c>
      <c r="G31" s="7">
        <v>264.0</v>
      </c>
      <c r="H31" s="8">
        <f t="shared" si="4"/>
        <v>0.4159292035</v>
      </c>
    </row>
    <row r="32">
      <c r="A32" s="5">
        <v>20102.0</v>
      </c>
      <c r="B32" s="6" t="s">
        <v>50</v>
      </c>
      <c r="C32" s="7">
        <v>0.0</v>
      </c>
      <c r="D32" s="7">
        <v>0.0</v>
      </c>
      <c r="E32" s="8">
        <f t="shared" si="3"/>
        <v>0</v>
      </c>
      <c r="F32" s="7">
        <v>6245.0</v>
      </c>
      <c r="G32" s="7">
        <v>6990.0</v>
      </c>
      <c r="H32" s="8">
        <f t="shared" si="4"/>
        <v>0.4718549301</v>
      </c>
    </row>
    <row r="33">
      <c r="A33" s="5">
        <v>20103.0</v>
      </c>
      <c r="B33" s="6" t="s">
        <v>51</v>
      </c>
      <c r="C33" s="7">
        <v>2.0</v>
      </c>
      <c r="D33" s="7">
        <v>1.0</v>
      </c>
      <c r="E33" s="8">
        <f t="shared" si="3"/>
        <v>0.6666666667</v>
      </c>
      <c r="F33" s="7">
        <v>4214.0</v>
      </c>
      <c r="G33" s="7">
        <v>5745.0</v>
      </c>
      <c r="H33" s="8">
        <f t="shared" si="4"/>
        <v>0.4231348529</v>
      </c>
    </row>
    <row r="34">
      <c r="A34" s="5">
        <v>20104.0</v>
      </c>
      <c r="B34" s="6" t="s">
        <v>52</v>
      </c>
      <c r="C34" s="7">
        <v>0.0</v>
      </c>
      <c r="D34" s="7">
        <v>0.0</v>
      </c>
      <c r="E34" s="8">
        <f t="shared" si="3"/>
        <v>0</v>
      </c>
      <c r="F34" s="7">
        <v>8.0</v>
      </c>
      <c r="G34" s="7">
        <v>10.0</v>
      </c>
      <c r="H34" s="8">
        <f t="shared" si="4"/>
        <v>0.4444444444</v>
      </c>
    </row>
    <row r="35">
      <c r="A35" s="5">
        <v>20105.0</v>
      </c>
      <c r="B35" s="6" t="s">
        <v>53</v>
      </c>
      <c r="C35" s="7">
        <v>4.0</v>
      </c>
      <c r="D35" s="7">
        <v>2.0</v>
      </c>
      <c r="E35" s="8">
        <f t="shared" si="3"/>
        <v>0.6666666667</v>
      </c>
      <c r="F35" s="7">
        <v>889.0</v>
      </c>
      <c r="G35" s="7">
        <v>854.0</v>
      </c>
      <c r="H35" s="8">
        <f t="shared" si="4"/>
        <v>0.5100401606</v>
      </c>
    </row>
    <row r="36">
      <c r="A36" s="5">
        <v>20201.0</v>
      </c>
      <c r="B36" s="6" t="s">
        <v>54</v>
      </c>
      <c r="C36" s="7">
        <v>1.0</v>
      </c>
      <c r="D36" s="7">
        <v>0.0</v>
      </c>
      <c r="E36" s="8">
        <f t="shared" si="3"/>
        <v>1</v>
      </c>
      <c r="F36" s="7">
        <v>3476.0</v>
      </c>
      <c r="G36" s="7">
        <v>3992.0</v>
      </c>
      <c r="H36" s="8">
        <f t="shared" si="4"/>
        <v>0.4654525978</v>
      </c>
    </row>
    <row r="37">
      <c r="A37" s="5">
        <v>20202.0</v>
      </c>
      <c r="B37" s="6" t="s">
        <v>55</v>
      </c>
      <c r="C37" s="7">
        <v>0.0</v>
      </c>
      <c r="D37" s="7">
        <v>0.0</v>
      </c>
      <c r="E37" s="8">
        <f t="shared" si="3"/>
        <v>0</v>
      </c>
      <c r="F37" s="7">
        <v>741.0</v>
      </c>
      <c r="G37" s="7">
        <v>1003.0</v>
      </c>
      <c r="H37" s="8">
        <f t="shared" si="4"/>
        <v>0.4248853211</v>
      </c>
    </row>
    <row r="38">
      <c r="A38" s="5">
        <v>20203.0</v>
      </c>
      <c r="B38" s="6" t="s">
        <v>56</v>
      </c>
      <c r="C38" s="7">
        <v>0.0</v>
      </c>
      <c r="D38" s="7">
        <v>0.0</v>
      </c>
      <c r="E38" s="8">
        <f t="shared" si="3"/>
        <v>0</v>
      </c>
      <c r="F38" s="7">
        <v>178.0</v>
      </c>
      <c r="G38" s="7">
        <v>183.0</v>
      </c>
      <c r="H38" s="8">
        <f t="shared" si="4"/>
        <v>0.4930747922</v>
      </c>
    </row>
    <row r="39">
      <c r="A39" s="5">
        <v>20204.0</v>
      </c>
      <c r="B39" s="6" t="s">
        <v>57</v>
      </c>
      <c r="C39" s="7">
        <v>1.0</v>
      </c>
      <c r="D39" s="7">
        <v>1.0</v>
      </c>
      <c r="E39" s="8">
        <f t="shared" si="3"/>
        <v>0.5</v>
      </c>
      <c r="F39" s="7">
        <v>985.0</v>
      </c>
      <c r="G39" s="7">
        <v>866.0</v>
      </c>
      <c r="H39" s="8">
        <f t="shared" si="4"/>
        <v>0.5321447866</v>
      </c>
    </row>
    <row r="40">
      <c r="A40" s="5">
        <v>20205.0</v>
      </c>
      <c r="B40" s="6" t="s">
        <v>58</v>
      </c>
      <c r="C40" s="7">
        <v>0.0</v>
      </c>
      <c r="D40" s="7">
        <v>0.0</v>
      </c>
      <c r="E40" s="8">
        <f t="shared" si="3"/>
        <v>0</v>
      </c>
      <c r="F40" s="7">
        <v>1712.0</v>
      </c>
      <c r="G40" s="7">
        <v>1705.0</v>
      </c>
      <c r="H40" s="8">
        <f t="shared" si="4"/>
        <v>0.5010242903</v>
      </c>
    </row>
    <row r="41">
      <c r="A41" s="5">
        <v>20206.0</v>
      </c>
      <c r="B41" s="6" t="s">
        <v>59</v>
      </c>
      <c r="C41" s="7">
        <v>0.0</v>
      </c>
      <c r="D41" s="7">
        <v>0.0</v>
      </c>
      <c r="E41" s="8">
        <f t="shared" si="3"/>
        <v>0</v>
      </c>
      <c r="F41" s="7">
        <v>155.0</v>
      </c>
      <c r="G41" s="7">
        <v>167.0</v>
      </c>
      <c r="H41" s="8">
        <f t="shared" si="4"/>
        <v>0.4813664596</v>
      </c>
    </row>
    <row r="42">
      <c r="A42" s="5">
        <v>20301.0</v>
      </c>
      <c r="B42" s="6" t="s">
        <v>60</v>
      </c>
      <c r="C42" s="7">
        <v>0.0</v>
      </c>
      <c r="D42" s="7">
        <v>0.0</v>
      </c>
      <c r="E42" s="8">
        <f t="shared" si="3"/>
        <v>0</v>
      </c>
      <c r="F42" s="7">
        <v>189.0</v>
      </c>
      <c r="G42" s="7">
        <v>160.0</v>
      </c>
      <c r="H42" s="8">
        <f t="shared" si="4"/>
        <v>0.5415472779</v>
      </c>
    </row>
    <row r="43">
      <c r="A43" s="5">
        <v>20302.0</v>
      </c>
      <c r="B43" s="6" t="s">
        <v>61</v>
      </c>
      <c r="C43" s="7">
        <v>0.0</v>
      </c>
      <c r="D43" s="7">
        <v>0.0</v>
      </c>
      <c r="E43" s="8">
        <f t="shared" si="3"/>
        <v>0</v>
      </c>
      <c r="F43" s="7">
        <v>9.0</v>
      </c>
      <c r="G43" s="7">
        <v>9.0</v>
      </c>
      <c r="H43" s="8">
        <f t="shared" si="4"/>
        <v>0.5</v>
      </c>
    </row>
    <row r="44">
      <c r="A44" s="5">
        <v>20303.0</v>
      </c>
      <c r="B44" s="6" t="s">
        <v>62</v>
      </c>
      <c r="C44" s="7">
        <v>0.0</v>
      </c>
      <c r="D44" s="7">
        <v>0.0</v>
      </c>
      <c r="E44" s="8">
        <f t="shared" si="3"/>
        <v>0</v>
      </c>
      <c r="F44" s="7">
        <v>29.0</v>
      </c>
      <c r="G44" s="7">
        <v>55.0</v>
      </c>
      <c r="H44" s="8">
        <f t="shared" si="4"/>
        <v>0.3452380952</v>
      </c>
    </row>
    <row r="45">
      <c r="A45" s="5">
        <v>20304.0</v>
      </c>
      <c r="B45" s="6" t="s">
        <v>63</v>
      </c>
      <c r="C45" s="7">
        <v>0.0</v>
      </c>
      <c r="D45" s="7">
        <v>0.0</v>
      </c>
      <c r="E45" s="8">
        <f t="shared" si="3"/>
        <v>0</v>
      </c>
      <c r="F45" s="7">
        <v>295.0</v>
      </c>
      <c r="G45" s="7">
        <v>298.0</v>
      </c>
      <c r="H45" s="8">
        <f t="shared" si="4"/>
        <v>0.497470489</v>
      </c>
    </row>
    <row r="46">
      <c r="A46" s="5">
        <v>20305.0</v>
      </c>
      <c r="B46" s="6" t="s">
        <v>64</v>
      </c>
      <c r="C46" s="7">
        <v>0.0</v>
      </c>
      <c r="D46" s="7">
        <v>0.0</v>
      </c>
      <c r="E46" s="8">
        <f t="shared" si="3"/>
        <v>0</v>
      </c>
      <c r="F46" s="7">
        <v>0.0</v>
      </c>
      <c r="G46" s="7">
        <v>0.0</v>
      </c>
      <c r="H46" s="8">
        <f t="shared" si="4"/>
        <v>0</v>
      </c>
    </row>
    <row r="47">
      <c r="A47" s="5">
        <v>20306.0</v>
      </c>
      <c r="B47" s="6" t="s">
        <v>65</v>
      </c>
      <c r="C47" s="7">
        <v>0.0</v>
      </c>
      <c r="D47" s="7">
        <v>0.0</v>
      </c>
      <c r="E47" s="8">
        <f t="shared" si="3"/>
        <v>0</v>
      </c>
      <c r="F47" s="7">
        <v>0.0</v>
      </c>
      <c r="G47" s="7">
        <v>0.0</v>
      </c>
      <c r="H47" s="8">
        <f t="shared" si="4"/>
        <v>0</v>
      </c>
    </row>
    <row r="48">
      <c r="A48" s="5">
        <v>20307.0</v>
      </c>
      <c r="B48" s="6" t="s">
        <v>66</v>
      </c>
      <c r="C48" s="7">
        <v>0.0</v>
      </c>
      <c r="D48" s="7">
        <v>0.0</v>
      </c>
      <c r="E48" s="8">
        <f t="shared" si="3"/>
        <v>0</v>
      </c>
      <c r="F48" s="7">
        <v>0.0</v>
      </c>
      <c r="G48" s="7">
        <v>0.0</v>
      </c>
      <c r="H48" s="8">
        <f t="shared" si="4"/>
        <v>0</v>
      </c>
    </row>
    <row r="49">
      <c r="A49" s="5">
        <v>20308.0</v>
      </c>
      <c r="B49" s="6" t="s">
        <v>67</v>
      </c>
      <c r="C49" s="7">
        <v>0.0</v>
      </c>
      <c r="D49" s="7">
        <v>0.0</v>
      </c>
      <c r="E49" s="8">
        <f t="shared" si="3"/>
        <v>0</v>
      </c>
      <c r="F49" s="7">
        <v>30.0</v>
      </c>
      <c r="G49" s="7">
        <v>34.0</v>
      </c>
      <c r="H49" s="8">
        <f t="shared" si="4"/>
        <v>0.46875</v>
      </c>
    </row>
    <row r="50">
      <c r="A50" s="5">
        <v>20401.0</v>
      </c>
      <c r="B50" s="6" t="s">
        <v>68</v>
      </c>
      <c r="C50" s="7">
        <v>0.0</v>
      </c>
      <c r="D50" s="7">
        <v>0.0</v>
      </c>
      <c r="E50" s="8">
        <f t="shared" si="3"/>
        <v>0</v>
      </c>
      <c r="F50" s="7">
        <v>0.0</v>
      </c>
      <c r="G50" s="7">
        <v>5.0</v>
      </c>
      <c r="H50" s="8">
        <f t="shared" si="4"/>
        <v>0</v>
      </c>
    </row>
    <row r="51">
      <c r="A51" s="5">
        <v>20402.0</v>
      </c>
      <c r="B51" s="6" t="s">
        <v>69</v>
      </c>
      <c r="C51" s="7">
        <v>0.0</v>
      </c>
      <c r="D51" s="7">
        <v>0.0</v>
      </c>
      <c r="E51" s="8">
        <f t="shared" si="3"/>
        <v>0</v>
      </c>
      <c r="F51" s="7">
        <v>1256.0</v>
      </c>
      <c r="G51" s="7">
        <v>1705.0</v>
      </c>
      <c r="H51" s="8">
        <f t="shared" si="4"/>
        <v>0.4241810199</v>
      </c>
    </row>
    <row r="52">
      <c r="A52" s="5">
        <v>20403.0</v>
      </c>
      <c r="B52" s="6" t="s">
        <v>70</v>
      </c>
      <c r="C52" s="7">
        <v>0.0</v>
      </c>
      <c r="D52" s="7">
        <v>0.0</v>
      </c>
      <c r="E52" s="8">
        <f t="shared" si="3"/>
        <v>0</v>
      </c>
      <c r="F52" s="7">
        <v>3218.0</v>
      </c>
      <c r="G52" s="7">
        <v>3301.0</v>
      </c>
      <c r="H52" s="8">
        <f t="shared" si="4"/>
        <v>0.4936339929</v>
      </c>
    </row>
    <row r="53">
      <c r="A53" s="5">
        <v>20404.0</v>
      </c>
      <c r="B53" s="6" t="s">
        <v>71</v>
      </c>
      <c r="C53" s="7">
        <v>0.0</v>
      </c>
      <c r="D53" s="7">
        <v>0.0</v>
      </c>
      <c r="E53" s="8">
        <f t="shared" si="3"/>
        <v>0</v>
      </c>
      <c r="F53" s="7">
        <v>42.0</v>
      </c>
      <c r="G53" s="7">
        <v>35.0</v>
      </c>
      <c r="H53" s="8">
        <f t="shared" si="4"/>
        <v>0.5454545455</v>
      </c>
    </row>
    <row r="54">
      <c r="A54" s="5">
        <v>20405.0</v>
      </c>
      <c r="B54" s="6" t="s">
        <v>72</v>
      </c>
      <c r="C54" s="7">
        <v>0.0</v>
      </c>
      <c r="D54" s="7">
        <v>0.0</v>
      </c>
      <c r="E54" s="8">
        <f t="shared" si="3"/>
        <v>0</v>
      </c>
      <c r="F54" s="7">
        <v>0.0</v>
      </c>
      <c r="G54" s="7">
        <v>11.0</v>
      </c>
      <c r="H54" s="8">
        <f t="shared" si="4"/>
        <v>0</v>
      </c>
    </row>
    <row r="55">
      <c r="A55" s="5">
        <v>20501.0</v>
      </c>
      <c r="B55" s="6" t="s">
        <v>73</v>
      </c>
      <c r="C55" s="7">
        <v>1.0</v>
      </c>
      <c r="D55" s="7">
        <v>1.0</v>
      </c>
      <c r="E55" s="8">
        <f t="shared" si="3"/>
        <v>0.5</v>
      </c>
      <c r="F55" s="7">
        <v>3765.0</v>
      </c>
      <c r="G55" s="7">
        <v>4342.0</v>
      </c>
      <c r="H55" s="8">
        <f t="shared" si="4"/>
        <v>0.4644134698</v>
      </c>
    </row>
    <row r="56">
      <c r="A56" s="5">
        <v>20502.0</v>
      </c>
      <c r="B56" s="6" t="s">
        <v>74</v>
      </c>
      <c r="C56" s="7">
        <v>0.0</v>
      </c>
      <c r="D56" s="7">
        <v>0.0</v>
      </c>
      <c r="E56" s="8">
        <f t="shared" si="3"/>
        <v>0</v>
      </c>
      <c r="F56" s="7">
        <v>2045.0</v>
      </c>
      <c r="G56" s="7">
        <v>2472.0</v>
      </c>
      <c r="H56" s="8">
        <f t="shared" si="4"/>
        <v>0.4527341156</v>
      </c>
    </row>
    <row r="57">
      <c r="A57" s="5">
        <v>20503.0</v>
      </c>
      <c r="B57" s="6" t="s">
        <v>75</v>
      </c>
      <c r="C57" s="7">
        <v>0.0</v>
      </c>
      <c r="D57" s="7">
        <v>0.0</v>
      </c>
      <c r="E57" s="8">
        <f t="shared" si="3"/>
        <v>0</v>
      </c>
      <c r="F57" s="7">
        <v>168.0</v>
      </c>
      <c r="G57" s="7">
        <v>378.0</v>
      </c>
      <c r="H57" s="8">
        <f t="shared" si="4"/>
        <v>0.3076923077</v>
      </c>
    </row>
    <row r="58">
      <c r="A58" s="5">
        <v>20601.0</v>
      </c>
      <c r="B58" s="6" t="s">
        <v>76</v>
      </c>
      <c r="C58" s="7">
        <v>12.0</v>
      </c>
      <c r="D58" s="7">
        <v>15.0</v>
      </c>
      <c r="E58" s="8">
        <f t="shared" si="3"/>
        <v>0.4444444444</v>
      </c>
      <c r="F58" s="7">
        <v>4459.0</v>
      </c>
      <c r="G58" s="7">
        <v>5127.0</v>
      </c>
      <c r="H58" s="8">
        <f t="shared" si="4"/>
        <v>0.4651575214</v>
      </c>
    </row>
    <row r="59">
      <c r="A59" s="5">
        <v>20602.0</v>
      </c>
      <c r="B59" s="6" t="s">
        <v>77</v>
      </c>
      <c r="C59" s="7">
        <v>1.0</v>
      </c>
      <c r="D59" s="7">
        <v>3.0</v>
      </c>
      <c r="E59" s="8">
        <f t="shared" si="3"/>
        <v>0.25</v>
      </c>
      <c r="F59" s="7">
        <v>0.0</v>
      </c>
      <c r="G59" s="7">
        <v>1.0</v>
      </c>
      <c r="H59" s="8">
        <f t="shared" si="4"/>
        <v>0</v>
      </c>
    </row>
    <row r="60">
      <c r="A60" s="5">
        <v>20603.0</v>
      </c>
      <c r="B60" s="6" t="s">
        <v>78</v>
      </c>
      <c r="C60" s="7">
        <v>1.0</v>
      </c>
      <c r="D60" s="7">
        <v>1.0</v>
      </c>
      <c r="E60" s="8">
        <f t="shared" si="3"/>
        <v>0.5</v>
      </c>
      <c r="F60" s="7">
        <v>460.0</v>
      </c>
      <c r="G60" s="7">
        <v>625.0</v>
      </c>
      <c r="H60" s="8">
        <f t="shared" si="4"/>
        <v>0.4239631336</v>
      </c>
    </row>
    <row r="61">
      <c r="A61" s="5">
        <v>20604.0</v>
      </c>
      <c r="B61" s="6" t="s">
        <v>79</v>
      </c>
      <c r="C61" s="7">
        <v>0.0</v>
      </c>
      <c r="D61" s="7">
        <v>0.0</v>
      </c>
      <c r="E61" s="8">
        <f t="shared" si="3"/>
        <v>0</v>
      </c>
      <c r="F61" s="7">
        <v>1427.0</v>
      </c>
      <c r="G61" s="7">
        <v>2180.0</v>
      </c>
      <c r="H61" s="8">
        <f t="shared" si="4"/>
        <v>0.3956196285</v>
      </c>
    </row>
    <row r="62">
      <c r="A62" s="5">
        <v>20605.0</v>
      </c>
      <c r="B62" s="6" t="s">
        <v>80</v>
      </c>
      <c r="C62" s="7">
        <v>0.0</v>
      </c>
      <c r="D62" s="7">
        <v>0.0</v>
      </c>
      <c r="E62" s="8">
        <f t="shared" si="3"/>
        <v>0</v>
      </c>
      <c r="F62" s="7">
        <v>394.0</v>
      </c>
      <c r="G62" s="7">
        <v>779.0</v>
      </c>
      <c r="H62" s="8">
        <f t="shared" si="4"/>
        <v>0.3358908781</v>
      </c>
    </row>
    <row r="63">
      <c r="A63" s="5">
        <v>20606.0</v>
      </c>
      <c r="B63" s="6" t="s">
        <v>81</v>
      </c>
      <c r="C63" s="7">
        <v>0.0</v>
      </c>
      <c r="D63" s="7">
        <v>0.0</v>
      </c>
      <c r="E63" s="8">
        <f t="shared" si="3"/>
        <v>0</v>
      </c>
      <c r="F63" s="7">
        <v>0.0</v>
      </c>
      <c r="G63" s="7">
        <v>0.0</v>
      </c>
      <c r="H63" s="8">
        <f t="shared" si="4"/>
        <v>0</v>
      </c>
    </row>
    <row r="64">
      <c r="A64" s="5">
        <v>20607.0</v>
      </c>
      <c r="B64" s="6" t="s">
        <v>82</v>
      </c>
      <c r="C64" s="7">
        <v>5.0</v>
      </c>
      <c r="D64" s="7">
        <v>7.0</v>
      </c>
      <c r="E64" s="8">
        <f t="shared" si="3"/>
        <v>0.4166666667</v>
      </c>
      <c r="F64" s="7">
        <v>0.0</v>
      </c>
      <c r="G64" s="7">
        <v>0.0</v>
      </c>
      <c r="H64" s="8">
        <f t="shared" si="4"/>
        <v>0</v>
      </c>
    </row>
    <row r="65">
      <c r="A65" s="5">
        <v>20608.0</v>
      </c>
      <c r="B65" s="6" t="s">
        <v>83</v>
      </c>
      <c r="C65" s="7">
        <v>3.0</v>
      </c>
      <c r="D65" s="7">
        <v>17.0</v>
      </c>
      <c r="E65" s="8">
        <f t="shared" si="3"/>
        <v>0.15</v>
      </c>
      <c r="F65" s="7">
        <v>166.0</v>
      </c>
      <c r="G65" s="7">
        <v>210.0</v>
      </c>
      <c r="H65" s="8">
        <f t="shared" si="4"/>
        <v>0.4414893617</v>
      </c>
    </row>
    <row r="66">
      <c r="A66" s="5">
        <v>20701.0</v>
      </c>
      <c r="B66" s="6" t="s">
        <v>84</v>
      </c>
      <c r="C66" s="7">
        <v>0.0</v>
      </c>
      <c r="D66" s="7">
        <v>2.0</v>
      </c>
      <c r="E66" s="8">
        <f t="shared" si="3"/>
        <v>0</v>
      </c>
      <c r="F66" s="7">
        <v>1.0</v>
      </c>
      <c r="G66" s="7">
        <v>4.0</v>
      </c>
      <c r="H66" s="8">
        <f t="shared" si="4"/>
        <v>0.2</v>
      </c>
    </row>
    <row r="67">
      <c r="A67" s="5">
        <v>20702.0</v>
      </c>
      <c r="B67" s="6" t="s">
        <v>85</v>
      </c>
      <c r="C67" s="7">
        <v>11.0</v>
      </c>
      <c r="D67" s="7">
        <v>13.0</v>
      </c>
      <c r="E67" s="8">
        <f t="shared" si="3"/>
        <v>0.4583333333</v>
      </c>
      <c r="F67" s="7">
        <v>0.0</v>
      </c>
      <c r="G67" s="7">
        <v>0.0</v>
      </c>
      <c r="H67" s="8">
        <f t="shared" si="4"/>
        <v>0</v>
      </c>
    </row>
    <row r="68">
      <c r="A68" s="5">
        <v>20801.0</v>
      </c>
      <c r="B68" s="6" t="s">
        <v>86</v>
      </c>
      <c r="C68" s="7">
        <v>3263.0</v>
      </c>
      <c r="D68" s="7">
        <v>4043.0</v>
      </c>
      <c r="E68" s="8">
        <f t="shared" si="3"/>
        <v>0.4466192171</v>
      </c>
      <c r="F68" s="7">
        <v>1665.0</v>
      </c>
      <c r="G68" s="7">
        <v>1594.0</v>
      </c>
      <c r="H68" s="8">
        <f t="shared" si="4"/>
        <v>0.5108929119</v>
      </c>
    </row>
    <row r="69">
      <c r="A69" s="5">
        <v>20802.0</v>
      </c>
      <c r="B69" s="6" t="s">
        <v>87</v>
      </c>
      <c r="C69" s="7">
        <v>1016.0</v>
      </c>
      <c r="D69" s="7">
        <v>1193.0</v>
      </c>
      <c r="E69" s="8">
        <f t="shared" si="3"/>
        <v>0.4599366229</v>
      </c>
      <c r="F69" s="7">
        <v>2840.0</v>
      </c>
      <c r="G69" s="7">
        <v>2356.0</v>
      </c>
      <c r="H69" s="8">
        <f t="shared" si="4"/>
        <v>0.5465742879</v>
      </c>
    </row>
    <row r="70">
      <c r="A70" s="5">
        <v>20803.0</v>
      </c>
      <c r="B70" s="6" t="s">
        <v>88</v>
      </c>
      <c r="C70" s="7">
        <v>3843.0</v>
      </c>
      <c r="D70" s="7">
        <v>4058.0</v>
      </c>
      <c r="E70" s="8">
        <f t="shared" si="3"/>
        <v>0.4863941273</v>
      </c>
      <c r="F70" s="7">
        <v>0.0</v>
      </c>
      <c r="G70" s="7">
        <v>0.0</v>
      </c>
      <c r="H70" s="8">
        <f t="shared" si="4"/>
        <v>0</v>
      </c>
    </row>
    <row r="71">
      <c r="A71" s="5">
        <v>20804.0</v>
      </c>
      <c r="B71" s="6" t="s">
        <v>89</v>
      </c>
      <c r="C71" s="7">
        <v>0.0</v>
      </c>
      <c r="D71" s="7">
        <v>0.0</v>
      </c>
      <c r="E71" s="8">
        <f t="shared" si="3"/>
        <v>0</v>
      </c>
      <c r="F71" s="7">
        <v>1200.0</v>
      </c>
      <c r="G71" s="7">
        <v>978.0</v>
      </c>
      <c r="H71" s="8">
        <f t="shared" si="4"/>
        <v>0.5509641873</v>
      </c>
    </row>
    <row r="72">
      <c r="A72" s="5">
        <v>20805.0</v>
      </c>
      <c r="B72" s="6" t="s">
        <v>90</v>
      </c>
      <c r="C72" s="7">
        <v>1.0</v>
      </c>
      <c r="D72" s="7">
        <v>0.0</v>
      </c>
      <c r="E72" s="8">
        <f t="shared" si="3"/>
        <v>1</v>
      </c>
      <c r="F72" s="7">
        <v>5.0</v>
      </c>
      <c r="G72" s="7">
        <v>2.0</v>
      </c>
      <c r="H72" s="8">
        <f t="shared" si="4"/>
        <v>0.7142857143</v>
      </c>
    </row>
    <row r="73">
      <c r="A73" s="5">
        <v>20806.0</v>
      </c>
      <c r="B73" s="6" t="s">
        <v>91</v>
      </c>
      <c r="C73" s="7">
        <v>0.0</v>
      </c>
      <c r="D73" s="7">
        <v>0.0</v>
      </c>
      <c r="E73" s="8">
        <f t="shared" si="3"/>
        <v>0</v>
      </c>
      <c r="F73" s="7">
        <v>0.0</v>
      </c>
      <c r="G73" s="7">
        <v>0.0</v>
      </c>
      <c r="H73" s="8">
        <f t="shared" si="4"/>
        <v>0</v>
      </c>
    </row>
    <row r="74">
      <c r="A74" s="5">
        <v>20807.0</v>
      </c>
      <c r="B74" s="6" t="s">
        <v>92</v>
      </c>
      <c r="C74" s="7">
        <v>604.0</v>
      </c>
      <c r="D74" s="7">
        <v>667.0</v>
      </c>
      <c r="E74" s="8">
        <f t="shared" si="3"/>
        <v>0.4752163651</v>
      </c>
      <c r="F74" s="7">
        <v>4.0</v>
      </c>
      <c r="G74" s="7">
        <v>5.0</v>
      </c>
      <c r="H74" s="8">
        <f t="shared" si="4"/>
        <v>0.4444444444</v>
      </c>
    </row>
    <row r="75">
      <c r="A75" s="5">
        <v>20901.0</v>
      </c>
      <c r="B75" s="6" t="s">
        <v>93</v>
      </c>
      <c r="C75" s="7">
        <v>3.0</v>
      </c>
      <c r="D75" s="7">
        <v>2.0</v>
      </c>
      <c r="E75" s="8">
        <f t="shared" si="3"/>
        <v>0.6</v>
      </c>
      <c r="F75" s="7">
        <v>265.0</v>
      </c>
      <c r="G75" s="7">
        <v>277.0</v>
      </c>
      <c r="H75" s="8">
        <f t="shared" si="4"/>
        <v>0.4889298893</v>
      </c>
    </row>
    <row r="76">
      <c r="A76" s="5">
        <v>20902.0</v>
      </c>
      <c r="B76" s="6" t="s">
        <v>94</v>
      </c>
      <c r="C76" s="7">
        <v>108.0</v>
      </c>
      <c r="D76" s="7">
        <v>139.0</v>
      </c>
      <c r="E76" s="8">
        <f t="shared" si="3"/>
        <v>0.4372469636</v>
      </c>
      <c r="F76" s="7">
        <v>2628.0</v>
      </c>
      <c r="G76" s="7">
        <v>2798.0</v>
      </c>
      <c r="H76" s="8">
        <f t="shared" si="4"/>
        <v>0.4843346849</v>
      </c>
    </row>
    <row r="77">
      <c r="A77" s="5">
        <v>20903.0</v>
      </c>
      <c r="B77" s="6" t="s">
        <v>95</v>
      </c>
      <c r="C77" s="7">
        <v>0.0</v>
      </c>
      <c r="D77" s="7">
        <v>0.0</v>
      </c>
      <c r="E77" s="8">
        <f t="shared" si="3"/>
        <v>0</v>
      </c>
      <c r="F77" s="7">
        <v>158.0</v>
      </c>
      <c r="G77" s="7">
        <v>353.0</v>
      </c>
      <c r="H77" s="8">
        <f t="shared" si="4"/>
        <v>0.3091976517</v>
      </c>
    </row>
    <row r="78">
      <c r="A78" s="5">
        <v>20904.0</v>
      </c>
      <c r="B78" s="6" t="s">
        <v>96</v>
      </c>
      <c r="C78" s="7">
        <v>0.0</v>
      </c>
      <c r="D78" s="7">
        <v>0.0</v>
      </c>
      <c r="E78" s="8">
        <f t="shared" si="3"/>
        <v>0</v>
      </c>
      <c r="F78" s="7">
        <v>84.0</v>
      </c>
      <c r="G78" s="7">
        <v>84.0</v>
      </c>
      <c r="H78" s="8">
        <f t="shared" si="4"/>
        <v>0.5</v>
      </c>
    </row>
    <row r="79">
      <c r="A79" s="5">
        <v>20905.0</v>
      </c>
      <c r="B79" s="6" t="s">
        <v>97</v>
      </c>
      <c r="C79" s="7">
        <v>0.0</v>
      </c>
      <c r="D79" s="7">
        <v>0.0</v>
      </c>
      <c r="E79" s="8">
        <f t="shared" si="3"/>
        <v>0</v>
      </c>
      <c r="F79" s="7">
        <v>1693.0</v>
      </c>
      <c r="G79" s="7">
        <v>1734.0</v>
      </c>
      <c r="H79" s="8">
        <f t="shared" si="4"/>
        <v>0.4940180916</v>
      </c>
    </row>
    <row r="80">
      <c r="A80" s="5">
        <v>21001.0</v>
      </c>
      <c r="B80" s="6" t="s">
        <v>98</v>
      </c>
      <c r="C80" s="7">
        <v>0.0</v>
      </c>
      <c r="D80" s="7">
        <v>0.0</v>
      </c>
      <c r="E80" s="8">
        <f t="shared" si="3"/>
        <v>0</v>
      </c>
      <c r="F80" s="7">
        <v>1351.0</v>
      </c>
      <c r="G80" s="7">
        <v>2041.0</v>
      </c>
      <c r="H80" s="8">
        <f t="shared" si="4"/>
        <v>0.3982900943</v>
      </c>
    </row>
    <row r="81">
      <c r="A81" s="5">
        <v>21002.0</v>
      </c>
      <c r="B81" s="6" t="s">
        <v>99</v>
      </c>
      <c r="C81" s="7">
        <v>30.0</v>
      </c>
      <c r="D81" s="7">
        <v>54.0</v>
      </c>
      <c r="E81" s="8">
        <f t="shared" si="3"/>
        <v>0.3571428571</v>
      </c>
      <c r="F81" s="7">
        <v>31.0</v>
      </c>
      <c r="G81" s="7">
        <v>37.0</v>
      </c>
      <c r="H81" s="8">
        <f t="shared" si="4"/>
        <v>0.4558823529</v>
      </c>
    </row>
    <row r="82">
      <c r="A82" s="5">
        <v>21003.0</v>
      </c>
      <c r="B82" s="6" t="s">
        <v>100</v>
      </c>
      <c r="C82" s="7">
        <v>0.0</v>
      </c>
      <c r="D82" s="7">
        <v>0.0</v>
      </c>
      <c r="E82" s="8">
        <f t="shared" si="3"/>
        <v>0</v>
      </c>
      <c r="F82" s="7">
        <v>1466.0</v>
      </c>
      <c r="G82" s="7">
        <v>1955.0</v>
      </c>
      <c r="H82" s="8">
        <f t="shared" si="4"/>
        <v>0.4285296697</v>
      </c>
    </row>
    <row r="83">
      <c r="A83" s="5">
        <v>21004.0</v>
      </c>
      <c r="B83" s="6" t="s">
        <v>101</v>
      </c>
      <c r="C83" s="7">
        <v>0.0</v>
      </c>
      <c r="D83" s="7">
        <v>0.0</v>
      </c>
      <c r="E83" s="8">
        <f t="shared" si="3"/>
        <v>0</v>
      </c>
      <c r="F83" s="7">
        <v>279.0</v>
      </c>
      <c r="G83" s="7">
        <v>449.0</v>
      </c>
      <c r="H83" s="8">
        <f t="shared" si="4"/>
        <v>0.3832417582</v>
      </c>
    </row>
    <row r="84">
      <c r="A84" s="5">
        <v>21005.0</v>
      </c>
      <c r="B84" s="6" t="s">
        <v>102</v>
      </c>
      <c r="C84" s="7">
        <v>0.0</v>
      </c>
      <c r="D84" s="7">
        <v>0.0</v>
      </c>
      <c r="E84" s="8">
        <f t="shared" si="3"/>
        <v>0</v>
      </c>
      <c r="F84" s="7">
        <v>0.0</v>
      </c>
      <c r="G84" s="7">
        <v>0.0</v>
      </c>
      <c r="H84" s="8">
        <f t="shared" si="4"/>
        <v>0</v>
      </c>
    </row>
    <row r="85">
      <c r="A85" s="5">
        <v>21006.0</v>
      </c>
      <c r="B85" s="6" t="s">
        <v>103</v>
      </c>
      <c r="C85" s="7">
        <v>0.0</v>
      </c>
      <c r="D85" s="7">
        <v>0.0</v>
      </c>
      <c r="E85" s="8">
        <f t="shared" si="3"/>
        <v>0</v>
      </c>
      <c r="F85" s="7">
        <v>322.0</v>
      </c>
      <c r="G85" s="7">
        <v>510.0</v>
      </c>
      <c r="H85" s="8">
        <f t="shared" si="4"/>
        <v>0.3870192308</v>
      </c>
    </row>
    <row r="86">
      <c r="A86" s="5">
        <v>21101.0</v>
      </c>
      <c r="B86" s="6" t="s">
        <v>104</v>
      </c>
      <c r="C86" s="7">
        <v>37.0</v>
      </c>
      <c r="D86" s="7">
        <v>38.0</v>
      </c>
      <c r="E86" s="8">
        <f t="shared" si="3"/>
        <v>0.4933333333</v>
      </c>
      <c r="F86" s="7">
        <v>1118.0</v>
      </c>
      <c r="G86" s="7">
        <v>1182.0</v>
      </c>
      <c r="H86" s="8">
        <f t="shared" si="4"/>
        <v>0.4860869565</v>
      </c>
    </row>
    <row r="87">
      <c r="A87" s="5">
        <v>21102.0</v>
      </c>
      <c r="B87" s="6" t="s">
        <v>105</v>
      </c>
      <c r="C87" s="7">
        <v>1.0</v>
      </c>
      <c r="D87" s="7">
        <v>3.0</v>
      </c>
      <c r="E87" s="8">
        <f t="shared" si="3"/>
        <v>0.25</v>
      </c>
      <c r="F87" s="7">
        <v>2224.0</v>
      </c>
      <c r="G87" s="7">
        <v>3016.0</v>
      </c>
      <c r="H87" s="8">
        <f t="shared" si="4"/>
        <v>0.4244274809</v>
      </c>
    </row>
    <row r="88">
      <c r="A88" s="5">
        <v>21103.0</v>
      </c>
      <c r="B88" s="6" t="s">
        <v>106</v>
      </c>
      <c r="C88" s="7">
        <v>1.0</v>
      </c>
      <c r="D88" s="7">
        <v>1.0</v>
      </c>
      <c r="E88" s="8">
        <f t="shared" si="3"/>
        <v>0.5</v>
      </c>
      <c r="F88" s="7">
        <v>4.0</v>
      </c>
      <c r="G88" s="7">
        <v>3.0</v>
      </c>
      <c r="H88" s="8">
        <f t="shared" si="4"/>
        <v>0.5714285714</v>
      </c>
    </row>
    <row r="89">
      <c r="A89" s="5">
        <v>21104.0</v>
      </c>
      <c r="B89" s="6" t="s">
        <v>107</v>
      </c>
      <c r="C89" s="7">
        <v>778.0</v>
      </c>
      <c r="D89" s="7">
        <v>1028.0</v>
      </c>
      <c r="E89" s="8">
        <f t="shared" si="3"/>
        <v>0.430786268</v>
      </c>
      <c r="F89" s="7">
        <v>48.0</v>
      </c>
      <c r="G89" s="7">
        <v>101.0</v>
      </c>
      <c r="H89" s="8">
        <f t="shared" si="4"/>
        <v>0.322147651</v>
      </c>
    </row>
    <row r="90">
      <c r="A90" s="5">
        <v>21105.0</v>
      </c>
      <c r="B90" s="6" t="s">
        <v>108</v>
      </c>
      <c r="C90" s="7">
        <v>193.0</v>
      </c>
      <c r="D90" s="7">
        <v>335.0</v>
      </c>
      <c r="E90" s="8">
        <f t="shared" si="3"/>
        <v>0.365530303</v>
      </c>
      <c r="F90" s="7">
        <v>1497.0</v>
      </c>
      <c r="G90" s="7">
        <v>1896.0</v>
      </c>
      <c r="H90" s="8">
        <f t="shared" si="4"/>
        <v>0.4412024757</v>
      </c>
    </row>
    <row r="91">
      <c r="A91" s="5">
        <v>21201.0</v>
      </c>
      <c r="B91" s="6" t="s">
        <v>109</v>
      </c>
      <c r="C91" s="7">
        <v>3429.0</v>
      </c>
      <c r="D91" s="7">
        <v>3213.0</v>
      </c>
      <c r="E91" s="8">
        <f t="shared" si="3"/>
        <v>0.5162601626</v>
      </c>
      <c r="F91" s="7">
        <v>1621.0</v>
      </c>
      <c r="G91" s="7">
        <v>1512.0</v>
      </c>
      <c r="H91" s="8">
        <f t="shared" si="4"/>
        <v>0.5173954676</v>
      </c>
    </row>
    <row r="92">
      <c r="A92" s="5">
        <v>21202.0</v>
      </c>
      <c r="B92" s="6" t="s">
        <v>110</v>
      </c>
      <c r="C92" s="7">
        <v>3177.0</v>
      </c>
      <c r="D92" s="7">
        <v>3296.0</v>
      </c>
      <c r="E92" s="8">
        <f t="shared" si="3"/>
        <v>0.4908079716</v>
      </c>
      <c r="F92" s="7">
        <v>2438.0</v>
      </c>
      <c r="G92" s="7">
        <v>2343.0</v>
      </c>
      <c r="H92" s="8">
        <f t="shared" si="4"/>
        <v>0.50993516</v>
      </c>
    </row>
    <row r="93">
      <c r="A93" s="5">
        <v>21203.0</v>
      </c>
      <c r="B93" s="6" t="s">
        <v>111</v>
      </c>
      <c r="C93" s="7">
        <v>0.0</v>
      </c>
      <c r="D93" s="7">
        <v>0.0</v>
      </c>
      <c r="E93" s="8">
        <f t="shared" si="3"/>
        <v>0</v>
      </c>
      <c r="F93" s="7">
        <v>1479.0</v>
      </c>
      <c r="G93" s="7">
        <v>1340.0</v>
      </c>
      <c r="H93" s="8">
        <f t="shared" si="4"/>
        <v>0.5246541327</v>
      </c>
    </row>
    <row r="94">
      <c r="A94" s="5">
        <v>21204.0</v>
      </c>
      <c r="B94" s="6" t="s">
        <v>112</v>
      </c>
      <c r="C94" s="7">
        <v>0.0</v>
      </c>
      <c r="D94" s="7">
        <v>1.0</v>
      </c>
      <c r="E94" s="8">
        <f t="shared" si="3"/>
        <v>0</v>
      </c>
      <c r="F94" s="7">
        <v>1182.0</v>
      </c>
      <c r="G94" s="7">
        <v>1779.0</v>
      </c>
      <c r="H94" s="8">
        <f t="shared" si="4"/>
        <v>0.399189463</v>
      </c>
    </row>
    <row r="95">
      <c r="A95" s="5">
        <v>21301.0</v>
      </c>
      <c r="B95" s="6" t="s">
        <v>113</v>
      </c>
      <c r="C95" s="7">
        <v>0.0</v>
      </c>
      <c r="D95" s="7">
        <v>0.0</v>
      </c>
      <c r="E95" s="8">
        <f t="shared" si="3"/>
        <v>0</v>
      </c>
      <c r="F95" s="7">
        <v>59.0</v>
      </c>
      <c r="G95" s="7">
        <v>119.0</v>
      </c>
      <c r="H95" s="8">
        <f t="shared" si="4"/>
        <v>0.3314606742</v>
      </c>
    </row>
    <row r="96">
      <c r="A96" s="5">
        <v>21302.0</v>
      </c>
      <c r="B96" s="6" t="s">
        <v>114</v>
      </c>
      <c r="C96" s="7">
        <v>0.0</v>
      </c>
      <c r="D96" s="7">
        <v>0.0</v>
      </c>
      <c r="E96" s="8">
        <f t="shared" si="3"/>
        <v>0</v>
      </c>
      <c r="F96" s="7">
        <v>0.0</v>
      </c>
      <c r="G96" s="7">
        <v>0.0</v>
      </c>
      <c r="H96" s="8">
        <f t="shared" si="4"/>
        <v>0</v>
      </c>
    </row>
    <row r="97">
      <c r="A97" s="5">
        <v>21303.0</v>
      </c>
      <c r="B97" s="6" t="s">
        <v>115</v>
      </c>
      <c r="C97" s="7">
        <v>0.0</v>
      </c>
      <c r="D97" s="7">
        <v>0.0</v>
      </c>
      <c r="E97" s="8">
        <f t="shared" si="3"/>
        <v>0</v>
      </c>
      <c r="F97" s="7">
        <v>24.0</v>
      </c>
      <c r="G97" s="7">
        <v>24.0</v>
      </c>
      <c r="H97" s="8">
        <f t="shared" si="4"/>
        <v>0.5</v>
      </c>
    </row>
    <row r="98">
      <c r="A98" s="5">
        <v>21304.0</v>
      </c>
      <c r="B98" s="6" t="s">
        <v>116</v>
      </c>
      <c r="C98" s="7">
        <v>1199.0</v>
      </c>
      <c r="D98" s="7">
        <v>1516.0</v>
      </c>
      <c r="E98" s="8">
        <f t="shared" si="3"/>
        <v>0.4416206262</v>
      </c>
      <c r="F98" s="7">
        <v>0.0</v>
      </c>
      <c r="G98" s="7">
        <v>1.0</v>
      </c>
      <c r="H98" s="8">
        <f t="shared" si="4"/>
        <v>0</v>
      </c>
    </row>
    <row r="99">
      <c r="A99" s="5">
        <v>21305.0</v>
      </c>
      <c r="B99" s="6" t="s">
        <v>117</v>
      </c>
      <c r="C99" s="7">
        <v>0.0</v>
      </c>
      <c r="D99" s="7">
        <v>0.0</v>
      </c>
      <c r="E99" s="8">
        <f t="shared" si="3"/>
        <v>0</v>
      </c>
      <c r="F99" s="7">
        <v>0.0</v>
      </c>
      <c r="G99" s="7">
        <v>20.0</v>
      </c>
      <c r="H99" s="8">
        <f t="shared" si="4"/>
        <v>0</v>
      </c>
    </row>
    <row r="100">
      <c r="A100" s="5">
        <v>21306.0</v>
      </c>
      <c r="B100" s="6" t="s">
        <v>118</v>
      </c>
      <c r="C100" s="7">
        <v>0.0</v>
      </c>
      <c r="D100" s="7">
        <v>0.0</v>
      </c>
      <c r="E100" s="8">
        <f t="shared" si="3"/>
        <v>0</v>
      </c>
      <c r="F100" s="7">
        <v>0.0</v>
      </c>
      <c r="G100" s="7">
        <v>0.0</v>
      </c>
      <c r="H100" s="8">
        <f t="shared" si="4"/>
        <v>0</v>
      </c>
    </row>
    <row r="101">
      <c r="A101" s="5">
        <v>21307.0</v>
      </c>
      <c r="B101" s="6" t="s">
        <v>119</v>
      </c>
      <c r="C101" s="7">
        <v>0.0</v>
      </c>
      <c r="D101" s="7">
        <v>0.0</v>
      </c>
      <c r="E101" s="8">
        <f t="shared" si="3"/>
        <v>0</v>
      </c>
      <c r="F101" s="7">
        <v>0.0</v>
      </c>
      <c r="G101" s="7">
        <v>0.0</v>
      </c>
      <c r="H101" s="8">
        <f t="shared" si="4"/>
        <v>0</v>
      </c>
    </row>
    <row r="102">
      <c r="A102" s="5">
        <v>21401.0</v>
      </c>
      <c r="B102" s="6" t="s">
        <v>120</v>
      </c>
      <c r="C102" s="7">
        <v>206.0</v>
      </c>
      <c r="D102" s="7">
        <v>217.0</v>
      </c>
      <c r="E102" s="8">
        <f t="shared" si="3"/>
        <v>0.4869976359</v>
      </c>
      <c r="F102" s="7">
        <v>948.0</v>
      </c>
      <c r="G102" s="7">
        <v>1036.0</v>
      </c>
      <c r="H102" s="8">
        <f t="shared" si="4"/>
        <v>0.4778225806</v>
      </c>
    </row>
    <row r="103">
      <c r="A103" s="5">
        <v>21402.0</v>
      </c>
      <c r="B103" s="6" t="s">
        <v>121</v>
      </c>
      <c r="C103" s="7">
        <v>688.0</v>
      </c>
      <c r="D103" s="7">
        <v>889.0</v>
      </c>
      <c r="E103" s="8">
        <f t="shared" si="3"/>
        <v>0.4362714014</v>
      </c>
      <c r="F103" s="7">
        <v>1715.0</v>
      </c>
      <c r="G103" s="7">
        <v>1810.0</v>
      </c>
      <c r="H103" s="8">
        <f t="shared" si="4"/>
        <v>0.4865248227</v>
      </c>
    </row>
    <row r="104">
      <c r="A104" s="5">
        <v>21501.0</v>
      </c>
      <c r="B104" s="6" t="s">
        <v>122</v>
      </c>
      <c r="C104" s="7">
        <v>46.0</v>
      </c>
      <c r="D104" s="7">
        <v>68.0</v>
      </c>
      <c r="E104" s="8">
        <f t="shared" si="3"/>
        <v>0.4035087719</v>
      </c>
      <c r="F104" s="7">
        <v>2.0</v>
      </c>
      <c r="G104" s="7">
        <v>3.0</v>
      </c>
      <c r="H104" s="8">
        <f t="shared" si="4"/>
        <v>0.4</v>
      </c>
    </row>
    <row r="105">
      <c r="A105" s="5">
        <v>21502.0</v>
      </c>
      <c r="B105" s="6" t="s">
        <v>123</v>
      </c>
      <c r="C105" s="7">
        <v>17.0</v>
      </c>
      <c r="D105" s="7">
        <v>26.0</v>
      </c>
      <c r="E105" s="8">
        <f t="shared" si="3"/>
        <v>0.3953488372</v>
      </c>
      <c r="F105" s="7">
        <v>0.0</v>
      </c>
      <c r="G105" s="7">
        <v>0.0</v>
      </c>
      <c r="H105" s="8">
        <f t="shared" si="4"/>
        <v>0</v>
      </c>
    </row>
    <row r="106">
      <c r="A106" s="5">
        <v>21601.0</v>
      </c>
      <c r="B106" s="6" t="s">
        <v>124</v>
      </c>
      <c r="C106" s="7">
        <v>0.0</v>
      </c>
      <c r="D106" s="7">
        <v>0.0</v>
      </c>
      <c r="E106" s="8">
        <f t="shared" si="3"/>
        <v>0</v>
      </c>
      <c r="F106" s="7">
        <v>225.0</v>
      </c>
      <c r="G106" s="7">
        <v>278.0</v>
      </c>
      <c r="H106" s="8">
        <f t="shared" si="4"/>
        <v>0.4473161034</v>
      </c>
    </row>
    <row r="107">
      <c r="A107" s="5">
        <v>21602.0</v>
      </c>
      <c r="B107" s="6" t="s">
        <v>125</v>
      </c>
      <c r="C107" s="7">
        <v>0.0</v>
      </c>
      <c r="D107" s="7">
        <v>0.0</v>
      </c>
      <c r="E107" s="8">
        <f t="shared" si="3"/>
        <v>0</v>
      </c>
      <c r="F107" s="7">
        <v>0.0</v>
      </c>
      <c r="G107" s="7">
        <v>0.0</v>
      </c>
      <c r="H107" s="8">
        <f t="shared" si="4"/>
        <v>0</v>
      </c>
    </row>
    <row r="108">
      <c r="A108" s="5">
        <v>21701.0</v>
      </c>
      <c r="B108" s="6" t="s">
        <v>126</v>
      </c>
      <c r="C108" s="7">
        <v>0.0</v>
      </c>
      <c r="D108" s="7">
        <v>0.0</v>
      </c>
      <c r="E108" s="8">
        <f t="shared" si="3"/>
        <v>0</v>
      </c>
      <c r="F108" s="7">
        <v>2785.0</v>
      </c>
      <c r="G108" s="7">
        <v>2903.0</v>
      </c>
      <c r="H108" s="8">
        <f t="shared" si="4"/>
        <v>0.4896272855</v>
      </c>
    </row>
    <row r="109">
      <c r="A109" s="5">
        <v>21702.0</v>
      </c>
      <c r="B109" s="6" t="s">
        <v>127</v>
      </c>
      <c r="C109" s="7">
        <v>0.0</v>
      </c>
      <c r="D109" s="7">
        <v>0.0</v>
      </c>
      <c r="E109" s="8">
        <f t="shared" si="3"/>
        <v>0</v>
      </c>
      <c r="F109" s="7">
        <v>2381.0</v>
      </c>
      <c r="G109" s="7">
        <v>2171.0</v>
      </c>
      <c r="H109" s="8">
        <f t="shared" si="4"/>
        <v>0.5230667838</v>
      </c>
    </row>
    <row r="110">
      <c r="A110" s="5">
        <v>21703.0</v>
      </c>
      <c r="B110" s="6" t="s">
        <v>128</v>
      </c>
      <c r="C110" s="7">
        <v>0.0</v>
      </c>
      <c r="D110" s="7">
        <v>0.0</v>
      </c>
      <c r="E110" s="8">
        <f t="shared" si="3"/>
        <v>0</v>
      </c>
      <c r="F110" s="7">
        <v>192.0</v>
      </c>
      <c r="G110" s="7">
        <v>170.0</v>
      </c>
      <c r="H110" s="8">
        <f t="shared" si="4"/>
        <v>0.5303867403</v>
      </c>
    </row>
    <row r="111">
      <c r="A111" s="5">
        <v>21801.0</v>
      </c>
      <c r="B111" s="6" t="s">
        <v>129</v>
      </c>
      <c r="C111" s="7">
        <v>0.0</v>
      </c>
      <c r="D111" s="7">
        <v>0.0</v>
      </c>
      <c r="E111" s="8">
        <f t="shared" si="3"/>
        <v>0</v>
      </c>
      <c r="F111" s="7">
        <v>0.0</v>
      </c>
      <c r="G111" s="7">
        <v>0.0</v>
      </c>
      <c r="H111" s="8">
        <f t="shared" si="4"/>
        <v>0</v>
      </c>
    </row>
    <row r="112">
      <c r="A112" s="5">
        <v>21802.0</v>
      </c>
      <c r="B112" s="6" t="s">
        <v>130</v>
      </c>
      <c r="C112" s="7">
        <v>0.0</v>
      </c>
      <c r="D112" s="7">
        <v>0.0</v>
      </c>
      <c r="E112" s="8">
        <f t="shared" si="3"/>
        <v>0</v>
      </c>
      <c r="F112" s="7">
        <v>1836.0</v>
      </c>
      <c r="G112" s="7">
        <v>3337.0</v>
      </c>
      <c r="H112" s="8">
        <f t="shared" si="4"/>
        <v>0.3549197758</v>
      </c>
    </row>
    <row r="113">
      <c r="A113" s="5">
        <v>21803.0</v>
      </c>
      <c r="B113" s="6" t="s">
        <v>131</v>
      </c>
      <c r="C113" s="7">
        <v>0.0</v>
      </c>
      <c r="D113" s="7">
        <v>0.0</v>
      </c>
      <c r="E113" s="8">
        <f t="shared" si="3"/>
        <v>0</v>
      </c>
      <c r="F113" s="7">
        <v>0.0</v>
      </c>
      <c r="G113" s="7">
        <v>0.0</v>
      </c>
      <c r="H113" s="8">
        <f t="shared" si="4"/>
        <v>0</v>
      </c>
    </row>
    <row r="114">
      <c r="A114" s="5">
        <v>21901.0</v>
      </c>
      <c r="B114" s="6" t="s">
        <v>132</v>
      </c>
      <c r="C114" s="7">
        <v>0.0</v>
      </c>
      <c r="D114" s="7">
        <v>0.0</v>
      </c>
      <c r="E114" s="8">
        <f t="shared" si="3"/>
        <v>0</v>
      </c>
      <c r="F114" s="7">
        <v>2.0</v>
      </c>
      <c r="G114" s="7">
        <v>1.0</v>
      </c>
      <c r="H114" s="8">
        <f t="shared" si="4"/>
        <v>0.6666666667</v>
      </c>
    </row>
    <row r="115">
      <c r="A115" s="5">
        <v>21902.0</v>
      </c>
      <c r="B115" s="6" t="s">
        <v>133</v>
      </c>
      <c r="C115" s="7">
        <v>0.0</v>
      </c>
      <c r="D115" s="7">
        <v>0.0</v>
      </c>
      <c r="E115" s="8">
        <f t="shared" si="3"/>
        <v>0</v>
      </c>
      <c r="F115" s="7">
        <v>0.0</v>
      </c>
      <c r="G115" s="7">
        <v>0.0</v>
      </c>
      <c r="H115" s="8">
        <f t="shared" si="4"/>
        <v>0</v>
      </c>
    </row>
    <row r="116">
      <c r="A116" s="5">
        <v>22001.0</v>
      </c>
      <c r="B116" s="6" t="s">
        <v>134</v>
      </c>
      <c r="C116" s="7">
        <v>3102.0</v>
      </c>
      <c r="D116" s="7">
        <v>3851.0</v>
      </c>
      <c r="E116" s="8">
        <f t="shared" si="3"/>
        <v>0.4461383575</v>
      </c>
      <c r="F116" s="7">
        <v>520.0</v>
      </c>
      <c r="G116" s="7">
        <v>689.0</v>
      </c>
      <c r="H116" s="8">
        <f t="shared" si="4"/>
        <v>0.4301075269</v>
      </c>
    </row>
    <row r="117">
      <c r="A117" s="5">
        <v>22002.0</v>
      </c>
      <c r="B117" s="6" t="s">
        <v>135</v>
      </c>
      <c r="C117" s="7">
        <v>95.0</v>
      </c>
      <c r="D117" s="7">
        <v>126.0</v>
      </c>
      <c r="E117" s="8">
        <f t="shared" si="3"/>
        <v>0.4298642534</v>
      </c>
      <c r="F117" s="7">
        <v>4.0</v>
      </c>
      <c r="G117" s="7">
        <v>7.0</v>
      </c>
      <c r="H117" s="8">
        <f t="shared" si="4"/>
        <v>0.3636363636</v>
      </c>
    </row>
    <row r="118">
      <c r="A118" s="5">
        <v>30101.0</v>
      </c>
      <c r="B118" s="6" t="s">
        <v>14</v>
      </c>
      <c r="C118" s="7">
        <v>3985.0</v>
      </c>
      <c r="D118" s="7">
        <v>3446.0</v>
      </c>
      <c r="E118" s="8">
        <f t="shared" si="3"/>
        <v>0.5362669896</v>
      </c>
      <c r="F118" s="7">
        <v>934.0</v>
      </c>
      <c r="G118" s="7">
        <v>843.0</v>
      </c>
      <c r="H118" s="8">
        <f t="shared" si="4"/>
        <v>0.5256049522</v>
      </c>
    </row>
    <row r="119">
      <c r="A119" s="5">
        <v>30201.0</v>
      </c>
      <c r="B119" s="6" t="s">
        <v>136</v>
      </c>
      <c r="C119" s="7">
        <v>1711.0</v>
      </c>
      <c r="D119" s="7">
        <v>2351.0</v>
      </c>
      <c r="E119" s="8">
        <f t="shared" si="3"/>
        <v>0.4212210734</v>
      </c>
      <c r="F119" s="7">
        <v>70.0</v>
      </c>
      <c r="G119" s="7">
        <v>75.0</v>
      </c>
      <c r="H119" s="8">
        <f t="shared" si="4"/>
        <v>0.4827586207</v>
      </c>
    </row>
    <row r="120">
      <c r="A120" s="5">
        <v>30202.0</v>
      </c>
      <c r="B120" s="6" t="s">
        <v>137</v>
      </c>
      <c r="C120" s="7">
        <v>501.0</v>
      </c>
      <c r="D120" s="7">
        <v>532.0</v>
      </c>
      <c r="E120" s="8">
        <f t="shared" si="3"/>
        <v>0.4849951597</v>
      </c>
      <c r="F120" s="7">
        <v>4.0</v>
      </c>
      <c r="G120" s="7">
        <v>8.0</v>
      </c>
      <c r="H120" s="8">
        <f t="shared" si="4"/>
        <v>0.3333333333</v>
      </c>
    </row>
    <row r="121">
      <c r="A121" s="5">
        <v>30203.0</v>
      </c>
      <c r="B121" s="6" t="s">
        <v>138</v>
      </c>
      <c r="C121" s="7">
        <v>109.0</v>
      </c>
      <c r="D121" s="7">
        <v>152.0</v>
      </c>
      <c r="E121" s="8">
        <f t="shared" si="3"/>
        <v>0.4176245211</v>
      </c>
      <c r="F121" s="7">
        <v>1.0</v>
      </c>
      <c r="G121" s="7">
        <v>1.0</v>
      </c>
      <c r="H121" s="8">
        <f t="shared" si="4"/>
        <v>0.5</v>
      </c>
    </row>
    <row r="122">
      <c r="A122" s="5">
        <v>30301.0</v>
      </c>
      <c r="B122" s="6" t="s">
        <v>139</v>
      </c>
      <c r="C122" s="7">
        <v>6.0</v>
      </c>
      <c r="D122" s="7">
        <v>4.0</v>
      </c>
      <c r="E122" s="8">
        <f t="shared" si="3"/>
        <v>0.6</v>
      </c>
      <c r="F122" s="7">
        <v>183.0</v>
      </c>
      <c r="G122" s="7">
        <v>329.0</v>
      </c>
      <c r="H122" s="8">
        <f t="shared" si="4"/>
        <v>0.357421875</v>
      </c>
    </row>
    <row r="123">
      <c r="A123" s="5">
        <v>30302.0</v>
      </c>
      <c r="B123" s="6" t="s">
        <v>140</v>
      </c>
      <c r="C123" s="7">
        <v>0.0</v>
      </c>
      <c r="D123" s="7">
        <v>0.0</v>
      </c>
      <c r="E123" s="8">
        <f t="shared" si="3"/>
        <v>0</v>
      </c>
      <c r="F123" s="7">
        <v>792.0</v>
      </c>
      <c r="G123" s="7">
        <v>1262.0</v>
      </c>
      <c r="H123" s="8">
        <f t="shared" si="4"/>
        <v>0.3855890944</v>
      </c>
    </row>
    <row r="124">
      <c r="A124" s="5">
        <v>30303.0</v>
      </c>
      <c r="B124" s="6" t="s">
        <v>141</v>
      </c>
      <c r="C124" s="7">
        <v>0.0</v>
      </c>
      <c r="D124" s="7">
        <v>1.0</v>
      </c>
      <c r="E124" s="8">
        <f t="shared" si="3"/>
        <v>0</v>
      </c>
      <c r="F124" s="7">
        <v>0.0</v>
      </c>
      <c r="G124" s="7">
        <v>0.0</v>
      </c>
      <c r="H124" s="8">
        <f t="shared" si="4"/>
        <v>0</v>
      </c>
    </row>
    <row r="125">
      <c r="A125" s="5">
        <v>30401.0</v>
      </c>
      <c r="B125" s="6" t="s">
        <v>142</v>
      </c>
      <c r="C125" s="7">
        <v>258.0</v>
      </c>
      <c r="D125" s="7">
        <v>473.0</v>
      </c>
      <c r="E125" s="8">
        <f t="shared" si="3"/>
        <v>0.3529411765</v>
      </c>
      <c r="F125" s="7">
        <v>677.0</v>
      </c>
      <c r="G125" s="7">
        <v>596.0</v>
      </c>
      <c r="H125" s="8">
        <f t="shared" si="4"/>
        <v>0.5318146112</v>
      </c>
    </row>
    <row r="126">
      <c r="A126" s="5">
        <v>30402.0</v>
      </c>
      <c r="B126" s="6" t="s">
        <v>143</v>
      </c>
      <c r="C126" s="7">
        <v>8911.0</v>
      </c>
      <c r="D126" s="7">
        <v>11433.0</v>
      </c>
      <c r="E126" s="8">
        <f t="shared" si="3"/>
        <v>0.4380161227</v>
      </c>
      <c r="F126" s="7">
        <v>288.0</v>
      </c>
      <c r="G126" s="7">
        <v>354.0</v>
      </c>
      <c r="H126" s="8">
        <f t="shared" si="4"/>
        <v>0.4485981308</v>
      </c>
    </row>
    <row r="127">
      <c r="A127" s="5">
        <v>30403.0</v>
      </c>
      <c r="B127" s="6" t="s">
        <v>144</v>
      </c>
      <c r="C127" s="7">
        <v>296.0</v>
      </c>
      <c r="D127" s="7">
        <v>282.0</v>
      </c>
      <c r="E127" s="8">
        <f t="shared" si="3"/>
        <v>0.5121107266</v>
      </c>
      <c r="F127" s="7">
        <v>1439.0</v>
      </c>
      <c r="G127" s="7">
        <v>1161.0</v>
      </c>
      <c r="H127" s="8">
        <f t="shared" si="4"/>
        <v>0.5534615385</v>
      </c>
    </row>
    <row r="128">
      <c r="A128" s="5">
        <v>30404.0</v>
      </c>
      <c r="B128" s="6" t="s">
        <v>145</v>
      </c>
      <c r="C128" s="7">
        <v>3370.0</v>
      </c>
      <c r="D128" s="7">
        <v>3633.0</v>
      </c>
      <c r="E128" s="8">
        <f t="shared" si="3"/>
        <v>0.4812223333</v>
      </c>
      <c r="F128" s="7">
        <v>111.0</v>
      </c>
      <c r="G128" s="7">
        <v>80.0</v>
      </c>
      <c r="H128" s="8">
        <f t="shared" si="4"/>
        <v>0.5811518325</v>
      </c>
    </row>
    <row r="129">
      <c r="A129" s="5">
        <v>30501.0</v>
      </c>
      <c r="B129" s="6" t="s">
        <v>146</v>
      </c>
      <c r="C129" s="7">
        <v>2956.0</v>
      </c>
      <c r="D129" s="7">
        <v>2381.0</v>
      </c>
      <c r="E129" s="8">
        <f t="shared" si="3"/>
        <v>0.5538692149</v>
      </c>
      <c r="F129" s="7">
        <v>132.0</v>
      </c>
      <c r="G129" s="7">
        <v>111.0</v>
      </c>
      <c r="H129" s="8">
        <f t="shared" si="4"/>
        <v>0.5432098765</v>
      </c>
    </row>
    <row r="130">
      <c r="A130" s="5">
        <v>30502.0</v>
      </c>
      <c r="B130" s="6" t="s">
        <v>147</v>
      </c>
      <c r="C130" s="7">
        <v>0.0</v>
      </c>
      <c r="D130" s="7">
        <v>0.0</v>
      </c>
      <c r="E130" s="8">
        <f t="shared" si="3"/>
        <v>0</v>
      </c>
      <c r="F130" s="7">
        <v>2228.0</v>
      </c>
      <c r="G130" s="7">
        <v>2236.0</v>
      </c>
      <c r="H130" s="8">
        <f t="shared" si="4"/>
        <v>0.4991039427</v>
      </c>
    </row>
    <row r="131">
      <c r="A131" s="5">
        <v>30601.0</v>
      </c>
      <c r="B131" s="6" t="s">
        <v>148</v>
      </c>
      <c r="C131" s="7">
        <v>0.0</v>
      </c>
      <c r="D131" s="7">
        <v>0.0</v>
      </c>
      <c r="E131" s="8">
        <f t="shared" si="3"/>
        <v>0</v>
      </c>
      <c r="F131" s="7">
        <v>248.0</v>
      </c>
      <c r="G131" s="7">
        <v>318.0</v>
      </c>
      <c r="H131" s="8">
        <f t="shared" si="4"/>
        <v>0.4381625442</v>
      </c>
    </row>
    <row r="132">
      <c r="A132" s="5">
        <v>30602.0</v>
      </c>
      <c r="B132" s="6" t="s">
        <v>149</v>
      </c>
      <c r="C132" s="7">
        <v>0.0</v>
      </c>
      <c r="D132" s="7">
        <v>0.0</v>
      </c>
      <c r="E132" s="8">
        <f t="shared" si="3"/>
        <v>0</v>
      </c>
      <c r="F132" s="7">
        <v>223.0</v>
      </c>
      <c r="G132" s="7">
        <v>323.0</v>
      </c>
      <c r="H132" s="8">
        <f t="shared" si="4"/>
        <v>0.4084249084</v>
      </c>
    </row>
    <row r="133">
      <c r="A133" s="5">
        <v>30701.0</v>
      </c>
      <c r="B133" s="6" t="s">
        <v>150</v>
      </c>
      <c r="C133" s="7">
        <v>1481.0</v>
      </c>
      <c r="D133" s="7">
        <v>1735.0</v>
      </c>
      <c r="E133" s="8">
        <f t="shared" si="3"/>
        <v>0.4605099502</v>
      </c>
      <c r="F133" s="7">
        <v>275.0</v>
      </c>
      <c r="G133" s="7">
        <v>286.0</v>
      </c>
      <c r="H133" s="8">
        <f t="shared" si="4"/>
        <v>0.4901960784</v>
      </c>
    </row>
    <row r="134">
      <c r="A134" s="5">
        <v>30702.0</v>
      </c>
      <c r="B134" s="6" t="s">
        <v>151</v>
      </c>
      <c r="C134" s="7">
        <v>913.0</v>
      </c>
      <c r="D134" s="7">
        <v>812.0</v>
      </c>
      <c r="E134" s="8">
        <f t="shared" si="3"/>
        <v>0.5292753623</v>
      </c>
      <c r="F134" s="7">
        <v>1070.0</v>
      </c>
      <c r="G134" s="7">
        <v>992.0</v>
      </c>
      <c r="H134" s="8">
        <f t="shared" si="4"/>
        <v>0.518913676</v>
      </c>
    </row>
    <row r="135">
      <c r="A135" s="5">
        <v>30703.0</v>
      </c>
      <c r="B135" s="6" t="s">
        <v>152</v>
      </c>
      <c r="C135" s="7">
        <v>865.0</v>
      </c>
      <c r="D135" s="7">
        <v>895.0</v>
      </c>
      <c r="E135" s="8">
        <f t="shared" si="3"/>
        <v>0.4914772727</v>
      </c>
      <c r="F135" s="7">
        <v>36.0</v>
      </c>
      <c r="G135" s="7">
        <v>24.0</v>
      </c>
      <c r="H135" s="8">
        <f t="shared" si="4"/>
        <v>0.6</v>
      </c>
    </row>
    <row r="136">
      <c r="A136" s="5">
        <v>30801.0</v>
      </c>
      <c r="B136" s="6" t="s">
        <v>153</v>
      </c>
      <c r="C136" s="7">
        <v>1058.0</v>
      </c>
      <c r="D136" s="7">
        <v>1036.0</v>
      </c>
      <c r="E136" s="8">
        <f t="shared" si="3"/>
        <v>0.5052531041</v>
      </c>
      <c r="F136" s="7">
        <v>529.0</v>
      </c>
      <c r="G136" s="7">
        <v>494.0</v>
      </c>
      <c r="H136" s="8">
        <f t="shared" si="4"/>
        <v>0.5171065494</v>
      </c>
    </row>
    <row r="137">
      <c r="A137" s="5">
        <v>30802.0</v>
      </c>
      <c r="B137" s="6" t="s">
        <v>154</v>
      </c>
      <c r="C137" s="7">
        <v>1349.0</v>
      </c>
      <c r="D137" s="7">
        <v>1147.0</v>
      </c>
      <c r="E137" s="8">
        <f t="shared" si="3"/>
        <v>0.5404647436</v>
      </c>
      <c r="F137" s="7">
        <v>132.0</v>
      </c>
      <c r="G137" s="7">
        <v>114.0</v>
      </c>
      <c r="H137" s="8">
        <f t="shared" si="4"/>
        <v>0.5365853659</v>
      </c>
    </row>
    <row r="138">
      <c r="A138" s="5">
        <v>30803.0</v>
      </c>
      <c r="B138" s="6" t="s">
        <v>155</v>
      </c>
      <c r="C138" s="7">
        <v>55.0</v>
      </c>
      <c r="D138" s="7">
        <v>53.0</v>
      </c>
      <c r="E138" s="8">
        <f t="shared" si="3"/>
        <v>0.5092592593</v>
      </c>
      <c r="F138" s="7">
        <v>470.0</v>
      </c>
      <c r="G138" s="7">
        <v>409.0</v>
      </c>
      <c r="H138" s="8">
        <f t="shared" si="4"/>
        <v>0.534698521</v>
      </c>
    </row>
    <row r="139">
      <c r="A139" s="5">
        <v>30901.0</v>
      </c>
      <c r="B139" s="6" t="s">
        <v>156</v>
      </c>
      <c r="C139" s="7">
        <v>2867.0</v>
      </c>
      <c r="D139" s="7">
        <v>2561.0</v>
      </c>
      <c r="E139" s="8">
        <f t="shared" si="3"/>
        <v>0.5281871776</v>
      </c>
      <c r="F139" s="7">
        <v>821.0</v>
      </c>
      <c r="G139" s="7">
        <v>813.0</v>
      </c>
      <c r="H139" s="8">
        <f t="shared" si="4"/>
        <v>0.5024479804</v>
      </c>
    </row>
    <row r="140">
      <c r="A140" s="5">
        <v>30902.0</v>
      </c>
      <c r="B140" s="6" t="s">
        <v>157</v>
      </c>
      <c r="C140" s="7">
        <v>2361.0</v>
      </c>
      <c r="D140" s="7">
        <v>2363.0</v>
      </c>
      <c r="E140" s="8">
        <f t="shared" si="3"/>
        <v>0.499788315</v>
      </c>
      <c r="F140" s="7">
        <v>988.0</v>
      </c>
      <c r="G140" s="7">
        <v>944.0</v>
      </c>
      <c r="H140" s="8">
        <f t="shared" si="4"/>
        <v>0.5113871636</v>
      </c>
    </row>
    <row r="141">
      <c r="A141" s="5">
        <v>30903.0</v>
      </c>
      <c r="B141" s="6" t="s">
        <v>158</v>
      </c>
      <c r="C141" s="7">
        <v>103.0</v>
      </c>
      <c r="D141" s="7">
        <v>107.0</v>
      </c>
      <c r="E141" s="8">
        <f t="shared" si="3"/>
        <v>0.4904761905</v>
      </c>
      <c r="F141" s="7">
        <v>4.0</v>
      </c>
      <c r="G141" s="7">
        <v>3.0</v>
      </c>
      <c r="H141" s="8">
        <f t="shared" si="4"/>
        <v>0.5714285714</v>
      </c>
    </row>
    <row r="142">
      <c r="A142" s="5">
        <v>30904.0</v>
      </c>
      <c r="B142" s="6" t="s">
        <v>159</v>
      </c>
      <c r="C142" s="7">
        <v>2869.0</v>
      </c>
      <c r="D142" s="7">
        <v>2871.0</v>
      </c>
      <c r="E142" s="8">
        <f t="shared" si="3"/>
        <v>0.499825784</v>
      </c>
      <c r="F142" s="7">
        <v>720.0</v>
      </c>
      <c r="G142" s="7">
        <v>747.0</v>
      </c>
      <c r="H142" s="8">
        <f t="shared" si="4"/>
        <v>0.490797546</v>
      </c>
    </row>
    <row r="143">
      <c r="A143" s="5">
        <v>30905.0</v>
      </c>
      <c r="B143" s="6" t="s">
        <v>160</v>
      </c>
      <c r="C143" s="7">
        <v>216.0</v>
      </c>
      <c r="D143" s="7">
        <v>221.0</v>
      </c>
      <c r="E143" s="8">
        <f t="shared" si="3"/>
        <v>0.4942791762</v>
      </c>
      <c r="F143" s="7">
        <v>3.0</v>
      </c>
      <c r="G143" s="7">
        <v>5.0</v>
      </c>
      <c r="H143" s="8">
        <f t="shared" si="4"/>
        <v>0.375</v>
      </c>
    </row>
    <row r="144">
      <c r="A144" s="5">
        <v>31001.0</v>
      </c>
      <c r="B144" s="6" t="s">
        <v>161</v>
      </c>
      <c r="C144" s="7">
        <v>5400.0</v>
      </c>
      <c r="D144" s="7">
        <v>5139.0</v>
      </c>
      <c r="E144" s="8">
        <f t="shared" si="3"/>
        <v>0.512382579</v>
      </c>
      <c r="F144" s="7">
        <v>4427.0</v>
      </c>
      <c r="G144" s="7">
        <v>4551.0</v>
      </c>
      <c r="H144" s="8">
        <f t="shared" si="4"/>
        <v>0.4930942303</v>
      </c>
    </row>
    <row r="145">
      <c r="A145" s="5">
        <v>31002.0</v>
      </c>
      <c r="B145" s="6" t="s">
        <v>162</v>
      </c>
      <c r="C145" s="7">
        <v>223.0</v>
      </c>
      <c r="D145" s="7">
        <v>295.0</v>
      </c>
      <c r="E145" s="8">
        <f t="shared" si="3"/>
        <v>0.4305019305</v>
      </c>
      <c r="F145" s="7">
        <v>2028.0</v>
      </c>
      <c r="G145" s="7">
        <v>2665.0</v>
      </c>
      <c r="H145" s="8">
        <f t="shared" si="4"/>
        <v>0.432132964</v>
      </c>
    </row>
    <row r="146">
      <c r="A146" s="5">
        <v>31003.0</v>
      </c>
      <c r="B146" s="6" t="s">
        <v>163</v>
      </c>
      <c r="C146" s="7">
        <v>8689.0</v>
      </c>
      <c r="D146" s="7">
        <v>14328.0</v>
      </c>
      <c r="E146" s="8">
        <f t="shared" si="3"/>
        <v>0.3775035843</v>
      </c>
      <c r="F146" s="7">
        <v>426.0</v>
      </c>
      <c r="G146" s="7">
        <v>656.0</v>
      </c>
      <c r="H146" s="8">
        <f t="shared" si="4"/>
        <v>0.393715342</v>
      </c>
    </row>
    <row r="147">
      <c r="A147" s="5">
        <v>31101.0</v>
      </c>
      <c r="B147" s="6" t="s">
        <v>164</v>
      </c>
      <c r="C147" s="7">
        <v>393.0</v>
      </c>
      <c r="D147" s="7">
        <v>527.0</v>
      </c>
      <c r="E147" s="8">
        <f t="shared" si="3"/>
        <v>0.427173913</v>
      </c>
      <c r="F147" s="7">
        <v>316.0</v>
      </c>
      <c r="G147" s="7">
        <v>1194.0</v>
      </c>
      <c r="H147" s="8">
        <f t="shared" si="4"/>
        <v>0.2092715232</v>
      </c>
    </row>
    <row r="148">
      <c r="A148" s="5">
        <v>31201.0</v>
      </c>
      <c r="B148" s="6" t="s">
        <v>165</v>
      </c>
      <c r="C148" s="7">
        <v>4041.0</v>
      </c>
      <c r="D148" s="7">
        <v>4574.0</v>
      </c>
      <c r="E148" s="8">
        <f t="shared" si="3"/>
        <v>0.4690655833</v>
      </c>
      <c r="F148" s="7">
        <v>93.0</v>
      </c>
      <c r="G148" s="7">
        <v>115.0</v>
      </c>
      <c r="H148" s="8">
        <f t="shared" si="4"/>
        <v>0.4471153846</v>
      </c>
    </row>
    <row r="149">
      <c r="A149" s="5">
        <v>31202.0</v>
      </c>
      <c r="B149" s="6" t="s">
        <v>166</v>
      </c>
      <c r="C149" s="7">
        <v>1420.0</v>
      </c>
      <c r="D149" s="7">
        <v>1661.0</v>
      </c>
      <c r="E149" s="8">
        <f t="shared" si="3"/>
        <v>0.4608893216</v>
      </c>
      <c r="F149" s="7">
        <v>151.0</v>
      </c>
      <c r="G149" s="7">
        <v>204.0</v>
      </c>
      <c r="H149" s="8">
        <f t="shared" si="4"/>
        <v>0.4253521127</v>
      </c>
    </row>
    <row r="150">
      <c r="A150" s="5">
        <v>31203.0</v>
      </c>
      <c r="B150" s="6" t="s">
        <v>167</v>
      </c>
      <c r="C150" s="7">
        <v>6987.0</v>
      </c>
      <c r="D150" s="7">
        <v>7308.0</v>
      </c>
      <c r="E150" s="8">
        <f t="shared" si="3"/>
        <v>0.488772298</v>
      </c>
      <c r="F150" s="7">
        <v>61.0</v>
      </c>
      <c r="G150" s="7">
        <v>67.0</v>
      </c>
      <c r="H150" s="8">
        <f t="shared" si="4"/>
        <v>0.4765625</v>
      </c>
    </row>
    <row r="151">
      <c r="A151" s="5">
        <v>31204.0</v>
      </c>
      <c r="B151" s="6" t="s">
        <v>168</v>
      </c>
      <c r="C151" s="7">
        <v>450.0</v>
      </c>
      <c r="D151" s="7">
        <v>846.0</v>
      </c>
      <c r="E151" s="8">
        <f t="shared" si="3"/>
        <v>0.3472222222</v>
      </c>
      <c r="F151" s="7">
        <v>106.0</v>
      </c>
      <c r="G151" s="7">
        <v>182.0</v>
      </c>
      <c r="H151" s="8">
        <f t="shared" si="4"/>
        <v>0.3680555556</v>
      </c>
    </row>
    <row r="152">
      <c r="A152" s="5">
        <v>31205.0</v>
      </c>
      <c r="B152" s="6" t="s">
        <v>169</v>
      </c>
      <c r="C152" s="7">
        <v>1611.0</v>
      </c>
      <c r="D152" s="7">
        <v>2823.0</v>
      </c>
      <c r="E152" s="8">
        <f t="shared" si="3"/>
        <v>0.3633288227</v>
      </c>
      <c r="F152" s="7">
        <v>72.0</v>
      </c>
      <c r="G152" s="7">
        <v>115.0</v>
      </c>
      <c r="H152" s="8">
        <f t="shared" si="4"/>
        <v>0.385026738</v>
      </c>
    </row>
    <row r="153">
      <c r="A153" s="5">
        <v>31206.0</v>
      </c>
      <c r="B153" s="6" t="s">
        <v>170</v>
      </c>
      <c r="C153" s="7">
        <v>1162.0</v>
      </c>
      <c r="D153" s="7">
        <v>1990.0</v>
      </c>
      <c r="E153" s="8">
        <f t="shared" si="3"/>
        <v>0.3686548223</v>
      </c>
      <c r="F153" s="7">
        <v>25.0</v>
      </c>
      <c r="G153" s="7">
        <v>41.0</v>
      </c>
      <c r="H153" s="8">
        <f t="shared" si="4"/>
        <v>0.3787878788</v>
      </c>
    </row>
    <row r="154">
      <c r="A154" s="5">
        <v>31301.0</v>
      </c>
      <c r="B154" s="6" t="s">
        <v>171</v>
      </c>
      <c r="C154" s="7">
        <v>3422.0</v>
      </c>
      <c r="D154" s="7">
        <v>3757.0</v>
      </c>
      <c r="E154" s="8">
        <f t="shared" si="3"/>
        <v>0.4766680596</v>
      </c>
      <c r="F154" s="7">
        <v>250.0</v>
      </c>
      <c r="G154" s="7">
        <v>241.0</v>
      </c>
      <c r="H154" s="8">
        <f t="shared" si="4"/>
        <v>0.5091649695</v>
      </c>
    </row>
    <row r="155">
      <c r="A155" s="5">
        <v>31302.0</v>
      </c>
      <c r="B155" s="6" t="s">
        <v>172</v>
      </c>
      <c r="C155" s="7">
        <v>2254.0</v>
      </c>
      <c r="D155" s="7">
        <v>2559.0</v>
      </c>
      <c r="E155" s="8">
        <f t="shared" si="3"/>
        <v>0.4683149803</v>
      </c>
      <c r="F155" s="7">
        <v>0.0</v>
      </c>
      <c r="G155" s="7">
        <v>0.0</v>
      </c>
      <c r="H155" s="8">
        <f t="shared" si="4"/>
        <v>0</v>
      </c>
    </row>
    <row r="156">
      <c r="A156" s="5">
        <v>31303.0</v>
      </c>
      <c r="B156" s="6" t="s">
        <v>173</v>
      </c>
      <c r="C156" s="7">
        <v>0.0</v>
      </c>
      <c r="D156" s="7">
        <v>0.0</v>
      </c>
      <c r="E156" s="8">
        <f t="shared" si="3"/>
        <v>0</v>
      </c>
      <c r="F156" s="7">
        <v>0.0</v>
      </c>
      <c r="G156" s="7">
        <v>0.0</v>
      </c>
      <c r="H156" s="8">
        <f t="shared" si="4"/>
        <v>0</v>
      </c>
    </row>
    <row r="157">
      <c r="A157" s="5">
        <v>31304.0</v>
      </c>
      <c r="B157" s="6" t="s">
        <v>174</v>
      </c>
      <c r="C157" s="7">
        <v>0.0</v>
      </c>
      <c r="D157" s="7">
        <v>0.0</v>
      </c>
      <c r="E157" s="8">
        <f t="shared" si="3"/>
        <v>0</v>
      </c>
      <c r="F157" s="7">
        <v>0.0</v>
      </c>
      <c r="G157" s="7">
        <v>0.0</v>
      </c>
      <c r="H157" s="8">
        <f t="shared" si="4"/>
        <v>0</v>
      </c>
    </row>
    <row r="158">
      <c r="A158" s="5">
        <v>31401.0</v>
      </c>
      <c r="B158" s="6" t="s">
        <v>175</v>
      </c>
      <c r="C158" s="7">
        <v>4552.0</v>
      </c>
      <c r="D158" s="7">
        <v>4087.0</v>
      </c>
      <c r="E158" s="8">
        <f t="shared" si="3"/>
        <v>0.5269128371</v>
      </c>
      <c r="F158" s="7">
        <v>904.0</v>
      </c>
      <c r="G158" s="7">
        <v>899.0</v>
      </c>
      <c r="H158" s="8">
        <f t="shared" si="4"/>
        <v>0.5013865779</v>
      </c>
    </row>
    <row r="159">
      <c r="A159" s="5">
        <v>31402.0</v>
      </c>
      <c r="B159" s="6" t="s">
        <v>176</v>
      </c>
      <c r="C159" s="7">
        <v>564.0</v>
      </c>
      <c r="D159" s="7">
        <v>473.0</v>
      </c>
      <c r="E159" s="8">
        <f t="shared" si="3"/>
        <v>0.543876567</v>
      </c>
      <c r="F159" s="7">
        <v>550.0</v>
      </c>
      <c r="G159" s="7">
        <v>530.0</v>
      </c>
      <c r="H159" s="8">
        <f t="shared" si="4"/>
        <v>0.5092592593</v>
      </c>
    </row>
    <row r="160">
      <c r="A160" s="5">
        <v>31403.0</v>
      </c>
      <c r="B160" s="6" t="s">
        <v>177</v>
      </c>
      <c r="C160" s="7">
        <v>2600.0</v>
      </c>
      <c r="D160" s="7">
        <v>2474.0</v>
      </c>
      <c r="E160" s="8">
        <f t="shared" si="3"/>
        <v>0.5124162397</v>
      </c>
      <c r="F160" s="7">
        <v>770.0</v>
      </c>
      <c r="G160" s="7">
        <v>663.0</v>
      </c>
      <c r="H160" s="8">
        <f t="shared" si="4"/>
        <v>0.5373342638</v>
      </c>
    </row>
    <row r="161">
      <c r="A161" s="5">
        <v>31404.0</v>
      </c>
      <c r="B161" s="6" t="s">
        <v>178</v>
      </c>
      <c r="C161" s="7">
        <v>0.0</v>
      </c>
      <c r="D161" s="7">
        <v>0.0</v>
      </c>
      <c r="E161" s="8">
        <f t="shared" si="3"/>
        <v>0</v>
      </c>
      <c r="F161" s="7">
        <v>0.0</v>
      </c>
      <c r="G161" s="7">
        <v>0.0</v>
      </c>
      <c r="H161" s="8">
        <f t="shared" si="4"/>
        <v>0</v>
      </c>
    </row>
    <row r="162">
      <c r="A162" s="5">
        <v>31405.0</v>
      </c>
      <c r="B162" s="6" t="s">
        <v>179</v>
      </c>
      <c r="C162" s="7">
        <v>0.0</v>
      </c>
      <c r="D162" s="7">
        <v>0.0</v>
      </c>
      <c r="E162" s="8">
        <f t="shared" si="3"/>
        <v>0</v>
      </c>
      <c r="F162" s="7">
        <v>0.0</v>
      </c>
      <c r="G162" s="7">
        <v>0.0</v>
      </c>
      <c r="H162" s="8">
        <f t="shared" si="4"/>
        <v>0</v>
      </c>
    </row>
    <row r="163">
      <c r="A163" s="5">
        <v>31501.0</v>
      </c>
      <c r="B163" s="6" t="s">
        <v>180</v>
      </c>
      <c r="C163" s="7">
        <v>0.0</v>
      </c>
      <c r="D163" s="7">
        <v>0.0</v>
      </c>
      <c r="E163" s="8">
        <f t="shared" si="3"/>
        <v>0</v>
      </c>
      <c r="F163" s="7">
        <v>0.0</v>
      </c>
      <c r="G163" s="7">
        <v>0.0</v>
      </c>
      <c r="H163" s="8">
        <f t="shared" si="4"/>
        <v>0</v>
      </c>
    </row>
    <row r="164">
      <c r="A164" s="5">
        <v>31601.0</v>
      </c>
      <c r="B164" s="6" t="s">
        <v>181</v>
      </c>
      <c r="C164" s="7">
        <v>1747.0</v>
      </c>
      <c r="D164" s="7">
        <v>2488.0</v>
      </c>
      <c r="E164" s="8">
        <f t="shared" si="3"/>
        <v>0.412514758</v>
      </c>
      <c r="F164" s="7">
        <v>1393.0</v>
      </c>
      <c r="G164" s="7">
        <v>1461.0</v>
      </c>
      <c r="H164" s="8">
        <f t="shared" si="4"/>
        <v>0.4880868956</v>
      </c>
    </row>
    <row r="165">
      <c r="A165" s="5">
        <v>31602.0</v>
      </c>
      <c r="B165" s="6" t="s">
        <v>182</v>
      </c>
      <c r="C165" s="7">
        <v>79.0</v>
      </c>
      <c r="D165" s="7">
        <v>151.0</v>
      </c>
      <c r="E165" s="8">
        <f t="shared" si="3"/>
        <v>0.3434782609</v>
      </c>
      <c r="F165" s="7">
        <v>33.0</v>
      </c>
      <c r="G165" s="7">
        <v>77.0</v>
      </c>
      <c r="H165" s="8">
        <f t="shared" si="4"/>
        <v>0.3</v>
      </c>
    </row>
    <row r="166">
      <c r="A166" s="5">
        <v>40101.0</v>
      </c>
      <c r="B166" s="6" t="s">
        <v>16</v>
      </c>
      <c r="C166" s="7">
        <v>3.0</v>
      </c>
      <c r="D166" s="7">
        <v>0.0</v>
      </c>
      <c r="E166" s="8">
        <f t="shared" si="3"/>
        <v>1</v>
      </c>
      <c r="F166" s="7">
        <v>0.0</v>
      </c>
      <c r="G166" s="7">
        <v>0.0</v>
      </c>
      <c r="H166" s="8">
        <f t="shared" si="4"/>
        <v>0</v>
      </c>
    </row>
    <row r="167">
      <c r="A167" s="5">
        <v>40102.0</v>
      </c>
      <c r="B167" s="6" t="s">
        <v>183</v>
      </c>
      <c r="C167" s="7">
        <v>4948.0</v>
      </c>
      <c r="D167" s="7">
        <v>7379.0</v>
      </c>
      <c r="E167" s="8">
        <f t="shared" si="3"/>
        <v>0.4013953111</v>
      </c>
      <c r="F167" s="7">
        <v>1129.0</v>
      </c>
      <c r="G167" s="7">
        <v>1617.0</v>
      </c>
      <c r="H167" s="8">
        <f t="shared" si="4"/>
        <v>0.4111434814</v>
      </c>
    </row>
    <row r="168">
      <c r="A168" s="5">
        <v>40103.0</v>
      </c>
      <c r="B168" s="6" t="s">
        <v>184</v>
      </c>
      <c r="C168" s="7">
        <v>2.0</v>
      </c>
      <c r="D168" s="7">
        <v>6.0</v>
      </c>
      <c r="E168" s="8">
        <f t="shared" si="3"/>
        <v>0.25</v>
      </c>
      <c r="F168" s="7">
        <v>0.0</v>
      </c>
      <c r="G168" s="7">
        <v>0.0</v>
      </c>
      <c r="H168" s="8">
        <f t="shared" si="4"/>
        <v>0</v>
      </c>
    </row>
    <row r="169">
      <c r="A169" s="5">
        <v>40104.0</v>
      </c>
      <c r="B169" s="6" t="s">
        <v>185</v>
      </c>
      <c r="C169" s="7">
        <v>3146.0</v>
      </c>
      <c r="D169" s="7">
        <v>4410.0</v>
      </c>
      <c r="E169" s="8">
        <f t="shared" si="3"/>
        <v>0.4163578613</v>
      </c>
      <c r="F169" s="7">
        <v>60.0</v>
      </c>
      <c r="G169" s="7">
        <v>80.0</v>
      </c>
      <c r="H169" s="8">
        <f t="shared" si="4"/>
        <v>0.4285714286</v>
      </c>
    </row>
    <row r="170">
      <c r="A170" s="5">
        <v>40201.0</v>
      </c>
      <c r="B170" s="6" t="s">
        <v>186</v>
      </c>
      <c r="C170" s="7">
        <v>181.0</v>
      </c>
      <c r="D170" s="7">
        <v>207.0</v>
      </c>
      <c r="E170" s="8">
        <f t="shared" si="3"/>
        <v>0.4664948454</v>
      </c>
      <c r="F170" s="7">
        <v>1.0</v>
      </c>
      <c r="G170" s="7">
        <v>0.0</v>
      </c>
      <c r="H170" s="8">
        <f t="shared" si="4"/>
        <v>1</v>
      </c>
    </row>
    <row r="171">
      <c r="A171" s="5">
        <v>40202.0</v>
      </c>
      <c r="B171" s="6" t="s">
        <v>187</v>
      </c>
      <c r="C171" s="7">
        <v>2.0</v>
      </c>
      <c r="D171" s="7">
        <v>4.0</v>
      </c>
      <c r="E171" s="8">
        <f t="shared" si="3"/>
        <v>0.3333333333</v>
      </c>
      <c r="F171" s="7">
        <v>0.0</v>
      </c>
      <c r="G171" s="7">
        <v>0.0</v>
      </c>
      <c r="H171" s="8">
        <f t="shared" si="4"/>
        <v>0</v>
      </c>
    </row>
    <row r="172">
      <c r="A172" s="5">
        <v>40301.0</v>
      </c>
      <c r="B172" s="6" t="s">
        <v>188</v>
      </c>
      <c r="C172" s="7">
        <v>0.0</v>
      </c>
      <c r="D172" s="7">
        <v>0.0</v>
      </c>
      <c r="E172" s="8">
        <f t="shared" si="3"/>
        <v>0</v>
      </c>
      <c r="F172" s="7">
        <v>0.0</v>
      </c>
      <c r="G172" s="7">
        <v>0.0</v>
      </c>
      <c r="H172" s="8">
        <f t="shared" si="4"/>
        <v>0</v>
      </c>
    </row>
    <row r="173">
      <c r="A173" s="5">
        <v>40302.0</v>
      </c>
      <c r="B173" s="6" t="s">
        <v>189</v>
      </c>
      <c r="C173" s="7">
        <v>0.0</v>
      </c>
      <c r="D173" s="7">
        <v>0.0</v>
      </c>
      <c r="E173" s="8">
        <f t="shared" si="3"/>
        <v>0</v>
      </c>
      <c r="F173" s="7">
        <v>0.0</v>
      </c>
      <c r="G173" s="7">
        <v>0.0</v>
      </c>
      <c r="H173" s="8">
        <f t="shared" si="4"/>
        <v>0</v>
      </c>
    </row>
    <row r="174">
      <c r="A174" s="5">
        <v>40401.0</v>
      </c>
      <c r="B174" s="6" t="s">
        <v>190</v>
      </c>
      <c r="C174" s="7">
        <v>0.0</v>
      </c>
      <c r="D174" s="7">
        <v>0.0</v>
      </c>
      <c r="E174" s="8">
        <f t="shared" si="3"/>
        <v>0</v>
      </c>
      <c r="F174" s="7">
        <v>0.0</v>
      </c>
      <c r="G174" s="7">
        <v>0.0</v>
      </c>
      <c r="H174" s="8">
        <f t="shared" si="4"/>
        <v>0</v>
      </c>
    </row>
    <row r="175">
      <c r="A175" s="5">
        <v>40402.0</v>
      </c>
      <c r="B175" s="6" t="s">
        <v>191</v>
      </c>
      <c r="C175" s="7">
        <v>0.0</v>
      </c>
      <c r="D175" s="7">
        <v>0.0</v>
      </c>
      <c r="E175" s="8">
        <f t="shared" si="3"/>
        <v>0</v>
      </c>
      <c r="F175" s="7">
        <v>0.0</v>
      </c>
      <c r="G175" s="7">
        <v>0.0</v>
      </c>
      <c r="H175" s="8">
        <f t="shared" si="4"/>
        <v>0</v>
      </c>
    </row>
    <row r="176">
      <c r="A176" s="5">
        <v>40501.0</v>
      </c>
      <c r="B176" s="6" t="s">
        <v>192</v>
      </c>
      <c r="C176" s="7">
        <v>0.0</v>
      </c>
      <c r="D176" s="7">
        <v>0.0</v>
      </c>
      <c r="E176" s="8">
        <f t="shared" si="3"/>
        <v>0</v>
      </c>
      <c r="F176" s="7">
        <v>0.0</v>
      </c>
      <c r="G176" s="7">
        <v>0.0</v>
      </c>
      <c r="H176" s="8">
        <f t="shared" si="4"/>
        <v>0</v>
      </c>
    </row>
    <row r="177">
      <c r="A177" s="5">
        <v>40502.0</v>
      </c>
      <c r="B177" s="6" t="s">
        <v>193</v>
      </c>
      <c r="C177" s="7">
        <v>0.0</v>
      </c>
      <c r="D177" s="7">
        <v>0.0</v>
      </c>
      <c r="E177" s="8">
        <f t="shared" si="3"/>
        <v>0</v>
      </c>
      <c r="F177" s="7">
        <v>0.0</v>
      </c>
      <c r="G177" s="7">
        <v>0.0</v>
      </c>
      <c r="H177" s="8">
        <f t="shared" si="4"/>
        <v>0</v>
      </c>
    </row>
    <row r="178">
      <c r="A178" s="5">
        <v>40503.0</v>
      </c>
      <c r="B178" s="6" t="s">
        <v>194</v>
      </c>
      <c r="C178" s="7">
        <v>0.0</v>
      </c>
      <c r="D178" s="7">
        <v>0.0</v>
      </c>
      <c r="E178" s="8">
        <f t="shared" si="3"/>
        <v>0</v>
      </c>
      <c r="F178" s="7">
        <v>0.0</v>
      </c>
      <c r="G178" s="7">
        <v>0.0</v>
      </c>
      <c r="H178" s="8">
        <f t="shared" si="4"/>
        <v>0</v>
      </c>
    </row>
    <row r="179">
      <c r="A179" s="5">
        <v>40504.0</v>
      </c>
      <c r="B179" s="6" t="s">
        <v>195</v>
      </c>
      <c r="C179" s="7">
        <v>0.0</v>
      </c>
      <c r="D179" s="7">
        <v>0.0</v>
      </c>
      <c r="E179" s="8">
        <f t="shared" si="3"/>
        <v>0</v>
      </c>
      <c r="F179" s="7">
        <v>0.0</v>
      </c>
      <c r="G179" s="7">
        <v>0.0</v>
      </c>
      <c r="H179" s="8">
        <f t="shared" si="4"/>
        <v>0</v>
      </c>
    </row>
    <row r="180">
      <c r="A180" s="5">
        <v>40505.0</v>
      </c>
      <c r="B180" s="6" t="s">
        <v>196</v>
      </c>
      <c r="C180" s="7">
        <v>0.0</v>
      </c>
      <c r="D180" s="7">
        <v>0.0</v>
      </c>
      <c r="E180" s="8">
        <f t="shared" si="3"/>
        <v>0</v>
      </c>
      <c r="F180" s="7">
        <v>0.0</v>
      </c>
      <c r="G180" s="7">
        <v>0.0</v>
      </c>
      <c r="H180" s="8">
        <f t="shared" si="4"/>
        <v>0</v>
      </c>
    </row>
    <row r="181">
      <c r="A181" s="5">
        <v>40601.0</v>
      </c>
      <c r="B181" s="6" t="s">
        <v>197</v>
      </c>
      <c r="C181" s="7">
        <v>22.0</v>
      </c>
      <c r="D181" s="7">
        <v>23.0</v>
      </c>
      <c r="E181" s="8">
        <f t="shared" si="3"/>
        <v>0.4888888889</v>
      </c>
      <c r="F181" s="7">
        <v>0.0</v>
      </c>
      <c r="G181" s="7">
        <v>0.0</v>
      </c>
      <c r="H181" s="8">
        <f t="shared" si="4"/>
        <v>0</v>
      </c>
    </row>
    <row r="182">
      <c r="A182" s="5">
        <v>40602.0</v>
      </c>
      <c r="B182" s="6" t="s">
        <v>198</v>
      </c>
      <c r="C182" s="7">
        <v>126.0</v>
      </c>
      <c r="D182" s="7">
        <v>130.0</v>
      </c>
      <c r="E182" s="8">
        <f t="shared" si="3"/>
        <v>0.4921875</v>
      </c>
      <c r="F182" s="7">
        <v>0.0</v>
      </c>
      <c r="G182" s="7">
        <v>0.0</v>
      </c>
      <c r="H182" s="8">
        <f t="shared" si="4"/>
        <v>0</v>
      </c>
    </row>
    <row r="183">
      <c r="A183" s="5">
        <v>40603.0</v>
      </c>
      <c r="B183" s="6" t="s">
        <v>199</v>
      </c>
      <c r="C183" s="7">
        <v>0.0</v>
      </c>
      <c r="D183" s="7">
        <v>0.0</v>
      </c>
      <c r="E183" s="8">
        <f t="shared" si="3"/>
        <v>0</v>
      </c>
      <c r="F183" s="7">
        <v>0.0</v>
      </c>
      <c r="G183" s="7">
        <v>0.0</v>
      </c>
      <c r="H183" s="8">
        <f t="shared" si="4"/>
        <v>0</v>
      </c>
    </row>
    <row r="184">
      <c r="A184" s="5">
        <v>40701.0</v>
      </c>
      <c r="B184" s="6" t="s">
        <v>200</v>
      </c>
      <c r="C184" s="7">
        <v>0.0</v>
      </c>
      <c r="D184" s="7">
        <v>0.0</v>
      </c>
      <c r="E184" s="8">
        <f t="shared" si="3"/>
        <v>0</v>
      </c>
      <c r="F184" s="7">
        <v>0.0</v>
      </c>
      <c r="G184" s="7">
        <v>0.0</v>
      </c>
      <c r="H184" s="8">
        <f t="shared" si="4"/>
        <v>0</v>
      </c>
    </row>
    <row r="185">
      <c r="A185" s="5">
        <v>40702.0</v>
      </c>
      <c r="B185" s="6" t="s">
        <v>201</v>
      </c>
      <c r="C185" s="7">
        <v>0.0</v>
      </c>
      <c r="D185" s="7">
        <v>0.0</v>
      </c>
      <c r="E185" s="8">
        <f t="shared" si="3"/>
        <v>0</v>
      </c>
      <c r="F185" s="7">
        <v>1.0</v>
      </c>
      <c r="G185" s="7">
        <v>0.0</v>
      </c>
      <c r="H185" s="8">
        <f t="shared" si="4"/>
        <v>1</v>
      </c>
    </row>
    <row r="186">
      <c r="A186" s="5">
        <v>40801.0</v>
      </c>
      <c r="B186" s="6" t="s">
        <v>202</v>
      </c>
      <c r="C186" s="7">
        <v>0.0</v>
      </c>
      <c r="D186" s="7">
        <v>0.0</v>
      </c>
      <c r="E186" s="8">
        <f t="shared" si="3"/>
        <v>0</v>
      </c>
      <c r="F186" s="7">
        <v>0.0</v>
      </c>
      <c r="G186" s="7">
        <v>0.0</v>
      </c>
      <c r="H186" s="8">
        <f t="shared" si="4"/>
        <v>0</v>
      </c>
    </row>
    <row r="187">
      <c r="A187" s="5">
        <v>40802.0</v>
      </c>
      <c r="B187" s="6" t="s">
        <v>203</v>
      </c>
      <c r="C187" s="7">
        <v>0.0</v>
      </c>
      <c r="D187" s="7">
        <v>0.0</v>
      </c>
      <c r="E187" s="8">
        <f t="shared" si="3"/>
        <v>0</v>
      </c>
      <c r="F187" s="7">
        <v>0.0</v>
      </c>
      <c r="G187" s="7">
        <v>0.0</v>
      </c>
      <c r="H187" s="8">
        <f t="shared" si="4"/>
        <v>0</v>
      </c>
    </row>
    <row r="188">
      <c r="A188" s="5">
        <v>40901.0</v>
      </c>
      <c r="B188" s="6" t="s">
        <v>204</v>
      </c>
      <c r="C188" s="7">
        <v>0.0</v>
      </c>
      <c r="D188" s="7">
        <v>0.0</v>
      </c>
      <c r="E188" s="8">
        <f t="shared" si="3"/>
        <v>0</v>
      </c>
      <c r="F188" s="7">
        <v>0.0</v>
      </c>
      <c r="G188" s="7">
        <v>0.0</v>
      </c>
      <c r="H188" s="8">
        <f t="shared" si="4"/>
        <v>0</v>
      </c>
    </row>
    <row r="189">
      <c r="A189" s="5">
        <v>40902.0</v>
      </c>
      <c r="B189" s="6" t="s">
        <v>205</v>
      </c>
      <c r="C189" s="7">
        <v>0.0</v>
      </c>
      <c r="D189" s="7">
        <v>0.0</v>
      </c>
      <c r="E189" s="8">
        <f t="shared" si="3"/>
        <v>0</v>
      </c>
      <c r="F189" s="7">
        <v>0.0</v>
      </c>
      <c r="G189" s="7">
        <v>0.0</v>
      </c>
      <c r="H189" s="8">
        <f t="shared" si="4"/>
        <v>0</v>
      </c>
    </row>
    <row r="190">
      <c r="A190" s="5">
        <v>40903.0</v>
      </c>
      <c r="B190" s="6" t="s">
        <v>206</v>
      </c>
      <c r="C190" s="7">
        <v>0.0</v>
      </c>
      <c r="D190" s="7">
        <v>0.0</v>
      </c>
      <c r="E190" s="8">
        <f t="shared" si="3"/>
        <v>0</v>
      </c>
      <c r="F190" s="7">
        <v>0.0</v>
      </c>
      <c r="G190" s="7">
        <v>0.0</v>
      </c>
      <c r="H190" s="8">
        <f t="shared" si="4"/>
        <v>0</v>
      </c>
    </row>
    <row r="191">
      <c r="A191" s="5">
        <v>41001.0</v>
      </c>
      <c r="B191" s="6" t="s">
        <v>207</v>
      </c>
      <c r="C191" s="7">
        <v>0.0</v>
      </c>
      <c r="D191" s="7">
        <v>2.0</v>
      </c>
      <c r="E191" s="8">
        <f t="shared" si="3"/>
        <v>0</v>
      </c>
      <c r="F191" s="7">
        <v>0.0</v>
      </c>
      <c r="G191" s="7">
        <v>0.0</v>
      </c>
      <c r="H191" s="8">
        <f t="shared" si="4"/>
        <v>0</v>
      </c>
    </row>
    <row r="192">
      <c r="A192" s="5">
        <v>41101.0</v>
      </c>
      <c r="B192" s="6" t="s">
        <v>208</v>
      </c>
      <c r="C192" s="7">
        <v>2138.0</v>
      </c>
      <c r="D192" s="7">
        <v>2137.0</v>
      </c>
      <c r="E192" s="8">
        <f t="shared" si="3"/>
        <v>0.5001169591</v>
      </c>
      <c r="F192" s="7">
        <v>13.0</v>
      </c>
      <c r="G192" s="7">
        <v>43.0</v>
      </c>
      <c r="H192" s="8">
        <f t="shared" si="4"/>
        <v>0.2321428571</v>
      </c>
    </row>
    <row r="193">
      <c r="A193" s="5">
        <v>41201.0</v>
      </c>
      <c r="B193" s="6" t="s">
        <v>209</v>
      </c>
      <c r="C193" s="7">
        <v>0.0</v>
      </c>
      <c r="D193" s="7">
        <v>0.0</v>
      </c>
      <c r="E193" s="8">
        <f t="shared" si="3"/>
        <v>0</v>
      </c>
      <c r="F193" s="7">
        <v>0.0</v>
      </c>
      <c r="G193" s="7">
        <v>0.0</v>
      </c>
      <c r="H193" s="8">
        <f t="shared" si="4"/>
        <v>0</v>
      </c>
    </row>
    <row r="194">
      <c r="A194" s="5">
        <v>41202.0</v>
      </c>
      <c r="B194" s="6" t="s">
        <v>210</v>
      </c>
      <c r="C194" s="7">
        <v>0.0</v>
      </c>
      <c r="D194" s="7">
        <v>0.0</v>
      </c>
      <c r="E194" s="8">
        <f t="shared" si="3"/>
        <v>0</v>
      </c>
      <c r="F194" s="7">
        <v>0.0</v>
      </c>
      <c r="G194" s="7">
        <v>0.0</v>
      </c>
      <c r="H194" s="8">
        <f t="shared" si="4"/>
        <v>0</v>
      </c>
    </row>
    <row r="195">
      <c r="A195" s="5">
        <v>41301.0</v>
      </c>
      <c r="B195" s="6" t="s">
        <v>165</v>
      </c>
      <c r="C195" s="7">
        <v>10.0</v>
      </c>
      <c r="D195" s="7">
        <v>8.0</v>
      </c>
      <c r="E195" s="8">
        <f t="shared" si="3"/>
        <v>0.5555555556</v>
      </c>
      <c r="F195" s="7">
        <v>0.0</v>
      </c>
      <c r="G195" s="7">
        <v>0.0</v>
      </c>
      <c r="H195" s="8">
        <f t="shared" si="4"/>
        <v>0</v>
      </c>
    </row>
    <row r="196">
      <c r="A196" s="5">
        <v>41401.0</v>
      </c>
      <c r="B196" s="6" t="s">
        <v>211</v>
      </c>
      <c r="C196" s="7">
        <v>0.0</v>
      </c>
      <c r="D196" s="7">
        <v>1.0</v>
      </c>
      <c r="E196" s="8">
        <f t="shared" si="3"/>
        <v>0</v>
      </c>
      <c r="F196" s="7">
        <v>0.0</v>
      </c>
      <c r="G196" s="7">
        <v>0.0</v>
      </c>
      <c r="H196" s="8">
        <f t="shared" si="4"/>
        <v>0</v>
      </c>
    </row>
    <row r="197">
      <c r="A197" s="5">
        <v>41501.0</v>
      </c>
      <c r="B197" s="6" t="s">
        <v>212</v>
      </c>
      <c r="C197" s="7">
        <v>0.0</v>
      </c>
      <c r="D197" s="7">
        <v>0.0</v>
      </c>
      <c r="E197" s="8">
        <f t="shared" si="3"/>
        <v>0</v>
      </c>
      <c r="F197" s="7">
        <v>0.0</v>
      </c>
      <c r="G197" s="7">
        <v>0.0</v>
      </c>
      <c r="H197" s="8">
        <f t="shared" si="4"/>
        <v>0</v>
      </c>
    </row>
    <row r="198">
      <c r="A198" s="5">
        <v>41502.0</v>
      </c>
      <c r="B198" s="6" t="s">
        <v>213</v>
      </c>
      <c r="C198" s="7">
        <v>0.0</v>
      </c>
      <c r="D198" s="7">
        <v>0.0</v>
      </c>
      <c r="E198" s="8">
        <f t="shared" si="3"/>
        <v>0</v>
      </c>
      <c r="F198" s="7">
        <v>0.0</v>
      </c>
      <c r="G198" s="7">
        <v>0.0</v>
      </c>
      <c r="H198" s="8">
        <f t="shared" si="4"/>
        <v>0</v>
      </c>
    </row>
    <row r="199">
      <c r="A199" s="5">
        <v>41503.0</v>
      </c>
      <c r="B199" s="6" t="s">
        <v>214</v>
      </c>
      <c r="C199" s="7">
        <v>0.0</v>
      </c>
      <c r="D199" s="7">
        <v>0.0</v>
      </c>
      <c r="E199" s="8">
        <f t="shared" si="3"/>
        <v>0</v>
      </c>
      <c r="F199" s="7">
        <v>0.0</v>
      </c>
      <c r="G199" s="7">
        <v>0.0</v>
      </c>
      <c r="H199" s="8">
        <f t="shared" si="4"/>
        <v>0</v>
      </c>
    </row>
    <row r="200">
      <c r="A200" s="5">
        <v>41601.0</v>
      </c>
      <c r="B200" s="6" t="s">
        <v>215</v>
      </c>
      <c r="C200" s="7">
        <v>0.0</v>
      </c>
      <c r="D200" s="7">
        <v>0.0</v>
      </c>
      <c r="E200" s="8">
        <f t="shared" si="3"/>
        <v>0</v>
      </c>
      <c r="F200" s="7">
        <v>0.0</v>
      </c>
      <c r="G200" s="7">
        <v>0.0</v>
      </c>
      <c r="H200" s="8">
        <f t="shared" si="4"/>
        <v>0</v>
      </c>
    </row>
    <row r="201">
      <c r="A201" s="5">
        <v>50101.0</v>
      </c>
      <c r="B201" s="6" t="s">
        <v>18</v>
      </c>
      <c r="C201" s="7">
        <v>3.0</v>
      </c>
      <c r="D201" s="7">
        <v>4.0</v>
      </c>
      <c r="E201" s="8">
        <f t="shared" si="3"/>
        <v>0.4285714286</v>
      </c>
      <c r="F201" s="7">
        <v>370.0</v>
      </c>
      <c r="G201" s="7">
        <v>546.0</v>
      </c>
      <c r="H201" s="8">
        <f t="shared" si="4"/>
        <v>0.403930131</v>
      </c>
    </row>
    <row r="202">
      <c r="A202" s="5">
        <v>50102.0</v>
      </c>
      <c r="B202" s="6" t="s">
        <v>216</v>
      </c>
      <c r="C202" s="7">
        <v>0.0</v>
      </c>
      <c r="D202" s="7">
        <v>0.0</v>
      </c>
      <c r="E202" s="8">
        <f t="shared" si="3"/>
        <v>0</v>
      </c>
      <c r="F202" s="7">
        <v>0.0</v>
      </c>
      <c r="G202" s="7">
        <v>0.0</v>
      </c>
      <c r="H202" s="8">
        <f t="shared" si="4"/>
        <v>0</v>
      </c>
    </row>
    <row r="203">
      <c r="A203" s="5">
        <v>50103.0</v>
      </c>
      <c r="B203" s="6" t="s">
        <v>217</v>
      </c>
      <c r="C203" s="7">
        <v>8.0</v>
      </c>
      <c r="D203" s="7">
        <v>10.0</v>
      </c>
      <c r="E203" s="8">
        <f t="shared" si="3"/>
        <v>0.4444444444</v>
      </c>
      <c r="F203" s="7">
        <v>368.0</v>
      </c>
      <c r="G203" s="7">
        <v>365.0</v>
      </c>
      <c r="H203" s="8">
        <f t="shared" si="4"/>
        <v>0.5020463847</v>
      </c>
    </row>
    <row r="204">
      <c r="A204" s="5">
        <v>50104.0</v>
      </c>
      <c r="B204" s="6" t="s">
        <v>218</v>
      </c>
      <c r="C204" s="7">
        <v>0.0</v>
      </c>
      <c r="D204" s="7">
        <v>0.0</v>
      </c>
      <c r="E204" s="8">
        <f t="shared" si="3"/>
        <v>0</v>
      </c>
      <c r="F204" s="7">
        <v>0.0</v>
      </c>
      <c r="G204" s="7">
        <v>0.0</v>
      </c>
      <c r="H204" s="8">
        <f t="shared" si="4"/>
        <v>0</v>
      </c>
    </row>
    <row r="205">
      <c r="A205" s="5">
        <v>50201.0</v>
      </c>
      <c r="B205" s="6" t="s">
        <v>219</v>
      </c>
      <c r="C205" s="7">
        <v>0.0</v>
      </c>
      <c r="D205" s="7">
        <v>0.0</v>
      </c>
      <c r="E205" s="8">
        <f t="shared" si="3"/>
        <v>0</v>
      </c>
      <c r="F205" s="7">
        <v>0.0</v>
      </c>
      <c r="G205" s="7">
        <v>0.0</v>
      </c>
      <c r="H205" s="8">
        <f t="shared" si="4"/>
        <v>0</v>
      </c>
    </row>
    <row r="206">
      <c r="A206" s="5">
        <v>50202.0</v>
      </c>
      <c r="B206" s="6" t="s">
        <v>220</v>
      </c>
      <c r="C206" s="7">
        <v>0.0</v>
      </c>
      <c r="D206" s="7">
        <v>0.0</v>
      </c>
      <c r="E206" s="8">
        <f t="shared" si="3"/>
        <v>0</v>
      </c>
      <c r="F206" s="7">
        <v>0.0</v>
      </c>
      <c r="G206" s="7">
        <v>0.0</v>
      </c>
      <c r="H206" s="8">
        <f t="shared" si="4"/>
        <v>0</v>
      </c>
    </row>
    <row r="207">
      <c r="A207" s="5">
        <v>50203.0</v>
      </c>
      <c r="B207" s="6" t="s">
        <v>221</v>
      </c>
      <c r="C207" s="7">
        <v>0.0</v>
      </c>
      <c r="D207" s="7">
        <v>0.0</v>
      </c>
      <c r="E207" s="8">
        <f t="shared" si="3"/>
        <v>0</v>
      </c>
      <c r="F207" s="7">
        <v>0.0</v>
      </c>
      <c r="G207" s="7">
        <v>0.0</v>
      </c>
      <c r="H207" s="8">
        <f t="shared" si="4"/>
        <v>0</v>
      </c>
    </row>
    <row r="208">
      <c r="A208" s="5">
        <v>50204.0</v>
      </c>
      <c r="B208" s="6" t="s">
        <v>222</v>
      </c>
      <c r="C208" s="7">
        <v>0.0</v>
      </c>
      <c r="D208" s="7">
        <v>0.0</v>
      </c>
      <c r="E208" s="8">
        <f t="shared" si="3"/>
        <v>0</v>
      </c>
      <c r="F208" s="7">
        <v>0.0</v>
      </c>
      <c r="G208" s="7">
        <v>0.0</v>
      </c>
      <c r="H208" s="8">
        <f t="shared" si="4"/>
        <v>0</v>
      </c>
    </row>
    <row r="209">
      <c r="A209" s="5">
        <v>50301.0</v>
      </c>
      <c r="B209" s="6" t="s">
        <v>223</v>
      </c>
      <c r="C209" s="7">
        <v>54.0</v>
      </c>
      <c r="D209" s="7">
        <v>87.0</v>
      </c>
      <c r="E209" s="8">
        <f t="shared" si="3"/>
        <v>0.3829787234</v>
      </c>
      <c r="F209" s="7">
        <v>875.0</v>
      </c>
      <c r="G209" s="7">
        <v>1043.0</v>
      </c>
      <c r="H209" s="8">
        <f t="shared" si="4"/>
        <v>0.4562043796</v>
      </c>
    </row>
    <row r="210">
      <c r="A210" s="5">
        <v>50302.0</v>
      </c>
      <c r="B210" s="6" t="s">
        <v>224</v>
      </c>
      <c r="C210" s="7">
        <v>0.0</v>
      </c>
      <c r="D210" s="7">
        <v>2.0</v>
      </c>
      <c r="E210" s="8">
        <f t="shared" si="3"/>
        <v>0</v>
      </c>
      <c r="F210" s="7">
        <v>0.0</v>
      </c>
      <c r="G210" s="7">
        <v>0.0</v>
      </c>
      <c r="H210" s="8">
        <f t="shared" si="4"/>
        <v>0</v>
      </c>
    </row>
    <row r="211">
      <c r="A211" s="5">
        <v>50303.0</v>
      </c>
      <c r="B211" s="6" t="s">
        <v>225</v>
      </c>
      <c r="C211" s="7">
        <v>0.0</v>
      </c>
      <c r="D211" s="7">
        <v>0.0</v>
      </c>
      <c r="E211" s="8">
        <f t="shared" si="3"/>
        <v>0</v>
      </c>
      <c r="F211" s="7">
        <v>280.0</v>
      </c>
      <c r="G211" s="7">
        <v>306.0</v>
      </c>
      <c r="H211" s="8">
        <f t="shared" si="4"/>
        <v>0.4778156997</v>
      </c>
    </row>
    <row r="212">
      <c r="A212" s="5">
        <v>50401.0</v>
      </c>
      <c r="B212" s="6" t="s">
        <v>226</v>
      </c>
      <c r="C212" s="7">
        <v>0.0</v>
      </c>
      <c r="D212" s="7">
        <v>0.0</v>
      </c>
      <c r="E212" s="8">
        <f t="shared" si="3"/>
        <v>0</v>
      </c>
      <c r="F212" s="7">
        <v>0.0</v>
      </c>
      <c r="G212" s="7">
        <v>0.0</v>
      </c>
      <c r="H212" s="8">
        <f t="shared" si="4"/>
        <v>0</v>
      </c>
    </row>
    <row r="213">
      <c r="A213" s="5">
        <v>50402.0</v>
      </c>
      <c r="B213" s="6" t="s">
        <v>227</v>
      </c>
      <c r="C213" s="7">
        <v>1206.0</v>
      </c>
      <c r="D213" s="7">
        <v>1428.0</v>
      </c>
      <c r="E213" s="8">
        <f t="shared" si="3"/>
        <v>0.4578587699</v>
      </c>
      <c r="F213" s="7">
        <v>175.0</v>
      </c>
      <c r="G213" s="7">
        <v>261.0</v>
      </c>
      <c r="H213" s="8">
        <f t="shared" si="4"/>
        <v>0.4013761468</v>
      </c>
    </row>
    <row r="214">
      <c r="A214" s="5">
        <v>50403.0</v>
      </c>
      <c r="B214" s="6" t="s">
        <v>228</v>
      </c>
      <c r="C214" s="7">
        <v>0.0</v>
      </c>
      <c r="D214" s="7">
        <v>0.0</v>
      </c>
      <c r="E214" s="8">
        <f t="shared" si="3"/>
        <v>0</v>
      </c>
      <c r="F214" s="7">
        <v>1600.0</v>
      </c>
      <c r="G214" s="7">
        <v>3464.0</v>
      </c>
      <c r="H214" s="8">
        <f t="shared" si="4"/>
        <v>0.3159557662</v>
      </c>
    </row>
    <row r="215">
      <c r="A215" s="5">
        <v>50404.0</v>
      </c>
      <c r="B215" s="6" t="s">
        <v>229</v>
      </c>
      <c r="C215" s="7">
        <v>0.0</v>
      </c>
      <c r="D215" s="7">
        <v>0.0</v>
      </c>
      <c r="E215" s="8">
        <f t="shared" si="3"/>
        <v>0</v>
      </c>
      <c r="F215" s="7">
        <v>0.0</v>
      </c>
      <c r="G215" s="7">
        <v>0.0</v>
      </c>
      <c r="H215" s="8">
        <f t="shared" si="4"/>
        <v>0</v>
      </c>
    </row>
    <row r="216">
      <c r="A216" s="5">
        <v>50405.0</v>
      </c>
      <c r="B216" s="6" t="s">
        <v>230</v>
      </c>
      <c r="C216" s="7">
        <v>0.0</v>
      </c>
      <c r="D216" s="7">
        <v>0.0</v>
      </c>
      <c r="E216" s="8">
        <f t="shared" si="3"/>
        <v>0</v>
      </c>
      <c r="F216" s="7">
        <v>12.0</v>
      </c>
      <c r="G216" s="7">
        <v>29.0</v>
      </c>
      <c r="H216" s="8">
        <f t="shared" si="4"/>
        <v>0.2926829268</v>
      </c>
    </row>
    <row r="217">
      <c r="A217" s="5">
        <v>50501.0</v>
      </c>
      <c r="B217" s="6" t="s">
        <v>231</v>
      </c>
      <c r="C217" s="7">
        <v>3.0</v>
      </c>
      <c r="D217" s="7">
        <v>5.0</v>
      </c>
      <c r="E217" s="8">
        <f t="shared" si="3"/>
        <v>0.375</v>
      </c>
      <c r="F217" s="7">
        <v>0.0</v>
      </c>
      <c r="G217" s="7">
        <v>0.0</v>
      </c>
      <c r="H217" s="8">
        <f t="shared" si="4"/>
        <v>0</v>
      </c>
    </row>
    <row r="218">
      <c r="A218" s="5">
        <v>50502.0</v>
      </c>
      <c r="B218" s="6" t="s">
        <v>232</v>
      </c>
      <c r="C218" s="7">
        <v>502.0</v>
      </c>
      <c r="D218" s="7">
        <v>781.0</v>
      </c>
      <c r="E218" s="8">
        <f t="shared" si="3"/>
        <v>0.3912704599</v>
      </c>
      <c r="F218" s="7">
        <v>100.0</v>
      </c>
      <c r="G218" s="7">
        <v>91.0</v>
      </c>
      <c r="H218" s="8">
        <f t="shared" si="4"/>
        <v>0.5235602094</v>
      </c>
    </row>
    <row r="219">
      <c r="A219" s="5">
        <v>50601.0</v>
      </c>
      <c r="B219" s="6" t="s">
        <v>233</v>
      </c>
      <c r="C219" s="7">
        <v>2.0</v>
      </c>
      <c r="D219" s="7">
        <v>0.0</v>
      </c>
      <c r="E219" s="8">
        <f t="shared" si="3"/>
        <v>1</v>
      </c>
      <c r="F219" s="7">
        <v>506.0</v>
      </c>
      <c r="G219" s="7">
        <v>687.0</v>
      </c>
      <c r="H219" s="8">
        <f t="shared" si="4"/>
        <v>0.4241408215</v>
      </c>
    </row>
    <row r="220">
      <c r="A220" s="5">
        <v>50602.0</v>
      </c>
      <c r="B220" s="6" t="s">
        <v>234</v>
      </c>
      <c r="C220" s="7">
        <v>1.0</v>
      </c>
      <c r="D220" s="7">
        <v>4.0</v>
      </c>
      <c r="E220" s="8">
        <f t="shared" si="3"/>
        <v>0.2</v>
      </c>
      <c r="F220" s="7">
        <v>0.0</v>
      </c>
      <c r="G220" s="7">
        <v>0.0</v>
      </c>
      <c r="H220" s="8">
        <f t="shared" si="4"/>
        <v>0</v>
      </c>
    </row>
    <row r="221">
      <c r="A221" s="5">
        <v>50701.0</v>
      </c>
      <c r="B221" s="6" t="s">
        <v>235</v>
      </c>
      <c r="C221" s="7">
        <v>388.0</v>
      </c>
      <c r="D221" s="7">
        <v>737.0</v>
      </c>
      <c r="E221" s="8">
        <f t="shared" si="3"/>
        <v>0.3448888889</v>
      </c>
      <c r="F221" s="7">
        <v>0.0</v>
      </c>
      <c r="G221" s="7">
        <v>0.0</v>
      </c>
      <c r="H221" s="8">
        <f t="shared" si="4"/>
        <v>0</v>
      </c>
    </row>
    <row r="222">
      <c r="A222" s="5">
        <v>50702.0</v>
      </c>
      <c r="B222" s="6" t="s">
        <v>236</v>
      </c>
      <c r="C222" s="7">
        <v>0.0</v>
      </c>
      <c r="D222" s="7">
        <v>0.0</v>
      </c>
      <c r="E222" s="8">
        <f t="shared" si="3"/>
        <v>0</v>
      </c>
      <c r="F222" s="7">
        <v>0.0</v>
      </c>
      <c r="G222" s="7">
        <v>0.0</v>
      </c>
      <c r="H222" s="8">
        <f t="shared" si="4"/>
        <v>0</v>
      </c>
    </row>
    <row r="223">
      <c r="A223" s="5">
        <v>50801.0</v>
      </c>
      <c r="B223" s="6" t="s">
        <v>237</v>
      </c>
      <c r="C223" s="7">
        <v>0.0</v>
      </c>
      <c r="D223" s="7">
        <v>0.0</v>
      </c>
      <c r="E223" s="8">
        <f t="shared" si="3"/>
        <v>0</v>
      </c>
      <c r="F223" s="7">
        <v>105.0</v>
      </c>
      <c r="G223" s="7">
        <v>96.0</v>
      </c>
      <c r="H223" s="8">
        <f t="shared" si="4"/>
        <v>0.5223880597</v>
      </c>
    </row>
    <row r="224">
      <c r="A224" s="5">
        <v>50802.0</v>
      </c>
      <c r="B224" s="6" t="s">
        <v>238</v>
      </c>
      <c r="C224" s="7">
        <v>0.0</v>
      </c>
      <c r="D224" s="7">
        <v>0.0</v>
      </c>
      <c r="E224" s="8">
        <f t="shared" si="3"/>
        <v>0</v>
      </c>
      <c r="F224" s="7">
        <v>0.0</v>
      </c>
      <c r="G224" s="7">
        <v>0.0</v>
      </c>
      <c r="H224" s="8">
        <f t="shared" si="4"/>
        <v>0</v>
      </c>
    </row>
    <row r="225">
      <c r="A225" s="5">
        <v>50901.0</v>
      </c>
      <c r="B225" s="6" t="s">
        <v>239</v>
      </c>
      <c r="C225" s="7">
        <v>0.0</v>
      </c>
      <c r="D225" s="7">
        <v>0.0</v>
      </c>
      <c r="E225" s="8">
        <f t="shared" si="3"/>
        <v>0</v>
      </c>
      <c r="F225" s="7">
        <v>0.0</v>
      </c>
      <c r="G225" s="7">
        <v>0.0</v>
      </c>
      <c r="H225" s="8">
        <f t="shared" si="4"/>
        <v>0</v>
      </c>
    </row>
    <row r="226">
      <c r="A226" s="5">
        <v>50902.0</v>
      </c>
      <c r="B226" s="6" t="s">
        <v>240</v>
      </c>
      <c r="C226" s="7">
        <v>0.0</v>
      </c>
      <c r="D226" s="7">
        <v>0.0</v>
      </c>
      <c r="E226" s="8">
        <f t="shared" si="3"/>
        <v>0</v>
      </c>
      <c r="F226" s="7">
        <v>0.0</v>
      </c>
      <c r="G226" s="7">
        <v>0.0</v>
      </c>
      <c r="H226" s="8">
        <f t="shared" si="4"/>
        <v>0</v>
      </c>
    </row>
    <row r="227">
      <c r="A227" s="5">
        <v>51001.0</v>
      </c>
      <c r="B227" s="6" t="s">
        <v>241</v>
      </c>
      <c r="C227" s="7">
        <v>0.0</v>
      </c>
      <c r="D227" s="7">
        <v>0.0</v>
      </c>
      <c r="E227" s="8">
        <f t="shared" si="3"/>
        <v>0</v>
      </c>
      <c r="F227" s="7">
        <v>0.0</v>
      </c>
      <c r="G227" s="7">
        <v>0.0</v>
      </c>
      <c r="H227" s="8">
        <f t="shared" si="4"/>
        <v>0</v>
      </c>
    </row>
    <row r="228">
      <c r="A228" s="5">
        <v>51002.0</v>
      </c>
      <c r="B228" s="6" t="s">
        <v>242</v>
      </c>
      <c r="C228" s="7">
        <v>0.0</v>
      </c>
      <c r="D228" s="7">
        <v>0.0</v>
      </c>
      <c r="E228" s="8">
        <f t="shared" si="3"/>
        <v>0</v>
      </c>
      <c r="F228" s="7">
        <v>0.0</v>
      </c>
      <c r="G228" s="7">
        <v>0.0</v>
      </c>
      <c r="H228" s="8">
        <f t="shared" si="4"/>
        <v>0</v>
      </c>
    </row>
    <row r="229">
      <c r="A229" s="5">
        <v>51003.0</v>
      </c>
      <c r="B229" s="6" t="s">
        <v>243</v>
      </c>
      <c r="C229" s="7">
        <v>0.0</v>
      </c>
      <c r="D229" s="7">
        <v>0.0</v>
      </c>
      <c r="E229" s="8">
        <f t="shared" si="3"/>
        <v>0</v>
      </c>
      <c r="F229" s="7">
        <v>0.0</v>
      </c>
      <c r="G229" s="7">
        <v>0.0</v>
      </c>
      <c r="H229" s="8">
        <f t="shared" si="4"/>
        <v>0</v>
      </c>
    </row>
    <row r="230">
      <c r="A230" s="5">
        <v>51101.0</v>
      </c>
      <c r="B230" s="6" t="s">
        <v>244</v>
      </c>
      <c r="C230" s="7">
        <v>0.0</v>
      </c>
      <c r="D230" s="7">
        <v>5.0</v>
      </c>
      <c r="E230" s="8">
        <f t="shared" si="3"/>
        <v>0</v>
      </c>
      <c r="F230" s="7">
        <v>346.0</v>
      </c>
      <c r="G230" s="7">
        <v>307.0</v>
      </c>
      <c r="H230" s="8">
        <f t="shared" si="4"/>
        <v>0.5298621746</v>
      </c>
    </row>
    <row r="231">
      <c r="A231" s="5">
        <v>51102.0</v>
      </c>
      <c r="B231" s="6" t="s">
        <v>245</v>
      </c>
      <c r="C231" s="7">
        <v>0.0</v>
      </c>
      <c r="D231" s="7">
        <v>0.0</v>
      </c>
      <c r="E231" s="8">
        <f t="shared" si="3"/>
        <v>0</v>
      </c>
      <c r="F231" s="7">
        <v>0.0</v>
      </c>
      <c r="G231" s="7">
        <v>0.0</v>
      </c>
      <c r="H231" s="8">
        <f t="shared" si="4"/>
        <v>0</v>
      </c>
    </row>
    <row r="232">
      <c r="A232" s="5">
        <v>51103.0</v>
      </c>
      <c r="B232" s="6" t="s">
        <v>246</v>
      </c>
      <c r="C232" s="7">
        <v>0.0</v>
      </c>
      <c r="D232" s="7">
        <v>0.0</v>
      </c>
      <c r="E232" s="8">
        <f t="shared" si="3"/>
        <v>0</v>
      </c>
      <c r="F232" s="7">
        <v>503.0</v>
      </c>
      <c r="G232" s="7">
        <v>583.0</v>
      </c>
      <c r="H232" s="8">
        <f t="shared" si="4"/>
        <v>0.4631675875</v>
      </c>
    </row>
    <row r="233">
      <c r="A233" s="5">
        <v>51201.0</v>
      </c>
      <c r="B233" s="6" t="s">
        <v>247</v>
      </c>
      <c r="C233" s="7">
        <v>1.0</v>
      </c>
      <c r="D233" s="7">
        <v>0.0</v>
      </c>
      <c r="E233" s="8">
        <f t="shared" si="3"/>
        <v>1</v>
      </c>
      <c r="F233" s="7">
        <v>0.0</v>
      </c>
      <c r="G233" s="7">
        <v>3.0</v>
      </c>
      <c r="H233" s="8">
        <f t="shared" si="4"/>
        <v>0</v>
      </c>
    </row>
    <row r="234">
      <c r="A234" s="5">
        <v>51202.0</v>
      </c>
      <c r="B234" s="6" t="s">
        <v>248</v>
      </c>
      <c r="C234" s="7">
        <v>0.0</v>
      </c>
      <c r="D234" s="7">
        <v>0.0</v>
      </c>
      <c r="E234" s="8">
        <f t="shared" si="3"/>
        <v>0</v>
      </c>
      <c r="F234" s="7">
        <v>0.0</v>
      </c>
      <c r="G234" s="7">
        <v>0.0</v>
      </c>
      <c r="H234" s="8">
        <f t="shared" si="4"/>
        <v>0</v>
      </c>
    </row>
    <row r="235">
      <c r="A235" s="5">
        <v>51203.0</v>
      </c>
      <c r="B235" s="6" t="s">
        <v>249</v>
      </c>
      <c r="C235" s="7">
        <v>0.0</v>
      </c>
      <c r="D235" s="7">
        <v>0.0</v>
      </c>
      <c r="E235" s="8">
        <f t="shared" si="3"/>
        <v>0</v>
      </c>
      <c r="F235" s="7">
        <v>0.0</v>
      </c>
      <c r="G235" s="7">
        <v>0.0</v>
      </c>
      <c r="H235" s="8">
        <f t="shared" si="4"/>
        <v>0</v>
      </c>
    </row>
    <row r="236">
      <c r="A236" s="5">
        <v>51204.0</v>
      </c>
      <c r="B236" s="6" t="s">
        <v>250</v>
      </c>
      <c r="C236" s="7">
        <v>0.0</v>
      </c>
      <c r="D236" s="7">
        <v>0.0</v>
      </c>
      <c r="E236" s="8">
        <f t="shared" si="3"/>
        <v>0</v>
      </c>
      <c r="F236" s="7">
        <v>0.0</v>
      </c>
      <c r="G236" s="7">
        <v>0.0</v>
      </c>
      <c r="H236" s="8">
        <f t="shared" si="4"/>
        <v>0</v>
      </c>
    </row>
    <row r="237">
      <c r="A237" s="5">
        <v>51301.0</v>
      </c>
      <c r="B237" s="6" t="s">
        <v>251</v>
      </c>
      <c r="C237" s="7">
        <v>0.0</v>
      </c>
      <c r="D237" s="7">
        <v>0.0</v>
      </c>
      <c r="E237" s="8">
        <f t="shared" si="3"/>
        <v>0</v>
      </c>
      <c r="F237" s="7">
        <v>0.0</v>
      </c>
      <c r="G237" s="7">
        <v>0.0</v>
      </c>
      <c r="H237" s="8">
        <f t="shared" si="4"/>
        <v>0</v>
      </c>
    </row>
    <row r="238">
      <c r="A238" s="5">
        <v>51302.0</v>
      </c>
      <c r="B238" s="6" t="s">
        <v>252</v>
      </c>
      <c r="C238" s="7">
        <v>496.0</v>
      </c>
      <c r="D238" s="7">
        <v>628.0</v>
      </c>
      <c r="E238" s="8">
        <f t="shared" si="3"/>
        <v>0.4412811388</v>
      </c>
      <c r="F238" s="7">
        <v>0.0</v>
      </c>
      <c r="G238" s="7">
        <v>0.0</v>
      </c>
      <c r="H238" s="8">
        <f t="shared" si="4"/>
        <v>0</v>
      </c>
    </row>
    <row r="239">
      <c r="A239" s="5">
        <v>51401.0</v>
      </c>
      <c r="B239" s="6" t="s">
        <v>253</v>
      </c>
      <c r="C239" s="7">
        <v>0.0</v>
      </c>
      <c r="D239" s="7">
        <v>0.0</v>
      </c>
      <c r="E239" s="8">
        <f t="shared" si="3"/>
        <v>0</v>
      </c>
      <c r="F239" s="7">
        <v>0.0</v>
      </c>
      <c r="G239" s="7">
        <v>0.0</v>
      </c>
      <c r="H239" s="8">
        <f t="shared" si="4"/>
        <v>0</v>
      </c>
    </row>
    <row r="240">
      <c r="A240" s="5">
        <v>51402.0</v>
      </c>
      <c r="B240" s="6" t="s">
        <v>254</v>
      </c>
      <c r="C240" s="7">
        <v>0.0</v>
      </c>
      <c r="D240" s="7">
        <v>0.0</v>
      </c>
      <c r="E240" s="8">
        <f t="shared" si="3"/>
        <v>0</v>
      </c>
      <c r="F240" s="7">
        <v>0.0</v>
      </c>
      <c r="G240" s="7">
        <v>0.0</v>
      </c>
      <c r="H240" s="8">
        <f t="shared" si="4"/>
        <v>0</v>
      </c>
    </row>
    <row r="241">
      <c r="A241" s="5">
        <v>51501.0</v>
      </c>
      <c r="B241" s="6" t="s">
        <v>255</v>
      </c>
      <c r="C241" s="7">
        <v>139.0</v>
      </c>
      <c r="D241" s="7">
        <v>179.0</v>
      </c>
      <c r="E241" s="8">
        <f t="shared" si="3"/>
        <v>0.4371069182</v>
      </c>
      <c r="F241" s="7">
        <v>87.0</v>
      </c>
      <c r="G241" s="7">
        <v>84.0</v>
      </c>
      <c r="H241" s="8">
        <f t="shared" si="4"/>
        <v>0.5087719298</v>
      </c>
    </row>
    <row r="242">
      <c r="A242" s="5">
        <v>51601.0</v>
      </c>
      <c r="B242" s="6" t="s">
        <v>256</v>
      </c>
      <c r="C242" s="7">
        <v>0.0</v>
      </c>
      <c r="D242" s="7">
        <v>0.0</v>
      </c>
      <c r="E242" s="8">
        <f t="shared" si="3"/>
        <v>0</v>
      </c>
      <c r="F242" s="7">
        <v>0.0</v>
      </c>
      <c r="G242" s="7">
        <v>0.0</v>
      </c>
      <c r="H242" s="8">
        <f t="shared" si="4"/>
        <v>0</v>
      </c>
    </row>
    <row r="243">
      <c r="A243" s="5">
        <v>60101.0</v>
      </c>
      <c r="B243" s="6" t="s">
        <v>20</v>
      </c>
      <c r="C243" s="7">
        <v>299.0</v>
      </c>
      <c r="D243" s="7">
        <v>366.0</v>
      </c>
      <c r="E243" s="8">
        <f t="shared" si="3"/>
        <v>0.4496240602</v>
      </c>
      <c r="F243" s="7">
        <v>825.0</v>
      </c>
      <c r="G243" s="7">
        <v>853.0</v>
      </c>
      <c r="H243" s="8">
        <f t="shared" si="4"/>
        <v>0.4916567342</v>
      </c>
    </row>
    <row r="244">
      <c r="A244" s="5">
        <v>60201.0</v>
      </c>
      <c r="B244" s="6" t="s">
        <v>257</v>
      </c>
      <c r="C244" s="7">
        <v>893.0</v>
      </c>
      <c r="D244" s="7">
        <v>987.0</v>
      </c>
      <c r="E244" s="8">
        <f t="shared" si="3"/>
        <v>0.475</v>
      </c>
      <c r="F244" s="7">
        <v>457.0</v>
      </c>
      <c r="G244" s="7">
        <v>499.0</v>
      </c>
      <c r="H244" s="8">
        <f t="shared" si="4"/>
        <v>0.4780334728</v>
      </c>
    </row>
    <row r="245">
      <c r="A245" s="5">
        <v>60202.0</v>
      </c>
      <c r="B245" s="6" t="s">
        <v>258</v>
      </c>
      <c r="C245" s="7">
        <v>22.0</v>
      </c>
      <c r="D245" s="7">
        <v>320.0</v>
      </c>
      <c r="E245" s="8">
        <f t="shared" si="3"/>
        <v>0.06432748538</v>
      </c>
      <c r="F245" s="7">
        <v>32.0</v>
      </c>
      <c r="G245" s="7">
        <v>25.0</v>
      </c>
      <c r="H245" s="8">
        <f t="shared" si="4"/>
        <v>0.5614035088</v>
      </c>
    </row>
    <row r="246">
      <c r="A246" s="5">
        <v>60301.0</v>
      </c>
      <c r="B246" s="6" t="s">
        <v>259</v>
      </c>
      <c r="C246" s="7">
        <v>411.0</v>
      </c>
      <c r="D246" s="7">
        <v>631.0</v>
      </c>
      <c r="E246" s="8">
        <f t="shared" si="3"/>
        <v>0.3944337812</v>
      </c>
      <c r="F246" s="7">
        <v>106.0</v>
      </c>
      <c r="G246" s="7">
        <v>119.0</v>
      </c>
      <c r="H246" s="8">
        <f t="shared" si="4"/>
        <v>0.4711111111</v>
      </c>
    </row>
    <row r="247">
      <c r="A247" s="5">
        <v>60302.0</v>
      </c>
      <c r="B247" s="6" t="s">
        <v>260</v>
      </c>
      <c r="C247" s="7">
        <v>247.0</v>
      </c>
      <c r="D247" s="7">
        <v>304.0</v>
      </c>
      <c r="E247" s="8">
        <f t="shared" si="3"/>
        <v>0.4482758621</v>
      </c>
      <c r="F247" s="7">
        <v>28.0</v>
      </c>
      <c r="G247" s="7">
        <v>41.0</v>
      </c>
      <c r="H247" s="8">
        <f t="shared" si="4"/>
        <v>0.4057971014</v>
      </c>
    </row>
    <row r="248">
      <c r="A248" s="5">
        <v>60303.0</v>
      </c>
      <c r="B248" s="6" t="s">
        <v>261</v>
      </c>
      <c r="C248" s="7">
        <v>81.0</v>
      </c>
      <c r="D248" s="7">
        <v>111.0</v>
      </c>
      <c r="E248" s="8">
        <f t="shared" si="3"/>
        <v>0.421875</v>
      </c>
      <c r="F248" s="7">
        <v>27.0</v>
      </c>
      <c r="G248" s="7">
        <v>41.0</v>
      </c>
      <c r="H248" s="8">
        <f t="shared" si="4"/>
        <v>0.3970588235</v>
      </c>
    </row>
    <row r="249">
      <c r="A249" s="5">
        <v>60401.0</v>
      </c>
      <c r="B249" s="6" t="s">
        <v>262</v>
      </c>
      <c r="C249" s="7">
        <v>717.0</v>
      </c>
      <c r="D249" s="7">
        <v>776.0</v>
      </c>
      <c r="E249" s="8">
        <f t="shared" si="3"/>
        <v>0.4802411253</v>
      </c>
      <c r="F249" s="7">
        <v>222.0</v>
      </c>
      <c r="G249" s="7">
        <v>264.0</v>
      </c>
      <c r="H249" s="8">
        <f t="shared" si="4"/>
        <v>0.4567901235</v>
      </c>
    </row>
    <row r="250">
      <c r="A250" s="5">
        <v>60402.0</v>
      </c>
      <c r="B250" s="6" t="s">
        <v>263</v>
      </c>
      <c r="C250" s="7">
        <v>5616.0</v>
      </c>
      <c r="D250" s="7">
        <v>5891.0</v>
      </c>
      <c r="E250" s="8">
        <f t="shared" si="3"/>
        <v>0.4880507517</v>
      </c>
      <c r="F250" s="7">
        <v>1.0</v>
      </c>
      <c r="G250" s="7">
        <v>1.0</v>
      </c>
      <c r="H250" s="8">
        <f t="shared" si="4"/>
        <v>0.5</v>
      </c>
    </row>
    <row r="251">
      <c r="A251" s="5">
        <v>60501.0</v>
      </c>
      <c r="B251" s="6" t="s">
        <v>264</v>
      </c>
      <c r="C251" s="7">
        <v>4406.0</v>
      </c>
      <c r="D251" s="7">
        <v>4631.0</v>
      </c>
      <c r="E251" s="8">
        <f t="shared" si="3"/>
        <v>0.4875511785</v>
      </c>
      <c r="F251" s="7">
        <v>1470.0</v>
      </c>
      <c r="G251" s="7">
        <v>1369.0</v>
      </c>
      <c r="H251" s="8">
        <f t="shared" si="4"/>
        <v>0.5177879535</v>
      </c>
    </row>
    <row r="252">
      <c r="A252" s="5">
        <v>60502.0</v>
      </c>
      <c r="B252" s="6" t="s">
        <v>265</v>
      </c>
      <c r="C252" s="7">
        <v>9656.0</v>
      </c>
      <c r="D252" s="7">
        <v>9721.0</v>
      </c>
      <c r="E252" s="8">
        <f t="shared" si="3"/>
        <v>0.4983227538</v>
      </c>
      <c r="F252" s="7">
        <v>256.0</v>
      </c>
      <c r="G252" s="7">
        <v>273.0</v>
      </c>
      <c r="H252" s="8">
        <f t="shared" si="4"/>
        <v>0.4839319471</v>
      </c>
    </row>
    <row r="253">
      <c r="A253" s="5">
        <v>60601.0</v>
      </c>
      <c r="B253" s="6" t="s">
        <v>170</v>
      </c>
      <c r="C253" s="7">
        <v>1481.0</v>
      </c>
      <c r="D253" s="7">
        <v>1620.0</v>
      </c>
      <c r="E253" s="8">
        <f t="shared" si="3"/>
        <v>0.4775878749</v>
      </c>
      <c r="F253" s="7">
        <v>162.0</v>
      </c>
      <c r="G253" s="7">
        <v>168.0</v>
      </c>
      <c r="H253" s="8">
        <f t="shared" si="4"/>
        <v>0.4909090909</v>
      </c>
    </row>
    <row r="254">
      <c r="A254" s="5">
        <v>70101.0</v>
      </c>
      <c r="B254" s="6" t="s">
        <v>266</v>
      </c>
      <c r="C254" s="7">
        <v>344.0</v>
      </c>
      <c r="D254" s="7">
        <v>371.0</v>
      </c>
      <c r="E254" s="8">
        <f t="shared" si="3"/>
        <v>0.4811188811</v>
      </c>
      <c r="F254" s="7">
        <v>98.0</v>
      </c>
      <c r="G254" s="7">
        <v>131.0</v>
      </c>
      <c r="H254" s="8">
        <f t="shared" si="4"/>
        <v>0.4279475983</v>
      </c>
    </row>
    <row r="255">
      <c r="A255" s="5">
        <v>70102.0</v>
      </c>
      <c r="B255" s="6" t="s">
        <v>267</v>
      </c>
      <c r="C255" s="7">
        <v>67.0</v>
      </c>
      <c r="D255" s="7">
        <v>89.0</v>
      </c>
      <c r="E255" s="8">
        <f t="shared" si="3"/>
        <v>0.4294871795</v>
      </c>
      <c r="F255" s="7">
        <v>15.0</v>
      </c>
      <c r="G255" s="7">
        <v>14.0</v>
      </c>
      <c r="H255" s="8">
        <f t="shared" si="4"/>
        <v>0.5172413793</v>
      </c>
    </row>
    <row r="256">
      <c r="A256" s="5">
        <v>70103.0</v>
      </c>
      <c r="B256" s="6" t="s">
        <v>268</v>
      </c>
      <c r="C256" s="7">
        <v>271.0</v>
      </c>
      <c r="D256" s="7">
        <v>507.0</v>
      </c>
      <c r="E256" s="8">
        <f t="shared" si="3"/>
        <v>0.3483290488</v>
      </c>
      <c r="F256" s="7">
        <v>96.0</v>
      </c>
      <c r="G256" s="7">
        <v>141.0</v>
      </c>
      <c r="H256" s="8">
        <f t="shared" si="4"/>
        <v>0.4050632911</v>
      </c>
    </row>
    <row r="257">
      <c r="A257" s="5">
        <v>70104.0</v>
      </c>
      <c r="B257" s="6" t="s">
        <v>269</v>
      </c>
      <c r="C257" s="7">
        <v>329.0</v>
      </c>
      <c r="D257" s="7">
        <v>614.0</v>
      </c>
      <c r="E257" s="8">
        <f t="shared" si="3"/>
        <v>0.3488865323</v>
      </c>
      <c r="F257" s="7">
        <v>383.0</v>
      </c>
      <c r="G257" s="7">
        <v>465.0</v>
      </c>
      <c r="H257" s="8">
        <f t="shared" si="4"/>
        <v>0.4516509434</v>
      </c>
    </row>
    <row r="258">
      <c r="A258" s="5">
        <v>70105.0</v>
      </c>
      <c r="B258" s="6" t="s">
        <v>270</v>
      </c>
      <c r="C258" s="7">
        <v>1189.0</v>
      </c>
      <c r="D258" s="7">
        <v>1984.0</v>
      </c>
      <c r="E258" s="8">
        <f t="shared" si="3"/>
        <v>0.3747242357</v>
      </c>
      <c r="F258" s="7">
        <v>51.0</v>
      </c>
      <c r="G258" s="7">
        <v>79.0</v>
      </c>
      <c r="H258" s="8">
        <f t="shared" si="4"/>
        <v>0.3923076923</v>
      </c>
    </row>
    <row r="259">
      <c r="A259" s="5">
        <v>70201.0</v>
      </c>
      <c r="B259" s="6" t="s">
        <v>271</v>
      </c>
      <c r="C259" s="7">
        <v>222.0</v>
      </c>
      <c r="D259" s="7">
        <v>456.0</v>
      </c>
      <c r="E259" s="8">
        <f t="shared" si="3"/>
        <v>0.3274336283</v>
      </c>
      <c r="F259" s="7">
        <v>25.0</v>
      </c>
      <c r="G259" s="7">
        <v>44.0</v>
      </c>
      <c r="H259" s="8">
        <f t="shared" si="4"/>
        <v>0.3623188406</v>
      </c>
    </row>
    <row r="260">
      <c r="A260" s="5">
        <v>70202.0</v>
      </c>
      <c r="B260" s="6" t="s">
        <v>272</v>
      </c>
      <c r="C260" s="7">
        <v>228.0</v>
      </c>
      <c r="D260" s="7">
        <v>389.0</v>
      </c>
      <c r="E260" s="8">
        <f t="shared" si="3"/>
        <v>0.3695299838</v>
      </c>
      <c r="F260" s="7">
        <v>98.0</v>
      </c>
      <c r="G260" s="7">
        <v>232.0</v>
      </c>
      <c r="H260" s="8">
        <f t="shared" si="4"/>
        <v>0.296969697</v>
      </c>
    </row>
    <row r="261">
      <c r="A261" s="5">
        <v>70301.0</v>
      </c>
      <c r="B261" s="6" t="s">
        <v>273</v>
      </c>
      <c r="C261" s="7">
        <v>86.0</v>
      </c>
      <c r="D261" s="7">
        <v>129.0</v>
      </c>
      <c r="E261" s="8">
        <f t="shared" si="3"/>
        <v>0.4</v>
      </c>
      <c r="F261" s="7">
        <v>7.0</v>
      </c>
      <c r="G261" s="7">
        <v>25.0</v>
      </c>
      <c r="H261" s="8">
        <f t="shared" si="4"/>
        <v>0.21875</v>
      </c>
    </row>
    <row r="262">
      <c r="A262" s="5">
        <v>70302.0</v>
      </c>
      <c r="B262" s="6" t="s">
        <v>274</v>
      </c>
      <c r="C262" s="7">
        <v>38.0</v>
      </c>
      <c r="D262" s="7">
        <v>61.0</v>
      </c>
      <c r="E262" s="8">
        <f t="shared" si="3"/>
        <v>0.3838383838</v>
      </c>
      <c r="F262" s="7">
        <v>14.0</v>
      </c>
      <c r="G262" s="7">
        <v>16.0</v>
      </c>
      <c r="H262" s="8">
        <f t="shared" si="4"/>
        <v>0.4666666667</v>
      </c>
    </row>
    <row r="263">
      <c r="A263" s="5">
        <v>70303.0</v>
      </c>
      <c r="B263" s="6" t="s">
        <v>275</v>
      </c>
      <c r="C263" s="7">
        <v>17.0</v>
      </c>
      <c r="D263" s="7">
        <v>39.0</v>
      </c>
      <c r="E263" s="8">
        <f t="shared" si="3"/>
        <v>0.3035714286</v>
      </c>
      <c r="F263" s="7">
        <v>4.0</v>
      </c>
      <c r="G263" s="7">
        <v>6.0</v>
      </c>
      <c r="H263" s="8">
        <f t="shared" si="4"/>
        <v>0.4</v>
      </c>
    </row>
    <row r="264">
      <c r="A264" s="5">
        <v>70401.0</v>
      </c>
      <c r="B264" s="6" t="s">
        <v>276</v>
      </c>
      <c r="C264" s="7">
        <v>534.0</v>
      </c>
      <c r="D264" s="7">
        <v>831.0</v>
      </c>
      <c r="E264" s="8">
        <f t="shared" si="3"/>
        <v>0.3912087912</v>
      </c>
      <c r="F264" s="7">
        <v>18.0</v>
      </c>
      <c r="G264" s="7">
        <v>22.0</v>
      </c>
      <c r="H264" s="8">
        <f t="shared" si="4"/>
        <v>0.45</v>
      </c>
    </row>
    <row r="265">
      <c r="A265" s="5">
        <v>70402.0</v>
      </c>
      <c r="B265" s="6" t="s">
        <v>277</v>
      </c>
      <c r="C265" s="7">
        <v>485.0</v>
      </c>
      <c r="D265" s="7">
        <v>692.0</v>
      </c>
      <c r="E265" s="8">
        <f t="shared" si="3"/>
        <v>0.4120645709</v>
      </c>
      <c r="F265" s="7">
        <v>14.0</v>
      </c>
      <c r="G265" s="7">
        <v>23.0</v>
      </c>
      <c r="H265" s="8">
        <f t="shared" si="4"/>
        <v>0.3783783784</v>
      </c>
    </row>
    <row r="266">
      <c r="A266" s="5">
        <v>70403.0</v>
      </c>
      <c r="B266" s="6" t="s">
        <v>278</v>
      </c>
      <c r="C266" s="7">
        <v>792.0</v>
      </c>
      <c r="D266" s="7">
        <v>1460.0</v>
      </c>
      <c r="E266" s="8">
        <f t="shared" si="3"/>
        <v>0.351687389</v>
      </c>
      <c r="F266" s="7">
        <v>237.0</v>
      </c>
      <c r="G266" s="7">
        <v>306.0</v>
      </c>
      <c r="H266" s="8">
        <f t="shared" si="4"/>
        <v>0.4364640884</v>
      </c>
    </row>
    <row r="267">
      <c r="A267" s="5">
        <v>70404.0</v>
      </c>
      <c r="B267" s="6" t="s">
        <v>279</v>
      </c>
      <c r="C267" s="7">
        <v>218.0</v>
      </c>
      <c r="D267" s="7">
        <v>752.0</v>
      </c>
      <c r="E267" s="8">
        <f t="shared" si="3"/>
        <v>0.224742268</v>
      </c>
      <c r="F267" s="7">
        <v>19.0</v>
      </c>
      <c r="G267" s="7">
        <v>32.0</v>
      </c>
      <c r="H267" s="8">
        <f t="shared" si="4"/>
        <v>0.3725490196</v>
      </c>
    </row>
    <row r="268">
      <c r="A268" s="5">
        <v>70501.0</v>
      </c>
      <c r="B268" s="6" t="s">
        <v>280</v>
      </c>
      <c r="C268" s="7">
        <v>278.0</v>
      </c>
      <c r="D268" s="7">
        <v>372.0</v>
      </c>
      <c r="E268" s="8">
        <f t="shared" si="3"/>
        <v>0.4276923077</v>
      </c>
      <c r="F268" s="7">
        <v>9.0</v>
      </c>
      <c r="G268" s="7">
        <v>9.0</v>
      </c>
      <c r="H268" s="8">
        <f t="shared" si="4"/>
        <v>0.5</v>
      </c>
    </row>
    <row r="269">
      <c r="A269" s="5">
        <v>70502.0</v>
      </c>
      <c r="B269" s="6" t="s">
        <v>281</v>
      </c>
      <c r="C269" s="7">
        <v>77.0</v>
      </c>
      <c r="D269" s="7">
        <v>127.0</v>
      </c>
      <c r="E269" s="8">
        <f t="shared" si="3"/>
        <v>0.3774509804</v>
      </c>
      <c r="F269" s="7">
        <v>27.0</v>
      </c>
      <c r="G269" s="7">
        <v>44.0</v>
      </c>
      <c r="H269" s="8">
        <f t="shared" si="4"/>
        <v>0.3802816901</v>
      </c>
    </row>
    <row r="270">
      <c r="A270" s="5">
        <v>70503.0</v>
      </c>
      <c r="B270" s="6" t="s">
        <v>282</v>
      </c>
      <c r="C270" s="7">
        <v>74.0</v>
      </c>
      <c r="D270" s="7">
        <v>110.0</v>
      </c>
      <c r="E270" s="8">
        <f t="shared" si="3"/>
        <v>0.402173913</v>
      </c>
      <c r="F270" s="7">
        <v>7.0</v>
      </c>
      <c r="G270" s="7">
        <v>25.0</v>
      </c>
      <c r="H270" s="8">
        <f t="shared" si="4"/>
        <v>0.21875</v>
      </c>
    </row>
    <row r="271">
      <c r="A271" s="5">
        <v>70601.0</v>
      </c>
      <c r="B271" s="6" t="s">
        <v>283</v>
      </c>
      <c r="C271" s="7">
        <v>20.0</v>
      </c>
      <c r="D271" s="7">
        <v>59.0</v>
      </c>
      <c r="E271" s="8">
        <f t="shared" si="3"/>
        <v>0.253164557</v>
      </c>
      <c r="F271" s="7">
        <v>61.0</v>
      </c>
      <c r="G271" s="7">
        <v>88.0</v>
      </c>
      <c r="H271" s="8">
        <f t="shared" si="4"/>
        <v>0.4093959732</v>
      </c>
    </row>
    <row r="272">
      <c r="A272" s="5">
        <v>70602.0</v>
      </c>
      <c r="B272" s="6" t="s">
        <v>284</v>
      </c>
      <c r="C272" s="7">
        <v>0.0</v>
      </c>
      <c r="D272" s="7">
        <v>3.0</v>
      </c>
      <c r="E272" s="8">
        <f t="shared" si="3"/>
        <v>0</v>
      </c>
      <c r="F272" s="7">
        <v>43.0</v>
      </c>
      <c r="G272" s="7">
        <v>88.0</v>
      </c>
      <c r="H272" s="8">
        <f t="shared" si="4"/>
        <v>0.3282442748</v>
      </c>
    </row>
    <row r="273">
      <c r="A273" s="5">
        <v>70603.0</v>
      </c>
      <c r="B273" s="6" t="s">
        <v>285</v>
      </c>
      <c r="C273" s="7">
        <v>10.0</v>
      </c>
      <c r="D273" s="7">
        <v>6.0</v>
      </c>
      <c r="E273" s="8">
        <f t="shared" si="3"/>
        <v>0.625</v>
      </c>
      <c r="F273" s="7">
        <v>30.0</v>
      </c>
      <c r="G273" s="7">
        <v>38.0</v>
      </c>
      <c r="H273" s="8">
        <f t="shared" si="4"/>
        <v>0.4411764706</v>
      </c>
    </row>
    <row r="274">
      <c r="A274" s="5">
        <v>70701.0</v>
      </c>
      <c r="B274" s="6" t="s">
        <v>286</v>
      </c>
      <c r="C274" s="7">
        <v>155.0</v>
      </c>
      <c r="D274" s="7">
        <v>188.0</v>
      </c>
      <c r="E274" s="8">
        <f t="shared" si="3"/>
        <v>0.4518950437</v>
      </c>
      <c r="F274" s="7">
        <v>1.0</v>
      </c>
      <c r="G274" s="7">
        <v>10.0</v>
      </c>
      <c r="H274" s="8">
        <f t="shared" si="4"/>
        <v>0.09090909091</v>
      </c>
    </row>
    <row r="275">
      <c r="A275" s="5">
        <v>70702.0</v>
      </c>
      <c r="B275" s="6" t="s">
        <v>287</v>
      </c>
      <c r="C275" s="7">
        <v>71.0</v>
      </c>
      <c r="D275" s="7">
        <v>154.0</v>
      </c>
      <c r="E275" s="8">
        <f t="shared" si="3"/>
        <v>0.3155555556</v>
      </c>
      <c r="F275" s="7">
        <v>14.0</v>
      </c>
      <c r="G275" s="7">
        <v>17.0</v>
      </c>
      <c r="H275" s="8">
        <f t="shared" si="4"/>
        <v>0.4516129032</v>
      </c>
    </row>
    <row r="276">
      <c r="A276" s="5">
        <v>70703.0</v>
      </c>
      <c r="B276" s="6" t="s">
        <v>288</v>
      </c>
      <c r="C276" s="7">
        <v>229.0</v>
      </c>
      <c r="D276" s="7">
        <v>473.0</v>
      </c>
      <c r="E276" s="8">
        <f t="shared" si="3"/>
        <v>0.3262108262</v>
      </c>
      <c r="F276" s="7">
        <v>27.0</v>
      </c>
      <c r="G276" s="7">
        <v>25.0</v>
      </c>
      <c r="H276" s="8">
        <f t="shared" si="4"/>
        <v>0.5192307692</v>
      </c>
    </row>
    <row r="277">
      <c r="A277" s="5">
        <v>70704.0</v>
      </c>
      <c r="B277" s="6" t="s">
        <v>289</v>
      </c>
      <c r="C277" s="7">
        <v>35.0</v>
      </c>
      <c r="D277" s="7">
        <v>56.0</v>
      </c>
      <c r="E277" s="8">
        <f t="shared" si="3"/>
        <v>0.3846153846</v>
      </c>
      <c r="F277" s="7">
        <v>1.0</v>
      </c>
      <c r="G277" s="7">
        <v>1.0</v>
      </c>
      <c r="H277" s="8">
        <f t="shared" si="4"/>
        <v>0.5</v>
      </c>
    </row>
    <row r="278">
      <c r="A278" s="5">
        <v>70705.0</v>
      </c>
      <c r="B278" s="6" t="s">
        <v>290</v>
      </c>
      <c r="C278" s="7">
        <v>65.0</v>
      </c>
      <c r="D278" s="7">
        <v>86.0</v>
      </c>
      <c r="E278" s="8">
        <f t="shared" si="3"/>
        <v>0.4304635762</v>
      </c>
      <c r="F278" s="7">
        <v>5.0</v>
      </c>
      <c r="G278" s="7">
        <v>5.0</v>
      </c>
      <c r="H278" s="8">
        <f t="shared" si="4"/>
        <v>0.5</v>
      </c>
    </row>
    <row r="279">
      <c r="A279" s="5">
        <v>70706.0</v>
      </c>
      <c r="B279" s="6" t="s">
        <v>291</v>
      </c>
      <c r="C279" s="7">
        <v>37.0</v>
      </c>
      <c r="D279" s="7">
        <v>35.0</v>
      </c>
      <c r="E279" s="8">
        <f t="shared" si="3"/>
        <v>0.5138888889</v>
      </c>
      <c r="F279" s="7">
        <v>2.0</v>
      </c>
      <c r="G279" s="7">
        <v>4.0</v>
      </c>
      <c r="H279" s="8">
        <f t="shared" si="4"/>
        <v>0.3333333333</v>
      </c>
    </row>
    <row r="280">
      <c r="A280" s="5">
        <v>70707.0</v>
      </c>
      <c r="B280" s="6" t="s">
        <v>292</v>
      </c>
      <c r="C280" s="7">
        <v>11.0</v>
      </c>
      <c r="D280" s="7">
        <v>29.0</v>
      </c>
      <c r="E280" s="8">
        <f t="shared" si="3"/>
        <v>0.275</v>
      </c>
      <c r="F280" s="7">
        <v>0.0</v>
      </c>
      <c r="G280" s="7">
        <v>0.0</v>
      </c>
      <c r="H280" s="8">
        <f t="shared" si="4"/>
        <v>0</v>
      </c>
    </row>
    <row r="281">
      <c r="A281" s="5">
        <v>70801.0</v>
      </c>
      <c r="B281" s="6" t="s">
        <v>293</v>
      </c>
      <c r="C281" s="7">
        <v>1044.0</v>
      </c>
      <c r="D281" s="7">
        <v>1244.0</v>
      </c>
      <c r="E281" s="8">
        <f t="shared" si="3"/>
        <v>0.4562937063</v>
      </c>
      <c r="F281" s="7">
        <v>20.0</v>
      </c>
      <c r="G281" s="7">
        <v>38.0</v>
      </c>
      <c r="H281" s="8">
        <f t="shared" si="4"/>
        <v>0.3448275862</v>
      </c>
    </row>
    <row r="282">
      <c r="A282" s="5">
        <v>70802.0</v>
      </c>
      <c r="B282" s="6" t="s">
        <v>294</v>
      </c>
      <c r="C282" s="7">
        <v>480.0</v>
      </c>
      <c r="D282" s="7">
        <v>516.0</v>
      </c>
      <c r="E282" s="8">
        <f t="shared" si="3"/>
        <v>0.4819277108</v>
      </c>
      <c r="F282" s="7">
        <v>1.0</v>
      </c>
      <c r="G282" s="7">
        <v>4.0</v>
      </c>
      <c r="H282" s="8">
        <f t="shared" si="4"/>
        <v>0.2</v>
      </c>
    </row>
    <row r="283">
      <c r="A283" s="5">
        <v>70803.0</v>
      </c>
      <c r="B283" s="6" t="s">
        <v>295</v>
      </c>
      <c r="C283" s="7">
        <v>1061.0</v>
      </c>
      <c r="D283" s="7">
        <v>1178.0</v>
      </c>
      <c r="E283" s="8">
        <f t="shared" si="3"/>
        <v>0.4738722644</v>
      </c>
      <c r="F283" s="7">
        <v>4.0</v>
      </c>
      <c r="G283" s="7">
        <v>12.0</v>
      </c>
      <c r="H283" s="8">
        <f t="shared" si="4"/>
        <v>0.25</v>
      </c>
    </row>
    <row r="284">
      <c r="A284" s="5">
        <v>70804.0</v>
      </c>
      <c r="B284" s="6" t="s">
        <v>296</v>
      </c>
      <c r="C284" s="7">
        <v>8.0</v>
      </c>
      <c r="D284" s="7">
        <v>12.0</v>
      </c>
      <c r="E284" s="8">
        <f t="shared" si="3"/>
        <v>0.4</v>
      </c>
      <c r="F284" s="7">
        <v>0.0</v>
      </c>
      <c r="G284" s="7">
        <v>0.0</v>
      </c>
      <c r="H284" s="8">
        <f t="shared" si="4"/>
        <v>0</v>
      </c>
    </row>
    <row r="285">
      <c r="A285" s="5">
        <v>70805.0</v>
      </c>
      <c r="B285" s="6" t="s">
        <v>297</v>
      </c>
      <c r="C285" s="7">
        <v>0.0</v>
      </c>
      <c r="D285" s="7">
        <v>0.0</v>
      </c>
      <c r="E285" s="8">
        <f t="shared" si="3"/>
        <v>0</v>
      </c>
      <c r="F285" s="7">
        <v>0.0</v>
      </c>
      <c r="G285" s="7">
        <v>0.0</v>
      </c>
      <c r="H285" s="8">
        <f t="shared" si="4"/>
        <v>0</v>
      </c>
    </row>
    <row r="286">
      <c r="A286" s="5">
        <v>70901.0</v>
      </c>
      <c r="B286" s="6" t="s">
        <v>298</v>
      </c>
      <c r="C286" s="7">
        <v>3481.0</v>
      </c>
      <c r="D286" s="7">
        <v>4174.0</v>
      </c>
      <c r="E286" s="8">
        <f t="shared" si="3"/>
        <v>0.454735467</v>
      </c>
      <c r="F286" s="7">
        <v>2.0</v>
      </c>
      <c r="G286" s="7">
        <v>2.0</v>
      </c>
      <c r="H286" s="8">
        <f t="shared" si="4"/>
        <v>0.5</v>
      </c>
    </row>
    <row r="287">
      <c r="A287" s="5">
        <v>70902.0</v>
      </c>
      <c r="B287" s="6" t="s">
        <v>299</v>
      </c>
      <c r="C287" s="7">
        <v>1551.0</v>
      </c>
      <c r="D287" s="7">
        <v>1660.0</v>
      </c>
      <c r="E287" s="8">
        <f t="shared" si="3"/>
        <v>0.4830270944</v>
      </c>
      <c r="F287" s="7">
        <v>4.0</v>
      </c>
      <c r="G287" s="7">
        <v>8.0</v>
      </c>
      <c r="H287" s="8">
        <f t="shared" si="4"/>
        <v>0.3333333333</v>
      </c>
    </row>
    <row r="288">
      <c r="A288" s="5">
        <v>70903.0</v>
      </c>
      <c r="B288" s="6" t="s">
        <v>300</v>
      </c>
      <c r="C288" s="7">
        <v>2027.0</v>
      </c>
      <c r="D288" s="7">
        <v>2507.0</v>
      </c>
      <c r="E288" s="8">
        <f t="shared" si="3"/>
        <v>0.4470666079</v>
      </c>
      <c r="F288" s="7">
        <v>43.0</v>
      </c>
      <c r="G288" s="7">
        <v>87.0</v>
      </c>
      <c r="H288" s="8">
        <f t="shared" si="4"/>
        <v>0.3307692308</v>
      </c>
    </row>
    <row r="289">
      <c r="A289" s="5">
        <v>70904.0</v>
      </c>
      <c r="B289" s="6" t="s">
        <v>301</v>
      </c>
      <c r="C289" s="7">
        <v>698.0</v>
      </c>
      <c r="D289" s="7">
        <v>814.0</v>
      </c>
      <c r="E289" s="8">
        <f t="shared" si="3"/>
        <v>0.4616402116</v>
      </c>
      <c r="F289" s="7">
        <v>5.0</v>
      </c>
      <c r="G289" s="7">
        <v>10.0</v>
      </c>
      <c r="H289" s="8">
        <f t="shared" si="4"/>
        <v>0.3333333333</v>
      </c>
    </row>
    <row r="290">
      <c r="A290" s="5">
        <v>71001.0</v>
      </c>
      <c r="B290" s="6" t="s">
        <v>302</v>
      </c>
      <c r="C290" s="7">
        <v>25.0</v>
      </c>
      <c r="D290" s="7">
        <v>49.0</v>
      </c>
      <c r="E290" s="8">
        <f t="shared" si="3"/>
        <v>0.3378378378</v>
      </c>
      <c r="F290" s="7">
        <v>73.0</v>
      </c>
      <c r="G290" s="7">
        <v>75.0</v>
      </c>
      <c r="H290" s="8">
        <f t="shared" si="4"/>
        <v>0.4932432432</v>
      </c>
    </row>
    <row r="291">
      <c r="A291" s="5">
        <v>71002.0</v>
      </c>
      <c r="B291" s="6" t="s">
        <v>303</v>
      </c>
      <c r="C291" s="7">
        <v>63.0</v>
      </c>
      <c r="D291" s="7">
        <v>187.0</v>
      </c>
      <c r="E291" s="8">
        <f t="shared" si="3"/>
        <v>0.252</v>
      </c>
      <c r="F291" s="7">
        <v>36.0</v>
      </c>
      <c r="G291" s="7">
        <v>60.0</v>
      </c>
      <c r="H291" s="8">
        <f t="shared" si="4"/>
        <v>0.375</v>
      </c>
    </row>
    <row r="292">
      <c r="A292" s="5">
        <v>71003.0</v>
      </c>
      <c r="B292" s="6" t="s">
        <v>304</v>
      </c>
      <c r="C292" s="7">
        <v>66.0</v>
      </c>
      <c r="D292" s="7">
        <v>186.0</v>
      </c>
      <c r="E292" s="8">
        <f t="shared" si="3"/>
        <v>0.2619047619</v>
      </c>
      <c r="F292" s="7">
        <v>41.0</v>
      </c>
      <c r="G292" s="7">
        <v>62.0</v>
      </c>
      <c r="H292" s="8">
        <f t="shared" si="4"/>
        <v>0.3980582524</v>
      </c>
    </row>
    <row r="293">
      <c r="A293" s="5">
        <v>71004.0</v>
      </c>
      <c r="B293" s="6" t="s">
        <v>305</v>
      </c>
      <c r="C293" s="7">
        <v>200.0</v>
      </c>
      <c r="D293" s="7">
        <v>477.0</v>
      </c>
      <c r="E293" s="8">
        <f t="shared" si="3"/>
        <v>0.2954209749</v>
      </c>
      <c r="F293" s="7">
        <v>11.0</v>
      </c>
      <c r="G293" s="7">
        <v>43.0</v>
      </c>
      <c r="H293" s="8">
        <f t="shared" si="4"/>
        <v>0.2037037037</v>
      </c>
    </row>
    <row r="294">
      <c r="A294" s="5">
        <v>71005.0</v>
      </c>
      <c r="B294" s="6" t="s">
        <v>231</v>
      </c>
      <c r="C294" s="7">
        <v>406.0</v>
      </c>
      <c r="D294" s="7">
        <v>693.0</v>
      </c>
      <c r="E294" s="8">
        <f t="shared" si="3"/>
        <v>0.3694267516</v>
      </c>
      <c r="F294" s="7">
        <v>20.0</v>
      </c>
      <c r="G294" s="7">
        <v>35.0</v>
      </c>
      <c r="H294" s="8">
        <f t="shared" si="4"/>
        <v>0.3636363636</v>
      </c>
    </row>
    <row r="295">
      <c r="A295" s="5">
        <v>71101.0</v>
      </c>
      <c r="B295" s="6" t="s">
        <v>306</v>
      </c>
      <c r="C295" s="7">
        <v>80.0</v>
      </c>
      <c r="D295" s="7">
        <v>212.0</v>
      </c>
      <c r="E295" s="8">
        <f t="shared" si="3"/>
        <v>0.2739726027</v>
      </c>
      <c r="F295" s="7">
        <v>14.0</v>
      </c>
      <c r="G295" s="7">
        <v>25.0</v>
      </c>
      <c r="H295" s="8">
        <f t="shared" si="4"/>
        <v>0.358974359</v>
      </c>
    </row>
    <row r="296">
      <c r="A296" s="5">
        <v>71102.0</v>
      </c>
      <c r="B296" s="6" t="s">
        <v>307</v>
      </c>
      <c r="C296" s="7">
        <v>40.0</v>
      </c>
      <c r="D296" s="7">
        <v>121.0</v>
      </c>
      <c r="E296" s="8">
        <f t="shared" si="3"/>
        <v>0.248447205</v>
      </c>
      <c r="F296" s="7">
        <v>7.0</v>
      </c>
      <c r="G296" s="7">
        <v>19.0</v>
      </c>
      <c r="H296" s="8">
        <f t="shared" si="4"/>
        <v>0.2692307692</v>
      </c>
    </row>
    <row r="297">
      <c r="A297" s="5">
        <v>71103.0</v>
      </c>
      <c r="B297" s="6" t="s">
        <v>308</v>
      </c>
      <c r="C297" s="7">
        <v>11.0</v>
      </c>
      <c r="D297" s="7">
        <v>53.0</v>
      </c>
      <c r="E297" s="8">
        <f t="shared" si="3"/>
        <v>0.171875</v>
      </c>
      <c r="F297" s="7">
        <v>0.0</v>
      </c>
      <c r="G297" s="7">
        <v>0.0</v>
      </c>
      <c r="H297" s="8">
        <f t="shared" si="4"/>
        <v>0</v>
      </c>
    </row>
    <row r="298">
      <c r="A298" s="5">
        <v>71104.0</v>
      </c>
      <c r="B298" s="6" t="s">
        <v>309</v>
      </c>
      <c r="C298" s="7">
        <v>210.0</v>
      </c>
      <c r="D298" s="7">
        <v>705.0</v>
      </c>
      <c r="E298" s="8">
        <f t="shared" si="3"/>
        <v>0.2295081967</v>
      </c>
      <c r="F298" s="7">
        <v>38.0</v>
      </c>
      <c r="G298" s="7">
        <v>102.0</v>
      </c>
      <c r="H298" s="8">
        <f t="shared" si="4"/>
        <v>0.2714285714</v>
      </c>
    </row>
    <row r="299">
      <c r="A299" s="5">
        <v>71105.0</v>
      </c>
      <c r="B299" s="6" t="s">
        <v>310</v>
      </c>
      <c r="C299" s="7">
        <v>0.0</v>
      </c>
      <c r="D299" s="7">
        <v>0.0</v>
      </c>
      <c r="E299" s="8">
        <f t="shared" si="3"/>
        <v>0</v>
      </c>
      <c r="F299" s="7">
        <v>0.0</v>
      </c>
      <c r="G299" s="7">
        <v>0.0</v>
      </c>
      <c r="H299" s="8">
        <f t="shared" si="4"/>
        <v>0</v>
      </c>
    </row>
    <row r="300">
      <c r="A300" s="5">
        <v>71106.0</v>
      </c>
      <c r="B300" s="6" t="s">
        <v>311</v>
      </c>
      <c r="C300" s="7">
        <v>79.0</v>
      </c>
      <c r="D300" s="7">
        <v>202.0</v>
      </c>
      <c r="E300" s="8">
        <f t="shared" si="3"/>
        <v>0.28113879</v>
      </c>
      <c r="F300" s="7">
        <v>6.0</v>
      </c>
      <c r="G300" s="7">
        <v>12.0</v>
      </c>
      <c r="H300" s="8">
        <f t="shared" si="4"/>
        <v>0.3333333333</v>
      </c>
    </row>
    <row r="301">
      <c r="A301" s="5">
        <v>71201.0</v>
      </c>
      <c r="B301" s="6" t="s">
        <v>312</v>
      </c>
      <c r="C301" s="7">
        <v>20.0</v>
      </c>
      <c r="D301" s="7">
        <v>25.0</v>
      </c>
      <c r="E301" s="8">
        <f t="shared" si="3"/>
        <v>0.4444444444</v>
      </c>
      <c r="F301" s="7">
        <v>10.0</v>
      </c>
      <c r="G301" s="7">
        <v>13.0</v>
      </c>
      <c r="H301" s="8">
        <f t="shared" si="4"/>
        <v>0.4347826087</v>
      </c>
    </row>
    <row r="302">
      <c r="A302" s="5">
        <v>71301.0</v>
      </c>
      <c r="B302" s="6" t="s">
        <v>313</v>
      </c>
      <c r="C302" s="7">
        <v>3316.0</v>
      </c>
      <c r="D302" s="7">
        <v>3803.0</v>
      </c>
      <c r="E302" s="8">
        <f t="shared" si="3"/>
        <v>0.4657957578</v>
      </c>
      <c r="F302" s="7">
        <v>8.0</v>
      </c>
      <c r="G302" s="7">
        <v>14.0</v>
      </c>
      <c r="H302" s="8">
        <f t="shared" si="4"/>
        <v>0.3636363636</v>
      </c>
    </row>
    <row r="303">
      <c r="A303" s="5">
        <v>71302.0</v>
      </c>
      <c r="B303" s="6" t="s">
        <v>314</v>
      </c>
      <c r="C303" s="7">
        <v>160.0</v>
      </c>
      <c r="D303" s="7">
        <v>203.0</v>
      </c>
      <c r="E303" s="8">
        <f t="shared" si="3"/>
        <v>0.4407713499</v>
      </c>
      <c r="F303" s="7">
        <v>0.0</v>
      </c>
      <c r="G303" s="7">
        <v>1.0</v>
      </c>
      <c r="H303" s="8">
        <f t="shared" si="4"/>
        <v>0</v>
      </c>
    </row>
    <row r="304">
      <c r="A304" s="5">
        <v>71401.0</v>
      </c>
      <c r="B304" s="6" t="s">
        <v>315</v>
      </c>
      <c r="C304" s="7">
        <v>6.0</v>
      </c>
      <c r="D304" s="7">
        <v>26.0</v>
      </c>
      <c r="E304" s="8">
        <f t="shared" si="3"/>
        <v>0.1875</v>
      </c>
      <c r="F304" s="7">
        <v>1.0</v>
      </c>
      <c r="G304" s="7">
        <v>4.0</v>
      </c>
      <c r="H304" s="8">
        <f t="shared" si="4"/>
        <v>0.2</v>
      </c>
    </row>
    <row r="305">
      <c r="A305" s="5">
        <v>71402.0</v>
      </c>
      <c r="B305" s="6" t="s">
        <v>316</v>
      </c>
      <c r="C305" s="7">
        <v>1.0</v>
      </c>
      <c r="D305" s="7">
        <v>2.0</v>
      </c>
      <c r="E305" s="8">
        <f t="shared" si="3"/>
        <v>0.3333333333</v>
      </c>
      <c r="F305" s="7">
        <v>1.0</v>
      </c>
      <c r="G305" s="7">
        <v>3.0</v>
      </c>
      <c r="H305" s="8">
        <f t="shared" si="4"/>
        <v>0.25</v>
      </c>
    </row>
    <row r="306">
      <c r="A306" s="5">
        <v>71403.0</v>
      </c>
      <c r="B306" s="6" t="s">
        <v>317</v>
      </c>
      <c r="C306" s="7">
        <v>5.0</v>
      </c>
      <c r="D306" s="7">
        <v>12.0</v>
      </c>
      <c r="E306" s="8">
        <f t="shared" si="3"/>
        <v>0.2941176471</v>
      </c>
      <c r="F306" s="7">
        <v>8.0</v>
      </c>
      <c r="G306" s="7">
        <v>11.0</v>
      </c>
      <c r="H306" s="8">
        <f t="shared" si="4"/>
        <v>0.4210526316</v>
      </c>
    </row>
    <row r="307">
      <c r="A307" s="5">
        <v>71501.0</v>
      </c>
      <c r="B307" s="6" t="s">
        <v>318</v>
      </c>
      <c r="C307" s="7">
        <v>100.0</v>
      </c>
      <c r="D307" s="7">
        <v>197.0</v>
      </c>
      <c r="E307" s="8">
        <f t="shared" si="3"/>
        <v>0.3367003367</v>
      </c>
      <c r="F307" s="7">
        <v>5.0</v>
      </c>
      <c r="G307" s="7">
        <v>26.0</v>
      </c>
      <c r="H307" s="8">
        <f t="shared" si="4"/>
        <v>0.1612903226</v>
      </c>
    </row>
    <row r="308">
      <c r="A308" s="5">
        <v>71502.0</v>
      </c>
      <c r="B308" s="6" t="s">
        <v>319</v>
      </c>
      <c r="C308" s="7">
        <v>10.0</v>
      </c>
      <c r="D308" s="7">
        <v>24.0</v>
      </c>
      <c r="E308" s="8">
        <f t="shared" si="3"/>
        <v>0.2941176471</v>
      </c>
      <c r="F308" s="7">
        <v>12.0</v>
      </c>
      <c r="G308" s="7">
        <v>19.0</v>
      </c>
      <c r="H308" s="8">
        <f t="shared" si="4"/>
        <v>0.3870967742</v>
      </c>
    </row>
    <row r="309">
      <c r="A309" s="5">
        <v>71503.0</v>
      </c>
      <c r="B309" s="6" t="s">
        <v>265</v>
      </c>
      <c r="C309" s="7">
        <v>334.0</v>
      </c>
      <c r="D309" s="7">
        <v>606.0</v>
      </c>
      <c r="E309" s="8">
        <f t="shared" si="3"/>
        <v>0.3553191489</v>
      </c>
      <c r="F309" s="7">
        <v>113.0</v>
      </c>
      <c r="G309" s="7">
        <v>204.0</v>
      </c>
      <c r="H309" s="8">
        <f t="shared" si="4"/>
        <v>0.356466877</v>
      </c>
    </row>
    <row r="310">
      <c r="A310" s="5">
        <v>80101.0</v>
      </c>
      <c r="B310" s="6" t="s">
        <v>320</v>
      </c>
      <c r="C310" s="7">
        <v>0.0</v>
      </c>
      <c r="D310" s="7">
        <v>6.0</v>
      </c>
      <c r="E310" s="8">
        <f t="shared" si="3"/>
        <v>0</v>
      </c>
      <c r="F310" s="7">
        <v>42.0</v>
      </c>
      <c r="G310" s="7">
        <v>45.0</v>
      </c>
      <c r="H310" s="8">
        <f t="shared" si="4"/>
        <v>0.4827586207</v>
      </c>
    </row>
    <row r="311">
      <c r="A311" s="5">
        <v>80102.0</v>
      </c>
      <c r="B311" s="6" t="s">
        <v>307</v>
      </c>
      <c r="C311" s="7">
        <v>10.0</v>
      </c>
      <c r="D311" s="7">
        <v>25.0</v>
      </c>
      <c r="E311" s="8">
        <f t="shared" si="3"/>
        <v>0.2857142857</v>
      </c>
      <c r="F311" s="7">
        <v>11.0</v>
      </c>
      <c r="G311" s="7">
        <v>15.0</v>
      </c>
      <c r="H311" s="8">
        <f t="shared" si="4"/>
        <v>0.4230769231</v>
      </c>
    </row>
    <row r="312">
      <c r="A312" s="5">
        <v>80201.0</v>
      </c>
      <c r="B312" s="6" t="s">
        <v>321</v>
      </c>
      <c r="C312" s="7">
        <v>27.0</v>
      </c>
      <c r="D312" s="7">
        <v>87.0</v>
      </c>
      <c r="E312" s="8">
        <f t="shared" si="3"/>
        <v>0.2368421053</v>
      </c>
      <c r="F312" s="7">
        <v>18.0</v>
      </c>
      <c r="G312" s="7">
        <v>33.0</v>
      </c>
      <c r="H312" s="8">
        <f t="shared" si="4"/>
        <v>0.3529411765</v>
      </c>
    </row>
    <row r="313">
      <c r="A313" s="5">
        <v>80202.0</v>
      </c>
      <c r="B313" s="6" t="s">
        <v>322</v>
      </c>
      <c r="C313" s="7">
        <v>26.0</v>
      </c>
      <c r="D313" s="7">
        <v>64.0</v>
      </c>
      <c r="E313" s="8">
        <f t="shared" si="3"/>
        <v>0.2888888889</v>
      </c>
      <c r="F313" s="7">
        <v>9.0</v>
      </c>
      <c r="G313" s="7">
        <v>17.0</v>
      </c>
      <c r="H313" s="8">
        <f t="shared" si="4"/>
        <v>0.3461538462</v>
      </c>
    </row>
    <row r="314">
      <c r="A314" s="5">
        <v>80301.0</v>
      </c>
      <c r="B314" s="6" t="s">
        <v>323</v>
      </c>
      <c r="C314" s="7">
        <v>20.0</v>
      </c>
      <c r="D314" s="7">
        <v>62.0</v>
      </c>
      <c r="E314" s="8">
        <f t="shared" si="3"/>
        <v>0.243902439</v>
      </c>
      <c r="F314" s="7">
        <v>21.0</v>
      </c>
      <c r="G314" s="7">
        <v>26.0</v>
      </c>
      <c r="H314" s="8">
        <f t="shared" si="4"/>
        <v>0.4468085106</v>
      </c>
    </row>
    <row r="315">
      <c r="A315" s="5">
        <v>80302.0</v>
      </c>
      <c r="B315" s="6" t="s">
        <v>324</v>
      </c>
      <c r="C315" s="7">
        <v>706.0</v>
      </c>
      <c r="D315" s="7">
        <v>1072.0</v>
      </c>
      <c r="E315" s="8">
        <f t="shared" si="3"/>
        <v>0.3970753656</v>
      </c>
      <c r="F315" s="7">
        <v>35.0</v>
      </c>
      <c r="G315" s="7">
        <v>44.0</v>
      </c>
      <c r="H315" s="8">
        <f t="shared" si="4"/>
        <v>0.4430379747</v>
      </c>
    </row>
    <row r="316">
      <c r="A316" s="5">
        <v>80303.0</v>
      </c>
      <c r="B316" s="6" t="s">
        <v>284</v>
      </c>
      <c r="C316" s="7">
        <v>517.0</v>
      </c>
      <c r="D316" s="7">
        <v>1162.0</v>
      </c>
      <c r="E316" s="8">
        <f t="shared" si="3"/>
        <v>0.3079213818</v>
      </c>
      <c r="F316" s="7">
        <v>12.0</v>
      </c>
      <c r="G316" s="7">
        <v>19.0</v>
      </c>
      <c r="H316" s="8">
        <f t="shared" si="4"/>
        <v>0.3870967742</v>
      </c>
    </row>
    <row r="317">
      <c r="A317" s="5">
        <v>80304.0</v>
      </c>
      <c r="B317" s="6" t="s">
        <v>325</v>
      </c>
      <c r="C317" s="7">
        <v>259.0</v>
      </c>
      <c r="D317" s="7">
        <v>467.0</v>
      </c>
      <c r="E317" s="8">
        <f t="shared" si="3"/>
        <v>0.3567493113</v>
      </c>
      <c r="F317" s="7">
        <v>4.0</v>
      </c>
      <c r="G317" s="7">
        <v>3.0</v>
      </c>
      <c r="H317" s="8">
        <f t="shared" si="4"/>
        <v>0.5714285714</v>
      </c>
    </row>
    <row r="318">
      <c r="A318" s="5">
        <v>80401.0</v>
      </c>
      <c r="B318" s="6" t="s">
        <v>326</v>
      </c>
      <c r="C318" s="7">
        <v>11.0</v>
      </c>
      <c r="D318" s="7">
        <v>18.0</v>
      </c>
      <c r="E318" s="8">
        <f t="shared" si="3"/>
        <v>0.3793103448</v>
      </c>
      <c r="F318" s="7">
        <v>38.0</v>
      </c>
      <c r="G318" s="7">
        <v>50.0</v>
      </c>
      <c r="H318" s="8">
        <f t="shared" si="4"/>
        <v>0.4318181818</v>
      </c>
    </row>
    <row r="319">
      <c r="A319" s="5">
        <v>80402.0</v>
      </c>
      <c r="B319" s="6" t="s">
        <v>327</v>
      </c>
      <c r="C319" s="7">
        <v>20.0</v>
      </c>
      <c r="D319" s="7">
        <v>54.0</v>
      </c>
      <c r="E319" s="8">
        <f t="shared" si="3"/>
        <v>0.2702702703</v>
      </c>
      <c r="F319" s="7">
        <v>22.0</v>
      </c>
      <c r="G319" s="7">
        <v>43.0</v>
      </c>
      <c r="H319" s="8">
        <f t="shared" si="4"/>
        <v>0.3384615385</v>
      </c>
    </row>
    <row r="320">
      <c r="A320" s="5">
        <v>80501.0</v>
      </c>
      <c r="B320" s="6" t="s">
        <v>273</v>
      </c>
      <c r="C320" s="7">
        <v>52.0</v>
      </c>
      <c r="D320" s="7">
        <v>85.0</v>
      </c>
      <c r="E320" s="8">
        <f t="shared" si="3"/>
        <v>0.3795620438</v>
      </c>
      <c r="F320" s="7">
        <v>33.0</v>
      </c>
      <c r="G320" s="7">
        <v>37.0</v>
      </c>
      <c r="H320" s="8">
        <f t="shared" si="4"/>
        <v>0.4714285714</v>
      </c>
    </row>
    <row r="321">
      <c r="A321" s="5">
        <v>80601.0</v>
      </c>
      <c r="B321" s="6" t="s">
        <v>328</v>
      </c>
      <c r="C321" s="7">
        <v>2.0</v>
      </c>
      <c r="D321" s="7">
        <v>5.0</v>
      </c>
      <c r="E321" s="8">
        <f t="shared" si="3"/>
        <v>0.2857142857</v>
      </c>
      <c r="F321" s="7">
        <v>6.0</v>
      </c>
      <c r="G321" s="7">
        <v>19.0</v>
      </c>
      <c r="H321" s="8">
        <f t="shared" si="4"/>
        <v>0.24</v>
      </c>
    </row>
    <row r="322">
      <c r="A322" s="5">
        <v>80602.0</v>
      </c>
      <c r="B322" s="6" t="s">
        <v>329</v>
      </c>
      <c r="C322" s="7">
        <v>186.0</v>
      </c>
      <c r="D322" s="7">
        <v>320.0</v>
      </c>
      <c r="E322" s="8">
        <f t="shared" si="3"/>
        <v>0.3675889328</v>
      </c>
      <c r="F322" s="7">
        <v>43.0</v>
      </c>
      <c r="G322" s="7">
        <v>44.0</v>
      </c>
      <c r="H322" s="8">
        <f t="shared" si="4"/>
        <v>0.4942528736</v>
      </c>
    </row>
    <row r="323">
      <c r="A323" s="5">
        <v>80701.0</v>
      </c>
      <c r="B323" s="6" t="s">
        <v>330</v>
      </c>
      <c r="C323" s="7">
        <v>3.0</v>
      </c>
      <c r="D323" s="7">
        <v>8.0</v>
      </c>
      <c r="E323" s="8">
        <f t="shared" si="3"/>
        <v>0.2727272727</v>
      </c>
      <c r="F323" s="7">
        <v>29.0</v>
      </c>
      <c r="G323" s="7">
        <v>25.0</v>
      </c>
      <c r="H323" s="8">
        <f t="shared" si="4"/>
        <v>0.537037037</v>
      </c>
    </row>
    <row r="324">
      <c r="A324" s="5">
        <v>80702.0</v>
      </c>
      <c r="B324" s="6" t="s">
        <v>308</v>
      </c>
      <c r="C324" s="7">
        <v>0.0</v>
      </c>
      <c r="D324" s="7">
        <v>8.0</v>
      </c>
      <c r="E324" s="8">
        <f t="shared" si="3"/>
        <v>0</v>
      </c>
      <c r="F324" s="7">
        <v>9.0</v>
      </c>
      <c r="G324" s="7">
        <v>12.0</v>
      </c>
      <c r="H324" s="8">
        <f t="shared" si="4"/>
        <v>0.4285714286</v>
      </c>
    </row>
    <row r="325">
      <c r="A325" s="5">
        <v>80703.0</v>
      </c>
      <c r="B325" s="6" t="s">
        <v>331</v>
      </c>
      <c r="C325" s="7">
        <v>2.0</v>
      </c>
      <c r="D325" s="7">
        <v>2.0</v>
      </c>
      <c r="E325" s="8">
        <f t="shared" si="3"/>
        <v>0.5</v>
      </c>
      <c r="F325" s="7">
        <v>1.0</v>
      </c>
      <c r="G325" s="7">
        <v>6.0</v>
      </c>
      <c r="H325" s="8">
        <f t="shared" si="4"/>
        <v>0.1428571429</v>
      </c>
    </row>
    <row r="326">
      <c r="A326" s="5">
        <v>80801.0</v>
      </c>
      <c r="B326" s="6" t="s">
        <v>332</v>
      </c>
      <c r="C326" s="7">
        <v>32.0</v>
      </c>
      <c r="D326" s="7">
        <v>46.0</v>
      </c>
      <c r="E326" s="8">
        <f t="shared" si="3"/>
        <v>0.4102564103</v>
      </c>
      <c r="F326" s="7">
        <v>25.0</v>
      </c>
      <c r="G326" s="7">
        <v>28.0</v>
      </c>
      <c r="H326" s="8">
        <f t="shared" si="4"/>
        <v>0.4716981132</v>
      </c>
    </row>
    <row r="327">
      <c r="A327" s="5">
        <v>80802.0</v>
      </c>
      <c r="B327" s="6" t="s">
        <v>333</v>
      </c>
      <c r="C327" s="7">
        <v>1.0</v>
      </c>
      <c r="D327" s="7">
        <v>4.0</v>
      </c>
      <c r="E327" s="8">
        <f t="shared" si="3"/>
        <v>0.2</v>
      </c>
      <c r="F327" s="7">
        <v>10.0</v>
      </c>
      <c r="G327" s="7">
        <v>20.0</v>
      </c>
      <c r="H327" s="8">
        <f t="shared" si="4"/>
        <v>0.3333333333</v>
      </c>
    </row>
    <row r="328">
      <c r="A328" s="5">
        <v>80803.0</v>
      </c>
      <c r="B328" s="6" t="s">
        <v>334</v>
      </c>
      <c r="C328" s="7">
        <v>1.0</v>
      </c>
      <c r="D328" s="7">
        <v>7.0</v>
      </c>
      <c r="E328" s="8">
        <f t="shared" si="3"/>
        <v>0.125</v>
      </c>
      <c r="F328" s="7">
        <v>15.0</v>
      </c>
      <c r="G328" s="7">
        <v>37.0</v>
      </c>
      <c r="H328" s="8">
        <f t="shared" si="4"/>
        <v>0.2884615385</v>
      </c>
    </row>
    <row r="329">
      <c r="A329" s="5">
        <v>80901.0</v>
      </c>
      <c r="B329" s="6" t="s">
        <v>335</v>
      </c>
      <c r="C329" s="7">
        <v>0.0</v>
      </c>
      <c r="D329" s="7">
        <v>0.0</v>
      </c>
      <c r="E329" s="8">
        <f t="shared" si="3"/>
        <v>0</v>
      </c>
      <c r="F329" s="7">
        <v>0.0</v>
      </c>
      <c r="G329" s="7">
        <v>0.0</v>
      </c>
      <c r="H329" s="8">
        <f t="shared" si="4"/>
        <v>0</v>
      </c>
    </row>
    <row r="330">
      <c r="A330" s="5">
        <v>90101.0</v>
      </c>
      <c r="B330" s="6" t="s">
        <v>336</v>
      </c>
      <c r="C330" s="7">
        <v>187.0</v>
      </c>
      <c r="D330" s="7">
        <v>232.0</v>
      </c>
      <c r="E330" s="8">
        <f t="shared" si="3"/>
        <v>0.446300716</v>
      </c>
      <c r="F330" s="7">
        <v>0.0</v>
      </c>
      <c r="G330" s="7">
        <v>0.0</v>
      </c>
      <c r="H330" s="8">
        <f t="shared" si="4"/>
        <v>0</v>
      </c>
    </row>
    <row r="331">
      <c r="A331" s="5">
        <v>90102.0</v>
      </c>
      <c r="B331" s="6" t="s">
        <v>337</v>
      </c>
      <c r="C331" s="7">
        <v>96.0</v>
      </c>
      <c r="D331" s="7">
        <v>126.0</v>
      </c>
      <c r="E331" s="8">
        <f t="shared" si="3"/>
        <v>0.4324324324</v>
      </c>
      <c r="F331" s="7">
        <v>0.0</v>
      </c>
      <c r="G331" s="7">
        <v>0.0</v>
      </c>
      <c r="H331" s="8">
        <f t="shared" si="4"/>
        <v>0</v>
      </c>
    </row>
    <row r="332">
      <c r="A332" s="5">
        <v>90103.0</v>
      </c>
      <c r="B332" s="6" t="s">
        <v>338</v>
      </c>
      <c r="C332" s="7">
        <v>4.0</v>
      </c>
      <c r="D332" s="7">
        <v>5.0</v>
      </c>
      <c r="E332" s="8">
        <f t="shared" si="3"/>
        <v>0.4444444444</v>
      </c>
      <c r="F332" s="7">
        <v>0.0</v>
      </c>
      <c r="G332" s="7">
        <v>0.0</v>
      </c>
      <c r="H332" s="8">
        <f t="shared" si="4"/>
        <v>0</v>
      </c>
    </row>
    <row r="333">
      <c r="A333" s="5">
        <v>90104.0</v>
      </c>
      <c r="B333" s="6" t="s">
        <v>339</v>
      </c>
      <c r="C333" s="7">
        <v>2.0</v>
      </c>
      <c r="D333" s="7">
        <v>4.0</v>
      </c>
      <c r="E333" s="8">
        <f t="shared" si="3"/>
        <v>0.3333333333</v>
      </c>
      <c r="F333" s="7">
        <v>0.0</v>
      </c>
      <c r="G333" s="7">
        <v>0.0</v>
      </c>
      <c r="H333" s="8">
        <f t="shared" si="4"/>
        <v>0</v>
      </c>
    </row>
    <row r="334">
      <c r="A334" s="5">
        <v>90201.0</v>
      </c>
      <c r="B334" s="6" t="s">
        <v>340</v>
      </c>
      <c r="C334" s="7">
        <v>4.0</v>
      </c>
      <c r="D334" s="7">
        <v>4.0</v>
      </c>
      <c r="E334" s="8">
        <f t="shared" si="3"/>
        <v>0.5</v>
      </c>
      <c r="F334" s="7">
        <v>2.0</v>
      </c>
      <c r="G334" s="7">
        <v>5.0</v>
      </c>
      <c r="H334" s="8">
        <f t="shared" si="4"/>
        <v>0.2857142857</v>
      </c>
    </row>
    <row r="335">
      <c r="A335" s="5">
        <v>90202.0</v>
      </c>
      <c r="B335" s="6" t="s">
        <v>231</v>
      </c>
      <c r="C335" s="7">
        <v>3.0</v>
      </c>
      <c r="D335" s="7">
        <v>4.0</v>
      </c>
      <c r="E335" s="8">
        <f t="shared" si="3"/>
        <v>0.4285714286</v>
      </c>
      <c r="F335" s="7">
        <v>0.0</v>
      </c>
      <c r="G335" s="7">
        <v>0.0</v>
      </c>
      <c r="H335" s="8">
        <f t="shared" si="4"/>
        <v>0</v>
      </c>
    </row>
    <row r="336">
      <c r="A336" s="5">
        <v>90203.0</v>
      </c>
      <c r="B336" s="6" t="s">
        <v>341</v>
      </c>
      <c r="C336" s="7">
        <v>12.0</v>
      </c>
      <c r="D336" s="7">
        <v>19.0</v>
      </c>
      <c r="E336" s="8">
        <f t="shared" si="3"/>
        <v>0.3870967742</v>
      </c>
      <c r="F336" s="7">
        <v>0.0</v>
      </c>
      <c r="G336" s="7">
        <v>0.0</v>
      </c>
      <c r="H336" s="8">
        <f t="shared" si="4"/>
        <v>0</v>
      </c>
    </row>
    <row r="337">
      <c r="A337" s="5">
        <v>90301.0</v>
      </c>
      <c r="B337" s="6" t="s">
        <v>342</v>
      </c>
      <c r="C337" s="7">
        <v>4.0</v>
      </c>
      <c r="D337" s="7">
        <v>13.0</v>
      </c>
      <c r="E337" s="8">
        <f t="shared" si="3"/>
        <v>0.2352941176</v>
      </c>
      <c r="F337" s="7">
        <v>0.0</v>
      </c>
      <c r="G337" s="7">
        <v>0.0</v>
      </c>
      <c r="H337" s="8">
        <f t="shared" si="4"/>
        <v>0</v>
      </c>
    </row>
    <row r="338">
      <c r="A338" s="5">
        <v>90302.0</v>
      </c>
      <c r="B338" s="6" t="s">
        <v>264</v>
      </c>
      <c r="C338" s="7">
        <v>0.0</v>
      </c>
      <c r="D338" s="7">
        <v>1.0</v>
      </c>
      <c r="E338" s="8">
        <f t="shared" si="3"/>
        <v>0</v>
      </c>
      <c r="F338" s="7">
        <v>0.0</v>
      </c>
      <c r="G338" s="7">
        <v>0.0</v>
      </c>
      <c r="H338" s="8">
        <f t="shared" si="4"/>
        <v>0</v>
      </c>
    </row>
    <row r="339">
      <c r="A339" s="5">
        <v>90303.0</v>
      </c>
      <c r="B339" s="6" t="s">
        <v>343</v>
      </c>
      <c r="C339" s="7">
        <v>12.0</v>
      </c>
      <c r="D339" s="7">
        <v>20.0</v>
      </c>
      <c r="E339" s="8">
        <f t="shared" si="3"/>
        <v>0.375</v>
      </c>
      <c r="F339" s="7">
        <v>0.0</v>
      </c>
      <c r="G339" s="7">
        <v>0.0</v>
      </c>
      <c r="H339" s="8">
        <f t="shared" si="4"/>
        <v>0</v>
      </c>
    </row>
    <row r="340">
      <c r="A340" s="5">
        <v>90401.0</v>
      </c>
      <c r="B340" s="6" t="s">
        <v>284</v>
      </c>
      <c r="C340" s="7">
        <v>1.0</v>
      </c>
      <c r="D340" s="7">
        <v>4.0</v>
      </c>
      <c r="E340" s="8">
        <f t="shared" si="3"/>
        <v>0.2</v>
      </c>
      <c r="F340" s="7">
        <v>0.0</v>
      </c>
      <c r="G340" s="7">
        <v>0.0</v>
      </c>
      <c r="H340" s="8">
        <f t="shared" si="4"/>
        <v>0</v>
      </c>
    </row>
    <row r="341">
      <c r="A341" s="5">
        <v>90402.0</v>
      </c>
      <c r="B341" s="6" t="s">
        <v>344</v>
      </c>
      <c r="C341" s="7">
        <v>2.0</v>
      </c>
      <c r="D341" s="7">
        <v>12.0</v>
      </c>
      <c r="E341" s="8">
        <f t="shared" si="3"/>
        <v>0.1428571429</v>
      </c>
      <c r="F341" s="7">
        <v>0.0</v>
      </c>
      <c r="G341" s="7">
        <v>0.0</v>
      </c>
      <c r="H341" s="8">
        <f t="shared" si="4"/>
        <v>0</v>
      </c>
    </row>
    <row r="342">
      <c r="A342" s="5">
        <v>90501.0</v>
      </c>
      <c r="B342" s="6" t="s">
        <v>345</v>
      </c>
      <c r="C342" s="7">
        <v>0.0</v>
      </c>
      <c r="D342" s="7">
        <v>0.0</v>
      </c>
      <c r="E342" s="8">
        <f t="shared" si="3"/>
        <v>0</v>
      </c>
      <c r="F342" s="7">
        <v>0.0</v>
      </c>
      <c r="G342" s="7">
        <v>0.0</v>
      </c>
      <c r="H342" s="8">
        <f t="shared" si="4"/>
        <v>0</v>
      </c>
    </row>
    <row r="343">
      <c r="A343" s="5">
        <v>90502.0</v>
      </c>
      <c r="B343" s="6" t="s">
        <v>346</v>
      </c>
      <c r="C343" s="7">
        <v>0.0</v>
      </c>
      <c r="D343" s="7">
        <v>0.0</v>
      </c>
      <c r="E343" s="8">
        <f t="shared" si="3"/>
        <v>0</v>
      </c>
      <c r="F343" s="7">
        <v>0.0</v>
      </c>
      <c r="G343" s="7">
        <v>0.0</v>
      </c>
      <c r="H343" s="8">
        <f t="shared" si="4"/>
        <v>0</v>
      </c>
    </row>
    <row r="344">
      <c r="A344" s="5">
        <v>90503.0</v>
      </c>
      <c r="B344" s="6" t="s">
        <v>347</v>
      </c>
      <c r="C344" s="7">
        <v>4.0</v>
      </c>
      <c r="D344" s="7">
        <v>2.0</v>
      </c>
      <c r="E344" s="8">
        <f t="shared" si="3"/>
        <v>0.6666666667</v>
      </c>
      <c r="F344" s="7">
        <v>0.0</v>
      </c>
      <c r="G344" s="7">
        <v>0.0</v>
      </c>
      <c r="H344" s="8">
        <f t="shared" si="4"/>
        <v>0</v>
      </c>
    </row>
    <row r="345">
      <c r="A345" s="12"/>
      <c r="B345" s="12"/>
    </row>
    <row r="346">
      <c r="A346" s="12"/>
      <c r="B346" s="12"/>
      <c r="D346" s="13" t="s">
        <v>348</v>
      </c>
      <c r="E346" s="14">
        <f>AVERAGE(E2:E344)</f>
        <v>0.2661019837</v>
      </c>
      <c r="F346" s="14">
        <f>E346+E347</f>
        <v>0.4983385226</v>
      </c>
    </row>
    <row r="347">
      <c r="A347" s="12"/>
      <c r="B347" s="12"/>
      <c r="D347" s="13" t="s">
        <v>349</v>
      </c>
      <c r="E347" s="14">
        <f>STDEVA(E2:E344)</f>
        <v>0.232236539</v>
      </c>
      <c r="F347" s="14">
        <f>E346-E347</f>
        <v>0.0338654447</v>
      </c>
    </row>
    <row r="348">
      <c r="A348" s="12"/>
      <c r="B348" s="12"/>
      <c r="D348" s="13" t="s">
        <v>350</v>
      </c>
      <c r="E348" s="14">
        <f>max(E2:E344)</f>
        <v>1</v>
      </c>
    </row>
    <row r="349">
      <c r="A349" s="12"/>
      <c r="B349" s="12"/>
      <c r="D349" s="13" t="s">
        <v>351</v>
      </c>
      <c r="E349" s="14">
        <f>min(E2:E344)</f>
        <v>0</v>
      </c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4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10101.0</v>
      </c>
      <c r="B2" s="6" t="s">
        <v>9</v>
      </c>
      <c r="C2" s="8">
        <v>0.46464646464646464</v>
      </c>
      <c r="D2" s="8">
        <v>0.48133198789101916</v>
      </c>
    </row>
    <row r="3">
      <c r="A3" s="5">
        <v>10102.0</v>
      </c>
      <c r="B3" s="6" t="s">
        <v>11</v>
      </c>
      <c r="C3" s="8">
        <v>0.5882352941176471</v>
      </c>
      <c r="D3" s="8">
        <v>0.45436507936507936</v>
      </c>
    </row>
    <row r="4">
      <c r="A4" s="5">
        <v>10103.0</v>
      </c>
      <c r="B4" s="6" t="s">
        <v>13</v>
      </c>
      <c r="C4" s="8">
        <v>0.4234995773457312</v>
      </c>
      <c r="D4" s="8">
        <v>0.41818181818181815</v>
      </c>
    </row>
    <row r="5">
      <c r="A5" s="5">
        <v>10201.0</v>
      </c>
      <c r="B5" s="6" t="s">
        <v>15</v>
      </c>
      <c r="C5" s="8">
        <v>0.45973819912733044</v>
      </c>
      <c r="D5" s="8">
        <v>0.4666666666666667</v>
      </c>
    </row>
    <row r="6">
      <c r="A6" s="5">
        <v>10202.0</v>
      </c>
      <c r="B6" s="6" t="s">
        <v>17</v>
      </c>
      <c r="C6" s="8">
        <v>0.45454545454545453</v>
      </c>
      <c r="D6" s="8">
        <v>0.44823066841415465</v>
      </c>
    </row>
    <row r="7">
      <c r="A7" s="5">
        <v>10301.0</v>
      </c>
      <c r="B7" s="6" t="s">
        <v>19</v>
      </c>
      <c r="C7" s="8">
        <v>0.43467245747376043</v>
      </c>
      <c r="D7" s="8">
        <v>0.30434782608695654</v>
      </c>
    </row>
    <row r="8">
      <c r="A8" s="5">
        <v>10302.0</v>
      </c>
      <c r="B8" s="6" t="s">
        <v>21</v>
      </c>
      <c r="C8" s="8">
        <v>0.4524982406755806</v>
      </c>
      <c r="D8" s="8">
        <v>0.4895238095238095</v>
      </c>
    </row>
    <row r="9">
      <c r="A9" s="5">
        <v>10303.0</v>
      </c>
      <c r="B9" s="6" t="s">
        <v>23</v>
      </c>
      <c r="C9" s="8">
        <v>0.45276497695852536</v>
      </c>
      <c r="D9" s="8">
        <v>0.5116279069767442</v>
      </c>
    </row>
    <row r="10">
      <c r="A10" s="5">
        <v>10304.0</v>
      </c>
      <c r="B10" s="6" t="s">
        <v>25</v>
      </c>
      <c r="C10" s="8">
        <v>0.0</v>
      </c>
      <c r="D10" s="8">
        <v>0.4868421052631579</v>
      </c>
    </row>
    <row r="11">
      <c r="A11" s="5">
        <v>10401.0</v>
      </c>
      <c r="B11" s="6" t="s">
        <v>27</v>
      </c>
      <c r="C11" s="8">
        <v>0.465967655944553</v>
      </c>
      <c r="D11" s="8">
        <v>0.4</v>
      </c>
    </row>
    <row r="12">
      <c r="A12" s="5">
        <v>10402.0</v>
      </c>
      <c r="B12" s="6" t="s">
        <v>29</v>
      </c>
      <c r="C12" s="8">
        <v>0.4736654168898411</v>
      </c>
      <c r="D12" s="8">
        <v>0.0</v>
      </c>
    </row>
    <row r="13">
      <c r="A13" s="5">
        <v>10403.0</v>
      </c>
      <c r="B13" s="6" t="s">
        <v>31</v>
      </c>
      <c r="C13" s="8">
        <v>0.41714813958862956</v>
      </c>
      <c r="D13" s="8">
        <v>0.40540540540540543</v>
      </c>
    </row>
    <row r="14">
      <c r="A14" s="5">
        <v>10404.0</v>
      </c>
      <c r="B14" s="6" t="s">
        <v>32</v>
      </c>
      <c r="C14" s="8">
        <v>0.44653179190751446</v>
      </c>
      <c r="D14" s="8">
        <v>0.4444444444444444</v>
      </c>
    </row>
    <row r="15">
      <c r="A15" s="5">
        <v>10405.0</v>
      </c>
      <c r="B15" s="6" t="s">
        <v>33</v>
      </c>
      <c r="C15" s="8">
        <v>0.5360824742268041</v>
      </c>
      <c r="D15" s="8">
        <v>0.46153846153846156</v>
      </c>
    </row>
    <row r="16">
      <c r="A16" s="5">
        <v>10501.0</v>
      </c>
      <c r="B16" s="6" t="s">
        <v>34</v>
      </c>
      <c r="C16" s="8">
        <v>0.45161290322580644</v>
      </c>
      <c r="D16" s="8">
        <v>0.5038520801232665</v>
      </c>
    </row>
    <row r="17">
      <c r="A17" s="5">
        <v>10502.0</v>
      </c>
      <c r="B17" s="6" t="s">
        <v>35</v>
      </c>
      <c r="C17" s="8">
        <v>0.4927536231884058</v>
      </c>
      <c r="D17" s="8">
        <v>0.6</v>
      </c>
    </row>
    <row r="18">
      <c r="A18" s="5">
        <v>10601.0</v>
      </c>
      <c r="B18" s="6" t="s">
        <v>36</v>
      </c>
      <c r="C18" s="8">
        <v>0.4909090909090909</v>
      </c>
      <c r="D18" s="8">
        <v>0.4307909604519774</v>
      </c>
    </row>
    <row r="19">
      <c r="A19" s="5">
        <v>10602.0</v>
      </c>
      <c r="B19" s="6" t="s">
        <v>37</v>
      </c>
      <c r="C19" s="8">
        <v>0.4208955223880597</v>
      </c>
      <c r="D19" s="8">
        <v>0.0</v>
      </c>
    </row>
    <row r="20">
      <c r="A20" s="5">
        <v>10701.0</v>
      </c>
      <c r="B20" s="6" t="s">
        <v>38</v>
      </c>
      <c r="C20" s="8">
        <v>0.45542846188254843</v>
      </c>
      <c r="D20" s="8">
        <v>0.6607142857142857</v>
      </c>
    </row>
    <row r="21">
      <c r="A21" s="5">
        <v>10702.0</v>
      </c>
      <c r="B21" s="6" t="s">
        <v>39</v>
      </c>
      <c r="C21" s="8">
        <v>0.3684210526315789</v>
      </c>
      <c r="D21" s="8">
        <v>0.38461538461538464</v>
      </c>
    </row>
    <row r="22">
      <c r="A22" s="5">
        <v>10703.0</v>
      </c>
      <c r="B22" s="6" t="s">
        <v>40</v>
      </c>
      <c r="C22" s="8">
        <v>0.4203883495145631</v>
      </c>
      <c r="D22" s="8">
        <v>0.5315315315315315</v>
      </c>
    </row>
    <row r="23">
      <c r="A23" s="5">
        <v>10704.0</v>
      </c>
      <c r="B23" s="6" t="s">
        <v>41</v>
      </c>
      <c r="C23" s="8">
        <v>0.0</v>
      </c>
      <c r="D23" s="8">
        <v>0.4700854700854701</v>
      </c>
    </row>
    <row r="24">
      <c r="A24" s="5">
        <v>10801.0</v>
      </c>
      <c r="B24" s="6" t="s">
        <v>42</v>
      </c>
      <c r="C24" s="8">
        <v>0.41221774899352354</v>
      </c>
      <c r="D24" s="8">
        <v>0.59375</v>
      </c>
    </row>
    <row r="25">
      <c r="A25" s="5">
        <v>10901.0</v>
      </c>
      <c r="B25" s="6" t="s">
        <v>43</v>
      </c>
      <c r="C25" s="8">
        <v>0.45634920634920634</v>
      </c>
      <c r="D25" s="8">
        <v>0.0</v>
      </c>
    </row>
    <row r="26">
      <c r="A26" s="5">
        <v>10902.0</v>
      </c>
      <c r="B26" s="6" t="s">
        <v>44</v>
      </c>
      <c r="C26" s="8">
        <v>0.42854124854758635</v>
      </c>
      <c r="D26" s="8">
        <v>0.375</v>
      </c>
    </row>
    <row r="27">
      <c r="A27" s="5">
        <v>10903.0</v>
      </c>
      <c r="B27" s="6" t="s">
        <v>45</v>
      </c>
      <c r="C27" s="8">
        <v>0.5402985074626866</v>
      </c>
      <c r="D27" s="8">
        <v>0.1951219512195122</v>
      </c>
    </row>
    <row r="28">
      <c r="A28" s="5">
        <v>11001.0</v>
      </c>
      <c r="B28" s="6" t="s">
        <v>46</v>
      </c>
      <c r="C28" s="8">
        <v>0.4059662775616083</v>
      </c>
      <c r="D28" s="8">
        <v>0.5024154589371981</v>
      </c>
    </row>
    <row r="29">
      <c r="A29" s="5">
        <v>11002.0</v>
      </c>
      <c r="B29" s="6" t="s">
        <v>47</v>
      </c>
      <c r="C29" s="8">
        <v>0.4642857142857143</v>
      </c>
      <c r="D29" s="8">
        <v>0.5</v>
      </c>
    </row>
    <row r="30">
      <c r="A30" s="5">
        <v>11003.0</v>
      </c>
      <c r="B30" s="6" t="s">
        <v>48</v>
      </c>
      <c r="C30" s="8">
        <v>0.42857142857142855</v>
      </c>
      <c r="D30" s="8">
        <v>0.4594594594594595</v>
      </c>
    </row>
    <row r="31">
      <c r="A31" s="5">
        <v>20101.0</v>
      </c>
      <c r="B31" s="6" t="s">
        <v>49</v>
      </c>
      <c r="C31" s="8">
        <v>0.3333333333333333</v>
      </c>
      <c r="D31" s="8">
        <v>0.415929203539823</v>
      </c>
    </row>
    <row r="32">
      <c r="A32" s="5">
        <v>20102.0</v>
      </c>
      <c r="B32" s="6" t="s">
        <v>50</v>
      </c>
      <c r="C32" s="8">
        <v>0.0</v>
      </c>
      <c r="D32" s="8">
        <v>0.471854930109558</v>
      </c>
    </row>
    <row r="33">
      <c r="A33" s="5">
        <v>20103.0</v>
      </c>
      <c r="B33" s="6" t="s">
        <v>51</v>
      </c>
      <c r="C33" s="8">
        <v>0.6666666666666666</v>
      </c>
      <c r="D33" s="8">
        <v>0.4231348528968772</v>
      </c>
    </row>
    <row r="34">
      <c r="A34" s="5">
        <v>20104.0</v>
      </c>
      <c r="B34" s="6" t="s">
        <v>52</v>
      </c>
      <c r="C34" s="8">
        <v>0.0</v>
      </c>
      <c r="D34" s="8">
        <v>0.4444444444444444</v>
      </c>
    </row>
    <row r="35">
      <c r="A35" s="5">
        <v>20105.0</v>
      </c>
      <c r="B35" s="6" t="s">
        <v>53</v>
      </c>
      <c r="C35" s="8">
        <v>0.6666666666666666</v>
      </c>
      <c r="D35" s="8">
        <v>0.5100401606425703</v>
      </c>
    </row>
    <row r="36">
      <c r="A36" s="5">
        <v>20201.0</v>
      </c>
      <c r="B36" s="6" t="s">
        <v>54</v>
      </c>
      <c r="C36" s="8">
        <v>1.0</v>
      </c>
      <c r="D36" s="8">
        <v>0.4654525977504017</v>
      </c>
    </row>
    <row r="37">
      <c r="A37" s="5">
        <v>20202.0</v>
      </c>
      <c r="B37" s="6" t="s">
        <v>55</v>
      </c>
      <c r="C37" s="8">
        <v>0.0</v>
      </c>
      <c r="D37" s="8">
        <v>0.4248853211009174</v>
      </c>
    </row>
    <row r="38">
      <c r="A38" s="5">
        <v>20203.0</v>
      </c>
      <c r="B38" s="6" t="s">
        <v>56</v>
      </c>
      <c r="C38" s="8">
        <v>0.0</v>
      </c>
      <c r="D38" s="8">
        <v>0.4930747922437673</v>
      </c>
    </row>
    <row r="39">
      <c r="A39" s="5">
        <v>20204.0</v>
      </c>
      <c r="B39" s="6" t="s">
        <v>57</v>
      </c>
      <c r="C39" s="8">
        <v>0.5</v>
      </c>
      <c r="D39" s="8">
        <v>0.5321447866018368</v>
      </c>
    </row>
    <row r="40">
      <c r="A40" s="5">
        <v>20205.0</v>
      </c>
      <c r="B40" s="6" t="s">
        <v>58</v>
      </c>
      <c r="C40" s="8">
        <v>0.0</v>
      </c>
      <c r="D40" s="8">
        <v>0.5010242903131402</v>
      </c>
    </row>
    <row r="41">
      <c r="A41" s="5">
        <v>20206.0</v>
      </c>
      <c r="B41" s="6" t="s">
        <v>59</v>
      </c>
      <c r="C41" s="8">
        <v>0.0</v>
      </c>
      <c r="D41" s="8">
        <v>0.4813664596273292</v>
      </c>
    </row>
    <row r="42">
      <c r="A42" s="5">
        <v>20301.0</v>
      </c>
      <c r="B42" s="6" t="s">
        <v>60</v>
      </c>
      <c r="C42" s="8">
        <v>0.0</v>
      </c>
      <c r="D42" s="8">
        <v>0.5415472779369628</v>
      </c>
    </row>
    <row r="43">
      <c r="A43" s="5">
        <v>20302.0</v>
      </c>
      <c r="B43" s="6" t="s">
        <v>61</v>
      </c>
      <c r="C43" s="8">
        <v>0.0</v>
      </c>
      <c r="D43" s="8">
        <v>0.5</v>
      </c>
    </row>
    <row r="44">
      <c r="A44" s="5">
        <v>20303.0</v>
      </c>
      <c r="B44" s="6" t="s">
        <v>62</v>
      </c>
      <c r="C44" s="8">
        <v>0.0</v>
      </c>
      <c r="D44" s="8">
        <v>0.34523809523809523</v>
      </c>
    </row>
    <row r="45">
      <c r="A45" s="5">
        <v>20304.0</v>
      </c>
      <c r="B45" s="6" t="s">
        <v>63</v>
      </c>
      <c r="C45" s="8">
        <v>0.0</v>
      </c>
      <c r="D45" s="8">
        <v>0.4974704890387858</v>
      </c>
    </row>
    <row r="46">
      <c r="A46" s="5">
        <v>20305.0</v>
      </c>
      <c r="B46" s="6" t="s">
        <v>64</v>
      </c>
      <c r="C46" s="8">
        <v>0.0</v>
      </c>
      <c r="D46" s="8">
        <v>0.0</v>
      </c>
    </row>
    <row r="47">
      <c r="A47" s="5">
        <v>20306.0</v>
      </c>
      <c r="B47" s="6" t="s">
        <v>65</v>
      </c>
      <c r="C47" s="8">
        <v>0.0</v>
      </c>
      <c r="D47" s="8">
        <v>0.0</v>
      </c>
    </row>
    <row r="48">
      <c r="A48" s="5">
        <v>20307.0</v>
      </c>
      <c r="B48" s="6" t="s">
        <v>66</v>
      </c>
      <c r="C48" s="8">
        <v>0.0</v>
      </c>
      <c r="D48" s="8">
        <v>0.0</v>
      </c>
    </row>
    <row r="49">
      <c r="A49" s="5">
        <v>20308.0</v>
      </c>
      <c r="B49" s="6" t="s">
        <v>67</v>
      </c>
      <c r="C49" s="8">
        <v>0.0</v>
      </c>
      <c r="D49" s="8">
        <v>0.46875</v>
      </c>
    </row>
    <row r="50">
      <c r="A50" s="5">
        <v>20401.0</v>
      </c>
      <c r="B50" s="6" t="s">
        <v>68</v>
      </c>
      <c r="C50" s="8">
        <v>0.0</v>
      </c>
      <c r="D50" s="8">
        <v>0.0</v>
      </c>
    </row>
    <row r="51">
      <c r="A51" s="5">
        <v>20402.0</v>
      </c>
      <c r="B51" s="6" t="s">
        <v>69</v>
      </c>
      <c r="C51" s="8">
        <v>0.0</v>
      </c>
      <c r="D51" s="8">
        <v>0.4241810199257008</v>
      </c>
    </row>
    <row r="52">
      <c r="A52" s="5">
        <v>20403.0</v>
      </c>
      <c r="B52" s="6" t="s">
        <v>70</v>
      </c>
      <c r="C52" s="8">
        <v>0.0</v>
      </c>
      <c r="D52" s="8">
        <v>0.493633992943703</v>
      </c>
    </row>
    <row r="53">
      <c r="A53" s="5">
        <v>20404.0</v>
      </c>
      <c r="B53" s="6" t="s">
        <v>71</v>
      </c>
      <c r="C53" s="8">
        <v>0.0</v>
      </c>
      <c r="D53" s="8">
        <v>0.5454545454545454</v>
      </c>
    </row>
    <row r="54">
      <c r="A54" s="5">
        <v>20405.0</v>
      </c>
      <c r="B54" s="6" t="s">
        <v>72</v>
      </c>
      <c r="C54" s="8">
        <v>0.0</v>
      </c>
      <c r="D54" s="8">
        <v>0.0</v>
      </c>
    </row>
    <row r="55">
      <c r="A55" s="5">
        <v>20501.0</v>
      </c>
      <c r="B55" s="6" t="s">
        <v>73</v>
      </c>
      <c r="C55" s="8">
        <v>0.5</v>
      </c>
      <c r="D55" s="8">
        <v>0.4644134698408783</v>
      </c>
    </row>
    <row r="56">
      <c r="A56" s="5">
        <v>20502.0</v>
      </c>
      <c r="B56" s="6" t="s">
        <v>74</v>
      </c>
      <c r="C56" s="8">
        <v>0.0</v>
      </c>
      <c r="D56" s="8">
        <v>0.4527341155634271</v>
      </c>
    </row>
    <row r="57">
      <c r="A57" s="5">
        <v>20503.0</v>
      </c>
      <c r="B57" s="6" t="s">
        <v>75</v>
      </c>
      <c r="C57" s="8">
        <v>0.0</v>
      </c>
      <c r="D57" s="8">
        <v>0.3076923076923077</v>
      </c>
    </row>
    <row r="58">
      <c r="A58" s="5">
        <v>20601.0</v>
      </c>
      <c r="B58" s="6" t="s">
        <v>76</v>
      </c>
      <c r="C58" s="8">
        <v>0.4444444444444444</v>
      </c>
      <c r="D58" s="8">
        <v>0.46515752138535366</v>
      </c>
    </row>
    <row r="59">
      <c r="A59" s="5">
        <v>20602.0</v>
      </c>
      <c r="B59" s="6" t="s">
        <v>77</v>
      </c>
      <c r="C59" s="8">
        <v>0.25</v>
      </c>
      <c r="D59" s="8">
        <v>0.0</v>
      </c>
    </row>
    <row r="60">
      <c r="A60" s="5">
        <v>20603.0</v>
      </c>
      <c r="B60" s="6" t="s">
        <v>78</v>
      </c>
      <c r="C60" s="8">
        <v>0.5</v>
      </c>
      <c r="D60" s="8">
        <v>0.423963133640553</v>
      </c>
    </row>
    <row r="61">
      <c r="A61" s="5">
        <v>20604.0</v>
      </c>
      <c r="B61" s="6" t="s">
        <v>79</v>
      </c>
      <c r="C61" s="8">
        <v>0.0</v>
      </c>
      <c r="D61" s="8">
        <v>0.3956196285001386</v>
      </c>
    </row>
    <row r="62">
      <c r="A62" s="5">
        <v>20605.0</v>
      </c>
      <c r="B62" s="6" t="s">
        <v>80</v>
      </c>
      <c r="C62" s="8">
        <v>0.0</v>
      </c>
      <c r="D62" s="8">
        <v>0.3358908780903666</v>
      </c>
    </row>
    <row r="63">
      <c r="A63" s="5">
        <v>20606.0</v>
      </c>
      <c r="B63" s="6" t="s">
        <v>81</v>
      </c>
      <c r="C63" s="8">
        <v>0.0</v>
      </c>
      <c r="D63" s="8">
        <v>0.0</v>
      </c>
    </row>
    <row r="64">
      <c r="A64" s="5">
        <v>20607.0</v>
      </c>
      <c r="B64" s="6" t="s">
        <v>82</v>
      </c>
      <c r="C64" s="8">
        <v>0.4166666666666667</v>
      </c>
      <c r="D64" s="8">
        <v>0.0</v>
      </c>
    </row>
    <row r="65">
      <c r="A65" s="5">
        <v>20608.0</v>
      </c>
      <c r="B65" s="6" t="s">
        <v>83</v>
      </c>
      <c r="C65" s="8">
        <v>0.15</v>
      </c>
      <c r="D65" s="8">
        <v>0.44148936170212766</v>
      </c>
    </row>
    <row r="66">
      <c r="A66" s="5">
        <v>20701.0</v>
      </c>
      <c r="B66" s="6" t="s">
        <v>84</v>
      </c>
      <c r="C66" s="8">
        <v>0.0</v>
      </c>
      <c r="D66" s="8">
        <v>0.2</v>
      </c>
    </row>
    <row r="67">
      <c r="A67" s="5">
        <v>20702.0</v>
      </c>
      <c r="B67" s="6" t="s">
        <v>85</v>
      </c>
      <c r="C67" s="8">
        <v>0.4583333333333333</v>
      </c>
      <c r="D67" s="8">
        <v>0.0</v>
      </c>
    </row>
    <row r="68">
      <c r="A68" s="5">
        <v>20801.0</v>
      </c>
      <c r="B68" s="6" t="s">
        <v>86</v>
      </c>
      <c r="C68" s="8">
        <v>0.44661921708185054</v>
      </c>
      <c r="D68" s="8">
        <v>0.5108929119361767</v>
      </c>
    </row>
    <row r="69">
      <c r="A69" s="5">
        <v>20802.0</v>
      </c>
      <c r="B69" s="6" t="s">
        <v>87</v>
      </c>
      <c r="C69" s="8">
        <v>0.45993662290629245</v>
      </c>
      <c r="D69" s="8">
        <v>0.5465742879137798</v>
      </c>
    </row>
    <row r="70">
      <c r="A70" s="5">
        <v>20803.0</v>
      </c>
      <c r="B70" s="6" t="s">
        <v>88</v>
      </c>
      <c r="C70" s="8">
        <v>0.48639412732565496</v>
      </c>
      <c r="D70" s="8">
        <v>0.0</v>
      </c>
    </row>
    <row r="71">
      <c r="A71" s="5">
        <v>20804.0</v>
      </c>
      <c r="B71" s="6" t="s">
        <v>89</v>
      </c>
      <c r="C71" s="8">
        <v>0.0</v>
      </c>
      <c r="D71" s="8">
        <v>0.5509641873278237</v>
      </c>
    </row>
    <row r="72">
      <c r="A72" s="5">
        <v>20805.0</v>
      </c>
      <c r="B72" s="6" t="s">
        <v>90</v>
      </c>
      <c r="C72" s="8">
        <v>1.0</v>
      </c>
      <c r="D72" s="8">
        <v>0.7142857142857143</v>
      </c>
    </row>
    <row r="73">
      <c r="A73" s="5">
        <v>20806.0</v>
      </c>
      <c r="B73" s="6" t="s">
        <v>91</v>
      </c>
      <c r="C73" s="8">
        <v>0.0</v>
      </c>
      <c r="D73" s="8">
        <v>0.0</v>
      </c>
    </row>
    <row r="74">
      <c r="A74" s="5">
        <v>20807.0</v>
      </c>
      <c r="B74" s="6" t="s">
        <v>92</v>
      </c>
      <c r="C74" s="8">
        <v>0.4752163650668765</v>
      </c>
      <c r="D74" s="8">
        <v>0.4444444444444444</v>
      </c>
    </row>
    <row r="75">
      <c r="A75" s="5">
        <v>20901.0</v>
      </c>
      <c r="B75" s="6" t="s">
        <v>93</v>
      </c>
      <c r="C75" s="8">
        <v>0.6</v>
      </c>
      <c r="D75" s="8">
        <v>0.488929889298893</v>
      </c>
    </row>
    <row r="76">
      <c r="A76" s="5">
        <v>20902.0</v>
      </c>
      <c r="B76" s="6" t="s">
        <v>94</v>
      </c>
      <c r="C76" s="8">
        <v>0.43724696356275305</v>
      </c>
      <c r="D76" s="8">
        <v>0.4843346848507188</v>
      </c>
    </row>
    <row r="77">
      <c r="A77" s="5">
        <v>20903.0</v>
      </c>
      <c r="B77" s="6" t="s">
        <v>95</v>
      </c>
      <c r="C77" s="8">
        <v>0.0</v>
      </c>
      <c r="D77" s="8">
        <v>0.30919765166340507</v>
      </c>
    </row>
    <row r="78">
      <c r="A78" s="5">
        <v>20904.0</v>
      </c>
      <c r="B78" s="6" t="s">
        <v>96</v>
      </c>
      <c r="C78" s="8">
        <v>0.0</v>
      </c>
      <c r="D78" s="8">
        <v>0.5</v>
      </c>
    </row>
    <row r="79">
      <c r="A79" s="5">
        <v>20905.0</v>
      </c>
      <c r="B79" s="6" t="s">
        <v>97</v>
      </c>
      <c r="C79" s="8">
        <v>0.0</v>
      </c>
      <c r="D79" s="8">
        <v>0.4940180916253283</v>
      </c>
    </row>
    <row r="80">
      <c r="A80" s="5">
        <v>21001.0</v>
      </c>
      <c r="B80" s="6" t="s">
        <v>98</v>
      </c>
      <c r="C80" s="8">
        <v>0.0</v>
      </c>
      <c r="D80" s="8">
        <v>0.39829009433962265</v>
      </c>
    </row>
    <row r="81">
      <c r="A81" s="5">
        <v>21002.0</v>
      </c>
      <c r="B81" s="6" t="s">
        <v>99</v>
      </c>
      <c r="C81" s="8">
        <v>0.35714285714285715</v>
      </c>
      <c r="D81" s="8">
        <v>0.45588235294117646</v>
      </c>
    </row>
    <row r="82">
      <c r="A82" s="5">
        <v>21003.0</v>
      </c>
      <c r="B82" s="6" t="s">
        <v>100</v>
      </c>
      <c r="C82" s="8">
        <v>0.0</v>
      </c>
      <c r="D82" s="8">
        <v>0.42852966968722594</v>
      </c>
    </row>
    <row r="83">
      <c r="A83" s="5">
        <v>21004.0</v>
      </c>
      <c r="B83" s="6" t="s">
        <v>101</v>
      </c>
      <c r="C83" s="8">
        <v>0.0</v>
      </c>
      <c r="D83" s="8">
        <v>0.38324175824175827</v>
      </c>
    </row>
    <row r="84">
      <c r="A84" s="5">
        <v>21005.0</v>
      </c>
      <c r="B84" s="6" t="s">
        <v>102</v>
      </c>
      <c r="C84" s="8">
        <v>0.0</v>
      </c>
      <c r="D84" s="8">
        <v>0.0</v>
      </c>
    </row>
    <row r="85">
      <c r="A85" s="5">
        <v>21006.0</v>
      </c>
      <c r="B85" s="6" t="s">
        <v>103</v>
      </c>
      <c r="C85" s="8">
        <v>0.0</v>
      </c>
      <c r="D85" s="8">
        <v>0.3870192307692308</v>
      </c>
    </row>
    <row r="86">
      <c r="A86" s="5">
        <v>21101.0</v>
      </c>
      <c r="B86" s="6" t="s">
        <v>104</v>
      </c>
      <c r="C86" s="8">
        <v>0.49333333333333335</v>
      </c>
      <c r="D86" s="8">
        <v>0.4860869565217391</v>
      </c>
    </row>
    <row r="87">
      <c r="A87" s="5">
        <v>21102.0</v>
      </c>
      <c r="B87" s="6" t="s">
        <v>105</v>
      </c>
      <c r="C87" s="8">
        <v>0.25</v>
      </c>
      <c r="D87" s="8">
        <v>0.42442748091603055</v>
      </c>
    </row>
    <row r="88">
      <c r="A88" s="5">
        <v>21103.0</v>
      </c>
      <c r="B88" s="6" t="s">
        <v>106</v>
      </c>
      <c r="C88" s="8">
        <v>0.5</v>
      </c>
      <c r="D88" s="8">
        <v>0.5714285714285714</v>
      </c>
    </row>
    <row r="89">
      <c r="A89" s="5">
        <v>21104.0</v>
      </c>
      <c r="B89" s="6" t="s">
        <v>107</v>
      </c>
      <c r="C89" s="8">
        <v>0.43078626799557035</v>
      </c>
      <c r="D89" s="8">
        <v>0.3221476510067114</v>
      </c>
    </row>
    <row r="90">
      <c r="A90" s="5">
        <v>21105.0</v>
      </c>
      <c r="B90" s="6" t="s">
        <v>108</v>
      </c>
      <c r="C90" s="8">
        <v>0.36553030303030304</v>
      </c>
      <c r="D90" s="8">
        <v>0.4412024756852343</v>
      </c>
    </row>
    <row r="91">
      <c r="A91" s="5">
        <v>21201.0</v>
      </c>
      <c r="B91" s="6" t="s">
        <v>109</v>
      </c>
      <c r="C91" s="8">
        <v>0.516260162601626</v>
      </c>
      <c r="D91" s="8">
        <v>0.5173954676029365</v>
      </c>
    </row>
    <row r="92">
      <c r="A92" s="5">
        <v>21202.0</v>
      </c>
      <c r="B92" s="6" t="s">
        <v>110</v>
      </c>
      <c r="C92" s="8">
        <v>0.49080797157423145</v>
      </c>
      <c r="D92" s="8">
        <v>0.5099351600083665</v>
      </c>
    </row>
    <row r="93">
      <c r="A93" s="5">
        <v>21203.0</v>
      </c>
      <c r="B93" s="6" t="s">
        <v>111</v>
      </c>
      <c r="C93" s="8">
        <v>0.0</v>
      </c>
      <c r="D93" s="8">
        <v>0.52465413267116</v>
      </c>
    </row>
    <row r="94">
      <c r="A94" s="5">
        <v>21204.0</v>
      </c>
      <c r="B94" s="6" t="s">
        <v>112</v>
      </c>
      <c r="C94" s="8">
        <v>0.0</v>
      </c>
      <c r="D94" s="8">
        <v>0.39918946301925023</v>
      </c>
    </row>
    <row r="95">
      <c r="A95" s="5">
        <v>21301.0</v>
      </c>
      <c r="B95" s="6" t="s">
        <v>113</v>
      </c>
      <c r="C95" s="8">
        <v>0.0</v>
      </c>
      <c r="D95" s="8">
        <v>0.33146067415730335</v>
      </c>
    </row>
    <row r="96">
      <c r="A96" s="5">
        <v>21302.0</v>
      </c>
      <c r="B96" s="6" t="s">
        <v>114</v>
      </c>
      <c r="C96" s="8">
        <v>0.0</v>
      </c>
      <c r="D96" s="8">
        <v>0.0</v>
      </c>
    </row>
    <row r="97">
      <c r="A97" s="5">
        <v>21303.0</v>
      </c>
      <c r="B97" s="6" t="s">
        <v>115</v>
      </c>
      <c r="C97" s="8">
        <v>0.0</v>
      </c>
      <c r="D97" s="8">
        <v>0.5</v>
      </c>
    </row>
    <row r="98">
      <c r="A98" s="5">
        <v>21304.0</v>
      </c>
      <c r="B98" s="6" t="s">
        <v>116</v>
      </c>
      <c r="C98" s="8">
        <v>0.4416206261510129</v>
      </c>
      <c r="D98" s="8">
        <v>0.0</v>
      </c>
    </row>
    <row r="99">
      <c r="A99" s="5">
        <v>21305.0</v>
      </c>
      <c r="B99" s="6" t="s">
        <v>117</v>
      </c>
      <c r="C99" s="8">
        <v>0.0</v>
      </c>
      <c r="D99" s="8">
        <v>0.0</v>
      </c>
    </row>
    <row r="100">
      <c r="A100" s="5">
        <v>21306.0</v>
      </c>
      <c r="B100" s="6" t="s">
        <v>118</v>
      </c>
      <c r="C100" s="8">
        <v>0.0</v>
      </c>
      <c r="D100" s="8">
        <v>0.0</v>
      </c>
    </row>
    <row r="101">
      <c r="A101" s="5">
        <v>21307.0</v>
      </c>
      <c r="B101" s="6" t="s">
        <v>119</v>
      </c>
      <c r="C101" s="8">
        <v>0.0</v>
      </c>
      <c r="D101" s="8">
        <v>0.0</v>
      </c>
    </row>
    <row r="102">
      <c r="A102" s="5">
        <v>21401.0</v>
      </c>
      <c r="B102" s="6" t="s">
        <v>120</v>
      </c>
      <c r="C102" s="8">
        <v>0.48699763593380613</v>
      </c>
      <c r="D102" s="8">
        <v>0.4778225806451613</v>
      </c>
    </row>
    <row r="103">
      <c r="A103" s="5">
        <v>21402.0</v>
      </c>
      <c r="B103" s="6" t="s">
        <v>121</v>
      </c>
      <c r="C103" s="8">
        <v>0.4362714013950539</v>
      </c>
      <c r="D103" s="8">
        <v>0.48652482269503544</v>
      </c>
    </row>
    <row r="104">
      <c r="A104" s="5">
        <v>21501.0</v>
      </c>
      <c r="B104" s="6" t="s">
        <v>122</v>
      </c>
      <c r="C104" s="8">
        <v>0.40350877192982454</v>
      </c>
      <c r="D104" s="8">
        <v>0.4</v>
      </c>
    </row>
    <row r="105">
      <c r="A105" s="5">
        <v>21502.0</v>
      </c>
      <c r="B105" s="6" t="s">
        <v>123</v>
      </c>
      <c r="C105" s="8">
        <v>0.3953488372093023</v>
      </c>
      <c r="D105" s="8">
        <v>0.0</v>
      </c>
    </row>
    <row r="106">
      <c r="A106" s="5">
        <v>21601.0</v>
      </c>
      <c r="B106" s="6" t="s">
        <v>124</v>
      </c>
      <c r="C106" s="8">
        <v>0.0</v>
      </c>
      <c r="D106" s="8">
        <v>0.44731610337972166</v>
      </c>
    </row>
    <row r="107">
      <c r="A107" s="5">
        <v>21602.0</v>
      </c>
      <c r="B107" s="6" t="s">
        <v>125</v>
      </c>
      <c r="C107" s="8">
        <v>0.0</v>
      </c>
      <c r="D107" s="8">
        <v>0.0</v>
      </c>
    </row>
    <row r="108">
      <c r="A108" s="5">
        <v>21701.0</v>
      </c>
      <c r="B108" s="6" t="s">
        <v>126</v>
      </c>
      <c r="C108" s="8">
        <v>0.0</v>
      </c>
      <c r="D108" s="8">
        <v>0.4896272855133615</v>
      </c>
    </row>
    <row r="109">
      <c r="A109" s="5">
        <v>21702.0</v>
      </c>
      <c r="B109" s="6" t="s">
        <v>127</v>
      </c>
      <c r="C109" s="8">
        <v>0.0</v>
      </c>
      <c r="D109" s="8">
        <v>0.5230667838312829</v>
      </c>
    </row>
    <row r="110">
      <c r="A110" s="5">
        <v>21703.0</v>
      </c>
      <c r="B110" s="6" t="s">
        <v>128</v>
      </c>
      <c r="C110" s="8">
        <v>0.0</v>
      </c>
      <c r="D110" s="8">
        <v>0.5303867403314917</v>
      </c>
    </row>
    <row r="111">
      <c r="A111" s="5">
        <v>21801.0</v>
      </c>
      <c r="B111" s="6" t="s">
        <v>129</v>
      </c>
      <c r="C111" s="8">
        <v>0.0</v>
      </c>
      <c r="D111" s="8">
        <v>0.0</v>
      </c>
    </row>
    <row r="112">
      <c r="A112" s="5">
        <v>21802.0</v>
      </c>
      <c r="B112" s="6" t="s">
        <v>130</v>
      </c>
      <c r="C112" s="8">
        <v>0.0</v>
      </c>
      <c r="D112" s="8">
        <v>0.35491977575874734</v>
      </c>
    </row>
    <row r="113">
      <c r="A113" s="5">
        <v>21803.0</v>
      </c>
      <c r="B113" s="6" t="s">
        <v>131</v>
      </c>
      <c r="C113" s="8">
        <v>0.0</v>
      </c>
      <c r="D113" s="8">
        <v>0.0</v>
      </c>
    </row>
    <row r="114">
      <c r="A114" s="5">
        <v>21901.0</v>
      </c>
      <c r="B114" s="6" t="s">
        <v>132</v>
      </c>
      <c r="C114" s="8">
        <v>0.0</v>
      </c>
      <c r="D114" s="8">
        <v>0.6666666666666666</v>
      </c>
    </row>
    <row r="115">
      <c r="A115" s="5">
        <v>21902.0</v>
      </c>
      <c r="B115" s="6" t="s">
        <v>133</v>
      </c>
      <c r="C115" s="8">
        <v>0.0</v>
      </c>
      <c r="D115" s="8">
        <v>0.0</v>
      </c>
    </row>
    <row r="116">
      <c r="A116" s="5">
        <v>22001.0</v>
      </c>
      <c r="B116" s="6" t="s">
        <v>134</v>
      </c>
      <c r="C116" s="8">
        <v>0.4461383575435064</v>
      </c>
      <c r="D116" s="8">
        <v>0.43010752688172044</v>
      </c>
    </row>
    <row r="117">
      <c r="A117" s="5">
        <v>22002.0</v>
      </c>
      <c r="B117" s="6" t="s">
        <v>135</v>
      </c>
      <c r="C117" s="8">
        <v>0.4298642533936652</v>
      </c>
      <c r="D117" s="8">
        <v>0.36363636363636365</v>
      </c>
    </row>
    <row r="118">
      <c r="A118" s="5">
        <v>30101.0</v>
      </c>
      <c r="B118" s="6" t="s">
        <v>14</v>
      </c>
      <c r="C118" s="8">
        <v>0.536266989638003</v>
      </c>
      <c r="D118" s="8">
        <v>0.5256049521665729</v>
      </c>
    </row>
    <row r="119">
      <c r="A119" s="5">
        <v>30201.0</v>
      </c>
      <c r="B119" s="6" t="s">
        <v>136</v>
      </c>
      <c r="C119" s="8">
        <v>0.42122107336287545</v>
      </c>
      <c r="D119" s="8">
        <v>0.4827586206896552</v>
      </c>
    </row>
    <row r="120">
      <c r="A120" s="5">
        <v>30202.0</v>
      </c>
      <c r="B120" s="6" t="s">
        <v>137</v>
      </c>
      <c r="C120" s="8">
        <v>0.4849951597289448</v>
      </c>
      <c r="D120" s="8">
        <v>0.3333333333333333</v>
      </c>
    </row>
    <row r="121">
      <c r="A121" s="5">
        <v>30203.0</v>
      </c>
      <c r="B121" s="6" t="s">
        <v>138</v>
      </c>
      <c r="C121" s="8">
        <v>0.41762452107279696</v>
      </c>
      <c r="D121" s="8">
        <v>0.5</v>
      </c>
    </row>
    <row r="122">
      <c r="A122" s="5">
        <v>30301.0</v>
      </c>
      <c r="B122" s="6" t="s">
        <v>139</v>
      </c>
      <c r="C122" s="8">
        <v>0.6</v>
      </c>
      <c r="D122" s="8">
        <v>0.357421875</v>
      </c>
    </row>
    <row r="123">
      <c r="A123" s="5">
        <v>30302.0</v>
      </c>
      <c r="B123" s="6" t="s">
        <v>140</v>
      </c>
      <c r="C123" s="8">
        <v>0.0</v>
      </c>
      <c r="D123" s="8">
        <v>0.38558909444985395</v>
      </c>
    </row>
    <row r="124">
      <c r="A124" s="5">
        <v>30303.0</v>
      </c>
      <c r="B124" s="6" t="s">
        <v>141</v>
      </c>
      <c r="C124" s="8">
        <v>0.0</v>
      </c>
      <c r="D124" s="8">
        <v>0.0</v>
      </c>
    </row>
    <row r="125">
      <c r="A125" s="5">
        <v>30401.0</v>
      </c>
      <c r="B125" s="6" t="s">
        <v>142</v>
      </c>
      <c r="C125" s="8">
        <v>0.35294117647058826</v>
      </c>
      <c r="D125" s="8">
        <v>0.5318146111547526</v>
      </c>
    </row>
    <row r="126">
      <c r="A126" s="5">
        <v>30402.0</v>
      </c>
      <c r="B126" s="6" t="s">
        <v>143</v>
      </c>
      <c r="C126" s="8">
        <v>0.43801612268973655</v>
      </c>
      <c r="D126" s="8">
        <v>0.4485981308411215</v>
      </c>
    </row>
    <row r="127">
      <c r="A127" s="5">
        <v>30403.0</v>
      </c>
      <c r="B127" s="6" t="s">
        <v>144</v>
      </c>
      <c r="C127" s="8">
        <v>0.5121107266435986</v>
      </c>
      <c r="D127" s="8">
        <v>0.5534615384615384</v>
      </c>
    </row>
    <row r="128">
      <c r="A128" s="5">
        <v>30404.0</v>
      </c>
      <c r="B128" s="6" t="s">
        <v>145</v>
      </c>
      <c r="C128" s="8">
        <v>0.48122233328573466</v>
      </c>
      <c r="D128" s="8">
        <v>0.581151832460733</v>
      </c>
    </row>
    <row r="129">
      <c r="A129" s="5">
        <v>30501.0</v>
      </c>
      <c r="B129" s="6" t="s">
        <v>146</v>
      </c>
      <c r="C129" s="8">
        <v>0.5538692149147462</v>
      </c>
      <c r="D129" s="8">
        <v>0.5432098765432098</v>
      </c>
    </row>
    <row r="130">
      <c r="A130" s="5">
        <v>30502.0</v>
      </c>
      <c r="B130" s="6" t="s">
        <v>147</v>
      </c>
      <c r="C130" s="8">
        <v>0.0</v>
      </c>
      <c r="D130" s="8">
        <v>0.49910394265232977</v>
      </c>
    </row>
    <row r="131">
      <c r="A131" s="5">
        <v>30601.0</v>
      </c>
      <c r="B131" s="6" t="s">
        <v>148</v>
      </c>
      <c r="C131" s="8">
        <v>0.0</v>
      </c>
      <c r="D131" s="8">
        <v>0.4381625441696113</v>
      </c>
    </row>
    <row r="132">
      <c r="A132" s="5">
        <v>30602.0</v>
      </c>
      <c r="B132" s="6" t="s">
        <v>149</v>
      </c>
      <c r="C132" s="8">
        <v>0.0</v>
      </c>
      <c r="D132" s="8">
        <v>0.4084249084249084</v>
      </c>
    </row>
    <row r="133">
      <c r="A133" s="5">
        <v>30701.0</v>
      </c>
      <c r="B133" s="6" t="s">
        <v>150</v>
      </c>
      <c r="C133" s="8">
        <v>0.46050995024875624</v>
      </c>
      <c r="D133" s="8">
        <v>0.49019607843137253</v>
      </c>
    </row>
    <row r="134">
      <c r="A134" s="5">
        <v>30702.0</v>
      </c>
      <c r="B134" s="6" t="s">
        <v>151</v>
      </c>
      <c r="C134" s="8">
        <v>0.5292753623188405</v>
      </c>
      <c r="D134" s="8">
        <v>0.518913676042677</v>
      </c>
    </row>
    <row r="135">
      <c r="A135" s="5">
        <v>30703.0</v>
      </c>
      <c r="B135" s="6" t="s">
        <v>152</v>
      </c>
      <c r="C135" s="8">
        <v>0.4914772727272727</v>
      </c>
      <c r="D135" s="8">
        <v>0.6</v>
      </c>
    </row>
    <row r="136">
      <c r="A136" s="5">
        <v>30801.0</v>
      </c>
      <c r="B136" s="6" t="s">
        <v>153</v>
      </c>
      <c r="C136" s="8">
        <v>0.5052531041069723</v>
      </c>
      <c r="D136" s="8">
        <v>0.5171065493646139</v>
      </c>
    </row>
    <row r="137">
      <c r="A137" s="5">
        <v>30802.0</v>
      </c>
      <c r="B137" s="6" t="s">
        <v>154</v>
      </c>
      <c r="C137" s="8">
        <v>0.5404647435897436</v>
      </c>
      <c r="D137" s="8">
        <v>0.5365853658536586</v>
      </c>
    </row>
    <row r="138">
      <c r="A138" s="5">
        <v>30803.0</v>
      </c>
      <c r="B138" s="6" t="s">
        <v>155</v>
      </c>
      <c r="C138" s="8">
        <v>0.5092592592592593</v>
      </c>
      <c r="D138" s="8">
        <v>0.534698521046644</v>
      </c>
    </row>
    <row r="139">
      <c r="A139" s="5">
        <v>30901.0</v>
      </c>
      <c r="B139" s="6" t="s">
        <v>156</v>
      </c>
      <c r="C139" s="8">
        <v>0.5281871775976419</v>
      </c>
      <c r="D139" s="8">
        <v>0.5024479804161567</v>
      </c>
    </row>
    <row r="140">
      <c r="A140" s="5">
        <v>30902.0</v>
      </c>
      <c r="B140" s="6" t="s">
        <v>157</v>
      </c>
      <c r="C140" s="8">
        <v>0.4997883149872989</v>
      </c>
      <c r="D140" s="8">
        <v>0.5113871635610766</v>
      </c>
    </row>
    <row r="141">
      <c r="A141" s="5">
        <v>30903.0</v>
      </c>
      <c r="B141" s="6" t="s">
        <v>158</v>
      </c>
      <c r="C141" s="8">
        <v>0.49047619047619045</v>
      </c>
      <c r="D141" s="8">
        <v>0.5714285714285714</v>
      </c>
    </row>
    <row r="142">
      <c r="A142" s="5">
        <v>30904.0</v>
      </c>
      <c r="B142" s="6" t="s">
        <v>159</v>
      </c>
      <c r="C142" s="8">
        <v>0.49982578397212546</v>
      </c>
      <c r="D142" s="8">
        <v>0.49079754601226994</v>
      </c>
    </row>
    <row r="143">
      <c r="A143" s="5">
        <v>30905.0</v>
      </c>
      <c r="B143" s="6" t="s">
        <v>160</v>
      </c>
      <c r="C143" s="8">
        <v>0.494279176201373</v>
      </c>
      <c r="D143" s="8">
        <v>0.375</v>
      </c>
    </row>
    <row r="144">
      <c r="A144" s="5">
        <v>31001.0</v>
      </c>
      <c r="B144" s="6" t="s">
        <v>161</v>
      </c>
      <c r="C144" s="8">
        <v>0.5123825789923142</v>
      </c>
      <c r="D144" s="8">
        <v>0.49309423034083316</v>
      </c>
    </row>
    <row r="145">
      <c r="A145" s="5">
        <v>31002.0</v>
      </c>
      <c r="B145" s="6" t="s">
        <v>162</v>
      </c>
      <c r="C145" s="8">
        <v>0.4305019305019305</v>
      </c>
      <c r="D145" s="8">
        <v>0.43213296398891965</v>
      </c>
    </row>
    <row r="146">
      <c r="A146" s="5">
        <v>31003.0</v>
      </c>
      <c r="B146" s="6" t="s">
        <v>163</v>
      </c>
      <c r="C146" s="8">
        <v>0.37750358430725117</v>
      </c>
      <c r="D146" s="8">
        <v>0.39371534195933455</v>
      </c>
    </row>
    <row r="147">
      <c r="A147" s="5">
        <v>31101.0</v>
      </c>
      <c r="B147" s="6" t="s">
        <v>164</v>
      </c>
      <c r="C147" s="8">
        <v>0.42717391304347824</v>
      </c>
      <c r="D147" s="8">
        <v>0.20927152317880796</v>
      </c>
    </row>
    <row r="148">
      <c r="A148" s="5">
        <v>31201.0</v>
      </c>
      <c r="B148" s="6" t="s">
        <v>165</v>
      </c>
      <c r="C148" s="8">
        <v>0.46906558328496806</v>
      </c>
      <c r="D148" s="8">
        <v>0.44711538461538464</v>
      </c>
    </row>
    <row r="149">
      <c r="A149" s="5">
        <v>31202.0</v>
      </c>
      <c r="B149" s="6" t="s">
        <v>166</v>
      </c>
      <c r="C149" s="8">
        <v>0.4608893216488153</v>
      </c>
      <c r="D149" s="8">
        <v>0.4253521126760563</v>
      </c>
    </row>
    <row r="150">
      <c r="A150" s="5">
        <v>31203.0</v>
      </c>
      <c r="B150" s="6" t="s">
        <v>167</v>
      </c>
      <c r="C150" s="8">
        <v>0.4887722980062959</v>
      </c>
      <c r="D150" s="8">
        <v>0.4765625</v>
      </c>
    </row>
    <row r="151">
      <c r="A151" s="5">
        <v>31204.0</v>
      </c>
      <c r="B151" s="6" t="s">
        <v>168</v>
      </c>
      <c r="C151" s="8">
        <v>0.3472222222222222</v>
      </c>
      <c r="D151" s="8">
        <v>0.3680555555555556</v>
      </c>
    </row>
    <row r="152">
      <c r="A152" s="5">
        <v>31205.0</v>
      </c>
      <c r="B152" s="6" t="s">
        <v>169</v>
      </c>
      <c r="C152" s="8">
        <v>0.36332882273342354</v>
      </c>
      <c r="D152" s="8">
        <v>0.3850267379679144</v>
      </c>
    </row>
    <row r="153">
      <c r="A153" s="5">
        <v>31206.0</v>
      </c>
      <c r="B153" s="6" t="s">
        <v>170</v>
      </c>
      <c r="C153" s="8">
        <v>0.3686548223350254</v>
      </c>
      <c r="D153" s="8">
        <v>0.3787878787878788</v>
      </c>
    </row>
    <row r="154">
      <c r="A154" s="5">
        <v>31301.0</v>
      </c>
      <c r="B154" s="6" t="s">
        <v>171</v>
      </c>
      <c r="C154" s="8">
        <v>0.47666805961833125</v>
      </c>
      <c r="D154" s="8">
        <v>0.5091649694501018</v>
      </c>
    </row>
    <row r="155">
      <c r="A155" s="5">
        <v>31302.0</v>
      </c>
      <c r="B155" s="6" t="s">
        <v>172</v>
      </c>
      <c r="C155" s="8">
        <v>0.46831498026179097</v>
      </c>
      <c r="D155" s="8">
        <v>0.0</v>
      </c>
    </row>
    <row r="156">
      <c r="A156" s="5">
        <v>31303.0</v>
      </c>
      <c r="B156" s="6" t="s">
        <v>173</v>
      </c>
      <c r="C156" s="8">
        <v>0.0</v>
      </c>
      <c r="D156" s="8">
        <v>0.0</v>
      </c>
    </row>
    <row r="157">
      <c r="A157" s="5">
        <v>31304.0</v>
      </c>
      <c r="B157" s="6" t="s">
        <v>174</v>
      </c>
      <c r="C157" s="8">
        <v>0.0</v>
      </c>
      <c r="D157" s="8">
        <v>0.0</v>
      </c>
    </row>
    <row r="158">
      <c r="A158" s="5">
        <v>31401.0</v>
      </c>
      <c r="B158" s="6" t="s">
        <v>175</v>
      </c>
      <c r="C158" s="8">
        <v>0.5269128371339276</v>
      </c>
      <c r="D158" s="8">
        <v>0.5013865779256794</v>
      </c>
    </row>
    <row r="159">
      <c r="A159" s="5">
        <v>31402.0</v>
      </c>
      <c r="B159" s="6" t="s">
        <v>176</v>
      </c>
      <c r="C159" s="8">
        <v>0.5438765670202508</v>
      </c>
      <c r="D159" s="8">
        <v>0.5092592592592593</v>
      </c>
    </row>
    <row r="160">
      <c r="A160" s="5">
        <v>31403.0</v>
      </c>
      <c r="B160" s="6" t="s">
        <v>177</v>
      </c>
      <c r="C160" s="8">
        <v>0.5124162396531337</v>
      </c>
      <c r="D160" s="8">
        <v>0.537334263782275</v>
      </c>
    </row>
    <row r="161">
      <c r="A161" s="5">
        <v>31404.0</v>
      </c>
      <c r="B161" s="6" t="s">
        <v>178</v>
      </c>
      <c r="C161" s="8">
        <v>0.0</v>
      </c>
      <c r="D161" s="8">
        <v>0.0</v>
      </c>
    </row>
    <row r="162">
      <c r="A162" s="5">
        <v>31405.0</v>
      </c>
      <c r="B162" s="6" t="s">
        <v>179</v>
      </c>
      <c r="C162" s="8">
        <v>0.0</v>
      </c>
      <c r="D162" s="8">
        <v>0.0</v>
      </c>
    </row>
    <row r="163">
      <c r="A163" s="5">
        <v>31501.0</v>
      </c>
      <c r="B163" s="6" t="s">
        <v>180</v>
      </c>
      <c r="C163" s="8">
        <v>0.0</v>
      </c>
      <c r="D163" s="8">
        <v>0.0</v>
      </c>
    </row>
    <row r="164">
      <c r="A164" s="5">
        <v>31601.0</v>
      </c>
      <c r="B164" s="6" t="s">
        <v>181</v>
      </c>
      <c r="C164" s="8">
        <v>0.4125147579693034</v>
      </c>
      <c r="D164" s="8">
        <v>0.4880868955851437</v>
      </c>
    </row>
    <row r="165">
      <c r="A165" s="5">
        <v>31602.0</v>
      </c>
      <c r="B165" s="6" t="s">
        <v>182</v>
      </c>
      <c r="C165" s="8">
        <v>0.34347826086956523</v>
      </c>
      <c r="D165" s="8">
        <v>0.3</v>
      </c>
    </row>
    <row r="166">
      <c r="A166" s="5">
        <v>40101.0</v>
      </c>
      <c r="B166" s="6" t="s">
        <v>16</v>
      </c>
      <c r="C166" s="8">
        <v>1.0</v>
      </c>
      <c r="D166" s="8">
        <v>0.0</v>
      </c>
    </row>
    <row r="167">
      <c r="A167" s="5">
        <v>40102.0</v>
      </c>
      <c r="B167" s="6" t="s">
        <v>183</v>
      </c>
      <c r="C167" s="8">
        <v>0.4013953111057029</v>
      </c>
      <c r="D167" s="8">
        <v>0.41114348142753093</v>
      </c>
    </row>
    <row r="168">
      <c r="A168" s="5">
        <v>40103.0</v>
      </c>
      <c r="B168" s="6" t="s">
        <v>184</v>
      </c>
      <c r="C168" s="8">
        <v>0.25</v>
      </c>
      <c r="D168" s="8">
        <v>0.0</v>
      </c>
    </row>
    <row r="169">
      <c r="A169" s="5">
        <v>40104.0</v>
      </c>
      <c r="B169" s="6" t="s">
        <v>185</v>
      </c>
      <c r="C169" s="8">
        <v>0.4163578613022763</v>
      </c>
      <c r="D169" s="8">
        <v>0.42857142857142855</v>
      </c>
    </row>
    <row r="170">
      <c r="A170" s="5">
        <v>40201.0</v>
      </c>
      <c r="B170" s="6" t="s">
        <v>186</v>
      </c>
      <c r="C170" s="8">
        <v>0.46649484536082475</v>
      </c>
      <c r="D170" s="8">
        <v>1.0</v>
      </c>
    </row>
    <row r="171">
      <c r="A171" s="5">
        <v>40202.0</v>
      </c>
      <c r="B171" s="6" t="s">
        <v>187</v>
      </c>
      <c r="C171" s="8">
        <v>0.3333333333333333</v>
      </c>
      <c r="D171" s="8">
        <v>0.0</v>
      </c>
    </row>
    <row r="172">
      <c r="A172" s="5">
        <v>40301.0</v>
      </c>
      <c r="B172" s="6" t="s">
        <v>188</v>
      </c>
      <c r="C172" s="8">
        <v>0.0</v>
      </c>
      <c r="D172" s="8">
        <v>0.0</v>
      </c>
    </row>
    <row r="173">
      <c r="A173" s="5">
        <v>40302.0</v>
      </c>
      <c r="B173" s="6" t="s">
        <v>189</v>
      </c>
      <c r="C173" s="8">
        <v>0.0</v>
      </c>
      <c r="D173" s="8">
        <v>0.0</v>
      </c>
    </row>
    <row r="174">
      <c r="A174" s="5">
        <v>40401.0</v>
      </c>
      <c r="B174" s="6" t="s">
        <v>190</v>
      </c>
      <c r="C174" s="8">
        <v>0.0</v>
      </c>
      <c r="D174" s="8">
        <v>0.0</v>
      </c>
    </row>
    <row r="175">
      <c r="A175" s="5">
        <v>40402.0</v>
      </c>
      <c r="B175" s="6" t="s">
        <v>191</v>
      </c>
      <c r="C175" s="8">
        <v>0.0</v>
      </c>
      <c r="D175" s="8">
        <v>0.0</v>
      </c>
    </row>
    <row r="176">
      <c r="A176" s="5">
        <v>40501.0</v>
      </c>
      <c r="B176" s="6" t="s">
        <v>192</v>
      </c>
      <c r="C176" s="8">
        <v>0.0</v>
      </c>
      <c r="D176" s="8">
        <v>0.0</v>
      </c>
    </row>
    <row r="177">
      <c r="A177" s="5">
        <v>40502.0</v>
      </c>
      <c r="B177" s="6" t="s">
        <v>193</v>
      </c>
      <c r="C177" s="8">
        <v>0.0</v>
      </c>
      <c r="D177" s="8">
        <v>0.0</v>
      </c>
    </row>
    <row r="178">
      <c r="A178" s="5">
        <v>40503.0</v>
      </c>
      <c r="B178" s="6" t="s">
        <v>194</v>
      </c>
      <c r="C178" s="8">
        <v>0.0</v>
      </c>
      <c r="D178" s="8">
        <v>0.0</v>
      </c>
    </row>
    <row r="179">
      <c r="A179" s="5">
        <v>40504.0</v>
      </c>
      <c r="B179" s="6" t="s">
        <v>195</v>
      </c>
      <c r="C179" s="8">
        <v>0.0</v>
      </c>
      <c r="D179" s="8">
        <v>0.0</v>
      </c>
    </row>
    <row r="180">
      <c r="A180" s="5">
        <v>40505.0</v>
      </c>
      <c r="B180" s="6" t="s">
        <v>196</v>
      </c>
      <c r="C180" s="8">
        <v>0.0</v>
      </c>
      <c r="D180" s="8">
        <v>0.0</v>
      </c>
    </row>
    <row r="181">
      <c r="A181" s="5">
        <v>40601.0</v>
      </c>
      <c r="B181" s="6" t="s">
        <v>197</v>
      </c>
      <c r="C181" s="8">
        <v>0.4888888888888889</v>
      </c>
      <c r="D181" s="8">
        <v>0.0</v>
      </c>
    </row>
    <row r="182">
      <c r="A182" s="5">
        <v>40602.0</v>
      </c>
      <c r="B182" s="6" t="s">
        <v>198</v>
      </c>
      <c r="C182" s="8">
        <v>0.4921875</v>
      </c>
      <c r="D182" s="8">
        <v>0.0</v>
      </c>
    </row>
    <row r="183">
      <c r="A183" s="5">
        <v>40603.0</v>
      </c>
      <c r="B183" s="6" t="s">
        <v>199</v>
      </c>
      <c r="C183" s="8">
        <v>0.0</v>
      </c>
      <c r="D183" s="8">
        <v>0.0</v>
      </c>
    </row>
    <row r="184">
      <c r="A184" s="5">
        <v>40701.0</v>
      </c>
      <c r="B184" s="6" t="s">
        <v>200</v>
      </c>
      <c r="C184" s="8">
        <v>0.0</v>
      </c>
      <c r="D184" s="8">
        <v>0.0</v>
      </c>
    </row>
    <row r="185">
      <c r="A185" s="5">
        <v>40702.0</v>
      </c>
      <c r="B185" s="6" t="s">
        <v>201</v>
      </c>
      <c r="C185" s="8">
        <v>0.0</v>
      </c>
      <c r="D185" s="8">
        <v>1.0</v>
      </c>
    </row>
    <row r="186">
      <c r="A186" s="5">
        <v>40801.0</v>
      </c>
      <c r="B186" s="6" t="s">
        <v>202</v>
      </c>
      <c r="C186" s="8">
        <v>0.0</v>
      </c>
      <c r="D186" s="8">
        <v>0.0</v>
      </c>
    </row>
    <row r="187">
      <c r="A187" s="5">
        <v>40802.0</v>
      </c>
      <c r="B187" s="6" t="s">
        <v>203</v>
      </c>
      <c r="C187" s="8">
        <v>0.0</v>
      </c>
      <c r="D187" s="8">
        <v>0.0</v>
      </c>
    </row>
    <row r="188">
      <c r="A188" s="5">
        <v>40901.0</v>
      </c>
      <c r="B188" s="6" t="s">
        <v>204</v>
      </c>
      <c r="C188" s="8">
        <v>0.0</v>
      </c>
      <c r="D188" s="8">
        <v>0.0</v>
      </c>
    </row>
    <row r="189">
      <c r="A189" s="5">
        <v>40902.0</v>
      </c>
      <c r="B189" s="6" t="s">
        <v>205</v>
      </c>
      <c r="C189" s="8">
        <v>0.0</v>
      </c>
      <c r="D189" s="8">
        <v>0.0</v>
      </c>
    </row>
    <row r="190">
      <c r="A190" s="5">
        <v>40903.0</v>
      </c>
      <c r="B190" s="6" t="s">
        <v>206</v>
      </c>
      <c r="C190" s="8">
        <v>0.0</v>
      </c>
      <c r="D190" s="8">
        <v>0.0</v>
      </c>
    </row>
    <row r="191">
      <c r="A191" s="5">
        <v>41001.0</v>
      </c>
      <c r="B191" s="6" t="s">
        <v>207</v>
      </c>
      <c r="C191" s="8">
        <v>0.0</v>
      </c>
      <c r="D191" s="8">
        <v>0.0</v>
      </c>
    </row>
    <row r="192">
      <c r="A192" s="5">
        <v>41101.0</v>
      </c>
      <c r="B192" s="6" t="s">
        <v>208</v>
      </c>
      <c r="C192" s="8">
        <v>0.5001169590643275</v>
      </c>
      <c r="D192" s="8">
        <v>0.23214285714285715</v>
      </c>
    </row>
    <row r="193">
      <c r="A193" s="5">
        <v>41201.0</v>
      </c>
      <c r="B193" s="6" t="s">
        <v>209</v>
      </c>
      <c r="C193" s="8">
        <v>0.0</v>
      </c>
      <c r="D193" s="8">
        <v>0.0</v>
      </c>
    </row>
    <row r="194">
      <c r="A194" s="5">
        <v>41202.0</v>
      </c>
      <c r="B194" s="6" t="s">
        <v>210</v>
      </c>
      <c r="C194" s="8">
        <v>0.0</v>
      </c>
      <c r="D194" s="8">
        <v>0.0</v>
      </c>
    </row>
    <row r="195">
      <c r="A195" s="5">
        <v>41301.0</v>
      </c>
      <c r="B195" s="6" t="s">
        <v>165</v>
      </c>
      <c r="C195" s="8">
        <v>0.5555555555555556</v>
      </c>
      <c r="D195" s="8">
        <v>0.0</v>
      </c>
    </row>
    <row r="196">
      <c r="A196" s="5">
        <v>41401.0</v>
      </c>
      <c r="B196" s="6" t="s">
        <v>211</v>
      </c>
      <c r="C196" s="8">
        <v>0.0</v>
      </c>
      <c r="D196" s="8">
        <v>0.0</v>
      </c>
    </row>
    <row r="197">
      <c r="A197" s="5">
        <v>41501.0</v>
      </c>
      <c r="B197" s="6" t="s">
        <v>212</v>
      </c>
      <c r="C197" s="8">
        <v>0.0</v>
      </c>
      <c r="D197" s="8">
        <v>0.0</v>
      </c>
    </row>
    <row r="198">
      <c r="A198" s="5">
        <v>41502.0</v>
      </c>
      <c r="B198" s="6" t="s">
        <v>213</v>
      </c>
      <c r="C198" s="8">
        <v>0.0</v>
      </c>
      <c r="D198" s="8">
        <v>0.0</v>
      </c>
    </row>
    <row r="199">
      <c r="A199" s="5">
        <v>41503.0</v>
      </c>
      <c r="B199" s="6" t="s">
        <v>214</v>
      </c>
      <c r="C199" s="8">
        <v>0.0</v>
      </c>
      <c r="D199" s="8">
        <v>0.0</v>
      </c>
    </row>
    <row r="200">
      <c r="A200" s="5">
        <v>41601.0</v>
      </c>
      <c r="B200" s="6" t="s">
        <v>215</v>
      </c>
      <c r="C200" s="8">
        <v>0.0</v>
      </c>
      <c r="D200" s="8">
        <v>0.0</v>
      </c>
    </row>
    <row r="201">
      <c r="A201" s="5">
        <v>50101.0</v>
      </c>
      <c r="B201" s="6" t="s">
        <v>18</v>
      </c>
      <c r="C201" s="8">
        <v>0.42857142857142855</v>
      </c>
      <c r="D201" s="8">
        <v>0.4039301310043668</v>
      </c>
    </row>
    <row r="202">
      <c r="A202" s="5">
        <v>50102.0</v>
      </c>
      <c r="B202" s="6" t="s">
        <v>216</v>
      </c>
      <c r="C202" s="8">
        <v>0.0</v>
      </c>
      <c r="D202" s="8">
        <v>0.0</v>
      </c>
    </row>
    <row r="203">
      <c r="A203" s="5">
        <v>50103.0</v>
      </c>
      <c r="B203" s="6" t="s">
        <v>217</v>
      </c>
      <c r="C203" s="8">
        <v>0.4444444444444444</v>
      </c>
      <c r="D203" s="8">
        <v>0.5020463847203275</v>
      </c>
    </row>
    <row r="204">
      <c r="A204" s="5">
        <v>50104.0</v>
      </c>
      <c r="B204" s="6" t="s">
        <v>218</v>
      </c>
      <c r="C204" s="8">
        <v>0.0</v>
      </c>
      <c r="D204" s="8">
        <v>0.0</v>
      </c>
    </row>
    <row r="205">
      <c r="A205" s="5">
        <v>50201.0</v>
      </c>
      <c r="B205" s="6" t="s">
        <v>219</v>
      </c>
      <c r="C205" s="8">
        <v>0.0</v>
      </c>
      <c r="D205" s="8">
        <v>0.0</v>
      </c>
    </row>
    <row r="206">
      <c r="A206" s="5">
        <v>50202.0</v>
      </c>
      <c r="B206" s="6" t="s">
        <v>220</v>
      </c>
      <c r="C206" s="8">
        <v>0.0</v>
      </c>
      <c r="D206" s="8">
        <v>0.0</v>
      </c>
    </row>
    <row r="207">
      <c r="A207" s="5">
        <v>50203.0</v>
      </c>
      <c r="B207" s="6" t="s">
        <v>221</v>
      </c>
      <c r="C207" s="8">
        <v>0.0</v>
      </c>
      <c r="D207" s="8">
        <v>0.0</v>
      </c>
    </row>
    <row r="208">
      <c r="A208" s="5">
        <v>50204.0</v>
      </c>
      <c r="B208" s="6" t="s">
        <v>222</v>
      </c>
      <c r="C208" s="8">
        <v>0.0</v>
      </c>
      <c r="D208" s="8">
        <v>0.0</v>
      </c>
    </row>
    <row r="209">
      <c r="A209" s="5">
        <v>50301.0</v>
      </c>
      <c r="B209" s="6" t="s">
        <v>223</v>
      </c>
      <c r="C209" s="8">
        <v>0.3829787234042553</v>
      </c>
      <c r="D209" s="8">
        <v>0.4562043795620438</v>
      </c>
    </row>
    <row r="210">
      <c r="A210" s="5">
        <v>50302.0</v>
      </c>
      <c r="B210" s="6" t="s">
        <v>224</v>
      </c>
      <c r="C210" s="8">
        <v>0.0</v>
      </c>
      <c r="D210" s="8">
        <v>0.0</v>
      </c>
    </row>
    <row r="211">
      <c r="A211" s="5">
        <v>50303.0</v>
      </c>
      <c r="B211" s="6" t="s">
        <v>225</v>
      </c>
      <c r="C211" s="8">
        <v>0.0</v>
      </c>
      <c r="D211" s="8">
        <v>0.4778156996587031</v>
      </c>
    </row>
    <row r="212">
      <c r="A212" s="5">
        <v>50401.0</v>
      </c>
      <c r="B212" s="6" t="s">
        <v>226</v>
      </c>
      <c r="C212" s="8">
        <v>0.0</v>
      </c>
      <c r="D212" s="8">
        <v>0.0</v>
      </c>
    </row>
    <row r="213">
      <c r="A213" s="5">
        <v>50402.0</v>
      </c>
      <c r="B213" s="6" t="s">
        <v>227</v>
      </c>
      <c r="C213" s="8">
        <v>0.45785876993166286</v>
      </c>
      <c r="D213" s="8">
        <v>0.4013761467889908</v>
      </c>
    </row>
    <row r="214">
      <c r="A214" s="5">
        <v>50403.0</v>
      </c>
      <c r="B214" s="6" t="s">
        <v>228</v>
      </c>
      <c r="C214" s="8">
        <v>0.0</v>
      </c>
      <c r="D214" s="8">
        <v>0.315955766192733</v>
      </c>
    </row>
    <row r="215">
      <c r="A215" s="5">
        <v>50404.0</v>
      </c>
      <c r="B215" s="6" t="s">
        <v>229</v>
      </c>
      <c r="C215" s="8">
        <v>0.0</v>
      </c>
      <c r="D215" s="8">
        <v>0.0</v>
      </c>
    </row>
    <row r="216">
      <c r="A216" s="5">
        <v>50405.0</v>
      </c>
      <c r="B216" s="6" t="s">
        <v>230</v>
      </c>
      <c r="C216" s="8">
        <v>0.0</v>
      </c>
      <c r="D216" s="8">
        <v>0.2926829268292683</v>
      </c>
    </row>
    <row r="217">
      <c r="A217" s="5">
        <v>50501.0</v>
      </c>
      <c r="B217" s="6" t="s">
        <v>231</v>
      </c>
      <c r="C217" s="8">
        <v>0.375</v>
      </c>
      <c r="D217" s="8">
        <v>0.0</v>
      </c>
    </row>
    <row r="218">
      <c r="A218" s="5">
        <v>50502.0</v>
      </c>
      <c r="B218" s="6" t="s">
        <v>232</v>
      </c>
      <c r="C218" s="8">
        <v>0.3912704598597038</v>
      </c>
      <c r="D218" s="8">
        <v>0.5235602094240838</v>
      </c>
    </row>
    <row r="219">
      <c r="A219" s="5">
        <v>50601.0</v>
      </c>
      <c r="B219" s="6" t="s">
        <v>233</v>
      </c>
      <c r="C219" s="8">
        <v>1.0</v>
      </c>
      <c r="D219" s="8">
        <v>0.42414082145850796</v>
      </c>
    </row>
    <row r="220">
      <c r="A220" s="5">
        <v>50602.0</v>
      </c>
      <c r="B220" s="6" t="s">
        <v>234</v>
      </c>
      <c r="C220" s="8">
        <v>0.2</v>
      </c>
      <c r="D220" s="8">
        <v>0.0</v>
      </c>
    </row>
    <row r="221">
      <c r="A221" s="5">
        <v>50701.0</v>
      </c>
      <c r="B221" s="6" t="s">
        <v>235</v>
      </c>
      <c r="C221" s="8">
        <v>0.3448888888888889</v>
      </c>
      <c r="D221" s="8">
        <v>0.0</v>
      </c>
    </row>
    <row r="222">
      <c r="A222" s="5">
        <v>50702.0</v>
      </c>
      <c r="B222" s="6" t="s">
        <v>236</v>
      </c>
      <c r="C222" s="8">
        <v>0.0</v>
      </c>
      <c r="D222" s="8">
        <v>0.0</v>
      </c>
    </row>
    <row r="223">
      <c r="A223" s="5">
        <v>50801.0</v>
      </c>
      <c r="B223" s="6" t="s">
        <v>237</v>
      </c>
      <c r="C223" s="8">
        <v>0.0</v>
      </c>
      <c r="D223" s="8">
        <v>0.5223880597014925</v>
      </c>
    </row>
    <row r="224">
      <c r="A224" s="5">
        <v>50802.0</v>
      </c>
      <c r="B224" s="6" t="s">
        <v>238</v>
      </c>
      <c r="C224" s="8">
        <v>0.0</v>
      </c>
      <c r="D224" s="8">
        <v>0.0</v>
      </c>
    </row>
    <row r="225">
      <c r="A225" s="5">
        <v>50901.0</v>
      </c>
      <c r="B225" s="6" t="s">
        <v>239</v>
      </c>
      <c r="C225" s="8">
        <v>0.0</v>
      </c>
      <c r="D225" s="8">
        <v>0.0</v>
      </c>
    </row>
    <row r="226">
      <c r="A226" s="5">
        <v>50902.0</v>
      </c>
      <c r="B226" s="6" t="s">
        <v>240</v>
      </c>
      <c r="C226" s="8">
        <v>0.0</v>
      </c>
      <c r="D226" s="8">
        <v>0.0</v>
      </c>
    </row>
    <row r="227">
      <c r="A227" s="5">
        <v>51001.0</v>
      </c>
      <c r="B227" s="6" t="s">
        <v>241</v>
      </c>
      <c r="C227" s="8">
        <v>0.0</v>
      </c>
      <c r="D227" s="8">
        <v>0.0</v>
      </c>
    </row>
    <row r="228">
      <c r="A228" s="5">
        <v>51002.0</v>
      </c>
      <c r="B228" s="6" t="s">
        <v>242</v>
      </c>
      <c r="C228" s="8">
        <v>0.0</v>
      </c>
      <c r="D228" s="8">
        <v>0.0</v>
      </c>
    </row>
    <row r="229">
      <c r="A229" s="5">
        <v>51003.0</v>
      </c>
      <c r="B229" s="6" t="s">
        <v>243</v>
      </c>
      <c r="C229" s="8">
        <v>0.0</v>
      </c>
      <c r="D229" s="8">
        <v>0.0</v>
      </c>
    </row>
    <row r="230">
      <c r="A230" s="5">
        <v>51101.0</v>
      </c>
      <c r="B230" s="6" t="s">
        <v>244</v>
      </c>
      <c r="C230" s="8">
        <v>0.0</v>
      </c>
      <c r="D230" s="8">
        <v>0.5298621745788668</v>
      </c>
    </row>
    <row r="231">
      <c r="A231" s="5">
        <v>51102.0</v>
      </c>
      <c r="B231" s="6" t="s">
        <v>245</v>
      </c>
      <c r="C231" s="8">
        <v>0.0</v>
      </c>
      <c r="D231" s="8">
        <v>0.0</v>
      </c>
    </row>
    <row r="232">
      <c r="A232" s="5">
        <v>51103.0</v>
      </c>
      <c r="B232" s="6" t="s">
        <v>246</v>
      </c>
      <c r="C232" s="8">
        <v>0.0</v>
      </c>
      <c r="D232" s="8">
        <v>0.4631675874769797</v>
      </c>
    </row>
    <row r="233">
      <c r="A233" s="5">
        <v>51201.0</v>
      </c>
      <c r="B233" s="6" t="s">
        <v>247</v>
      </c>
      <c r="C233" s="8">
        <v>1.0</v>
      </c>
      <c r="D233" s="8">
        <v>0.0</v>
      </c>
    </row>
    <row r="234">
      <c r="A234" s="5">
        <v>51202.0</v>
      </c>
      <c r="B234" s="6" t="s">
        <v>248</v>
      </c>
      <c r="C234" s="8">
        <v>0.0</v>
      </c>
      <c r="D234" s="8">
        <v>0.0</v>
      </c>
    </row>
    <row r="235">
      <c r="A235" s="5">
        <v>51203.0</v>
      </c>
      <c r="B235" s="6" t="s">
        <v>249</v>
      </c>
      <c r="C235" s="8">
        <v>0.0</v>
      </c>
      <c r="D235" s="8">
        <v>0.0</v>
      </c>
    </row>
    <row r="236">
      <c r="A236" s="5">
        <v>51204.0</v>
      </c>
      <c r="B236" s="6" t="s">
        <v>250</v>
      </c>
      <c r="C236" s="8">
        <v>0.0</v>
      </c>
      <c r="D236" s="8">
        <v>0.0</v>
      </c>
    </row>
    <row r="237">
      <c r="A237" s="5">
        <v>51301.0</v>
      </c>
      <c r="B237" s="6" t="s">
        <v>251</v>
      </c>
      <c r="C237" s="8">
        <v>0.0</v>
      </c>
      <c r="D237" s="8">
        <v>0.0</v>
      </c>
    </row>
    <row r="238">
      <c r="A238" s="5">
        <v>51302.0</v>
      </c>
      <c r="B238" s="6" t="s">
        <v>252</v>
      </c>
      <c r="C238" s="8">
        <v>0.4412811387900356</v>
      </c>
      <c r="D238" s="8">
        <v>0.0</v>
      </c>
    </row>
    <row r="239">
      <c r="A239" s="5">
        <v>51401.0</v>
      </c>
      <c r="B239" s="6" t="s">
        <v>253</v>
      </c>
      <c r="C239" s="8">
        <v>0.0</v>
      </c>
      <c r="D239" s="8">
        <v>0.0</v>
      </c>
    </row>
    <row r="240">
      <c r="A240" s="5">
        <v>51402.0</v>
      </c>
      <c r="B240" s="6" t="s">
        <v>254</v>
      </c>
      <c r="C240" s="8">
        <v>0.0</v>
      </c>
      <c r="D240" s="8">
        <v>0.0</v>
      </c>
    </row>
    <row r="241">
      <c r="A241" s="5">
        <v>51501.0</v>
      </c>
      <c r="B241" s="6" t="s">
        <v>255</v>
      </c>
      <c r="C241" s="8">
        <v>0.4371069182389937</v>
      </c>
      <c r="D241" s="8">
        <v>0.5087719298245614</v>
      </c>
    </row>
    <row r="242">
      <c r="A242" s="5">
        <v>51601.0</v>
      </c>
      <c r="B242" s="6" t="s">
        <v>256</v>
      </c>
      <c r="C242" s="8">
        <v>0.0</v>
      </c>
      <c r="D242" s="8">
        <v>0.0</v>
      </c>
    </row>
    <row r="243">
      <c r="A243" s="5">
        <v>60101.0</v>
      </c>
      <c r="B243" s="6" t="s">
        <v>20</v>
      </c>
      <c r="C243" s="8">
        <v>0.4496240601503759</v>
      </c>
      <c r="D243" s="8">
        <v>0.49165673420738976</v>
      </c>
    </row>
    <row r="244">
      <c r="A244" s="5">
        <v>60201.0</v>
      </c>
      <c r="B244" s="6" t="s">
        <v>257</v>
      </c>
      <c r="C244" s="8">
        <v>0.475</v>
      </c>
      <c r="D244" s="8">
        <v>0.4780334728033473</v>
      </c>
    </row>
    <row r="245">
      <c r="A245" s="5">
        <v>60202.0</v>
      </c>
      <c r="B245" s="6" t="s">
        <v>258</v>
      </c>
      <c r="C245" s="8">
        <v>0.06432748538011696</v>
      </c>
      <c r="D245" s="8">
        <v>0.5614035087719298</v>
      </c>
    </row>
    <row r="246">
      <c r="A246" s="5">
        <v>60301.0</v>
      </c>
      <c r="B246" s="6" t="s">
        <v>259</v>
      </c>
      <c r="C246" s="8">
        <v>0.3944337811900192</v>
      </c>
      <c r="D246" s="8">
        <v>0.4711111111111111</v>
      </c>
    </row>
    <row r="247">
      <c r="A247" s="5">
        <v>60302.0</v>
      </c>
      <c r="B247" s="6" t="s">
        <v>260</v>
      </c>
      <c r="C247" s="8">
        <v>0.4482758620689655</v>
      </c>
      <c r="D247" s="8">
        <v>0.4057971014492754</v>
      </c>
    </row>
    <row r="248">
      <c r="A248" s="5">
        <v>60303.0</v>
      </c>
      <c r="B248" s="6" t="s">
        <v>261</v>
      </c>
      <c r="C248" s="8">
        <v>0.421875</v>
      </c>
      <c r="D248" s="8">
        <v>0.39705882352941174</v>
      </c>
    </row>
    <row r="249">
      <c r="A249" s="5">
        <v>60401.0</v>
      </c>
      <c r="B249" s="6" t="s">
        <v>262</v>
      </c>
      <c r="C249" s="8">
        <v>0.48024112525117213</v>
      </c>
      <c r="D249" s="8">
        <v>0.4567901234567901</v>
      </c>
    </row>
    <row r="250">
      <c r="A250" s="5">
        <v>60402.0</v>
      </c>
      <c r="B250" s="6" t="s">
        <v>263</v>
      </c>
      <c r="C250" s="8">
        <v>0.4880507517163466</v>
      </c>
      <c r="D250" s="8">
        <v>0.5</v>
      </c>
    </row>
    <row r="251">
      <c r="A251" s="5">
        <v>60501.0</v>
      </c>
      <c r="B251" s="6" t="s">
        <v>264</v>
      </c>
      <c r="C251" s="8">
        <v>0.48755117848843643</v>
      </c>
      <c r="D251" s="8">
        <v>0.5177879535047551</v>
      </c>
    </row>
    <row r="252">
      <c r="A252" s="5">
        <v>60502.0</v>
      </c>
      <c r="B252" s="6" t="s">
        <v>265</v>
      </c>
      <c r="C252" s="8">
        <v>0.4983227537802549</v>
      </c>
      <c r="D252" s="8">
        <v>0.4839319470699433</v>
      </c>
    </row>
    <row r="253">
      <c r="A253" s="5">
        <v>60601.0</v>
      </c>
      <c r="B253" s="6" t="s">
        <v>170</v>
      </c>
      <c r="C253" s="8">
        <v>0.4775878748790713</v>
      </c>
      <c r="D253" s="8">
        <v>0.4909090909090909</v>
      </c>
    </row>
    <row r="254">
      <c r="A254" s="5">
        <v>70101.0</v>
      </c>
      <c r="B254" s="6" t="s">
        <v>266</v>
      </c>
      <c r="C254" s="8">
        <v>0.4811188811188811</v>
      </c>
      <c r="D254" s="8">
        <v>0.4279475982532751</v>
      </c>
    </row>
    <row r="255">
      <c r="A255" s="5">
        <v>70102.0</v>
      </c>
      <c r="B255" s="6" t="s">
        <v>267</v>
      </c>
      <c r="C255" s="8">
        <v>0.42948717948717946</v>
      </c>
      <c r="D255" s="8">
        <v>0.5172413793103449</v>
      </c>
    </row>
    <row r="256">
      <c r="A256" s="5">
        <v>70103.0</v>
      </c>
      <c r="B256" s="6" t="s">
        <v>268</v>
      </c>
      <c r="C256" s="8">
        <v>0.34832904884318766</v>
      </c>
      <c r="D256" s="8">
        <v>0.4050632911392405</v>
      </c>
    </row>
    <row r="257">
      <c r="A257" s="5">
        <v>70104.0</v>
      </c>
      <c r="B257" s="6" t="s">
        <v>269</v>
      </c>
      <c r="C257" s="8">
        <v>0.3488865323435843</v>
      </c>
      <c r="D257" s="8">
        <v>0.4516509433962264</v>
      </c>
    </row>
    <row r="258">
      <c r="A258" s="5">
        <v>70105.0</v>
      </c>
      <c r="B258" s="6" t="s">
        <v>270</v>
      </c>
      <c r="C258" s="8">
        <v>0.37472423573904823</v>
      </c>
      <c r="D258" s="8">
        <v>0.3923076923076923</v>
      </c>
    </row>
    <row r="259">
      <c r="A259" s="5">
        <v>70201.0</v>
      </c>
      <c r="B259" s="6" t="s">
        <v>271</v>
      </c>
      <c r="C259" s="8">
        <v>0.3274336283185841</v>
      </c>
      <c r="D259" s="8">
        <v>0.36231884057971014</v>
      </c>
    </row>
    <row r="260">
      <c r="A260" s="5">
        <v>70202.0</v>
      </c>
      <c r="B260" s="6" t="s">
        <v>272</v>
      </c>
      <c r="C260" s="8">
        <v>0.3695299837925446</v>
      </c>
      <c r="D260" s="8">
        <v>0.296969696969697</v>
      </c>
    </row>
    <row r="261">
      <c r="A261" s="5">
        <v>70301.0</v>
      </c>
      <c r="B261" s="6" t="s">
        <v>273</v>
      </c>
      <c r="C261" s="8">
        <v>0.4</v>
      </c>
      <c r="D261" s="8">
        <v>0.21875</v>
      </c>
    </row>
    <row r="262">
      <c r="A262" s="5">
        <v>70302.0</v>
      </c>
      <c r="B262" s="6" t="s">
        <v>274</v>
      </c>
      <c r="C262" s="8">
        <v>0.3838383838383838</v>
      </c>
      <c r="D262" s="8">
        <v>0.4666666666666667</v>
      </c>
    </row>
    <row r="263">
      <c r="A263" s="5">
        <v>70303.0</v>
      </c>
      <c r="B263" s="6" t="s">
        <v>275</v>
      </c>
      <c r="C263" s="8">
        <v>0.30357142857142855</v>
      </c>
      <c r="D263" s="8">
        <v>0.4</v>
      </c>
    </row>
    <row r="264">
      <c r="A264" s="5">
        <v>70401.0</v>
      </c>
      <c r="B264" s="6" t="s">
        <v>276</v>
      </c>
      <c r="C264" s="8">
        <v>0.3912087912087912</v>
      </c>
      <c r="D264" s="8">
        <v>0.45</v>
      </c>
    </row>
    <row r="265">
      <c r="A265" s="5">
        <v>70402.0</v>
      </c>
      <c r="B265" s="6" t="s">
        <v>277</v>
      </c>
      <c r="C265" s="8">
        <v>0.41206457094307564</v>
      </c>
      <c r="D265" s="8">
        <v>0.3783783783783784</v>
      </c>
    </row>
    <row r="266">
      <c r="A266" s="5">
        <v>70403.0</v>
      </c>
      <c r="B266" s="6" t="s">
        <v>278</v>
      </c>
      <c r="C266" s="8">
        <v>0.35168738898756663</v>
      </c>
      <c r="D266" s="8">
        <v>0.43646408839779005</v>
      </c>
    </row>
    <row r="267">
      <c r="A267" s="5">
        <v>70404.0</v>
      </c>
      <c r="B267" s="6" t="s">
        <v>279</v>
      </c>
      <c r="C267" s="8">
        <v>0.22474226804123712</v>
      </c>
      <c r="D267" s="8">
        <v>0.37254901960784315</v>
      </c>
    </row>
    <row r="268">
      <c r="A268" s="5">
        <v>70501.0</v>
      </c>
      <c r="B268" s="6" t="s">
        <v>280</v>
      </c>
      <c r="C268" s="8">
        <v>0.4276923076923077</v>
      </c>
      <c r="D268" s="8">
        <v>0.5</v>
      </c>
    </row>
    <row r="269">
      <c r="A269" s="5">
        <v>70502.0</v>
      </c>
      <c r="B269" s="6" t="s">
        <v>281</v>
      </c>
      <c r="C269" s="8">
        <v>0.37745098039215685</v>
      </c>
      <c r="D269" s="8">
        <v>0.38028169014084506</v>
      </c>
    </row>
    <row r="270">
      <c r="A270" s="5">
        <v>70503.0</v>
      </c>
      <c r="B270" s="6" t="s">
        <v>282</v>
      </c>
      <c r="C270" s="8">
        <v>0.40217391304347827</v>
      </c>
      <c r="D270" s="8">
        <v>0.21875</v>
      </c>
    </row>
    <row r="271">
      <c r="A271" s="5">
        <v>70601.0</v>
      </c>
      <c r="B271" s="6" t="s">
        <v>283</v>
      </c>
      <c r="C271" s="8">
        <v>0.25316455696202533</v>
      </c>
      <c r="D271" s="8">
        <v>0.40939597315436244</v>
      </c>
    </row>
    <row r="272">
      <c r="A272" s="5">
        <v>70602.0</v>
      </c>
      <c r="B272" s="6" t="s">
        <v>284</v>
      </c>
      <c r="C272" s="8">
        <v>0.0</v>
      </c>
      <c r="D272" s="8">
        <v>0.3282442748091603</v>
      </c>
    </row>
    <row r="273">
      <c r="A273" s="5">
        <v>70603.0</v>
      </c>
      <c r="B273" s="6" t="s">
        <v>285</v>
      </c>
      <c r="C273" s="8">
        <v>0.625</v>
      </c>
      <c r="D273" s="8">
        <v>0.4411764705882353</v>
      </c>
    </row>
    <row r="274">
      <c r="A274" s="5">
        <v>70701.0</v>
      </c>
      <c r="B274" s="6" t="s">
        <v>286</v>
      </c>
      <c r="C274" s="8">
        <v>0.4518950437317784</v>
      </c>
      <c r="D274" s="8">
        <v>0.09090909090909091</v>
      </c>
    </row>
    <row r="275">
      <c r="A275" s="5">
        <v>70702.0</v>
      </c>
      <c r="B275" s="6" t="s">
        <v>287</v>
      </c>
      <c r="C275" s="8">
        <v>0.31555555555555553</v>
      </c>
      <c r="D275" s="8">
        <v>0.45161290322580644</v>
      </c>
    </row>
    <row r="276">
      <c r="A276" s="5">
        <v>70703.0</v>
      </c>
      <c r="B276" s="6" t="s">
        <v>288</v>
      </c>
      <c r="C276" s="8">
        <v>0.3262108262108262</v>
      </c>
      <c r="D276" s="8">
        <v>0.5192307692307693</v>
      </c>
    </row>
    <row r="277">
      <c r="A277" s="5">
        <v>70704.0</v>
      </c>
      <c r="B277" s="6" t="s">
        <v>289</v>
      </c>
      <c r="C277" s="8">
        <v>0.38461538461538464</v>
      </c>
      <c r="D277" s="8">
        <v>0.5</v>
      </c>
    </row>
    <row r="278">
      <c r="A278" s="5">
        <v>70705.0</v>
      </c>
      <c r="B278" s="6" t="s">
        <v>290</v>
      </c>
      <c r="C278" s="8">
        <v>0.4304635761589404</v>
      </c>
      <c r="D278" s="8">
        <v>0.5</v>
      </c>
    </row>
    <row r="279">
      <c r="A279" s="5">
        <v>70706.0</v>
      </c>
      <c r="B279" s="6" t="s">
        <v>291</v>
      </c>
      <c r="C279" s="8">
        <v>0.5138888888888888</v>
      </c>
      <c r="D279" s="8">
        <v>0.3333333333333333</v>
      </c>
    </row>
    <row r="280">
      <c r="A280" s="5">
        <v>70707.0</v>
      </c>
      <c r="B280" s="6" t="s">
        <v>292</v>
      </c>
      <c r="C280" s="8">
        <v>0.275</v>
      </c>
      <c r="D280" s="8">
        <v>0.0</v>
      </c>
    </row>
    <row r="281">
      <c r="A281" s="5">
        <v>70801.0</v>
      </c>
      <c r="B281" s="6" t="s">
        <v>293</v>
      </c>
      <c r="C281" s="8">
        <v>0.4562937062937063</v>
      </c>
      <c r="D281" s="8">
        <v>0.3448275862068966</v>
      </c>
    </row>
    <row r="282">
      <c r="A282" s="5">
        <v>70802.0</v>
      </c>
      <c r="B282" s="6" t="s">
        <v>294</v>
      </c>
      <c r="C282" s="8">
        <v>0.4819277108433735</v>
      </c>
      <c r="D282" s="8">
        <v>0.2</v>
      </c>
    </row>
    <row r="283">
      <c r="A283" s="5">
        <v>70803.0</v>
      </c>
      <c r="B283" s="6" t="s">
        <v>295</v>
      </c>
      <c r="C283" s="8">
        <v>0.4738722644037517</v>
      </c>
      <c r="D283" s="8">
        <v>0.25</v>
      </c>
    </row>
    <row r="284">
      <c r="A284" s="5">
        <v>70804.0</v>
      </c>
      <c r="B284" s="6" t="s">
        <v>296</v>
      </c>
      <c r="C284" s="8">
        <v>0.4</v>
      </c>
      <c r="D284" s="8">
        <v>0.0</v>
      </c>
    </row>
    <row r="285">
      <c r="A285" s="5">
        <v>70805.0</v>
      </c>
      <c r="B285" s="6" t="s">
        <v>297</v>
      </c>
      <c r="C285" s="8">
        <v>0.0</v>
      </c>
      <c r="D285" s="8">
        <v>0.0</v>
      </c>
    </row>
    <row r="286">
      <c r="A286" s="5">
        <v>70901.0</v>
      </c>
      <c r="B286" s="6" t="s">
        <v>298</v>
      </c>
      <c r="C286" s="8">
        <v>0.4547354670150229</v>
      </c>
      <c r="D286" s="8">
        <v>0.5</v>
      </c>
    </row>
    <row r="287">
      <c r="A287" s="5">
        <v>70902.0</v>
      </c>
      <c r="B287" s="6" t="s">
        <v>299</v>
      </c>
      <c r="C287" s="8">
        <v>0.48302709436312674</v>
      </c>
      <c r="D287" s="8">
        <v>0.3333333333333333</v>
      </c>
    </row>
    <row r="288">
      <c r="A288" s="5">
        <v>70903.0</v>
      </c>
      <c r="B288" s="6" t="s">
        <v>300</v>
      </c>
      <c r="C288" s="8">
        <v>0.4470666078517865</v>
      </c>
      <c r="D288" s="8">
        <v>0.33076923076923076</v>
      </c>
    </row>
    <row r="289">
      <c r="A289" s="5">
        <v>70904.0</v>
      </c>
      <c r="B289" s="6" t="s">
        <v>301</v>
      </c>
      <c r="C289" s="8">
        <v>0.46164021164021163</v>
      </c>
      <c r="D289" s="8">
        <v>0.3333333333333333</v>
      </c>
    </row>
    <row r="290">
      <c r="A290" s="5">
        <v>71001.0</v>
      </c>
      <c r="B290" s="6" t="s">
        <v>302</v>
      </c>
      <c r="C290" s="8">
        <v>0.33783783783783783</v>
      </c>
      <c r="D290" s="8">
        <v>0.49324324324324326</v>
      </c>
    </row>
    <row r="291">
      <c r="A291" s="5">
        <v>71002.0</v>
      </c>
      <c r="B291" s="6" t="s">
        <v>303</v>
      </c>
      <c r="C291" s="8">
        <v>0.252</v>
      </c>
      <c r="D291" s="8">
        <v>0.375</v>
      </c>
    </row>
    <row r="292">
      <c r="A292" s="5">
        <v>71003.0</v>
      </c>
      <c r="B292" s="6" t="s">
        <v>304</v>
      </c>
      <c r="C292" s="8">
        <v>0.2619047619047619</v>
      </c>
      <c r="D292" s="8">
        <v>0.39805825242718446</v>
      </c>
    </row>
    <row r="293">
      <c r="A293" s="5">
        <v>71004.0</v>
      </c>
      <c r="B293" s="6" t="s">
        <v>305</v>
      </c>
      <c r="C293" s="8">
        <v>0.29542097488921715</v>
      </c>
      <c r="D293" s="8">
        <v>0.2037037037037037</v>
      </c>
    </row>
    <row r="294">
      <c r="A294" s="5">
        <v>71005.0</v>
      </c>
      <c r="B294" s="6" t="s">
        <v>231</v>
      </c>
      <c r="C294" s="8">
        <v>0.36942675159235666</v>
      </c>
      <c r="D294" s="8">
        <v>0.36363636363636365</v>
      </c>
    </row>
    <row r="295">
      <c r="A295" s="5">
        <v>71101.0</v>
      </c>
      <c r="B295" s="6" t="s">
        <v>306</v>
      </c>
      <c r="C295" s="8">
        <v>0.273972602739726</v>
      </c>
      <c r="D295" s="8">
        <v>0.358974358974359</v>
      </c>
    </row>
    <row r="296">
      <c r="A296" s="5">
        <v>71102.0</v>
      </c>
      <c r="B296" s="6" t="s">
        <v>307</v>
      </c>
      <c r="C296" s="8">
        <v>0.2484472049689441</v>
      </c>
      <c r="D296" s="8">
        <v>0.2692307692307692</v>
      </c>
    </row>
    <row r="297">
      <c r="A297" s="5">
        <v>71103.0</v>
      </c>
      <c r="B297" s="6" t="s">
        <v>308</v>
      </c>
      <c r="C297" s="8">
        <v>0.171875</v>
      </c>
      <c r="D297" s="8">
        <v>0.0</v>
      </c>
    </row>
    <row r="298">
      <c r="A298" s="5">
        <v>71104.0</v>
      </c>
      <c r="B298" s="6" t="s">
        <v>309</v>
      </c>
      <c r="C298" s="8">
        <v>0.22950819672131148</v>
      </c>
      <c r="D298" s="8">
        <v>0.2714285714285714</v>
      </c>
    </row>
    <row r="299">
      <c r="A299" s="5">
        <v>71105.0</v>
      </c>
      <c r="B299" s="6" t="s">
        <v>310</v>
      </c>
      <c r="C299" s="8">
        <v>0.0</v>
      </c>
      <c r="D299" s="8">
        <v>0.0</v>
      </c>
    </row>
    <row r="300">
      <c r="A300" s="5">
        <v>71106.0</v>
      </c>
      <c r="B300" s="6" t="s">
        <v>311</v>
      </c>
      <c r="C300" s="8">
        <v>0.28113879003558717</v>
      </c>
      <c r="D300" s="8">
        <v>0.3333333333333333</v>
      </c>
    </row>
    <row r="301">
      <c r="A301" s="5">
        <v>71201.0</v>
      </c>
      <c r="B301" s="6" t="s">
        <v>312</v>
      </c>
      <c r="C301" s="8">
        <v>0.4444444444444444</v>
      </c>
      <c r="D301" s="8">
        <v>0.43478260869565216</v>
      </c>
    </row>
    <row r="302">
      <c r="A302" s="5">
        <v>71301.0</v>
      </c>
      <c r="B302" s="6" t="s">
        <v>313</v>
      </c>
      <c r="C302" s="8">
        <v>0.46579575783115607</v>
      </c>
      <c r="D302" s="8">
        <v>0.36363636363636365</v>
      </c>
    </row>
    <row r="303">
      <c r="A303" s="5">
        <v>71302.0</v>
      </c>
      <c r="B303" s="6" t="s">
        <v>314</v>
      </c>
      <c r="C303" s="8">
        <v>0.44077134986225897</v>
      </c>
      <c r="D303" s="8">
        <v>0.0</v>
      </c>
    </row>
    <row r="304">
      <c r="A304" s="5">
        <v>71401.0</v>
      </c>
      <c r="B304" s="6" t="s">
        <v>315</v>
      </c>
      <c r="C304" s="8">
        <v>0.1875</v>
      </c>
      <c r="D304" s="8">
        <v>0.2</v>
      </c>
    </row>
    <row r="305">
      <c r="A305" s="5">
        <v>71402.0</v>
      </c>
      <c r="B305" s="6" t="s">
        <v>316</v>
      </c>
      <c r="C305" s="8">
        <v>0.3333333333333333</v>
      </c>
      <c r="D305" s="8">
        <v>0.25</v>
      </c>
    </row>
    <row r="306">
      <c r="A306" s="5">
        <v>71403.0</v>
      </c>
      <c r="B306" s="6" t="s">
        <v>317</v>
      </c>
      <c r="C306" s="8">
        <v>0.29411764705882354</v>
      </c>
      <c r="D306" s="8">
        <v>0.42105263157894735</v>
      </c>
    </row>
    <row r="307">
      <c r="A307" s="5">
        <v>71501.0</v>
      </c>
      <c r="B307" s="6" t="s">
        <v>318</v>
      </c>
      <c r="C307" s="8">
        <v>0.3367003367003367</v>
      </c>
      <c r="D307" s="8">
        <v>0.16129032258064516</v>
      </c>
    </row>
    <row r="308">
      <c r="A308" s="5">
        <v>71502.0</v>
      </c>
      <c r="B308" s="6" t="s">
        <v>319</v>
      </c>
      <c r="C308" s="8">
        <v>0.29411764705882354</v>
      </c>
      <c r="D308" s="8">
        <v>0.3870967741935484</v>
      </c>
    </row>
    <row r="309">
      <c r="A309" s="5">
        <v>71503.0</v>
      </c>
      <c r="B309" s="6" t="s">
        <v>265</v>
      </c>
      <c r="C309" s="8">
        <v>0.3553191489361702</v>
      </c>
      <c r="D309" s="8">
        <v>0.35646687697160884</v>
      </c>
    </row>
    <row r="310">
      <c r="A310" s="5">
        <v>80101.0</v>
      </c>
      <c r="B310" s="6" t="s">
        <v>320</v>
      </c>
      <c r="C310" s="8">
        <v>0.0</v>
      </c>
      <c r="D310" s="8">
        <v>0.4827586206896552</v>
      </c>
    </row>
    <row r="311">
      <c r="A311" s="5">
        <v>80102.0</v>
      </c>
      <c r="B311" s="6" t="s">
        <v>307</v>
      </c>
      <c r="C311" s="8">
        <v>0.2857142857142857</v>
      </c>
      <c r="D311" s="8">
        <v>0.4230769230769231</v>
      </c>
    </row>
    <row r="312">
      <c r="A312" s="5">
        <v>80201.0</v>
      </c>
      <c r="B312" s="6" t="s">
        <v>321</v>
      </c>
      <c r="C312" s="8">
        <v>0.23684210526315788</v>
      </c>
      <c r="D312" s="8">
        <v>0.35294117647058826</v>
      </c>
    </row>
    <row r="313">
      <c r="A313" s="5">
        <v>80202.0</v>
      </c>
      <c r="B313" s="6" t="s">
        <v>322</v>
      </c>
      <c r="C313" s="8">
        <v>0.28888888888888886</v>
      </c>
      <c r="D313" s="8">
        <v>0.34615384615384615</v>
      </c>
    </row>
    <row r="314">
      <c r="A314" s="5">
        <v>80301.0</v>
      </c>
      <c r="B314" s="6" t="s">
        <v>323</v>
      </c>
      <c r="C314" s="8">
        <v>0.24390243902439024</v>
      </c>
      <c r="D314" s="8">
        <v>0.44680851063829785</v>
      </c>
    </row>
    <row r="315">
      <c r="A315" s="5">
        <v>80302.0</v>
      </c>
      <c r="B315" s="6" t="s">
        <v>324</v>
      </c>
      <c r="C315" s="8">
        <v>0.39707536557930256</v>
      </c>
      <c r="D315" s="8">
        <v>0.4430379746835443</v>
      </c>
    </row>
    <row r="316">
      <c r="A316" s="5">
        <v>80303.0</v>
      </c>
      <c r="B316" s="6" t="s">
        <v>284</v>
      </c>
      <c r="C316" s="8">
        <v>0.307921381774866</v>
      </c>
      <c r="D316" s="8">
        <v>0.3870967741935484</v>
      </c>
    </row>
    <row r="317">
      <c r="A317" s="5">
        <v>80304.0</v>
      </c>
      <c r="B317" s="6" t="s">
        <v>325</v>
      </c>
      <c r="C317" s="8">
        <v>0.35674931129476584</v>
      </c>
      <c r="D317" s="8">
        <v>0.5714285714285714</v>
      </c>
    </row>
    <row r="318">
      <c r="A318" s="5">
        <v>80401.0</v>
      </c>
      <c r="B318" s="6" t="s">
        <v>326</v>
      </c>
      <c r="C318" s="8">
        <v>0.3793103448275862</v>
      </c>
      <c r="D318" s="8">
        <v>0.4318181818181818</v>
      </c>
    </row>
    <row r="319">
      <c r="A319" s="5">
        <v>80402.0</v>
      </c>
      <c r="B319" s="6" t="s">
        <v>327</v>
      </c>
      <c r="C319" s="8">
        <v>0.2702702702702703</v>
      </c>
      <c r="D319" s="8">
        <v>0.3384615384615385</v>
      </c>
    </row>
    <row r="320">
      <c r="A320" s="5">
        <v>80501.0</v>
      </c>
      <c r="B320" s="6" t="s">
        <v>273</v>
      </c>
      <c r="C320" s="8">
        <v>0.3795620437956204</v>
      </c>
      <c r="D320" s="8">
        <v>0.4714285714285714</v>
      </c>
    </row>
    <row r="321">
      <c r="A321" s="5">
        <v>80601.0</v>
      </c>
      <c r="B321" s="6" t="s">
        <v>328</v>
      </c>
      <c r="C321" s="8">
        <v>0.2857142857142857</v>
      </c>
      <c r="D321" s="8">
        <v>0.24</v>
      </c>
    </row>
    <row r="322">
      <c r="A322" s="5">
        <v>80602.0</v>
      </c>
      <c r="B322" s="6" t="s">
        <v>329</v>
      </c>
      <c r="C322" s="8">
        <v>0.3675889328063241</v>
      </c>
      <c r="D322" s="8">
        <v>0.4942528735632184</v>
      </c>
    </row>
    <row r="323">
      <c r="A323" s="5">
        <v>80701.0</v>
      </c>
      <c r="B323" s="6" t="s">
        <v>330</v>
      </c>
      <c r="C323" s="8">
        <v>0.2727272727272727</v>
      </c>
      <c r="D323" s="8">
        <v>0.5370370370370371</v>
      </c>
    </row>
    <row r="324">
      <c r="A324" s="5">
        <v>80702.0</v>
      </c>
      <c r="B324" s="6" t="s">
        <v>308</v>
      </c>
      <c r="C324" s="8">
        <v>0.0</v>
      </c>
      <c r="D324" s="8">
        <v>0.42857142857142855</v>
      </c>
    </row>
    <row r="325">
      <c r="A325" s="5">
        <v>80703.0</v>
      </c>
      <c r="B325" s="6" t="s">
        <v>331</v>
      </c>
      <c r="C325" s="8">
        <v>0.5</v>
      </c>
      <c r="D325" s="8">
        <v>0.14285714285714285</v>
      </c>
    </row>
    <row r="326">
      <c r="A326" s="5">
        <v>80801.0</v>
      </c>
      <c r="B326" s="6" t="s">
        <v>332</v>
      </c>
      <c r="C326" s="8">
        <v>0.41025641025641024</v>
      </c>
      <c r="D326" s="8">
        <v>0.4716981132075472</v>
      </c>
    </row>
    <row r="327">
      <c r="A327" s="5">
        <v>80802.0</v>
      </c>
      <c r="B327" s="6" t="s">
        <v>333</v>
      </c>
      <c r="C327" s="8">
        <v>0.2</v>
      </c>
      <c r="D327" s="8">
        <v>0.3333333333333333</v>
      </c>
    </row>
    <row r="328">
      <c r="A328" s="5">
        <v>80803.0</v>
      </c>
      <c r="B328" s="6" t="s">
        <v>334</v>
      </c>
      <c r="C328" s="8">
        <v>0.125</v>
      </c>
      <c r="D328" s="8">
        <v>0.28846153846153844</v>
      </c>
    </row>
    <row r="329">
      <c r="A329" s="5">
        <v>80901.0</v>
      </c>
      <c r="B329" s="6" t="s">
        <v>335</v>
      </c>
      <c r="C329" s="8">
        <v>0.0</v>
      </c>
      <c r="D329" s="8">
        <v>0.0</v>
      </c>
    </row>
    <row r="330">
      <c r="A330" s="5">
        <v>90101.0</v>
      </c>
      <c r="B330" s="6" t="s">
        <v>336</v>
      </c>
      <c r="C330" s="8">
        <v>0.44630071599045346</v>
      </c>
      <c r="D330" s="8">
        <v>0.0</v>
      </c>
    </row>
    <row r="331">
      <c r="A331" s="5">
        <v>90102.0</v>
      </c>
      <c r="B331" s="6" t="s">
        <v>337</v>
      </c>
      <c r="C331" s="8">
        <v>0.43243243243243246</v>
      </c>
      <c r="D331" s="8">
        <v>0.0</v>
      </c>
    </row>
    <row r="332">
      <c r="A332" s="5">
        <v>90103.0</v>
      </c>
      <c r="B332" s="6" t="s">
        <v>338</v>
      </c>
      <c r="C332" s="8">
        <v>0.4444444444444444</v>
      </c>
      <c r="D332" s="8">
        <v>0.0</v>
      </c>
    </row>
    <row r="333">
      <c r="A333" s="5">
        <v>90104.0</v>
      </c>
      <c r="B333" s="6" t="s">
        <v>339</v>
      </c>
      <c r="C333" s="8">
        <v>0.3333333333333333</v>
      </c>
      <c r="D333" s="8">
        <v>0.0</v>
      </c>
    </row>
    <row r="334">
      <c r="A334" s="5">
        <v>90201.0</v>
      </c>
      <c r="B334" s="6" t="s">
        <v>340</v>
      </c>
      <c r="C334" s="8">
        <v>0.5</v>
      </c>
      <c r="D334" s="8">
        <v>0.2857142857142857</v>
      </c>
    </row>
    <row r="335">
      <c r="A335" s="5">
        <v>90202.0</v>
      </c>
      <c r="B335" s="6" t="s">
        <v>231</v>
      </c>
      <c r="C335" s="8">
        <v>0.42857142857142855</v>
      </c>
      <c r="D335" s="8">
        <v>0.0</v>
      </c>
    </row>
    <row r="336">
      <c r="A336" s="5">
        <v>90203.0</v>
      </c>
      <c r="B336" s="6" t="s">
        <v>341</v>
      </c>
      <c r="C336" s="8">
        <v>0.3870967741935484</v>
      </c>
      <c r="D336" s="8">
        <v>0.0</v>
      </c>
    </row>
    <row r="337">
      <c r="A337" s="5">
        <v>90301.0</v>
      </c>
      <c r="B337" s="6" t="s">
        <v>342</v>
      </c>
      <c r="C337" s="8">
        <v>0.23529411764705882</v>
      </c>
      <c r="D337" s="8">
        <v>0.0</v>
      </c>
    </row>
    <row r="338">
      <c r="A338" s="5">
        <v>90302.0</v>
      </c>
      <c r="B338" s="6" t="s">
        <v>264</v>
      </c>
      <c r="C338" s="8">
        <v>0.0</v>
      </c>
      <c r="D338" s="8">
        <v>0.0</v>
      </c>
    </row>
    <row r="339">
      <c r="A339" s="5">
        <v>90303.0</v>
      </c>
      <c r="B339" s="6" t="s">
        <v>343</v>
      </c>
      <c r="C339" s="8">
        <v>0.375</v>
      </c>
      <c r="D339" s="8">
        <v>0.0</v>
      </c>
    </row>
    <row r="340">
      <c r="A340" s="5">
        <v>90401.0</v>
      </c>
      <c r="B340" s="6" t="s">
        <v>284</v>
      </c>
      <c r="C340" s="8">
        <v>0.2</v>
      </c>
      <c r="D340" s="8">
        <v>0.0</v>
      </c>
    </row>
    <row r="341">
      <c r="A341" s="5">
        <v>90402.0</v>
      </c>
      <c r="B341" s="6" t="s">
        <v>344</v>
      </c>
      <c r="C341" s="8">
        <v>0.14285714285714285</v>
      </c>
      <c r="D341" s="8">
        <v>0.0</v>
      </c>
    </row>
    <row r="342">
      <c r="A342" s="5">
        <v>90501.0</v>
      </c>
      <c r="B342" s="6" t="s">
        <v>345</v>
      </c>
      <c r="C342" s="8">
        <v>0.0</v>
      </c>
      <c r="D342" s="8">
        <v>0.0</v>
      </c>
    </row>
    <row r="343">
      <c r="A343" s="5">
        <v>90502.0</v>
      </c>
      <c r="B343" s="6" t="s">
        <v>346</v>
      </c>
      <c r="C343" s="8">
        <v>0.0</v>
      </c>
      <c r="D343" s="8">
        <v>0.0</v>
      </c>
    </row>
    <row r="344">
      <c r="A344" s="5">
        <v>90503.0</v>
      </c>
      <c r="B344" s="6" t="s">
        <v>347</v>
      </c>
      <c r="C344" s="8">
        <v>0.6666666666666666</v>
      </c>
      <c r="D344" s="8">
        <v>0.0</v>
      </c>
    </row>
    <row r="345">
      <c r="A345" s="12"/>
      <c r="B345" s="12"/>
    </row>
    <row r="346">
      <c r="A346" s="12"/>
      <c r="B346" s="12"/>
      <c r="C346" s="14"/>
    </row>
    <row r="347">
      <c r="A347" s="12"/>
      <c r="B347" s="12"/>
    </row>
    <row r="348">
      <c r="A348" s="12"/>
      <c r="B348" s="12"/>
      <c r="C348" s="14"/>
    </row>
    <row r="349">
      <c r="A349" s="12"/>
      <c r="B349" s="12"/>
      <c r="C349" s="14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10101.0</v>
      </c>
      <c r="B2" s="6" t="s">
        <v>9</v>
      </c>
      <c r="C2" s="7">
        <v>9108.0</v>
      </c>
      <c r="D2" s="7">
        <v>477.0</v>
      </c>
    </row>
    <row r="3">
      <c r="A3" s="5">
        <v>10102.0</v>
      </c>
      <c r="B3" s="6" t="s">
        <v>11</v>
      </c>
      <c r="C3" s="7">
        <v>10.0</v>
      </c>
      <c r="D3" s="7">
        <v>229.0</v>
      </c>
    </row>
    <row r="4">
      <c r="A4" s="5">
        <v>10103.0</v>
      </c>
      <c r="B4" s="6" t="s">
        <v>13</v>
      </c>
      <c r="C4" s="7">
        <v>501.0</v>
      </c>
      <c r="D4" s="7">
        <v>46.0</v>
      </c>
    </row>
    <row r="5">
      <c r="A5" s="5">
        <v>10201.0</v>
      </c>
      <c r="B5" s="6" t="s">
        <v>15</v>
      </c>
      <c r="C5" s="7">
        <v>1159.0</v>
      </c>
      <c r="D5" s="7">
        <v>105.0</v>
      </c>
    </row>
    <row r="6">
      <c r="A6" s="5">
        <v>10202.0</v>
      </c>
      <c r="B6" s="6" t="s">
        <v>17</v>
      </c>
      <c r="C6" s="7">
        <v>115.0</v>
      </c>
      <c r="D6" s="7">
        <v>342.0</v>
      </c>
    </row>
    <row r="7">
      <c r="A7" s="5">
        <v>10301.0</v>
      </c>
      <c r="B7" s="6" t="s">
        <v>19</v>
      </c>
      <c r="C7" s="7">
        <v>1201.0</v>
      </c>
      <c r="D7" s="7">
        <v>7.0</v>
      </c>
    </row>
    <row r="8">
      <c r="A8" s="5">
        <v>10302.0</v>
      </c>
      <c r="B8" s="6" t="s">
        <v>21</v>
      </c>
      <c r="C8" s="7">
        <v>1929.0</v>
      </c>
      <c r="D8" s="7">
        <v>257.0</v>
      </c>
    </row>
    <row r="9">
      <c r="A9" s="5">
        <v>10303.0</v>
      </c>
      <c r="B9" s="6" t="s">
        <v>23</v>
      </c>
      <c r="C9" s="7">
        <v>393.0</v>
      </c>
      <c r="D9" s="7">
        <v>22.0</v>
      </c>
    </row>
    <row r="10">
      <c r="A10" s="5">
        <v>10304.0</v>
      </c>
      <c r="B10" s="6" t="s">
        <v>25</v>
      </c>
      <c r="C10" s="7">
        <v>0.0</v>
      </c>
      <c r="D10" s="7">
        <v>333.0</v>
      </c>
    </row>
    <row r="11">
      <c r="A11" s="5">
        <v>10401.0</v>
      </c>
      <c r="B11" s="6" t="s">
        <v>27</v>
      </c>
      <c r="C11" s="7">
        <v>2622.0</v>
      </c>
      <c r="D11" s="7">
        <v>4.0</v>
      </c>
    </row>
    <row r="12">
      <c r="A12" s="5">
        <v>10402.0</v>
      </c>
      <c r="B12" s="6" t="s">
        <v>29</v>
      </c>
      <c r="C12" s="7">
        <v>2653.0</v>
      </c>
      <c r="D12" s="7">
        <v>0.0</v>
      </c>
    </row>
    <row r="13">
      <c r="A13" s="5">
        <v>10403.0</v>
      </c>
      <c r="B13" s="6" t="s">
        <v>31</v>
      </c>
      <c r="C13" s="7">
        <v>1805.0</v>
      </c>
      <c r="D13" s="7">
        <v>15.0</v>
      </c>
    </row>
    <row r="14">
      <c r="A14" s="5">
        <v>10404.0</v>
      </c>
      <c r="B14" s="6" t="s">
        <v>32</v>
      </c>
      <c r="C14" s="7">
        <v>309.0</v>
      </c>
      <c r="D14" s="7">
        <v>4.0</v>
      </c>
    </row>
    <row r="15">
      <c r="A15" s="5">
        <v>10405.0</v>
      </c>
      <c r="B15" s="6" t="s">
        <v>33</v>
      </c>
      <c r="C15" s="7">
        <v>52.0</v>
      </c>
      <c r="D15" s="7">
        <v>6.0</v>
      </c>
    </row>
    <row r="16">
      <c r="A16" s="5">
        <v>10501.0</v>
      </c>
      <c r="B16" s="6" t="s">
        <v>34</v>
      </c>
      <c r="C16" s="7">
        <v>504.0</v>
      </c>
      <c r="D16" s="7">
        <v>327.0</v>
      </c>
    </row>
    <row r="17">
      <c r="A17" s="5">
        <v>10502.0</v>
      </c>
      <c r="B17" s="6" t="s">
        <v>35</v>
      </c>
      <c r="C17" s="7">
        <v>204.0</v>
      </c>
      <c r="D17" s="7">
        <v>3.0</v>
      </c>
    </row>
    <row r="18">
      <c r="A18" s="5">
        <v>10601.0</v>
      </c>
      <c r="B18" s="6" t="s">
        <v>36</v>
      </c>
      <c r="C18" s="7">
        <v>27.0</v>
      </c>
      <c r="D18" s="7">
        <v>305.0</v>
      </c>
    </row>
    <row r="19">
      <c r="A19" s="5">
        <v>10602.0</v>
      </c>
      <c r="B19" s="6" t="s">
        <v>37</v>
      </c>
      <c r="C19" s="7">
        <v>2679.0</v>
      </c>
      <c r="D19" s="7">
        <v>0.0</v>
      </c>
    </row>
    <row r="20">
      <c r="A20" s="5">
        <v>10701.0</v>
      </c>
      <c r="B20" s="6" t="s">
        <v>38</v>
      </c>
      <c r="C20" s="7">
        <v>7127.0</v>
      </c>
      <c r="D20" s="7">
        <v>37.0</v>
      </c>
    </row>
    <row r="21">
      <c r="A21" s="5">
        <v>10702.0</v>
      </c>
      <c r="B21" s="6" t="s">
        <v>39</v>
      </c>
      <c r="C21" s="7">
        <v>7.0</v>
      </c>
      <c r="D21" s="7">
        <v>135.0</v>
      </c>
    </row>
    <row r="22">
      <c r="A22" s="5">
        <v>10703.0</v>
      </c>
      <c r="B22" s="6" t="s">
        <v>40</v>
      </c>
      <c r="C22" s="7">
        <v>433.0</v>
      </c>
      <c r="D22" s="7">
        <v>59.0</v>
      </c>
    </row>
    <row r="23">
      <c r="A23" s="5">
        <v>10704.0</v>
      </c>
      <c r="B23" s="6" t="s">
        <v>41</v>
      </c>
      <c r="C23" s="7">
        <v>0.0</v>
      </c>
      <c r="D23" s="7">
        <v>165.0</v>
      </c>
    </row>
    <row r="24">
      <c r="A24" s="5">
        <v>10801.0</v>
      </c>
      <c r="B24" s="6" t="s">
        <v>42</v>
      </c>
      <c r="C24" s="7">
        <v>4710.0</v>
      </c>
      <c r="D24" s="7">
        <v>19.0</v>
      </c>
    </row>
    <row r="25">
      <c r="A25" s="5">
        <v>10901.0</v>
      </c>
      <c r="B25" s="6" t="s">
        <v>43</v>
      </c>
      <c r="C25" s="7">
        <v>115.0</v>
      </c>
      <c r="D25" s="7">
        <v>0.0</v>
      </c>
    </row>
    <row r="26">
      <c r="A26" s="5">
        <v>10902.0</v>
      </c>
      <c r="B26" s="6" t="s">
        <v>44</v>
      </c>
      <c r="C26" s="7">
        <v>4057.0</v>
      </c>
      <c r="D26" s="7">
        <v>3.0</v>
      </c>
    </row>
    <row r="27">
      <c r="A27" s="5">
        <v>10903.0</v>
      </c>
      <c r="B27" s="6" t="s">
        <v>45</v>
      </c>
      <c r="C27" s="7">
        <v>181.0</v>
      </c>
      <c r="D27" s="7">
        <v>8.0</v>
      </c>
    </row>
    <row r="28">
      <c r="A28" s="5">
        <v>11001.0</v>
      </c>
      <c r="B28" s="6" t="s">
        <v>46</v>
      </c>
      <c r="C28" s="7">
        <v>313.0</v>
      </c>
      <c r="D28" s="7">
        <v>104.0</v>
      </c>
    </row>
    <row r="29">
      <c r="A29" s="5">
        <v>11002.0</v>
      </c>
      <c r="B29" s="6" t="s">
        <v>47</v>
      </c>
      <c r="C29" s="7">
        <v>13.0</v>
      </c>
      <c r="D29" s="7">
        <v>7.0</v>
      </c>
    </row>
    <row r="30">
      <c r="A30" s="5">
        <v>11003.0</v>
      </c>
      <c r="B30" s="6" t="s">
        <v>48</v>
      </c>
      <c r="C30" s="7">
        <v>123.0</v>
      </c>
      <c r="D30" s="7">
        <v>17.0</v>
      </c>
    </row>
    <row r="31">
      <c r="A31" s="5">
        <v>20101.0</v>
      </c>
      <c r="B31" s="6" t="s">
        <v>49</v>
      </c>
      <c r="C31" s="7">
        <v>1.0</v>
      </c>
      <c r="D31" s="7">
        <v>188.0</v>
      </c>
    </row>
    <row r="32">
      <c r="A32" s="5">
        <v>20102.0</v>
      </c>
      <c r="B32" s="6" t="s">
        <v>50</v>
      </c>
      <c r="C32" s="7">
        <v>0.0</v>
      </c>
      <c r="D32" s="7">
        <v>6245.0</v>
      </c>
    </row>
    <row r="33">
      <c r="A33" s="5">
        <v>20103.0</v>
      </c>
      <c r="B33" s="6" t="s">
        <v>51</v>
      </c>
      <c r="C33" s="7">
        <v>2.0</v>
      </c>
      <c r="D33" s="7">
        <v>4214.0</v>
      </c>
    </row>
    <row r="34">
      <c r="A34" s="5">
        <v>20104.0</v>
      </c>
      <c r="B34" s="6" t="s">
        <v>52</v>
      </c>
      <c r="C34" s="7">
        <v>0.0</v>
      </c>
      <c r="D34" s="7">
        <v>8.0</v>
      </c>
    </row>
    <row r="35">
      <c r="A35" s="5">
        <v>20105.0</v>
      </c>
      <c r="B35" s="6" t="s">
        <v>53</v>
      </c>
      <c r="C35" s="7">
        <v>4.0</v>
      </c>
      <c r="D35" s="7">
        <v>889.0</v>
      </c>
    </row>
    <row r="36">
      <c r="A36" s="5">
        <v>20201.0</v>
      </c>
      <c r="B36" s="6" t="s">
        <v>54</v>
      </c>
      <c r="C36" s="7">
        <v>1.0</v>
      </c>
      <c r="D36" s="7">
        <v>3476.0</v>
      </c>
    </row>
    <row r="37">
      <c r="A37" s="5">
        <v>20202.0</v>
      </c>
      <c r="B37" s="6" t="s">
        <v>55</v>
      </c>
      <c r="C37" s="7">
        <v>0.0</v>
      </c>
      <c r="D37" s="7">
        <v>741.0</v>
      </c>
    </row>
    <row r="38">
      <c r="A38" s="5">
        <v>20203.0</v>
      </c>
      <c r="B38" s="6" t="s">
        <v>56</v>
      </c>
      <c r="C38" s="7">
        <v>0.0</v>
      </c>
      <c r="D38" s="7">
        <v>178.0</v>
      </c>
    </row>
    <row r="39">
      <c r="A39" s="5">
        <v>20204.0</v>
      </c>
      <c r="B39" s="6" t="s">
        <v>57</v>
      </c>
      <c r="C39" s="7">
        <v>1.0</v>
      </c>
      <c r="D39" s="7">
        <v>985.0</v>
      </c>
    </row>
    <row r="40">
      <c r="A40" s="5">
        <v>20205.0</v>
      </c>
      <c r="B40" s="6" t="s">
        <v>58</v>
      </c>
      <c r="C40" s="7">
        <v>0.0</v>
      </c>
      <c r="D40" s="7">
        <v>1712.0</v>
      </c>
    </row>
    <row r="41">
      <c r="A41" s="5">
        <v>20206.0</v>
      </c>
      <c r="B41" s="6" t="s">
        <v>59</v>
      </c>
      <c r="C41" s="7">
        <v>0.0</v>
      </c>
      <c r="D41" s="7">
        <v>155.0</v>
      </c>
    </row>
    <row r="42">
      <c r="A42" s="5">
        <v>20301.0</v>
      </c>
      <c r="B42" s="6" t="s">
        <v>60</v>
      </c>
      <c r="C42" s="7">
        <v>0.0</v>
      </c>
      <c r="D42" s="7">
        <v>189.0</v>
      </c>
    </row>
    <row r="43">
      <c r="A43" s="5">
        <v>20302.0</v>
      </c>
      <c r="B43" s="6" t="s">
        <v>61</v>
      </c>
      <c r="C43" s="7">
        <v>0.0</v>
      </c>
      <c r="D43" s="7">
        <v>9.0</v>
      </c>
    </row>
    <row r="44">
      <c r="A44" s="5">
        <v>20303.0</v>
      </c>
      <c r="B44" s="6" t="s">
        <v>62</v>
      </c>
      <c r="C44" s="7">
        <v>0.0</v>
      </c>
      <c r="D44" s="7">
        <v>29.0</v>
      </c>
    </row>
    <row r="45">
      <c r="A45" s="5">
        <v>20304.0</v>
      </c>
      <c r="B45" s="6" t="s">
        <v>63</v>
      </c>
      <c r="C45" s="7">
        <v>0.0</v>
      </c>
      <c r="D45" s="7">
        <v>295.0</v>
      </c>
    </row>
    <row r="46">
      <c r="A46" s="5">
        <v>20305.0</v>
      </c>
      <c r="B46" s="6" t="s">
        <v>64</v>
      </c>
      <c r="C46" s="7">
        <v>0.0</v>
      </c>
      <c r="D46" s="7">
        <v>0.0</v>
      </c>
    </row>
    <row r="47">
      <c r="A47" s="5">
        <v>20306.0</v>
      </c>
      <c r="B47" s="6" t="s">
        <v>65</v>
      </c>
      <c r="C47" s="7">
        <v>0.0</v>
      </c>
      <c r="D47" s="7">
        <v>0.0</v>
      </c>
    </row>
    <row r="48">
      <c r="A48" s="5">
        <v>20307.0</v>
      </c>
      <c r="B48" s="6" t="s">
        <v>66</v>
      </c>
      <c r="C48" s="7">
        <v>0.0</v>
      </c>
      <c r="D48" s="7">
        <v>0.0</v>
      </c>
    </row>
    <row r="49">
      <c r="A49" s="5">
        <v>20308.0</v>
      </c>
      <c r="B49" s="6" t="s">
        <v>67</v>
      </c>
      <c r="C49" s="7">
        <v>0.0</v>
      </c>
      <c r="D49" s="7">
        <v>30.0</v>
      </c>
    </row>
    <row r="50">
      <c r="A50" s="5">
        <v>20401.0</v>
      </c>
      <c r="B50" s="6" t="s">
        <v>68</v>
      </c>
      <c r="C50" s="7">
        <v>0.0</v>
      </c>
      <c r="D50" s="7">
        <v>0.0</v>
      </c>
    </row>
    <row r="51">
      <c r="A51" s="5">
        <v>20402.0</v>
      </c>
      <c r="B51" s="6" t="s">
        <v>69</v>
      </c>
      <c r="C51" s="7">
        <v>0.0</v>
      </c>
      <c r="D51" s="7">
        <v>1256.0</v>
      </c>
    </row>
    <row r="52">
      <c r="A52" s="5">
        <v>20403.0</v>
      </c>
      <c r="B52" s="6" t="s">
        <v>70</v>
      </c>
      <c r="C52" s="7">
        <v>0.0</v>
      </c>
      <c r="D52" s="7">
        <v>3218.0</v>
      </c>
    </row>
    <row r="53">
      <c r="A53" s="5">
        <v>20404.0</v>
      </c>
      <c r="B53" s="6" t="s">
        <v>71</v>
      </c>
      <c r="C53" s="7">
        <v>0.0</v>
      </c>
      <c r="D53" s="7">
        <v>42.0</v>
      </c>
    </row>
    <row r="54">
      <c r="A54" s="5">
        <v>20405.0</v>
      </c>
      <c r="B54" s="6" t="s">
        <v>72</v>
      </c>
      <c r="C54" s="7">
        <v>0.0</v>
      </c>
      <c r="D54" s="7">
        <v>0.0</v>
      </c>
    </row>
    <row r="55">
      <c r="A55" s="5">
        <v>20501.0</v>
      </c>
      <c r="B55" s="6" t="s">
        <v>73</v>
      </c>
      <c r="C55" s="7">
        <v>1.0</v>
      </c>
      <c r="D55" s="7">
        <v>3765.0</v>
      </c>
    </row>
    <row r="56">
      <c r="A56" s="5">
        <v>20502.0</v>
      </c>
      <c r="B56" s="6" t="s">
        <v>74</v>
      </c>
      <c r="C56" s="7">
        <v>0.0</v>
      </c>
      <c r="D56" s="7">
        <v>2045.0</v>
      </c>
    </row>
    <row r="57">
      <c r="A57" s="5">
        <v>20503.0</v>
      </c>
      <c r="B57" s="6" t="s">
        <v>75</v>
      </c>
      <c r="C57" s="7">
        <v>0.0</v>
      </c>
      <c r="D57" s="7">
        <v>168.0</v>
      </c>
    </row>
    <row r="58">
      <c r="A58" s="5">
        <v>20601.0</v>
      </c>
      <c r="B58" s="6" t="s">
        <v>76</v>
      </c>
      <c r="C58" s="7">
        <v>12.0</v>
      </c>
      <c r="D58" s="7">
        <v>4459.0</v>
      </c>
    </row>
    <row r="59">
      <c r="A59" s="5">
        <v>20602.0</v>
      </c>
      <c r="B59" s="6" t="s">
        <v>77</v>
      </c>
      <c r="C59" s="7">
        <v>1.0</v>
      </c>
      <c r="D59" s="7">
        <v>0.0</v>
      </c>
    </row>
    <row r="60">
      <c r="A60" s="5">
        <v>20603.0</v>
      </c>
      <c r="B60" s="6" t="s">
        <v>78</v>
      </c>
      <c r="C60" s="7">
        <v>1.0</v>
      </c>
      <c r="D60" s="7">
        <v>460.0</v>
      </c>
    </row>
    <row r="61">
      <c r="A61" s="5">
        <v>20604.0</v>
      </c>
      <c r="B61" s="6" t="s">
        <v>79</v>
      </c>
      <c r="C61" s="7">
        <v>0.0</v>
      </c>
      <c r="D61" s="7">
        <v>1427.0</v>
      </c>
    </row>
    <row r="62">
      <c r="A62" s="5">
        <v>20605.0</v>
      </c>
      <c r="B62" s="6" t="s">
        <v>80</v>
      </c>
      <c r="C62" s="7">
        <v>0.0</v>
      </c>
      <c r="D62" s="7">
        <v>394.0</v>
      </c>
    </row>
    <row r="63">
      <c r="A63" s="5">
        <v>20606.0</v>
      </c>
      <c r="B63" s="6" t="s">
        <v>81</v>
      </c>
      <c r="C63" s="7">
        <v>0.0</v>
      </c>
      <c r="D63" s="7">
        <v>0.0</v>
      </c>
    </row>
    <row r="64">
      <c r="A64" s="5">
        <v>20607.0</v>
      </c>
      <c r="B64" s="6" t="s">
        <v>82</v>
      </c>
      <c r="C64" s="7">
        <v>5.0</v>
      </c>
      <c r="D64" s="7">
        <v>0.0</v>
      </c>
    </row>
    <row r="65">
      <c r="A65" s="5">
        <v>20608.0</v>
      </c>
      <c r="B65" s="6" t="s">
        <v>83</v>
      </c>
      <c r="C65" s="7">
        <v>3.0</v>
      </c>
      <c r="D65" s="7">
        <v>166.0</v>
      </c>
    </row>
    <row r="66">
      <c r="A66" s="5">
        <v>20701.0</v>
      </c>
      <c r="B66" s="6" t="s">
        <v>84</v>
      </c>
      <c r="C66" s="7">
        <v>0.0</v>
      </c>
      <c r="D66" s="7">
        <v>1.0</v>
      </c>
    </row>
    <row r="67">
      <c r="A67" s="5">
        <v>20702.0</v>
      </c>
      <c r="B67" s="6" t="s">
        <v>85</v>
      </c>
      <c r="C67" s="7">
        <v>11.0</v>
      </c>
      <c r="D67" s="7">
        <v>0.0</v>
      </c>
    </row>
    <row r="68">
      <c r="A68" s="5">
        <v>20801.0</v>
      </c>
      <c r="B68" s="6" t="s">
        <v>86</v>
      </c>
      <c r="C68" s="7">
        <v>3263.0</v>
      </c>
      <c r="D68" s="7">
        <v>1665.0</v>
      </c>
    </row>
    <row r="69">
      <c r="A69" s="5">
        <v>20802.0</v>
      </c>
      <c r="B69" s="6" t="s">
        <v>87</v>
      </c>
      <c r="C69" s="7">
        <v>1016.0</v>
      </c>
      <c r="D69" s="7">
        <v>2840.0</v>
      </c>
    </row>
    <row r="70">
      <c r="A70" s="5">
        <v>20803.0</v>
      </c>
      <c r="B70" s="6" t="s">
        <v>88</v>
      </c>
      <c r="C70" s="7">
        <v>3843.0</v>
      </c>
      <c r="D70" s="7">
        <v>0.0</v>
      </c>
    </row>
    <row r="71">
      <c r="A71" s="5">
        <v>20804.0</v>
      </c>
      <c r="B71" s="6" t="s">
        <v>89</v>
      </c>
      <c r="C71" s="7">
        <v>0.0</v>
      </c>
      <c r="D71" s="7">
        <v>1200.0</v>
      </c>
    </row>
    <row r="72">
      <c r="A72" s="5">
        <v>20805.0</v>
      </c>
      <c r="B72" s="6" t="s">
        <v>90</v>
      </c>
      <c r="C72" s="7">
        <v>1.0</v>
      </c>
      <c r="D72" s="7">
        <v>5.0</v>
      </c>
    </row>
    <row r="73">
      <c r="A73" s="5">
        <v>20806.0</v>
      </c>
      <c r="B73" s="6" t="s">
        <v>91</v>
      </c>
      <c r="C73" s="7">
        <v>0.0</v>
      </c>
      <c r="D73" s="7">
        <v>0.0</v>
      </c>
    </row>
    <row r="74">
      <c r="A74" s="5">
        <v>20807.0</v>
      </c>
      <c r="B74" s="6" t="s">
        <v>92</v>
      </c>
      <c r="C74" s="7">
        <v>604.0</v>
      </c>
      <c r="D74" s="7">
        <v>4.0</v>
      </c>
    </row>
    <row r="75">
      <c r="A75" s="5">
        <v>20901.0</v>
      </c>
      <c r="B75" s="6" t="s">
        <v>93</v>
      </c>
      <c r="C75" s="7">
        <v>3.0</v>
      </c>
      <c r="D75" s="7">
        <v>265.0</v>
      </c>
    </row>
    <row r="76">
      <c r="A76" s="5">
        <v>20902.0</v>
      </c>
      <c r="B76" s="6" t="s">
        <v>94</v>
      </c>
      <c r="C76" s="7">
        <v>108.0</v>
      </c>
      <c r="D76" s="7">
        <v>2628.0</v>
      </c>
    </row>
    <row r="77">
      <c r="A77" s="5">
        <v>20903.0</v>
      </c>
      <c r="B77" s="6" t="s">
        <v>95</v>
      </c>
      <c r="C77" s="7">
        <v>0.0</v>
      </c>
      <c r="D77" s="7">
        <v>158.0</v>
      </c>
    </row>
    <row r="78">
      <c r="A78" s="5">
        <v>20904.0</v>
      </c>
      <c r="B78" s="6" t="s">
        <v>96</v>
      </c>
      <c r="C78" s="7">
        <v>0.0</v>
      </c>
      <c r="D78" s="7">
        <v>84.0</v>
      </c>
    </row>
    <row r="79">
      <c r="A79" s="5">
        <v>20905.0</v>
      </c>
      <c r="B79" s="6" t="s">
        <v>97</v>
      </c>
      <c r="C79" s="7">
        <v>0.0</v>
      </c>
      <c r="D79" s="7">
        <v>1693.0</v>
      </c>
    </row>
    <row r="80">
      <c r="A80" s="5">
        <v>21001.0</v>
      </c>
      <c r="B80" s="6" t="s">
        <v>98</v>
      </c>
      <c r="C80" s="7">
        <v>0.0</v>
      </c>
      <c r="D80" s="7">
        <v>1351.0</v>
      </c>
    </row>
    <row r="81">
      <c r="A81" s="5">
        <v>21002.0</v>
      </c>
      <c r="B81" s="6" t="s">
        <v>99</v>
      </c>
      <c r="C81" s="7">
        <v>30.0</v>
      </c>
      <c r="D81" s="7">
        <v>31.0</v>
      </c>
    </row>
    <row r="82">
      <c r="A82" s="5">
        <v>21003.0</v>
      </c>
      <c r="B82" s="6" t="s">
        <v>100</v>
      </c>
      <c r="C82" s="7">
        <v>0.0</v>
      </c>
      <c r="D82" s="7">
        <v>1466.0</v>
      </c>
    </row>
    <row r="83">
      <c r="A83" s="5">
        <v>21004.0</v>
      </c>
      <c r="B83" s="6" t="s">
        <v>101</v>
      </c>
      <c r="C83" s="7">
        <v>0.0</v>
      </c>
      <c r="D83" s="7">
        <v>279.0</v>
      </c>
    </row>
    <row r="84">
      <c r="A84" s="5">
        <v>21005.0</v>
      </c>
      <c r="B84" s="6" t="s">
        <v>102</v>
      </c>
      <c r="C84" s="7">
        <v>0.0</v>
      </c>
      <c r="D84" s="7">
        <v>0.0</v>
      </c>
    </row>
    <row r="85">
      <c r="A85" s="5">
        <v>21006.0</v>
      </c>
      <c r="B85" s="6" t="s">
        <v>103</v>
      </c>
      <c r="C85" s="7">
        <v>0.0</v>
      </c>
      <c r="D85" s="7">
        <v>322.0</v>
      </c>
    </row>
    <row r="86">
      <c r="A86" s="5">
        <v>21101.0</v>
      </c>
      <c r="B86" s="6" t="s">
        <v>104</v>
      </c>
      <c r="C86" s="7">
        <v>37.0</v>
      </c>
      <c r="D86" s="7">
        <v>1118.0</v>
      </c>
    </row>
    <row r="87">
      <c r="A87" s="5">
        <v>21102.0</v>
      </c>
      <c r="B87" s="6" t="s">
        <v>105</v>
      </c>
      <c r="C87" s="7">
        <v>1.0</v>
      </c>
      <c r="D87" s="7">
        <v>2224.0</v>
      </c>
    </row>
    <row r="88">
      <c r="A88" s="5">
        <v>21103.0</v>
      </c>
      <c r="B88" s="6" t="s">
        <v>106</v>
      </c>
      <c r="C88" s="7">
        <v>1.0</v>
      </c>
      <c r="D88" s="7">
        <v>4.0</v>
      </c>
    </row>
    <row r="89">
      <c r="A89" s="5">
        <v>21104.0</v>
      </c>
      <c r="B89" s="6" t="s">
        <v>107</v>
      </c>
      <c r="C89" s="7">
        <v>778.0</v>
      </c>
      <c r="D89" s="7">
        <v>48.0</v>
      </c>
    </row>
    <row r="90">
      <c r="A90" s="5">
        <v>21105.0</v>
      </c>
      <c r="B90" s="6" t="s">
        <v>108</v>
      </c>
      <c r="C90" s="7">
        <v>193.0</v>
      </c>
      <c r="D90" s="7">
        <v>1497.0</v>
      </c>
    </row>
    <row r="91">
      <c r="A91" s="5">
        <v>21201.0</v>
      </c>
      <c r="B91" s="6" t="s">
        <v>109</v>
      </c>
      <c r="C91" s="7">
        <v>3429.0</v>
      </c>
      <c r="D91" s="7">
        <v>1621.0</v>
      </c>
    </row>
    <row r="92">
      <c r="A92" s="5">
        <v>21202.0</v>
      </c>
      <c r="B92" s="6" t="s">
        <v>110</v>
      </c>
      <c r="C92" s="7">
        <v>3177.0</v>
      </c>
      <c r="D92" s="7">
        <v>2438.0</v>
      </c>
    </row>
    <row r="93">
      <c r="A93" s="5">
        <v>21203.0</v>
      </c>
      <c r="B93" s="6" t="s">
        <v>111</v>
      </c>
      <c r="C93" s="7">
        <v>0.0</v>
      </c>
      <c r="D93" s="7">
        <v>1479.0</v>
      </c>
    </row>
    <row r="94">
      <c r="A94" s="5">
        <v>21204.0</v>
      </c>
      <c r="B94" s="6" t="s">
        <v>112</v>
      </c>
      <c r="C94" s="7">
        <v>0.0</v>
      </c>
      <c r="D94" s="7">
        <v>1182.0</v>
      </c>
    </row>
    <row r="95">
      <c r="A95" s="5">
        <v>21301.0</v>
      </c>
      <c r="B95" s="6" t="s">
        <v>113</v>
      </c>
      <c r="C95" s="7">
        <v>0.0</v>
      </c>
      <c r="D95" s="7">
        <v>59.0</v>
      </c>
    </row>
    <row r="96">
      <c r="A96" s="5">
        <v>21302.0</v>
      </c>
      <c r="B96" s="6" t="s">
        <v>114</v>
      </c>
      <c r="C96" s="7">
        <v>0.0</v>
      </c>
      <c r="D96" s="7">
        <v>0.0</v>
      </c>
    </row>
    <row r="97">
      <c r="A97" s="5">
        <v>21303.0</v>
      </c>
      <c r="B97" s="6" t="s">
        <v>115</v>
      </c>
      <c r="C97" s="7">
        <v>0.0</v>
      </c>
      <c r="D97" s="7">
        <v>24.0</v>
      </c>
    </row>
    <row r="98">
      <c r="A98" s="5">
        <v>21304.0</v>
      </c>
      <c r="B98" s="6" t="s">
        <v>116</v>
      </c>
      <c r="C98" s="7">
        <v>1199.0</v>
      </c>
      <c r="D98" s="7">
        <v>0.0</v>
      </c>
    </row>
    <row r="99">
      <c r="A99" s="5">
        <v>21305.0</v>
      </c>
      <c r="B99" s="6" t="s">
        <v>117</v>
      </c>
      <c r="C99" s="7">
        <v>0.0</v>
      </c>
      <c r="D99" s="7">
        <v>0.0</v>
      </c>
    </row>
    <row r="100">
      <c r="A100" s="5">
        <v>21306.0</v>
      </c>
      <c r="B100" s="6" t="s">
        <v>118</v>
      </c>
      <c r="C100" s="7">
        <v>0.0</v>
      </c>
      <c r="D100" s="7">
        <v>0.0</v>
      </c>
    </row>
    <row r="101">
      <c r="A101" s="5">
        <v>21307.0</v>
      </c>
      <c r="B101" s="6" t="s">
        <v>119</v>
      </c>
      <c r="C101" s="7">
        <v>0.0</v>
      </c>
      <c r="D101" s="7">
        <v>0.0</v>
      </c>
    </row>
    <row r="102">
      <c r="A102" s="5">
        <v>21401.0</v>
      </c>
      <c r="B102" s="6" t="s">
        <v>120</v>
      </c>
      <c r="C102" s="7">
        <v>206.0</v>
      </c>
      <c r="D102" s="7">
        <v>948.0</v>
      </c>
    </row>
    <row r="103">
      <c r="A103" s="5">
        <v>21402.0</v>
      </c>
      <c r="B103" s="6" t="s">
        <v>121</v>
      </c>
      <c r="C103" s="7">
        <v>688.0</v>
      </c>
      <c r="D103" s="7">
        <v>1715.0</v>
      </c>
    </row>
    <row r="104">
      <c r="A104" s="5">
        <v>21501.0</v>
      </c>
      <c r="B104" s="6" t="s">
        <v>122</v>
      </c>
      <c r="C104" s="7">
        <v>46.0</v>
      </c>
      <c r="D104" s="7">
        <v>2.0</v>
      </c>
    </row>
    <row r="105">
      <c r="A105" s="5">
        <v>21502.0</v>
      </c>
      <c r="B105" s="6" t="s">
        <v>123</v>
      </c>
      <c r="C105" s="7">
        <v>17.0</v>
      </c>
      <c r="D105" s="7">
        <v>0.0</v>
      </c>
    </row>
    <row r="106">
      <c r="A106" s="5">
        <v>21601.0</v>
      </c>
      <c r="B106" s="6" t="s">
        <v>124</v>
      </c>
      <c r="C106" s="7">
        <v>0.0</v>
      </c>
      <c r="D106" s="7">
        <v>225.0</v>
      </c>
    </row>
    <row r="107">
      <c r="A107" s="5">
        <v>21602.0</v>
      </c>
      <c r="B107" s="6" t="s">
        <v>125</v>
      </c>
      <c r="C107" s="7">
        <v>0.0</v>
      </c>
      <c r="D107" s="7">
        <v>0.0</v>
      </c>
    </row>
    <row r="108">
      <c r="A108" s="5">
        <v>21701.0</v>
      </c>
      <c r="B108" s="6" t="s">
        <v>126</v>
      </c>
      <c r="C108" s="7">
        <v>0.0</v>
      </c>
      <c r="D108" s="7">
        <v>2785.0</v>
      </c>
    </row>
    <row r="109">
      <c r="A109" s="5">
        <v>21702.0</v>
      </c>
      <c r="B109" s="6" t="s">
        <v>127</v>
      </c>
      <c r="C109" s="7">
        <v>0.0</v>
      </c>
      <c r="D109" s="7">
        <v>2381.0</v>
      </c>
    </row>
    <row r="110">
      <c r="A110" s="5">
        <v>21703.0</v>
      </c>
      <c r="B110" s="6" t="s">
        <v>128</v>
      </c>
      <c r="C110" s="7">
        <v>0.0</v>
      </c>
      <c r="D110" s="7">
        <v>192.0</v>
      </c>
    </row>
    <row r="111">
      <c r="A111" s="5">
        <v>21801.0</v>
      </c>
      <c r="B111" s="6" t="s">
        <v>129</v>
      </c>
      <c r="C111" s="7">
        <v>0.0</v>
      </c>
      <c r="D111" s="7">
        <v>0.0</v>
      </c>
    </row>
    <row r="112">
      <c r="A112" s="5">
        <v>21802.0</v>
      </c>
      <c r="B112" s="6" t="s">
        <v>130</v>
      </c>
      <c r="C112" s="7">
        <v>0.0</v>
      </c>
      <c r="D112" s="7">
        <v>1836.0</v>
      </c>
    </row>
    <row r="113">
      <c r="A113" s="5">
        <v>21803.0</v>
      </c>
      <c r="B113" s="6" t="s">
        <v>131</v>
      </c>
      <c r="C113" s="7">
        <v>0.0</v>
      </c>
      <c r="D113" s="7">
        <v>0.0</v>
      </c>
    </row>
    <row r="114">
      <c r="A114" s="5">
        <v>21901.0</v>
      </c>
      <c r="B114" s="6" t="s">
        <v>132</v>
      </c>
      <c r="C114" s="7">
        <v>0.0</v>
      </c>
      <c r="D114" s="7">
        <v>2.0</v>
      </c>
    </row>
    <row r="115">
      <c r="A115" s="5">
        <v>21902.0</v>
      </c>
      <c r="B115" s="6" t="s">
        <v>133</v>
      </c>
      <c r="C115" s="7">
        <v>0.0</v>
      </c>
      <c r="D115" s="7">
        <v>0.0</v>
      </c>
    </row>
    <row r="116">
      <c r="A116" s="5">
        <v>22001.0</v>
      </c>
      <c r="B116" s="6" t="s">
        <v>134</v>
      </c>
      <c r="C116" s="7">
        <v>3102.0</v>
      </c>
      <c r="D116" s="7">
        <v>520.0</v>
      </c>
    </row>
    <row r="117">
      <c r="A117" s="5">
        <v>22002.0</v>
      </c>
      <c r="B117" s="6" t="s">
        <v>135</v>
      </c>
      <c r="C117" s="7">
        <v>95.0</v>
      </c>
      <c r="D117" s="7">
        <v>4.0</v>
      </c>
    </row>
    <row r="118">
      <c r="A118" s="5">
        <v>30101.0</v>
      </c>
      <c r="B118" s="6" t="s">
        <v>14</v>
      </c>
      <c r="C118" s="7">
        <v>3985.0</v>
      </c>
      <c r="D118" s="7">
        <v>934.0</v>
      </c>
    </row>
    <row r="119">
      <c r="A119" s="5">
        <v>30201.0</v>
      </c>
      <c r="B119" s="6" t="s">
        <v>136</v>
      </c>
      <c r="C119" s="7">
        <v>1711.0</v>
      </c>
      <c r="D119" s="7">
        <v>70.0</v>
      </c>
    </row>
    <row r="120">
      <c r="A120" s="5">
        <v>30202.0</v>
      </c>
      <c r="B120" s="6" t="s">
        <v>137</v>
      </c>
      <c r="C120" s="7">
        <v>501.0</v>
      </c>
      <c r="D120" s="7">
        <v>4.0</v>
      </c>
    </row>
    <row r="121">
      <c r="A121" s="5">
        <v>30203.0</v>
      </c>
      <c r="B121" s="6" t="s">
        <v>138</v>
      </c>
      <c r="C121" s="7">
        <v>109.0</v>
      </c>
      <c r="D121" s="7">
        <v>1.0</v>
      </c>
    </row>
    <row r="122">
      <c r="A122" s="5">
        <v>30301.0</v>
      </c>
      <c r="B122" s="6" t="s">
        <v>139</v>
      </c>
      <c r="C122" s="7">
        <v>6.0</v>
      </c>
      <c r="D122" s="7">
        <v>183.0</v>
      </c>
    </row>
    <row r="123">
      <c r="A123" s="5">
        <v>30302.0</v>
      </c>
      <c r="B123" s="6" t="s">
        <v>140</v>
      </c>
      <c r="C123" s="7">
        <v>0.0</v>
      </c>
      <c r="D123" s="7">
        <v>792.0</v>
      </c>
    </row>
    <row r="124">
      <c r="A124" s="5">
        <v>30303.0</v>
      </c>
      <c r="B124" s="6" t="s">
        <v>141</v>
      </c>
      <c r="C124" s="7">
        <v>0.0</v>
      </c>
      <c r="D124" s="7">
        <v>0.0</v>
      </c>
    </row>
    <row r="125">
      <c r="A125" s="5">
        <v>30401.0</v>
      </c>
      <c r="B125" s="6" t="s">
        <v>142</v>
      </c>
      <c r="C125" s="7">
        <v>258.0</v>
      </c>
      <c r="D125" s="7">
        <v>677.0</v>
      </c>
    </row>
    <row r="126">
      <c r="A126" s="5">
        <v>30402.0</v>
      </c>
      <c r="B126" s="6" t="s">
        <v>143</v>
      </c>
      <c r="C126" s="7">
        <v>8911.0</v>
      </c>
      <c r="D126" s="7">
        <v>288.0</v>
      </c>
    </row>
    <row r="127">
      <c r="A127" s="5">
        <v>30403.0</v>
      </c>
      <c r="B127" s="6" t="s">
        <v>144</v>
      </c>
      <c r="C127" s="7">
        <v>296.0</v>
      </c>
      <c r="D127" s="7">
        <v>1439.0</v>
      </c>
    </row>
    <row r="128">
      <c r="A128" s="5">
        <v>30404.0</v>
      </c>
      <c r="B128" s="6" t="s">
        <v>145</v>
      </c>
      <c r="C128" s="7">
        <v>3370.0</v>
      </c>
      <c r="D128" s="7">
        <v>111.0</v>
      </c>
    </row>
    <row r="129">
      <c r="A129" s="5">
        <v>30501.0</v>
      </c>
      <c r="B129" s="6" t="s">
        <v>146</v>
      </c>
      <c r="C129" s="7">
        <v>2956.0</v>
      </c>
      <c r="D129" s="7">
        <v>132.0</v>
      </c>
    </row>
    <row r="130">
      <c r="A130" s="5">
        <v>30502.0</v>
      </c>
      <c r="B130" s="6" t="s">
        <v>147</v>
      </c>
      <c r="C130" s="7">
        <v>0.0</v>
      </c>
      <c r="D130" s="7">
        <v>2228.0</v>
      </c>
    </row>
    <row r="131">
      <c r="A131" s="5">
        <v>30601.0</v>
      </c>
      <c r="B131" s="6" t="s">
        <v>148</v>
      </c>
      <c r="C131" s="7">
        <v>0.0</v>
      </c>
      <c r="D131" s="7">
        <v>248.0</v>
      </c>
    </row>
    <row r="132">
      <c r="A132" s="5">
        <v>30602.0</v>
      </c>
      <c r="B132" s="6" t="s">
        <v>149</v>
      </c>
      <c r="C132" s="7">
        <v>0.0</v>
      </c>
      <c r="D132" s="7">
        <v>223.0</v>
      </c>
    </row>
    <row r="133">
      <c r="A133" s="5">
        <v>30701.0</v>
      </c>
      <c r="B133" s="6" t="s">
        <v>150</v>
      </c>
      <c r="C133" s="7">
        <v>1481.0</v>
      </c>
      <c r="D133" s="7">
        <v>275.0</v>
      </c>
    </row>
    <row r="134">
      <c r="A134" s="5">
        <v>30702.0</v>
      </c>
      <c r="B134" s="6" t="s">
        <v>151</v>
      </c>
      <c r="C134" s="7">
        <v>913.0</v>
      </c>
      <c r="D134" s="7">
        <v>1070.0</v>
      </c>
    </row>
    <row r="135">
      <c r="A135" s="5">
        <v>30703.0</v>
      </c>
      <c r="B135" s="6" t="s">
        <v>152</v>
      </c>
      <c r="C135" s="7">
        <v>865.0</v>
      </c>
      <c r="D135" s="7">
        <v>36.0</v>
      </c>
    </row>
    <row r="136">
      <c r="A136" s="5">
        <v>30801.0</v>
      </c>
      <c r="B136" s="6" t="s">
        <v>153</v>
      </c>
      <c r="C136" s="7">
        <v>1058.0</v>
      </c>
      <c r="D136" s="7">
        <v>529.0</v>
      </c>
    </row>
    <row r="137">
      <c r="A137" s="5">
        <v>30802.0</v>
      </c>
      <c r="B137" s="6" t="s">
        <v>154</v>
      </c>
      <c r="C137" s="7">
        <v>1349.0</v>
      </c>
      <c r="D137" s="7">
        <v>132.0</v>
      </c>
    </row>
    <row r="138">
      <c r="A138" s="5">
        <v>30803.0</v>
      </c>
      <c r="B138" s="6" t="s">
        <v>155</v>
      </c>
      <c r="C138" s="7">
        <v>55.0</v>
      </c>
      <c r="D138" s="7">
        <v>470.0</v>
      </c>
    </row>
    <row r="139">
      <c r="A139" s="5">
        <v>30901.0</v>
      </c>
      <c r="B139" s="6" t="s">
        <v>156</v>
      </c>
      <c r="C139" s="7">
        <v>2867.0</v>
      </c>
      <c r="D139" s="7">
        <v>821.0</v>
      </c>
    </row>
    <row r="140">
      <c r="A140" s="5">
        <v>30902.0</v>
      </c>
      <c r="B140" s="6" t="s">
        <v>157</v>
      </c>
      <c r="C140" s="7">
        <v>2361.0</v>
      </c>
      <c r="D140" s="7">
        <v>988.0</v>
      </c>
    </row>
    <row r="141">
      <c r="A141" s="5">
        <v>30903.0</v>
      </c>
      <c r="B141" s="6" t="s">
        <v>158</v>
      </c>
      <c r="C141" s="7">
        <v>103.0</v>
      </c>
      <c r="D141" s="7">
        <v>4.0</v>
      </c>
    </row>
    <row r="142">
      <c r="A142" s="5">
        <v>30904.0</v>
      </c>
      <c r="B142" s="6" t="s">
        <v>159</v>
      </c>
      <c r="C142" s="7">
        <v>2869.0</v>
      </c>
      <c r="D142" s="7">
        <v>720.0</v>
      </c>
    </row>
    <row r="143">
      <c r="A143" s="5">
        <v>30905.0</v>
      </c>
      <c r="B143" s="6" t="s">
        <v>160</v>
      </c>
      <c r="C143" s="7">
        <v>216.0</v>
      </c>
      <c r="D143" s="7">
        <v>3.0</v>
      </c>
    </row>
    <row r="144">
      <c r="A144" s="5">
        <v>31001.0</v>
      </c>
      <c r="B144" s="6" t="s">
        <v>161</v>
      </c>
      <c r="C144" s="7">
        <v>5400.0</v>
      </c>
      <c r="D144" s="7">
        <v>4427.0</v>
      </c>
    </row>
    <row r="145">
      <c r="A145" s="5">
        <v>31002.0</v>
      </c>
      <c r="B145" s="6" t="s">
        <v>162</v>
      </c>
      <c r="C145" s="7">
        <v>223.0</v>
      </c>
      <c r="D145" s="7">
        <v>2028.0</v>
      </c>
    </row>
    <row r="146">
      <c r="A146" s="5">
        <v>31003.0</v>
      </c>
      <c r="B146" s="6" t="s">
        <v>163</v>
      </c>
      <c r="C146" s="7">
        <v>8689.0</v>
      </c>
      <c r="D146" s="7">
        <v>426.0</v>
      </c>
    </row>
    <row r="147">
      <c r="A147" s="5">
        <v>31101.0</v>
      </c>
      <c r="B147" s="6" t="s">
        <v>164</v>
      </c>
      <c r="C147" s="7">
        <v>393.0</v>
      </c>
      <c r="D147" s="7">
        <v>316.0</v>
      </c>
    </row>
    <row r="148">
      <c r="A148" s="5">
        <v>31201.0</v>
      </c>
      <c r="B148" s="6" t="s">
        <v>165</v>
      </c>
      <c r="C148" s="7">
        <v>4041.0</v>
      </c>
      <c r="D148" s="7">
        <v>93.0</v>
      </c>
    </row>
    <row r="149">
      <c r="A149" s="5">
        <v>31202.0</v>
      </c>
      <c r="B149" s="6" t="s">
        <v>166</v>
      </c>
      <c r="C149" s="7">
        <v>1420.0</v>
      </c>
      <c r="D149" s="7">
        <v>151.0</v>
      </c>
    </row>
    <row r="150">
      <c r="A150" s="5">
        <v>31203.0</v>
      </c>
      <c r="B150" s="6" t="s">
        <v>167</v>
      </c>
      <c r="C150" s="7">
        <v>6987.0</v>
      </c>
      <c r="D150" s="7">
        <v>61.0</v>
      </c>
    </row>
    <row r="151">
      <c r="A151" s="5">
        <v>31204.0</v>
      </c>
      <c r="B151" s="6" t="s">
        <v>168</v>
      </c>
      <c r="C151" s="7">
        <v>450.0</v>
      </c>
      <c r="D151" s="7">
        <v>106.0</v>
      </c>
    </row>
    <row r="152">
      <c r="A152" s="5">
        <v>31205.0</v>
      </c>
      <c r="B152" s="6" t="s">
        <v>169</v>
      </c>
      <c r="C152" s="7">
        <v>1611.0</v>
      </c>
      <c r="D152" s="7">
        <v>72.0</v>
      </c>
    </row>
    <row r="153">
      <c r="A153" s="5">
        <v>31206.0</v>
      </c>
      <c r="B153" s="6" t="s">
        <v>170</v>
      </c>
      <c r="C153" s="7">
        <v>1162.0</v>
      </c>
      <c r="D153" s="7">
        <v>25.0</v>
      </c>
    </row>
    <row r="154">
      <c r="A154" s="5">
        <v>31301.0</v>
      </c>
      <c r="B154" s="6" t="s">
        <v>171</v>
      </c>
      <c r="C154" s="7">
        <v>3422.0</v>
      </c>
      <c r="D154" s="7">
        <v>250.0</v>
      </c>
    </row>
    <row r="155">
      <c r="A155" s="5">
        <v>31302.0</v>
      </c>
      <c r="B155" s="6" t="s">
        <v>172</v>
      </c>
      <c r="C155" s="7">
        <v>2254.0</v>
      </c>
      <c r="D155" s="7">
        <v>0.0</v>
      </c>
    </row>
    <row r="156">
      <c r="A156" s="5">
        <v>31303.0</v>
      </c>
      <c r="B156" s="6" t="s">
        <v>173</v>
      </c>
      <c r="C156" s="7">
        <v>0.0</v>
      </c>
      <c r="D156" s="7">
        <v>0.0</v>
      </c>
    </row>
    <row r="157">
      <c r="A157" s="5">
        <v>31304.0</v>
      </c>
      <c r="B157" s="6" t="s">
        <v>174</v>
      </c>
      <c r="C157" s="7">
        <v>0.0</v>
      </c>
      <c r="D157" s="7">
        <v>0.0</v>
      </c>
    </row>
    <row r="158">
      <c r="A158" s="5">
        <v>31401.0</v>
      </c>
      <c r="B158" s="6" t="s">
        <v>175</v>
      </c>
      <c r="C158" s="7">
        <v>4552.0</v>
      </c>
      <c r="D158" s="7">
        <v>904.0</v>
      </c>
    </row>
    <row r="159">
      <c r="A159" s="5">
        <v>31402.0</v>
      </c>
      <c r="B159" s="6" t="s">
        <v>176</v>
      </c>
      <c r="C159" s="7">
        <v>564.0</v>
      </c>
      <c r="D159" s="7">
        <v>550.0</v>
      </c>
    </row>
    <row r="160">
      <c r="A160" s="5">
        <v>31403.0</v>
      </c>
      <c r="B160" s="6" t="s">
        <v>177</v>
      </c>
      <c r="C160" s="7">
        <v>2600.0</v>
      </c>
      <c r="D160" s="7">
        <v>770.0</v>
      </c>
    </row>
    <row r="161">
      <c r="A161" s="5">
        <v>31404.0</v>
      </c>
      <c r="B161" s="6" t="s">
        <v>178</v>
      </c>
      <c r="C161" s="7">
        <v>0.0</v>
      </c>
      <c r="D161" s="7">
        <v>0.0</v>
      </c>
    </row>
    <row r="162">
      <c r="A162" s="5">
        <v>31405.0</v>
      </c>
      <c r="B162" s="6" t="s">
        <v>179</v>
      </c>
      <c r="C162" s="7">
        <v>0.0</v>
      </c>
      <c r="D162" s="7">
        <v>0.0</v>
      </c>
    </row>
    <row r="163">
      <c r="A163" s="5">
        <v>31501.0</v>
      </c>
      <c r="B163" s="6" t="s">
        <v>180</v>
      </c>
      <c r="C163" s="7">
        <v>0.0</v>
      </c>
      <c r="D163" s="7">
        <v>0.0</v>
      </c>
    </row>
    <row r="164">
      <c r="A164" s="5">
        <v>31601.0</v>
      </c>
      <c r="B164" s="6" t="s">
        <v>181</v>
      </c>
      <c r="C164" s="7">
        <v>1747.0</v>
      </c>
      <c r="D164" s="7">
        <v>1393.0</v>
      </c>
    </row>
    <row r="165">
      <c r="A165" s="5">
        <v>31602.0</v>
      </c>
      <c r="B165" s="6" t="s">
        <v>182</v>
      </c>
      <c r="C165" s="7">
        <v>79.0</v>
      </c>
      <c r="D165" s="7">
        <v>33.0</v>
      </c>
    </row>
    <row r="166">
      <c r="A166" s="5">
        <v>40101.0</v>
      </c>
      <c r="B166" s="6" t="s">
        <v>16</v>
      </c>
      <c r="C166" s="7">
        <v>3.0</v>
      </c>
      <c r="D166" s="7">
        <v>0.0</v>
      </c>
    </row>
    <row r="167">
      <c r="A167" s="5">
        <v>40102.0</v>
      </c>
      <c r="B167" s="6" t="s">
        <v>183</v>
      </c>
      <c r="C167" s="7">
        <v>4948.0</v>
      </c>
      <c r="D167" s="7">
        <v>1129.0</v>
      </c>
    </row>
    <row r="168">
      <c r="A168" s="5">
        <v>40103.0</v>
      </c>
      <c r="B168" s="6" t="s">
        <v>184</v>
      </c>
      <c r="C168" s="7">
        <v>2.0</v>
      </c>
      <c r="D168" s="7">
        <v>0.0</v>
      </c>
    </row>
    <row r="169">
      <c r="A169" s="5">
        <v>40104.0</v>
      </c>
      <c r="B169" s="6" t="s">
        <v>185</v>
      </c>
      <c r="C169" s="7">
        <v>3146.0</v>
      </c>
      <c r="D169" s="7">
        <v>60.0</v>
      </c>
    </row>
    <row r="170">
      <c r="A170" s="5">
        <v>40201.0</v>
      </c>
      <c r="B170" s="6" t="s">
        <v>186</v>
      </c>
      <c r="C170" s="7">
        <v>181.0</v>
      </c>
      <c r="D170" s="7">
        <v>1.0</v>
      </c>
    </row>
    <row r="171">
      <c r="A171" s="5">
        <v>40202.0</v>
      </c>
      <c r="B171" s="6" t="s">
        <v>187</v>
      </c>
      <c r="C171" s="7">
        <v>2.0</v>
      </c>
      <c r="D171" s="7">
        <v>0.0</v>
      </c>
    </row>
    <row r="172">
      <c r="A172" s="5">
        <v>40301.0</v>
      </c>
      <c r="B172" s="6" t="s">
        <v>188</v>
      </c>
      <c r="C172" s="7">
        <v>0.0</v>
      </c>
      <c r="D172" s="7">
        <v>0.0</v>
      </c>
    </row>
    <row r="173">
      <c r="A173" s="5">
        <v>40302.0</v>
      </c>
      <c r="B173" s="6" t="s">
        <v>189</v>
      </c>
      <c r="C173" s="7">
        <v>0.0</v>
      </c>
      <c r="D173" s="7">
        <v>0.0</v>
      </c>
    </row>
    <row r="174">
      <c r="A174" s="5">
        <v>40401.0</v>
      </c>
      <c r="B174" s="6" t="s">
        <v>190</v>
      </c>
      <c r="C174" s="7">
        <v>0.0</v>
      </c>
      <c r="D174" s="7">
        <v>0.0</v>
      </c>
    </row>
    <row r="175">
      <c r="A175" s="5">
        <v>40402.0</v>
      </c>
      <c r="B175" s="6" t="s">
        <v>191</v>
      </c>
      <c r="C175" s="7">
        <v>0.0</v>
      </c>
      <c r="D175" s="7">
        <v>0.0</v>
      </c>
    </row>
    <row r="176">
      <c r="A176" s="5">
        <v>40501.0</v>
      </c>
      <c r="B176" s="6" t="s">
        <v>192</v>
      </c>
      <c r="C176" s="7">
        <v>0.0</v>
      </c>
      <c r="D176" s="7">
        <v>0.0</v>
      </c>
    </row>
    <row r="177">
      <c r="A177" s="5">
        <v>40502.0</v>
      </c>
      <c r="B177" s="6" t="s">
        <v>193</v>
      </c>
      <c r="C177" s="7">
        <v>0.0</v>
      </c>
      <c r="D177" s="7">
        <v>0.0</v>
      </c>
    </row>
    <row r="178">
      <c r="A178" s="5">
        <v>40503.0</v>
      </c>
      <c r="B178" s="6" t="s">
        <v>194</v>
      </c>
      <c r="C178" s="7">
        <v>0.0</v>
      </c>
      <c r="D178" s="7">
        <v>0.0</v>
      </c>
    </row>
    <row r="179">
      <c r="A179" s="5">
        <v>40504.0</v>
      </c>
      <c r="B179" s="6" t="s">
        <v>195</v>
      </c>
      <c r="C179" s="7">
        <v>0.0</v>
      </c>
      <c r="D179" s="7">
        <v>0.0</v>
      </c>
    </row>
    <row r="180">
      <c r="A180" s="5">
        <v>40505.0</v>
      </c>
      <c r="B180" s="6" t="s">
        <v>196</v>
      </c>
      <c r="C180" s="7">
        <v>0.0</v>
      </c>
      <c r="D180" s="7">
        <v>0.0</v>
      </c>
    </row>
    <row r="181">
      <c r="A181" s="5">
        <v>40601.0</v>
      </c>
      <c r="B181" s="6" t="s">
        <v>197</v>
      </c>
      <c r="C181" s="7">
        <v>22.0</v>
      </c>
      <c r="D181" s="7">
        <v>0.0</v>
      </c>
    </row>
    <row r="182">
      <c r="A182" s="5">
        <v>40602.0</v>
      </c>
      <c r="B182" s="6" t="s">
        <v>198</v>
      </c>
      <c r="C182" s="7">
        <v>126.0</v>
      </c>
      <c r="D182" s="7">
        <v>0.0</v>
      </c>
    </row>
    <row r="183">
      <c r="A183" s="5">
        <v>40603.0</v>
      </c>
      <c r="B183" s="6" t="s">
        <v>199</v>
      </c>
      <c r="C183" s="7">
        <v>0.0</v>
      </c>
      <c r="D183" s="7">
        <v>0.0</v>
      </c>
    </row>
    <row r="184">
      <c r="A184" s="5">
        <v>40701.0</v>
      </c>
      <c r="B184" s="6" t="s">
        <v>200</v>
      </c>
      <c r="C184" s="7">
        <v>0.0</v>
      </c>
      <c r="D184" s="7">
        <v>0.0</v>
      </c>
    </row>
    <row r="185">
      <c r="A185" s="5">
        <v>40702.0</v>
      </c>
      <c r="B185" s="6" t="s">
        <v>201</v>
      </c>
      <c r="C185" s="7">
        <v>0.0</v>
      </c>
      <c r="D185" s="7">
        <v>1.0</v>
      </c>
    </row>
    <row r="186">
      <c r="A186" s="5">
        <v>40801.0</v>
      </c>
      <c r="B186" s="6" t="s">
        <v>202</v>
      </c>
      <c r="C186" s="7">
        <v>0.0</v>
      </c>
      <c r="D186" s="7">
        <v>0.0</v>
      </c>
    </row>
    <row r="187">
      <c r="A187" s="5">
        <v>40802.0</v>
      </c>
      <c r="B187" s="6" t="s">
        <v>203</v>
      </c>
      <c r="C187" s="7">
        <v>0.0</v>
      </c>
      <c r="D187" s="7">
        <v>0.0</v>
      </c>
    </row>
    <row r="188">
      <c r="A188" s="5">
        <v>40901.0</v>
      </c>
      <c r="B188" s="6" t="s">
        <v>204</v>
      </c>
      <c r="C188" s="7">
        <v>0.0</v>
      </c>
      <c r="D188" s="7">
        <v>0.0</v>
      </c>
    </row>
    <row r="189">
      <c r="A189" s="5">
        <v>40902.0</v>
      </c>
      <c r="B189" s="6" t="s">
        <v>205</v>
      </c>
      <c r="C189" s="7">
        <v>0.0</v>
      </c>
      <c r="D189" s="7">
        <v>0.0</v>
      </c>
    </row>
    <row r="190">
      <c r="A190" s="5">
        <v>40903.0</v>
      </c>
      <c r="B190" s="6" t="s">
        <v>206</v>
      </c>
      <c r="C190" s="7">
        <v>0.0</v>
      </c>
      <c r="D190" s="7">
        <v>0.0</v>
      </c>
    </row>
    <row r="191">
      <c r="A191" s="5">
        <v>41001.0</v>
      </c>
      <c r="B191" s="6" t="s">
        <v>207</v>
      </c>
      <c r="C191" s="7">
        <v>0.0</v>
      </c>
      <c r="D191" s="7">
        <v>0.0</v>
      </c>
    </row>
    <row r="192">
      <c r="A192" s="5">
        <v>41101.0</v>
      </c>
      <c r="B192" s="6" t="s">
        <v>208</v>
      </c>
      <c r="C192" s="7">
        <v>2138.0</v>
      </c>
      <c r="D192" s="7">
        <v>13.0</v>
      </c>
    </row>
    <row r="193">
      <c r="A193" s="5">
        <v>41201.0</v>
      </c>
      <c r="B193" s="6" t="s">
        <v>209</v>
      </c>
      <c r="C193" s="7">
        <v>0.0</v>
      </c>
      <c r="D193" s="7">
        <v>0.0</v>
      </c>
    </row>
    <row r="194">
      <c r="A194" s="5">
        <v>41202.0</v>
      </c>
      <c r="B194" s="6" t="s">
        <v>210</v>
      </c>
      <c r="C194" s="7">
        <v>0.0</v>
      </c>
      <c r="D194" s="7">
        <v>0.0</v>
      </c>
    </row>
    <row r="195">
      <c r="A195" s="5">
        <v>41301.0</v>
      </c>
      <c r="B195" s="6" t="s">
        <v>165</v>
      </c>
      <c r="C195" s="7">
        <v>10.0</v>
      </c>
      <c r="D195" s="7">
        <v>0.0</v>
      </c>
    </row>
    <row r="196">
      <c r="A196" s="5">
        <v>41401.0</v>
      </c>
      <c r="B196" s="6" t="s">
        <v>211</v>
      </c>
      <c r="C196" s="7">
        <v>0.0</v>
      </c>
      <c r="D196" s="7">
        <v>0.0</v>
      </c>
    </row>
    <row r="197">
      <c r="A197" s="5">
        <v>41501.0</v>
      </c>
      <c r="B197" s="6" t="s">
        <v>212</v>
      </c>
      <c r="C197" s="7">
        <v>0.0</v>
      </c>
      <c r="D197" s="7">
        <v>0.0</v>
      </c>
    </row>
    <row r="198">
      <c r="A198" s="5">
        <v>41502.0</v>
      </c>
      <c r="B198" s="6" t="s">
        <v>213</v>
      </c>
      <c r="C198" s="7">
        <v>0.0</v>
      </c>
      <c r="D198" s="7">
        <v>0.0</v>
      </c>
    </row>
    <row r="199">
      <c r="A199" s="5">
        <v>41503.0</v>
      </c>
      <c r="B199" s="6" t="s">
        <v>214</v>
      </c>
      <c r="C199" s="7">
        <v>0.0</v>
      </c>
      <c r="D199" s="7">
        <v>0.0</v>
      </c>
    </row>
    <row r="200">
      <c r="A200" s="5">
        <v>41601.0</v>
      </c>
      <c r="B200" s="6" t="s">
        <v>215</v>
      </c>
      <c r="C200" s="7">
        <v>0.0</v>
      </c>
      <c r="D200" s="7">
        <v>0.0</v>
      </c>
    </row>
    <row r="201">
      <c r="A201" s="5">
        <v>50101.0</v>
      </c>
      <c r="B201" s="6" t="s">
        <v>18</v>
      </c>
      <c r="C201" s="7">
        <v>3.0</v>
      </c>
      <c r="D201" s="7">
        <v>370.0</v>
      </c>
    </row>
    <row r="202">
      <c r="A202" s="5">
        <v>50102.0</v>
      </c>
      <c r="B202" s="6" t="s">
        <v>216</v>
      </c>
      <c r="C202" s="7">
        <v>0.0</v>
      </c>
      <c r="D202" s="7">
        <v>0.0</v>
      </c>
    </row>
    <row r="203">
      <c r="A203" s="5">
        <v>50103.0</v>
      </c>
      <c r="B203" s="6" t="s">
        <v>217</v>
      </c>
      <c r="C203" s="7">
        <v>8.0</v>
      </c>
      <c r="D203" s="7">
        <v>368.0</v>
      </c>
    </row>
    <row r="204">
      <c r="A204" s="5">
        <v>50104.0</v>
      </c>
      <c r="B204" s="6" t="s">
        <v>218</v>
      </c>
      <c r="C204" s="7">
        <v>0.0</v>
      </c>
      <c r="D204" s="7">
        <v>0.0</v>
      </c>
    </row>
    <row r="205">
      <c r="A205" s="5">
        <v>50201.0</v>
      </c>
      <c r="B205" s="6" t="s">
        <v>219</v>
      </c>
      <c r="C205" s="7">
        <v>0.0</v>
      </c>
      <c r="D205" s="7">
        <v>0.0</v>
      </c>
    </row>
    <row r="206">
      <c r="A206" s="5">
        <v>50202.0</v>
      </c>
      <c r="B206" s="6" t="s">
        <v>220</v>
      </c>
      <c r="C206" s="7">
        <v>0.0</v>
      </c>
      <c r="D206" s="7">
        <v>0.0</v>
      </c>
    </row>
    <row r="207">
      <c r="A207" s="5">
        <v>50203.0</v>
      </c>
      <c r="B207" s="6" t="s">
        <v>221</v>
      </c>
      <c r="C207" s="7">
        <v>0.0</v>
      </c>
      <c r="D207" s="7">
        <v>0.0</v>
      </c>
    </row>
    <row r="208">
      <c r="A208" s="5">
        <v>50204.0</v>
      </c>
      <c r="B208" s="6" t="s">
        <v>222</v>
      </c>
      <c r="C208" s="7">
        <v>0.0</v>
      </c>
      <c r="D208" s="7">
        <v>0.0</v>
      </c>
    </row>
    <row r="209">
      <c r="A209" s="5">
        <v>50301.0</v>
      </c>
      <c r="B209" s="6" t="s">
        <v>223</v>
      </c>
      <c r="C209" s="7">
        <v>54.0</v>
      </c>
      <c r="D209" s="7">
        <v>875.0</v>
      </c>
    </row>
    <row r="210">
      <c r="A210" s="5">
        <v>50302.0</v>
      </c>
      <c r="B210" s="6" t="s">
        <v>224</v>
      </c>
      <c r="C210" s="7">
        <v>0.0</v>
      </c>
      <c r="D210" s="7">
        <v>0.0</v>
      </c>
    </row>
    <row r="211">
      <c r="A211" s="5">
        <v>50303.0</v>
      </c>
      <c r="B211" s="6" t="s">
        <v>225</v>
      </c>
      <c r="C211" s="7">
        <v>0.0</v>
      </c>
      <c r="D211" s="7">
        <v>280.0</v>
      </c>
    </row>
    <row r="212">
      <c r="A212" s="5">
        <v>50401.0</v>
      </c>
      <c r="B212" s="6" t="s">
        <v>226</v>
      </c>
      <c r="C212" s="7">
        <v>0.0</v>
      </c>
      <c r="D212" s="7">
        <v>0.0</v>
      </c>
    </row>
    <row r="213">
      <c r="A213" s="5">
        <v>50402.0</v>
      </c>
      <c r="B213" s="6" t="s">
        <v>227</v>
      </c>
      <c r="C213" s="7">
        <v>1206.0</v>
      </c>
      <c r="D213" s="7">
        <v>175.0</v>
      </c>
    </row>
    <row r="214">
      <c r="A214" s="5">
        <v>50403.0</v>
      </c>
      <c r="B214" s="6" t="s">
        <v>228</v>
      </c>
      <c r="C214" s="7">
        <v>0.0</v>
      </c>
      <c r="D214" s="7">
        <v>1600.0</v>
      </c>
    </row>
    <row r="215">
      <c r="A215" s="5">
        <v>50404.0</v>
      </c>
      <c r="B215" s="6" t="s">
        <v>229</v>
      </c>
      <c r="C215" s="7">
        <v>0.0</v>
      </c>
      <c r="D215" s="7">
        <v>0.0</v>
      </c>
    </row>
    <row r="216">
      <c r="A216" s="5">
        <v>50405.0</v>
      </c>
      <c r="B216" s="6" t="s">
        <v>230</v>
      </c>
      <c r="C216" s="7">
        <v>0.0</v>
      </c>
      <c r="D216" s="7">
        <v>12.0</v>
      </c>
    </row>
    <row r="217">
      <c r="A217" s="5">
        <v>50501.0</v>
      </c>
      <c r="B217" s="6" t="s">
        <v>231</v>
      </c>
      <c r="C217" s="7">
        <v>3.0</v>
      </c>
      <c r="D217" s="7">
        <v>0.0</v>
      </c>
    </row>
    <row r="218">
      <c r="A218" s="5">
        <v>50502.0</v>
      </c>
      <c r="B218" s="6" t="s">
        <v>232</v>
      </c>
      <c r="C218" s="7">
        <v>502.0</v>
      </c>
      <c r="D218" s="7">
        <v>100.0</v>
      </c>
    </row>
    <row r="219">
      <c r="A219" s="5">
        <v>50601.0</v>
      </c>
      <c r="B219" s="6" t="s">
        <v>233</v>
      </c>
      <c r="C219" s="7">
        <v>2.0</v>
      </c>
      <c r="D219" s="7">
        <v>506.0</v>
      </c>
    </row>
    <row r="220">
      <c r="A220" s="5">
        <v>50602.0</v>
      </c>
      <c r="B220" s="6" t="s">
        <v>234</v>
      </c>
      <c r="C220" s="7">
        <v>1.0</v>
      </c>
      <c r="D220" s="7">
        <v>0.0</v>
      </c>
    </row>
    <row r="221">
      <c r="A221" s="5">
        <v>50701.0</v>
      </c>
      <c r="B221" s="6" t="s">
        <v>235</v>
      </c>
      <c r="C221" s="7">
        <v>388.0</v>
      </c>
      <c r="D221" s="7">
        <v>0.0</v>
      </c>
    </row>
    <row r="222">
      <c r="A222" s="5">
        <v>50702.0</v>
      </c>
      <c r="B222" s="6" t="s">
        <v>236</v>
      </c>
      <c r="C222" s="7">
        <v>0.0</v>
      </c>
      <c r="D222" s="7">
        <v>0.0</v>
      </c>
    </row>
    <row r="223">
      <c r="A223" s="5">
        <v>50801.0</v>
      </c>
      <c r="B223" s="6" t="s">
        <v>237</v>
      </c>
      <c r="C223" s="7">
        <v>0.0</v>
      </c>
      <c r="D223" s="7">
        <v>105.0</v>
      </c>
    </row>
    <row r="224">
      <c r="A224" s="5">
        <v>50802.0</v>
      </c>
      <c r="B224" s="6" t="s">
        <v>238</v>
      </c>
      <c r="C224" s="7">
        <v>0.0</v>
      </c>
      <c r="D224" s="7">
        <v>0.0</v>
      </c>
    </row>
    <row r="225">
      <c r="A225" s="5">
        <v>50901.0</v>
      </c>
      <c r="B225" s="6" t="s">
        <v>239</v>
      </c>
      <c r="C225" s="7">
        <v>0.0</v>
      </c>
      <c r="D225" s="7">
        <v>0.0</v>
      </c>
    </row>
    <row r="226">
      <c r="A226" s="5">
        <v>50902.0</v>
      </c>
      <c r="B226" s="6" t="s">
        <v>240</v>
      </c>
      <c r="C226" s="7">
        <v>0.0</v>
      </c>
      <c r="D226" s="7">
        <v>0.0</v>
      </c>
    </row>
    <row r="227">
      <c r="A227" s="5">
        <v>51001.0</v>
      </c>
      <c r="B227" s="6" t="s">
        <v>241</v>
      </c>
      <c r="C227" s="7">
        <v>0.0</v>
      </c>
      <c r="D227" s="7">
        <v>0.0</v>
      </c>
    </row>
    <row r="228">
      <c r="A228" s="5">
        <v>51002.0</v>
      </c>
      <c r="B228" s="6" t="s">
        <v>242</v>
      </c>
      <c r="C228" s="7">
        <v>0.0</v>
      </c>
      <c r="D228" s="7">
        <v>0.0</v>
      </c>
    </row>
    <row r="229">
      <c r="A229" s="5">
        <v>51003.0</v>
      </c>
      <c r="B229" s="6" t="s">
        <v>243</v>
      </c>
      <c r="C229" s="7">
        <v>0.0</v>
      </c>
      <c r="D229" s="7">
        <v>0.0</v>
      </c>
    </row>
    <row r="230">
      <c r="A230" s="5">
        <v>51101.0</v>
      </c>
      <c r="B230" s="6" t="s">
        <v>244</v>
      </c>
      <c r="C230" s="7">
        <v>0.0</v>
      </c>
      <c r="D230" s="7">
        <v>346.0</v>
      </c>
    </row>
    <row r="231">
      <c r="A231" s="5">
        <v>51102.0</v>
      </c>
      <c r="B231" s="6" t="s">
        <v>245</v>
      </c>
      <c r="C231" s="7">
        <v>0.0</v>
      </c>
      <c r="D231" s="7">
        <v>0.0</v>
      </c>
    </row>
    <row r="232">
      <c r="A232" s="5">
        <v>51103.0</v>
      </c>
      <c r="B232" s="6" t="s">
        <v>246</v>
      </c>
      <c r="C232" s="7">
        <v>0.0</v>
      </c>
      <c r="D232" s="7">
        <v>503.0</v>
      </c>
    </row>
    <row r="233">
      <c r="A233" s="5">
        <v>51201.0</v>
      </c>
      <c r="B233" s="6" t="s">
        <v>247</v>
      </c>
      <c r="C233" s="7">
        <v>1.0</v>
      </c>
      <c r="D233" s="7">
        <v>0.0</v>
      </c>
    </row>
    <row r="234">
      <c r="A234" s="5">
        <v>51202.0</v>
      </c>
      <c r="B234" s="6" t="s">
        <v>248</v>
      </c>
      <c r="C234" s="7">
        <v>0.0</v>
      </c>
      <c r="D234" s="7">
        <v>0.0</v>
      </c>
    </row>
    <row r="235">
      <c r="A235" s="5">
        <v>51203.0</v>
      </c>
      <c r="B235" s="6" t="s">
        <v>249</v>
      </c>
      <c r="C235" s="7">
        <v>0.0</v>
      </c>
      <c r="D235" s="7">
        <v>0.0</v>
      </c>
    </row>
    <row r="236">
      <c r="A236" s="5">
        <v>51204.0</v>
      </c>
      <c r="B236" s="6" t="s">
        <v>250</v>
      </c>
      <c r="C236" s="7">
        <v>0.0</v>
      </c>
      <c r="D236" s="7">
        <v>0.0</v>
      </c>
    </row>
    <row r="237">
      <c r="A237" s="5">
        <v>51301.0</v>
      </c>
      <c r="B237" s="6" t="s">
        <v>251</v>
      </c>
      <c r="C237" s="7">
        <v>0.0</v>
      </c>
      <c r="D237" s="7">
        <v>0.0</v>
      </c>
    </row>
    <row r="238">
      <c r="A238" s="5">
        <v>51302.0</v>
      </c>
      <c r="B238" s="6" t="s">
        <v>252</v>
      </c>
      <c r="C238" s="7">
        <v>496.0</v>
      </c>
      <c r="D238" s="7">
        <v>0.0</v>
      </c>
    </row>
    <row r="239">
      <c r="A239" s="5">
        <v>51401.0</v>
      </c>
      <c r="B239" s="6" t="s">
        <v>253</v>
      </c>
      <c r="C239" s="7">
        <v>0.0</v>
      </c>
      <c r="D239" s="7">
        <v>0.0</v>
      </c>
    </row>
    <row r="240">
      <c r="A240" s="5">
        <v>51402.0</v>
      </c>
      <c r="B240" s="6" t="s">
        <v>254</v>
      </c>
      <c r="C240" s="7">
        <v>0.0</v>
      </c>
      <c r="D240" s="7">
        <v>0.0</v>
      </c>
    </row>
    <row r="241">
      <c r="A241" s="5">
        <v>51501.0</v>
      </c>
      <c r="B241" s="6" t="s">
        <v>255</v>
      </c>
      <c r="C241" s="7">
        <v>139.0</v>
      </c>
      <c r="D241" s="7">
        <v>87.0</v>
      </c>
    </row>
    <row r="242">
      <c r="A242" s="5">
        <v>51601.0</v>
      </c>
      <c r="B242" s="6" t="s">
        <v>256</v>
      </c>
      <c r="C242" s="7">
        <v>0.0</v>
      </c>
      <c r="D242" s="7">
        <v>0.0</v>
      </c>
    </row>
    <row r="243">
      <c r="A243" s="5">
        <v>60101.0</v>
      </c>
      <c r="B243" s="6" t="s">
        <v>20</v>
      </c>
      <c r="C243" s="7">
        <v>299.0</v>
      </c>
      <c r="D243" s="7">
        <v>825.0</v>
      </c>
    </row>
    <row r="244">
      <c r="A244" s="5">
        <v>60201.0</v>
      </c>
      <c r="B244" s="6" t="s">
        <v>257</v>
      </c>
      <c r="C244" s="7">
        <v>893.0</v>
      </c>
      <c r="D244" s="7">
        <v>457.0</v>
      </c>
    </row>
    <row r="245">
      <c r="A245" s="5">
        <v>60202.0</v>
      </c>
      <c r="B245" s="6" t="s">
        <v>258</v>
      </c>
      <c r="C245" s="7">
        <v>22.0</v>
      </c>
      <c r="D245" s="7">
        <v>32.0</v>
      </c>
    </row>
    <row r="246">
      <c r="A246" s="5">
        <v>60301.0</v>
      </c>
      <c r="B246" s="6" t="s">
        <v>259</v>
      </c>
      <c r="C246" s="7">
        <v>411.0</v>
      </c>
      <c r="D246" s="7">
        <v>106.0</v>
      </c>
    </row>
    <row r="247">
      <c r="A247" s="5">
        <v>60302.0</v>
      </c>
      <c r="B247" s="6" t="s">
        <v>260</v>
      </c>
      <c r="C247" s="7">
        <v>247.0</v>
      </c>
      <c r="D247" s="7">
        <v>28.0</v>
      </c>
    </row>
    <row r="248">
      <c r="A248" s="5">
        <v>60303.0</v>
      </c>
      <c r="B248" s="6" t="s">
        <v>261</v>
      </c>
      <c r="C248" s="7">
        <v>81.0</v>
      </c>
      <c r="D248" s="7">
        <v>27.0</v>
      </c>
    </row>
    <row r="249">
      <c r="A249" s="5">
        <v>60401.0</v>
      </c>
      <c r="B249" s="6" t="s">
        <v>262</v>
      </c>
      <c r="C249" s="7">
        <v>717.0</v>
      </c>
      <c r="D249" s="7">
        <v>222.0</v>
      </c>
    </row>
    <row r="250">
      <c r="A250" s="5">
        <v>60402.0</v>
      </c>
      <c r="B250" s="6" t="s">
        <v>263</v>
      </c>
      <c r="C250" s="7">
        <v>5616.0</v>
      </c>
      <c r="D250" s="7">
        <v>1.0</v>
      </c>
    </row>
    <row r="251">
      <c r="A251" s="5">
        <v>60501.0</v>
      </c>
      <c r="B251" s="6" t="s">
        <v>264</v>
      </c>
      <c r="C251" s="7">
        <v>4406.0</v>
      </c>
      <c r="D251" s="7">
        <v>1470.0</v>
      </c>
    </row>
    <row r="252">
      <c r="A252" s="5">
        <v>60502.0</v>
      </c>
      <c r="B252" s="6" t="s">
        <v>265</v>
      </c>
      <c r="C252" s="7">
        <v>9656.0</v>
      </c>
      <c r="D252" s="7">
        <v>256.0</v>
      </c>
    </row>
    <row r="253">
      <c r="A253" s="5">
        <v>60601.0</v>
      </c>
      <c r="B253" s="6" t="s">
        <v>170</v>
      </c>
      <c r="C253" s="7">
        <v>1481.0</v>
      </c>
      <c r="D253" s="7">
        <v>162.0</v>
      </c>
    </row>
    <row r="254">
      <c r="A254" s="5">
        <v>70101.0</v>
      </c>
      <c r="B254" s="6" t="s">
        <v>266</v>
      </c>
      <c r="C254" s="7">
        <v>344.0</v>
      </c>
      <c r="D254" s="7">
        <v>98.0</v>
      </c>
    </row>
    <row r="255">
      <c r="A255" s="5">
        <v>70102.0</v>
      </c>
      <c r="B255" s="6" t="s">
        <v>267</v>
      </c>
      <c r="C255" s="7">
        <v>67.0</v>
      </c>
      <c r="D255" s="7">
        <v>15.0</v>
      </c>
    </row>
    <row r="256">
      <c r="A256" s="5">
        <v>70103.0</v>
      </c>
      <c r="B256" s="6" t="s">
        <v>268</v>
      </c>
      <c r="C256" s="7">
        <v>271.0</v>
      </c>
      <c r="D256" s="7">
        <v>96.0</v>
      </c>
    </row>
    <row r="257">
      <c r="A257" s="5">
        <v>70104.0</v>
      </c>
      <c r="B257" s="6" t="s">
        <v>269</v>
      </c>
      <c r="C257" s="7">
        <v>329.0</v>
      </c>
      <c r="D257" s="7">
        <v>383.0</v>
      </c>
    </row>
    <row r="258">
      <c r="A258" s="5">
        <v>70105.0</v>
      </c>
      <c r="B258" s="6" t="s">
        <v>270</v>
      </c>
      <c r="C258" s="7">
        <v>1189.0</v>
      </c>
      <c r="D258" s="7">
        <v>51.0</v>
      </c>
    </row>
    <row r="259">
      <c r="A259" s="5">
        <v>70201.0</v>
      </c>
      <c r="B259" s="6" t="s">
        <v>271</v>
      </c>
      <c r="C259" s="7">
        <v>222.0</v>
      </c>
      <c r="D259" s="7">
        <v>25.0</v>
      </c>
    </row>
    <row r="260">
      <c r="A260" s="5">
        <v>70202.0</v>
      </c>
      <c r="B260" s="6" t="s">
        <v>272</v>
      </c>
      <c r="C260" s="7">
        <v>228.0</v>
      </c>
      <c r="D260" s="7">
        <v>98.0</v>
      </c>
    </row>
    <row r="261">
      <c r="A261" s="5">
        <v>70301.0</v>
      </c>
      <c r="B261" s="6" t="s">
        <v>273</v>
      </c>
      <c r="C261" s="7">
        <v>86.0</v>
      </c>
      <c r="D261" s="7">
        <v>7.0</v>
      </c>
    </row>
    <row r="262">
      <c r="A262" s="5">
        <v>70302.0</v>
      </c>
      <c r="B262" s="6" t="s">
        <v>274</v>
      </c>
      <c r="C262" s="7">
        <v>38.0</v>
      </c>
      <c r="D262" s="7">
        <v>14.0</v>
      </c>
    </row>
    <row r="263">
      <c r="A263" s="5">
        <v>70303.0</v>
      </c>
      <c r="B263" s="6" t="s">
        <v>275</v>
      </c>
      <c r="C263" s="7">
        <v>17.0</v>
      </c>
      <c r="D263" s="7">
        <v>4.0</v>
      </c>
    </row>
    <row r="264">
      <c r="A264" s="5">
        <v>70401.0</v>
      </c>
      <c r="B264" s="6" t="s">
        <v>276</v>
      </c>
      <c r="C264" s="7">
        <v>534.0</v>
      </c>
      <c r="D264" s="7">
        <v>18.0</v>
      </c>
    </row>
    <row r="265">
      <c r="A265" s="5">
        <v>70402.0</v>
      </c>
      <c r="B265" s="6" t="s">
        <v>277</v>
      </c>
      <c r="C265" s="7">
        <v>485.0</v>
      </c>
      <c r="D265" s="7">
        <v>14.0</v>
      </c>
    </row>
    <row r="266">
      <c r="A266" s="5">
        <v>70403.0</v>
      </c>
      <c r="B266" s="6" t="s">
        <v>278</v>
      </c>
      <c r="C266" s="7">
        <v>792.0</v>
      </c>
      <c r="D266" s="7">
        <v>237.0</v>
      </c>
    </row>
    <row r="267">
      <c r="A267" s="5">
        <v>70404.0</v>
      </c>
      <c r="B267" s="6" t="s">
        <v>279</v>
      </c>
      <c r="C267" s="7">
        <v>218.0</v>
      </c>
      <c r="D267" s="7">
        <v>19.0</v>
      </c>
    </row>
    <row r="268">
      <c r="A268" s="5">
        <v>70501.0</v>
      </c>
      <c r="B268" s="6" t="s">
        <v>280</v>
      </c>
      <c r="C268" s="7">
        <v>278.0</v>
      </c>
      <c r="D268" s="7">
        <v>9.0</v>
      </c>
    </row>
    <row r="269">
      <c r="A269" s="5">
        <v>70502.0</v>
      </c>
      <c r="B269" s="6" t="s">
        <v>281</v>
      </c>
      <c r="C269" s="7">
        <v>77.0</v>
      </c>
      <c r="D269" s="7">
        <v>27.0</v>
      </c>
    </row>
    <row r="270">
      <c r="A270" s="5">
        <v>70503.0</v>
      </c>
      <c r="B270" s="6" t="s">
        <v>282</v>
      </c>
      <c r="C270" s="7">
        <v>74.0</v>
      </c>
      <c r="D270" s="7">
        <v>7.0</v>
      </c>
    </row>
    <row r="271">
      <c r="A271" s="5">
        <v>70601.0</v>
      </c>
      <c r="B271" s="6" t="s">
        <v>283</v>
      </c>
      <c r="C271" s="7">
        <v>20.0</v>
      </c>
      <c r="D271" s="7">
        <v>61.0</v>
      </c>
    </row>
    <row r="272">
      <c r="A272" s="5">
        <v>70602.0</v>
      </c>
      <c r="B272" s="6" t="s">
        <v>284</v>
      </c>
      <c r="C272" s="7">
        <v>0.0</v>
      </c>
      <c r="D272" s="7">
        <v>43.0</v>
      </c>
    </row>
    <row r="273">
      <c r="A273" s="5">
        <v>70603.0</v>
      </c>
      <c r="B273" s="6" t="s">
        <v>285</v>
      </c>
      <c r="C273" s="7">
        <v>10.0</v>
      </c>
      <c r="D273" s="7">
        <v>30.0</v>
      </c>
    </row>
    <row r="274">
      <c r="A274" s="5">
        <v>70701.0</v>
      </c>
      <c r="B274" s="6" t="s">
        <v>286</v>
      </c>
      <c r="C274" s="7">
        <v>155.0</v>
      </c>
      <c r="D274" s="7">
        <v>1.0</v>
      </c>
    </row>
    <row r="275">
      <c r="A275" s="5">
        <v>70702.0</v>
      </c>
      <c r="B275" s="6" t="s">
        <v>287</v>
      </c>
      <c r="C275" s="7">
        <v>71.0</v>
      </c>
      <c r="D275" s="7">
        <v>14.0</v>
      </c>
    </row>
    <row r="276">
      <c r="A276" s="5">
        <v>70703.0</v>
      </c>
      <c r="B276" s="6" t="s">
        <v>288</v>
      </c>
      <c r="C276" s="7">
        <v>229.0</v>
      </c>
      <c r="D276" s="7">
        <v>27.0</v>
      </c>
    </row>
    <row r="277">
      <c r="A277" s="5">
        <v>70704.0</v>
      </c>
      <c r="B277" s="6" t="s">
        <v>289</v>
      </c>
      <c r="C277" s="7">
        <v>35.0</v>
      </c>
      <c r="D277" s="7">
        <v>1.0</v>
      </c>
    </row>
    <row r="278">
      <c r="A278" s="5">
        <v>70705.0</v>
      </c>
      <c r="B278" s="6" t="s">
        <v>290</v>
      </c>
      <c r="C278" s="7">
        <v>65.0</v>
      </c>
      <c r="D278" s="7">
        <v>5.0</v>
      </c>
    </row>
    <row r="279">
      <c r="A279" s="5">
        <v>70706.0</v>
      </c>
      <c r="B279" s="6" t="s">
        <v>291</v>
      </c>
      <c r="C279" s="7">
        <v>37.0</v>
      </c>
      <c r="D279" s="7">
        <v>2.0</v>
      </c>
    </row>
    <row r="280">
      <c r="A280" s="5">
        <v>70707.0</v>
      </c>
      <c r="B280" s="6" t="s">
        <v>292</v>
      </c>
      <c r="C280" s="7">
        <v>11.0</v>
      </c>
      <c r="D280" s="7">
        <v>0.0</v>
      </c>
    </row>
    <row r="281">
      <c r="A281" s="5">
        <v>70801.0</v>
      </c>
      <c r="B281" s="6" t="s">
        <v>293</v>
      </c>
      <c r="C281" s="7">
        <v>1044.0</v>
      </c>
      <c r="D281" s="7">
        <v>20.0</v>
      </c>
    </row>
    <row r="282">
      <c r="A282" s="5">
        <v>70802.0</v>
      </c>
      <c r="B282" s="6" t="s">
        <v>294</v>
      </c>
      <c r="C282" s="7">
        <v>480.0</v>
      </c>
      <c r="D282" s="7">
        <v>1.0</v>
      </c>
    </row>
    <row r="283">
      <c r="A283" s="5">
        <v>70803.0</v>
      </c>
      <c r="B283" s="6" t="s">
        <v>295</v>
      </c>
      <c r="C283" s="7">
        <v>1061.0</v>
      </c>
      <c r="D283" s="7">
        <v>4.0</v>
      </c>
    </row>
    <row r="284">
      <c r="A284" s="5">
        <v>70804.0</v>
      </c>
      <c r="B284" s="6" t="s">
        <v>296</v>
      </c>
      <c r="C284" s="7">
        <v>8.0</v>
      </c>
      <c r="D284" s="7">
        <v>0.0</v>
      </c>
    </row>
    <row r="285">
      <c r="A285" s="5">
        <v>70805.0</v>
      </c>
      <c r="B285" s="6" t="s">
        <v>297</v>
      </c>
      <c r="C285" s="7">
        <v>0.0</v>
      </c>
      <c r="D285" s="7">
        <v>0.0</v>
      </c>
    </row>
    <row r="286">
      <c r="A286" s="5">
        <v>70901.0</v>
      </c>
      <c r="B286" s="6" t="s">
        <v>298</v>
      </c>
      <c r="C286" s="7">
        <v>3481.0</v>
      </c>
      <c r="D286" s="7">
        <v>2.0</v>
      </c>
    </row>
    <row r="287">
      <c r="A287" s="5">
        <v>70902.0</v>
      </c>
      <c r="B287" s="6" t="s">
        <v>299</v>
      </c>
      <c r="C287" s="7">
        <v>1551.0</v>
      </c>
      <c r="D287" s="7">
        <v>4.0</v>
      </c>
    </row>
    <row r="288">
      <c r="A288" s="5">
        <v>70903.0</v>
      </c>
      <c r="B288" s="6" t="s">
        <v>300</v>
      </c>
      <c r="C288" s="7">
        <v>2027.0</v>
      </c>
      <c r="D288" s="7">
        <v>43.0</v>
      </c>
    </row>
    <row r="289">
      <c r="A289" s="5">
        <v>70904.0</v>
      </c>
      <c r="B289" s="6" t="s">
        <v>301</v>
      </c>
      <c r="C289" s="7">
        <v>698.0</v>
      </c>
      <c r="D289" s="7">
        <v>5.0</v>
      </c>
    </row>
    <row r="290">
      <c r="A290" s="5">
        <v>71001.0</v>
      </c>
      <c r="B290" s="6" t="s">
        <v>302</v>
      </c>
      <c r="C290" s="7">
        <v>25.0</v>
      </c>
      <c r="D290" s="7">
        <v>73.0</v>
      </c>
    </row>
    <row r="291">
      <c r="A291" s="5">
        <v>71002.0</v>
      </c>
      <c r="B291" s="6" t="s">
        <v>303</v>
      </c>
      <c r="C291" s="7">
        <v>63.0</v>
      </c>
      <c r="D291" s="7">
        <v>36.0</v>
      </c>
    </row>
    <row r="292">
      <c r="A292" s="5">
        <v>71003.0</v>
      </c>
      <c r="B292" s="6" t="s">
        <v>304</v>
      </c>
      <c r="C292" s="7">
        <v>66.0</v>
      </c>
      <c r="D292" s="7">
        <v>41.0</v>
      </c>
    </row>
    <row r="293">
      <c r="A293" s="5">
        <v>71004.0</v>
      </c>
      <c r="B293" s="6" t="s">
        <v>305</v>
      </c>
      <c r="C293" s="7">
        <v>200.0</v>
      </c>
      <c r="D293" s="7">
        <v>11.0</v>
      </c>
    </row>
    <row r="294">
      <c r="A294" s="5">
        <v>71005.0</v>
      </c>
      <c r="B294" s="6" t="s">
        <v>231</v>
      </c>
      <c r="C294" s="7">
        <v>406.0</v>
      </c>
      <c r="D294" s="7">
        <v>20.0</v>
      </c>
    </row>
    <row r="295">
      <c r="A295" s="5">
        <v>71101.0</v>
      </c>
      <c r="B295" s="6" t="s">
        <v>306</v>
      </c>
      <c r="C295" s="7">
        <v>80.0</v>
      </c>
      <c r="D295" s="7">
        <v>14.0</v>
      </c>
    </row>
    <row r="296">
      <c r="A296" s="5">
        <v>71102.0</v>
      </c>
      <c r="B296" s="6" t="s">
        <v>307</v>
      </c>
      <c r="C296" s="7">
        <v>40.0</v>
      </c>
      <c r="D296" s="7">
        <v>7.0</v>
      </c>
    </row>
    <row r="297">
      <c r="A297" s="5">
        <v>71103.0</v>
      </c>
      <c r="B297" s="6" t="s">
        <v>308</v>
      </c>
      <c r="C297" s="7">
        <v>11.0</v>
      </c>
      <c r="D297" s="7">
        <v>0.0</v>
      </c>
    </row>
    <row r="298">
      <c r="A298" s="5">
        <v>71104.0</v>
      </c>
      <c r="B298" s="6" t="s">
        <v>309</v>
      </c>
      <c r="C298" s="7">
        <v>210.0</v>
      </c>
      <c r="D298" s="7">
        <v>38.0</v>
      </c>
    </row>
    <row r="299">
      <c r="A299" s="5">
        <v>71105.0</v>
      </c>
      <c r="B299" s="6" t="s">
        <v>310</v>
      </c>
      <c r="C299" s="7">
        <v>0.0</v>
      </c>
      <c r="D299" s="7">
        <v>0.0</v>
      </c>
    </row>
    <row r="300">
      <c r="A300" s="5">
        <v>71106.0</v>
      </c>
      <c r="B300" s="6" t="s">
        <v>311</v>
      </c>
      <c r="C300" s="7">
        <v>79.0</v>
      </c>
      <c r="D300" s="7">
        <v>6.0</v>
      </c>
    </row>
    <row r="301">
      <c r="A301" s="5">
        <v>71201.0</v>
      </c>
      <c r="B301" s="6" t="s">
        <v>312</v>
      </c>
      <c r="C301" s="7">
        <v>20.0</v>
      </c>
      <c r="D301" s="7">
        <v>10.0</v>
      </c>
    </row>
    <row r="302">
      <c r="A302" s="5">
        <v>71301.0</v>
      </c>
      <c r="B302" s="6" t="s">
        <v>313</v>
      </c>
      <c r="C302" s="7">
        <v>3316.0</v>
      </c>
      <c r="D302" s="7">
        <v>8.0</v>
      </c>
    </row>
    <row r="303">
      <c r="A303" s="5">
        <v>71302.0</v>
      </c>
      <c r="B303" s="6" t="s">
        <v>314</v>
      </c>
      <c r="C303" s="7">
        <v>160.0</v>
      </c>
      <c r="D303" s="7">
        <v>0.0</v>
      </c>
    </row>
    <row r="304">
      <c r="A304" s="5">
        <v>71401.0</v>
      </c>
      <c r="B304" s="6" t="s">
        <v>315</v>
      </c>
      <c r="C304" s="7">
        <v>6.0</v>
      </c>
      <c r="D304" s="7">
        <v>1.0</v>
      </c>
    </row>
    <row r="305">
      <c r="A305" s="5">
        <v>71402.0</v>
      </c>
      <c r="B305" s="6" t="s">
        <v>316</v>
      </c>
      <c r="C305" s="7">
        <v>1.0</v>
      </c>
      <c r="D305" s="7">
        <v>1.0</v>
      </c>
    </row>
    <row r="306">
      <c r="A306" s="5">
        <v>71403.0</v>
      </c>
      <c r="B306" s="6" t="s">
        <v>317</v>
      </c>
      <c r="C306" s="7">
        <v>5.0</v>
      </c>
      <c r="D306" s="7">
        <v>8.0</v>
      </c>
    </row>
    <row r="307">
      <c r="A307" s="5">
        <v>71501.0</v>
      </c>
      <c r="B307" s="6" t="s">
        <v>318</v>
      </c>
      <c r="C307" s="7">
        <v>100.0</v>
      </c>
      <c r="D307" s="7">
        <v>5.0</v>
      </c>
    </row>
    <row r="308">
      <c r="A308" s="5">
        <v>71502.0</v>
      </c>
      <c r="B308" s="6" t="s">
        <v>319</v>
      </c>
      <c r="C308" s="7">
        <v>10.0</v>
      </c>
      <c r="D308" s="7">
        <v>12.0</v>
      </c>
    </row>
    <row r="309">
      <c r="A309" s="5">
        <v>71503.0</v>
      </c>
      <c r="B309" s="6" t="s">
        <v>265</v>
      </c>
      <c r="C309" s="7">
        <v>334.0</v>
      </c>
      <c r="D309" s="7">
        <v>113.0</v>
      </c>
    </row>
    <row r="310">
      <c r="A310" s="5">
        <v>80101.0</v>
      </c>
      <c r="B310" s="6" t="s">
        <v>320</v>
      </c>
      <c r="C310" s="7">
        <v>0.0</v>
      </c>
      <c r="D310" s="7">
        <v>42.0</v>
      </c>
    </row>
    <row r="311">
      <c r="A311" s="5">
        <v>80102.0</v>
      </c>
      <c r="B311" s="6" t="s">
        <v>307</v>
      </c>
      <c r="C311" s="7">
        <v>10.0</v>
      </c>
      <c r="D311" s="7">
        <v>11.0</v>
      </c>
    </row>
    <row r="312">
      <c r="A312" s="5">
        <v>80201.0</v>
      </c>
      <c r="B312" s="6" t="s">
        <v>321</v>
      </c>
      <c r="C312" s="7">
        <v>27.0</v>
      </c>
      <c r="D312" s="7">
        <v>18.0</v>
      </c>
    </row>
    <row r="313">
      <c r="A313" s="5">
        <v>80202.0</v>
      </c>
      <c r="B313" s="6" t="s">
        <v>322</v>
      </c>
      <c r="C313" s="7">
        <v>26.0</v>
      </c>
      <c r="D313" s="7">
        <v>9.0</v>
      </c>
    </row>
    <row r="314">
      <c r="A314" s="5">
        <v>80301.0</v>
      </c>
      <c r="B314" s="6" t="s">
        <v>323</v>
      </c>
      <c r="C314" s="7">
        <v>20.0</v>
      </c>
      <c r="D314" s="7">
        <v>21.0</v>
      </c>
    </row>
    <row r="315">
      <c r="A315" s="5">
        <v>80302.0</v>
      </c>
      <c r="B315" s="6" t="s">
        <v>324</v>
      </c>
      <c r="C315" s="7">
        <v>706.0</v>
      </c>
      <c r="D315" s="7">
        <v>35.0</v>
      </c>
    </row>
    <row r="316">
      <c r="A316" s="5">
        <v>80303.0</v>
      </c>
      <c r="B316" s="6" t="s">
        <v>284</v>
      </c>
      <c r="C316" s="7">
        <v>517.0</v>
      </c>
      <c r="D316" s="7">
        <v>12.0</v>
      </c>
    </row>
    <row r="317">
      <c r="A317" s="5">
        <v>80304.0</v>
      </c>
      <c r="B317" s="6" t="s">
        <v>325</v>
      </c>
      <c r="C317" s="7">
        <v>259.0</v>
      </c>
      <c r="D317" s="7">
        <v>4.0</v>
      </c>
    </row>
    <row r="318">
      <c r="A318" s="5">
        <v>80401.0</v>
      </c>
      <c r="B318" s="6" t="s">
        <v>326</v>
      </c>
      <c r="C318" s="7">
        <v>11.0</v>
      </c>
      <c r="D318" s="7">
        <v>38.0</v>
      </c>
    </row>
    <row r="319">
      <c r="A319" s="5">
        <v>80402.0</v>
      </c>
      <c r="B319" s="6" t="s">
        <v>327</v>
      </c>
      <c r="C319" s="7">
        <v>20.0</v>
      </c>
      <c r="D319" s="7">
        <v>22.0</v>
      </c>
    </row>
    <row r="320">
      <c r="A320" s="5">
        <v>80501.0</v>
      </c>
      <c r="B320" s="6" t="s">
        <v>273</v>
      </c>
      <c r="C320" s="7">
        <v>52.0</v>
      </c>
      <c r="D320" s="7">
        <v>33.0</v>
      </c>
    </row>
    <row r="321">
      <c r="A321" s="5">
        <v>80601.0</v>
      </c>
      <c r="B321" s="6" t="s">
        <v>328</v>
      </c>
      <c r="C321" s="7">
        <v>2.0</v>
      </c>
      <c r="D321" s="7">
        <v>6.0</v>
      </c>
    </row>
    <row r="322">
      <c r="A322" s="5">
        <v>80602.0</v>
      </c>
      <c r="B322" s="6" t="s">
        <v>329</v>
      </c>
      <c r="C322" s="7">
        <v>186.0</v>
      </c>
      <c r="D322" s="7">
        <v>43.0</v>
      </c>
    </row>
    <row r="323">
      <c r="A323" s="5">
        <v>80701.0</v>
      </c>
      <c r="B323" s="6" t="s">
        <v>330</v>
      </c>
      <c r="C323" s="7">
        <v>3.0</v>
      </c>
      <c r="D323" s="7">
        <v>29.0</v>
      </c>
    </row>
    <row r="324">
      <c r="A324" s="5">
        <v>80702.0</v>
      </c>
      <c r="B324" s="6" t="s">
        <v>308</v>
      </c>
      <c r="C324" s="7">
        <v>0.0</v>
      </c>
      <c r="D324" s="7">
        <v>9.0</v>
      </c>
    </row>
    <row r="325">
      <c r="A325" s="5">
        <v>80703.0</v>
      </c>
      <c r="B325" s="6" t="s">
        <v>331</v>
      </c>
      <c r="C325" s="7">
        <v>2.0</v>
      </c>
      <c r="D325" s="7">
        <v>1.0</v>
      </c>
    </row>
    <row r="326">
      <c r="A326" s="5">
        <v>80801.0</v>
      </c>
      <c r="B326" s="6" t="s">
        <v>332</v>
      </c>
      <c r="C326" s="7">
        <v>32.0</v>
      </c>
      <c r="D326" s="7">
        <v>25.0</v>
      </c>
    </row>
    <row r="327">
      <c r="A327" s="5">
        <v>80802.0</v>
      </c>
      <c r="B327" s="6" t="s">
        <v>333</v>
      </c>
      <c r="C327" s="7">
        <v>1.0</v>
      </c>
      <c r="D327" s="7">
        <v>10.0</v>
      </c>
    </row>
    <row r="328">
      <c r="A328" s="5">
        <v>80803.0</v>
      </c>
      <c r="B328" s="6" t="s">
        <v>334</v>
      </c>
      <c r="C328" s="7">
        <v>1.0</v>
      </c>
      <c r="D328" s="7">
        <v>15.0</v>
      </c>
    </row>
    <row r="329">
      <c r="A329" s="5">
        <v>80901.0</v>
      </c>
      <c r="B329" s="6" t="s">
        <v>335</v>
      </c>
      <c r="C329" s="7">
        <v>0.0</v>
      </c>
      <c r="D329" s="7">
        <v>0.0</v>
      </c>
    </row>
    <row r="330">
      <c r="A330" s="5">
        <v>90101.0</v>
      </c>
      <c r="B330" s="6" t="s">
        <v>336</v>
      </c>
      <c r="C330" s="7">
        <v>187.0</v>
      </c>
      <c r="D330" s="7">
        <v>0.0</v>
      </c>
    </row>
    <row r="331">
      <c r="A331" s="5">
        <v>90102.0</v>
      </c>
      <c r="B331" s="6" t="s">
        <v>337</v>
      </c>
      <c r="C331" s="7">
        <v>96.0</v>
      </c>
      <c r="D331" s="7">
        <v>0.0</v>
      </c>
    </row>
    <row r="332">
      <c r="A332" s="5">
        <v>90103.0</v>
      </c>
      <c r="B332" s="6" t="s">
        <v>338</v>
      </c>
      <c r="C332" s="7">
        <v>4.0</v>
      </c>
      <c r="D332" s="7">
        <v>0.0</v>
      </c>
    </row>
    <row r="333">
      <c r="A333" s="5">
        <v>90104.0</v>
      </c>
      <c r="B333" s="6" t="s">
        <v>339</v>
      </c>
      <c r="C333" s="7">
        <v>2.0</v>
      </c>
      <c r="D333" s="7">
        <v>0.0</v>
      </c>
    </row>
    <row r="334">
      <c r="A334" s="5">
        <v>90201.0</v>
      </c>
      <c r="B334" s="6" t="s">
        <v>340</v>
      </c>
      <c r="C334" s="7">
        <v>4.0</v>
      </c>
      <c r="D334" s="7">
        <v>2.0</v>
      </c>
    </row>
    <row r="335">
      <c r="A335" s="5">
        <v>90202.0</v>
      </c>
      <c r="B335" s="6" t="s">
        <v>231</v>
      </c>
      <c r="C335" s="7">
        <v>3.0</v>
      </c>
      <c r="D335" s="7">
        <v>0.0</v>
      </c>
    </row>
    <row r="336">
      <c r="A336" s="5">
        <v>90203.0</v>
      </c>
      <c r="B336" s="6" t="s">
        <v>341</v>
      </c>
      <c r="C336" s="7">
        <v>12.0</v>
      </c>
      <c r="D336" s="7">
        <v>0.0</v>
      </c>
    </row>
    <row r="337">
      <c r="A337" s="5">
        <v>90301.0</v>
      </c>
      <c r="B337" s="6" t="s">
        <v>342</v>
      </c>
      <c r="C337" s="7">
        <v>4.0</v>
      </c>
      <c r="D337" s="7">
        <v>0.0</v>
      </c>
    </row>
    <row r="338">
      <c r="A338" s="5">
        <v>90302.0</v>
      </c>
      <c r="B338" s="6" t="s">
        <v>264</v>
      </c>
      <c r="C338" s="7">
        <v>0.0</v>
      </c>
      <c r="D338" s="7">
        <v>0.0</v>
      </c>
    </row>
    <row r="339">
      <c r="A339" s="5">
        <v>90303.0</v>
      </c>
      <c r="B339" s="6" t="s">
        <v>343</v>
      </c>
      <c r="C339" s="7">
        <v>12.0</v>
      </c>
      <c r="D339" s="7">
        <v>0.0</v>
      </c>
    </row>
    <row r="340">
      <c r="A340" s="5">
        <v>90401.0</v>
      </c>
      <c r="B340" s="6" t="s">
        <v>284</v>
      </c>
      <c r="C340" s="7">
        <v>1.0</v>
      </c>
      <c r="D340" s="7">
        <v>0.0</v>
      </c>
    </row>
    <row r="341">
      <c r="A341" s="5">
        <v>90402.0</v>
      </c>
      <c r="B341" s="6" t="s">
        <v>344</v>
      </c>
      <c r="C341" s="7">
        <v>2.0</v>
      </c>
      <c r="D341" s="7">
        <v>0.0</v>
      </c>
    </row>
    <row r="342">
      <c r="A342" s="5">
        <v>90501.0</v>
      </c>
      <c r="B342" s="6" t="s">
        <v>345</v>
      </c>
      <c r="C342" s="7">
        <v>0.0</v>
      </c>
      <c r="D342" s="7">
        <v>0.0</v>
      </c>
    </row>
    <row r="343">
      <c r="A343" s="5">
        <v>90502.0</v>
      </c>
      <c r="B343" s="6" t="s">
        <v>346</v>
      </c>
      <c r="C343" s="7">
        <v>0.0</v>
      </c>
      <c r="D343" s="7">
        <v>0.0</v>
      </c>
    </row>
    <row r="344">
      <c r="A344" s="5">
        <v>90503.0</v>
      </c>
      <c r="B344" s="6" t="s">
        <v>347</v>
      </c>
      <c r="C344" s="7">
        <v>4.0</v>
      </c>
      <c r="D344" s="7">
        <v>0.0</v>
      </c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</v>
      </c>
      <c r="C1" s="2" t="s">
        <v>4</v>
      </c>
      <c r="D1" s="2" t="s">
        <v>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>
        <v>1.0</v>
      </c>
      <c r="B2" s="9" t="s">
        <v>10</v>
      </c>
      <c r="C2" s="11">
        <v>0.4456581218167277</v>
      </c>
      <c r="D2" s="11">
        <v>0.4665744582757031</v>
      </c>
    </row>
    <row r="3">
      <c r="A3" s="9">
        <v>2.0</v>
      </c>
      <c r="B3" s="9" t="s">
        <v>12</v>
      </c>
      <c r="C3" s="11">
        <v>0.4684322079256674</v>
      </c>
      <c r="D3" s="11">
        <v>0.463848650159085</v>
      </c>
    </row>
    <row r="4">
      <c r="A4" s="9">
        <v>3.0</v>
      </c>
      <c r="B4" s="9" t="s">
        <v>14</v>
      </c>
      <c r="C4" s="11">
        <v>0.46548693708298494</v>
      </c>
      <c r="D4" s="11">
        <v>0.47801562624571475</v>
      </c>
    </row>
    <row r="5">
      <c r="A5" s="9">
        <v>4.0</v>
      </c>
      <c r="B5" s="9" t="s">
        <v>16</v>
      </c>
      <c r="C5" s="11">
        <v>0.42507534659433394</v>
      </c>
      <c r="D5" s="11">
        <v>0.40896739130434784</v>
      </c>
    </row>
    <row r="6">
      <c r="A6" s="9">
        <v>5.0</v>
      </c>
      <c r="B6" s="9" t="s">
        <v>18</v>
      </c>
      <c r="C6" s="11">
        <v>0.4200509515959838</v>
      </c>
      <c r="D6" s="11">
        <v>0.40380533656761675</v>
      </c>
    </row>
    <row r="7">
      <c r="A7" s="9">
        <v>6.0</v>
      </c>
      <c r="B7" s="9" t="s">
        <v>20</v>
      </c>
      <c r="C7" s="11">
        <v>0.48445727529631816</v>
      </c>
      <c r="D7" s="11">
        <v>0.49537228899019203</v>
      </c>
    </row>
    <row r="8">
      <c r="A8" s="9">
        <v>7.0</v>
      </c>
      <c r="B8" s="9" t="s">
        <v>22</v>
      </c>
      <c r="C8" s="11">
        <v>0.41625750136388434</v>
      </c>
      <c r="D8" s="11">
        <v>0.39163747810858146</v>
      </c>
    </row>
    <row r="9">
      <c r="A9" s="9">
        <v>8.0</v>
      </c>
      <c r="B9" s="9" t="s">
        <v>24</v>
      </c>
      <c r="C9" s="11">
        <v>0.3487074576901618</v>
      </c>
      <c r="D9" s="11">
        <v>0.4227373068432671</v>
      </c>
    </row>
    <row r="10">
      <c r="A10" s="9">
        <v>9.0</v>
      </c>
      <c r="B10" s="9" t="s">
        <v>26</v>
      </c>
      <c r="C10" s="11">
        <v>0.425997425997426</v>
      </c>
      <c r="D10" s="11">
        <v>0.2857142857142857</v>
      </c>
    </row>
    <row r="11">
      <c r="A11" s="9">
        <v>10.0</v>
      </c>
      <c r="B11" s="9" t="s">
        <v>28</v>
      </c>
      <c r="C11" s="11">
        <v>0.41400560224089633</v>
      </c>
      <c r="D11" s="11">
        <v>0.4447513812154696</v>
      </c>
    </row>
    <row r="12">
      <c r="A12" s="9">
        <v>11.0</v>
      </c>
      <c r="B12" s="9" t="s">
        <v>30</v>
      </c>
      <c r="C12" s="11">
        <v>0.4538411411193976</v>
      </c>
      <c r="D12" s="11">
        <v>0.46234536909768803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</v>
      </c>
      <c r="C1" s="2" t="s">
        <v>2</v>
      </c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>
        <v>1.0</v>
      </c>
      <c r="B2" s="9" t="s">
        <v>10</v>
      </c>
      <c r="C2" s="10">
        <v>42350.0</v>
      </c>
      <c r="D2" s="10">
        <v>3036.0</v>
      </c>
    </row>
    <row r="3">
      <c r="A3" s="9">
        <v>2.0</v>
      </c>
      <c r="B3" s="9" t="s">
        <v>12</v>
      </c>
      <c r="C3" s="10">
        <v>21880.0</v>
      </c>
      <c r="D3" s="10">
        <v>73039.0</v>
      </c>
    </row>
    <row r="4">
      <c r="A4" s="9">
        <v>3.0</v>
      </c>
      <c r="B4" s="9" t="s">
        <v>14</v>
      </c>
      <c r="C4" s="10">
        <v>81834.0</v>
      </c>
      <c r="D4" s="10">
        <v>23983.0</v>
      </c>
    </row>
    <row r="5">
      <c r="A5" s="9">
        <v>4.0</v>
      </c>
      <c r="B5" s="9" t="s">
        <v>16</v>
      </c>
      <c r="C5" s="10">
        <v>10578.0</v>
      </c>
      <c r="D5" s="10">
        <v>1204.0</v>
      </c>
    </row>
    <row r="6">
      <c r="A6" s="9">
        <v>5.0</v>
      </c>
      <c r="B6" s="9" t="s">
        <v>18</v>
      </c>
      <c r="C6" s="10">
        <v>2803.0</v>
      </c>
      <c r="D6" s="10">
        <v>5327.0</v>
      </c>
    </row>
    <row r="7">
      <c r="A7" s="9">
        <v>6.0</v>
      </c>
      <c r="B7" s="9" t="s">
        <v>20</v>
      </c>
      <c r="C7" s="10">
        <v>23829.0</v>
      </c>
      <c r="D7" s="10">
        <v>3586.0</v>
      </c>
    </row>
    <row r="8">
      <c r="A8" s="9">
        <v>7.0</v>
      </c>
      <c r="B8" s="9" t="s">
        <v>22</v>
      </c>
      <c r="C8" s="10">
        <v>21364.0</v>
      </c>
      <c r="D8" s="10">
        <v>1789.0</v>
      </c>
    </row>
    <row r="9">
      <c r="A9" s="9">
        <v>8.0</v>
      </c>
      <c r="B9" s="9" t="s">
        <v>24</v>
      </c>
      <c r="C9" s="10">
        <v>1875.0</v>
      </c>
      <c r="D9" s="10">
        <v>383.0</v>
      </c>
    </row>
    <row r="10">
      <c r="A10" s="9">
        <v>9.0</v>
      </c>
      <c r="B10" s="9" t="s">
        <v>26</v>
      </c>
      <c r="C10" s="10">
        <v>331.0</v>
      </c>
      <c r="D10" s="10">
        <v>2.0</v>
      </c>
    </row>
    <row r="11">
      <c r="A11" s="9">
        <v>10.0</v>
      </c>
      <c r="B11" s="9" t="s">
        <v>28</v>
      </c>
      <c r="C11" s="10">
        <v>739.0</v>
      </c>
      <c r="D11" s="10">
        <v>161.0</v>
      </c>
    </row>
    <row r="12">
      <c r="A12" s="9">
        <v>11.0</v>
      </c>
      <c r="B12" s="9" t="s">
        <v>30</v>
      </c>
      <c r="C12" s="10">
        <v>206844.0</v>
      </c>
      <c r="D12" s="10">
        <v>112349.0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352</v>
      </c>
      <c r="B1" s="15" t="s">
        <v>353</v>
      </c>
      <c r="C1" s="16" t="s">
        <v>354</v>
      </c>
      <c r="D1" s="16" t="s">
        <v>355</v>
      </c>
      <c r="E1" s="17" t="s">
        <v>356</v>
      </c>
      <c r="F1" s="17" t="s">
        <v>357</v>
      </c>
      <c r="G1" s="18" t="s">
        <v>358</v>
      </c>
      <c r="H1" s="18" t="s">
        <v>359</v>
      </c>
      <c r="I1" s="19" t="s">
        <v>360</v>
      </c>
      <c r="J1" s="19" t="s">
        <v>361</v>
      </c>
    </row>
    <row r="2">
      <c r="A2" s="20">
        <v>5.0</v>
      </c>
      <c r="B2" s="21" t="s">
        <v>362</v>
      </c>
      <c r="C2" s="20">
        <v>1.0</v>
      </c>
      <c r="D2" s="20">
        <v>0.5</v>
      </c>
      <c r="E2" s="20">
        <v>0.5</v>
      </c>
      <c r="F2" s="20">
        <v>0.25</v>
      </c>
      <c r="G2" s="20">
        <v>0.25</v>
      </c>
      <c r="H2" s="20">
        <v>0.05</v>
      </c>
      <c r="I2" s="20">
        <v>0.05</v>
      </c>
      <c r="J2" s="22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