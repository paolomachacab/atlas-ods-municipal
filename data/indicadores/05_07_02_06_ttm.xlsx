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072EE2B4-8D1B-426A-8B48-8A3EEC91328B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Datos_procesados" sheetId="1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  <sheet name="Mapa" sheetId="7" r:id="rId7"/>
  </sheets>
  <calcPr calcId="191029"/>
</workbook>
</file>

<file path=xl/calcChain.xml><?xml version="1.0" encoding="utf-8"?>
<calcChain xmlns="http://schemas.openxmlformats.org/spreadsheetml/2006/main">
  <c r="H344" i="1" l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348" i="1" s="1"/>
  <c r="E8" i="1"/>
  <c r="E7" i="1"/>
  <c r="E6" i="1"/>
  <c r="E5" i="1"/>
  <c r="E4" i="1"/>
  <c r="E3" i="1"/>
  <c r="E2" i="1"/>
  <c r="M12" i="1"/>
  <c r="P11" i="1"/>
  <c r="O11" i="1"/>
  <c r="Q11" i="1" s="1"/>
  <c r="M11" i="1"/>
  <c r="N11" i="1" s="1"/>
  <c r="L11" i="1"/>
  <c r="P10" i="1"/>
  <c r="O10" i="1"/>
  <c r="Q10" i="1" s="1"/>
  <c r="M10" i="1"/>
  <c r="N10" i="1" s="1"/>
  <c r="L10" i="1"/>
  <c r="P9" i="1"/>
  <c r="O9" i="1"/>
  <c r="Q9" i="1" s="1"/>
  <c r="M9" i="1"/>
  <c r="N9" i="1" s="1"/>
  <c r="L9" i="1"/>
  <c r="P8" i="1"/>
  <c r="O8" i="1"/>
  <c r="Q8" i="1" s="1"/>
  <c r="M8" i="1"/>
  <c r="N8" i="1" s="1"/>
  <c r="L8" i="1"/>
  <c r="P7" i="1"/>
  <c r="O7" i="1"/>
  <c r="Q7" i="1" s="1"/>
  <c r="M7" i="1"/>
  <c r="N7" i="1" s="1"/>
  <c r="L7" i="1"/>
  <c r="P6" i="1"/>
  <c r="O6" i="1"/>
  <c r="Q6" i="1" s="1"/>
  <c r="M6" i="1"/>
  <c r="N6" i="1" s="1"/>
  <c r="L6" i="1"/>
  <c r="P5" i="1"/>
  <c r="O5" i="1"/>
  <c r="Q5" i="1" s="1"/>
  <c r="M5" i="1"/>
  <c r="N5" i="1" s="1"/>
  <c r="L5" i="1"/>
  <c r="P4" i="1"/>
  <c r="O4" i="1"/>
  <c r="Q4" i="1" s="1"/>
  <c r="M4" i="1"/>
  <c r="N4" i="1" s="1"/>
  <c r="L4" i="1"/>
  <c r="P3" i="1"/>
  <c r="O3" i="1"/>
  <c r="Q3" i="1" s="1"/>
  <c r="M3" i="1"/>
  <c r="N3" i="1" s="1"/>
  <c r="L3" i="1"/>
  <c r="P2" i="1"/>
  <c r="P12" i="1" s="1"/>
  <c r="O2" i="1"/>
  <c r="Q2" i="1" s="1"/>
  <c r="M2" i="1"/>
  <c r="N2" i="1" s="1"/>
  <c r="L2" i="1"/>
  <c r="L12" i="1" s="1"/>
  <c r="N12" i="1" s="1"/>
  <c r="E349" i="1" l="1"/>
  <c r="O12" i="1"/>
  <c r="Q12" i="1" s="1"/>
  <c r="E346" i="1"/>
  <c r="E347" i="1"/>
  <c r="F347" i="1" l="1"/>
  <c r="F346" i="1"/>
</calcChain>
</file>

<file path=xl/sharedStrings.xml><?xml version="1.0" encoding="utf-8"?>
<sst xmlns="http://schemas.openxmlformats.org/spreadsheetml/2006/main" count="1109" uniqueCount="363">
  <si>
    <t>ID</t>
  </si>
  <si>
    <t>Municipio</t>
  </si>
  <si>
    <t>Total mujeres beneficiarias de derecho sobre la tierra 2008-2012</t>
  </si>
  <si>
    <t>Total varones beneficiarios de derecho sobre la tierra 2008-2012</t>
  </si>
  <si>
    <t>% de mujeres beneficiarias de derechos sobre la tierra 2008-2012</t>
  </si>
  <si>
    <t>Total mujeres beneficiarias de derecho sobre la tierra 2020-2024</t>
  </si>
  <si>
    <t>Total varones beneficiarios de derecho sobre la tierra 2020-2024</t>
  </si>
  <si>
    <t>% de mujeres beneficiarias de derechos sobre la tierra 2020-2024</t>
  </si>
  <si>
    <t>Departamento</t>
  </si>
  <si>
    <t>Sucre</t>
  </si>
  <si>
    <t>Chuquisaca</t>
  </si>
  <si>
    <t>Yotala</t>
  </si>
  <si>
    <t>La Paz</t>
  </si>
  <si>
    <t>Poroma</t>
  </si>
  <si>
    <t>Cochabamba</t>
  </si>
  <si>
    <t>Azurduy</t>
  </si>
  <si>
    <t>Oruro</t>
  </si>
  <si>
    <t>Tarvita</t>
  </si>
  <si>
    <t>Potosí</t>
  </si>
  <si>
    <t>Zudáñez</t>
  </si>
  <si>
    <t>Tarija</t>
  </si>
  <si>
    <t>Presto</t>
  </si>
  <si>
    <t>Santa Cruz</t>
  </si>
  <si>
    <t>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</si>
  <si>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</si>
  <si>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</si>
  <si>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</si>
  <si>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</si>
  <si>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</si>
  <si>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</si>
  <si>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</si>
  <si>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</si>
  <si>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</si>
  <si>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</si>
  <si>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</si>
  <si>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</si>
  <si>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</si>
  <si>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</si>
  <si>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</si>
  <si>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</si>
  <si>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</si>
  <si>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</si>
  <si>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</si>
  <si>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</si>
  <si>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</si>
  <si>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</si>
  <si>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Guzmán</t>
  </si>
  <si>
    <t>Huacaya (Autonomía Guaraní Chaqueño de Huacaya)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</si>
  <si>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</si>
  <si>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</si>
  <si>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</si>
  <si>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</si>
  <si>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</si>
  <si>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</si>
  <si>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</si>
  <si>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Villa 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</si>
  <si>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</si>
  <si>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</si>
  <si>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</si>
  <si>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</si>
  <si>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</si>
  <si>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</si>
  <si>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</si>
  <si>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</si>
  <si>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</si>
  <si>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</si>
  <si>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</si>
  <si>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</si>
  <si>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</si>
  <si>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</si>
  <si>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</si>
  <si>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</si>
  <si>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</si>
  <si>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</si>
  <si>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</si>
  <si>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</si>
  <si>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</si>
  <si>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</si>
  <si>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</si>
  <si>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</si>
  <si>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</si>
  <si>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</si>
  <si>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</si>
  <si>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</si>
  <si>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</si>
  <si>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</si>
  <si>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</si>
  <si>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</si>
  <si>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</si>
  <si>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</si>
  <si>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</si>
  <si>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</si>
  <si>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</si>
  <si>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</si>
  <si>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</si>
  <si>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</si>
  <si>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</si>
  <si>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</si>
  <si>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</si>
  <si>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</si>
  <si>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</si>
  <si>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</si>
  <si>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</si>
  <si>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</si>
  <si>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</si>
  <si>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</si>
  <si>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</si>
  <si>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</si>
  <si>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</si>
  <si>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</si>
  <si>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</si>
  <si>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</si>
  <si>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</si>
  <si>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</si>
  <si>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</si>
  <si>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</si>
  <si>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</si>
  <si>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</si>
  <si>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</si>
  <si>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</si>
  <si>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</si>
  <si>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</si>
  <si>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</si>
  <si>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</si>
  <si>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</si>
  <si>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</si>
  <si>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</si>
  <si>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</si>
  <si>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</si>
  <si>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</si>
  <si>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</si>
  <si>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</si>
  <si>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</si>
  <si>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</si>
  <si>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</si>
  <si>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</si>
  <si>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</si>
  <si>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</si>
  <si>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</si>
  <si>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Ayopaya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</si>
  <si>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</si>
  <si>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</si>
  <si>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</si>
  <si>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</si>
  <si>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</si>
  <si>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</si>
  <si>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</si>
  <si>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</si>
  <si>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</si>
  <si>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</si>
  <si>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</si>
  <si>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</si>
  <si>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</si>
  <si>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</si>
  <si>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</si>
  <si>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</si>
  <si>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</si>
  <si>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</si>
  <si>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</si>
  <si>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</si>
  <si>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</si>
  <si>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</si>
  <si>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</si>
  <si>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</si>
  <si>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</si>
  <si>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</si>
  <si>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</si>
  <si>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</si>
  <si>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</si>
  <si>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</si>
  <si>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</si>
  <si>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</si>
  <si>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</si>
  <si>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</si>
  <si>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</si>
  <si>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</si>
  <si>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</si>
  <si>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</si>
  <si>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</si>
  <si>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</si>
  <si>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</si>
  <si>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</si>
  <si>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</si>
  <si>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Caracollo</t>
  </si>
  <si>
    <t>El Choro</t>
  </si>
  <si>
    <t>Paria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</si>
  <si>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</si>
  <si>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</si>
  <si>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</si>
  <si>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</si>
  <si>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</si>
  <si>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</si>
  <si>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</si>
  <si>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</si>
  <si>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</si>
  <si>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</si>
  <si>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</si>
  <si>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</si>
  <si>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</si>
  <si>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</si>
  <si>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</si>
  <si>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</si>
  <si>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</si>
  <si>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</si>
  <si>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</si>
  <si>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</si>
  <si>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</si>
  <si>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</si>
  <si>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</si>
  <si>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</si>
  <si>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</si>
  <si>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Santiago de Huari</t>
  </si>
  <si>
    <t>La Rivera</t>
  </si>
  <si>
    <t>Todos Santos</t>
  </si>
  <si>
    <t>Carangas</t>
  </si>
  <si>
    <t>Santiago de Huayllamarca</t>
  </si>
  <si>
    <t>Tinguipaya</t>
  </si>
  <si>
    <t>Yocalla</t>
  </si>
  <si>
    <t>Urmiri</t>
  </si>
  <si>
    <t>Uncía</t>
  </si>
  <si>
    <t>Chayanta</t>
  </si>
  <si>
    <t>Llallagua</t>
  </si>
  <si>
    <t>Chuquihuta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</si>
  <si>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</si>
  <si>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</si>
  <si>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</si>
  <si>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</si>
  <si>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</si>
  <si>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</si>
  <si>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</si>
  <si>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</si>
  <si>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</t>
  </si>
  <si>
    <t>Toro Toro</t>
  </si>
  <si>
    <t>Cotagaita</t>
  </si>
  <si>
    <t>Vitichi</t>
  </si>
  <si>
    <t>Sacaca</t>
  </si>
  <si>
    <t>Caripuyo</t>
  </si>
  <si>
    <t>Tupiza</t>
  </si>
  <si>
    <t>Atocha</t>
  </si>
  <si>
    <t>Colcha "K"</t>
  </si>
  <si>
    <t>San Pedro de Quemes</t>
  </si>
  <si>
    <t>San Pablo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</si>
  <si>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</si>
  <si>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</si>
  <si>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</si>
  <si>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</si>
  <si>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</si>
  <si>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</si>
  <si>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</si>
  <si>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</si>
  <si>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</si>
  <si>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</si>
  <si>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</si>
  <si>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</si>
  <si>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</si>
  <si>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</si>
  <si>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</si>
  <si>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</si>
  <si>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</si>
  <si>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</si>
  <si>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</si>
  <si>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</si>
  <si>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</si>
  <si>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</si>
  <si>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</si>
  <si>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</si>
  <si>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</si>
  <si>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</si>
  <si>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</si>
  <si>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</si>
  <si>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</si>
  <si>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</si>
  <si>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</si>
  <si>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</t>
  </si>
  <si>
    <t>San Miguel</t>
  </si>
  <si>
    <t>San Rafael</t>
  </si>
  <si>
    <t>Buena Vista</t>
  </si>
  <si>
    <t>San Carlos</t>
  </si>
  <si>
    <t>Yapacaní</t>
  </si>
  <si>
    <t>San Juan</t>
  </si>
  <si>
    <t>San José</t>
  </si>
  <si>
    <t>Pailón</t>
  </si>
  <si>
    <t>Roboré</t>
  </si>
  <si>
    <t>Portachuelo</t>
  </si>
  <si>
    <t>Santa Rosa</t>
  </si>
  <si>
    <t>Colpa Bélgica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</si>
  <si>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</si>
  <si>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</si>
  <si>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</si>
  <si>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</si>
  <si>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</si>
  <si>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</si>
  <si>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</si>
  <si>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Vallegrande</t>
  </si>
  <si>
    <t>Trigal</t>
  </si>
  <si>
    <t>Moromoro</t>
  </si>
  <si>
    <t>Postrervalle</t>
  </si>
  <si>
    <t>Pucará</t>
  </si>
  <si>
    <t>Samaipata</t>
  </si>
  <si>
    <t>Pampagrande</t>
  </si>
  <si>
    <t>Mairana</t>
  </si>
  <si>
    <t>Quirusillas</t>
  </si>
  <si>
    <t>Montero</t>
  </si>
  <si>
    <t>General Saavedra</t>
  </si>
  <si>
    <t>Mineros</t>
  </si>
  <si>
    <t>Fernández Alonso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</si>
  <si>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</si>
  <si>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</si>
  <si>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</si>
  <si>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</si>
  <si>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</si>
  <si>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</si>
  <si>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</si>
  <si>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</si>
  <si>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</si>
  <si>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Suárez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</si>
  <si>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</si>
  <si>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</si>
  <si>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</si>
  <si>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</si>
  <si>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</si>
  <si>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</si>
  <si>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</si>
  <si>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</si>
  <si>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</si>
  <si>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Puerto Menor de Rurrenabaque</t>
  </si>
  <si>
    <t>Santa Ana</t>
  </si>
  <si>
    <t>Exaltación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</si>
  <si>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</si>
  <si>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</si>
  <si>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</si>
  <si>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</si>
  <si>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</si>
  <si>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</si>
  <si>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</si>
  <si>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</si>
  <si>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</si>
  <si>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</si>
  <si>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</si>
  <si>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</si>
  <si>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</si>
  <si>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</si>
  <si>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</si>
  <si>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</si>
  <si>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</si>
  <si>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</si>
  <si>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</si>
  <si>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</si>
  <si>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promedio</t>
  </si>
  <si>
    <t>desviacion</t>
  </si>
  <si>
    <t>max</t>
  </si>
  <si>
    <t>min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</si>
  <si>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</si>
  <si>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</si>
  <si>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</si>
  <si>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</si>
  <si>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</si>
  <si>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</si>
  <si>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</si>
  <si>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</si>
  <si>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</si>
  <si>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</si>
  <si>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Derechos de la mujer a propiedad/control de tierras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</si>
</sst>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1"/>
      <color theme="1"/>
      <name val="Calibri"/>
      <family val="2"/>
    </font>
    <font>
      <b/>
      <sz val="10"/>
      <color theme="1"/>
      <name val="Arial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b/>
      <sz val="9"/>
      <color theme="1"/>
      <name val="Aptos Display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right"/>
    </xf>
    <xf numFmtId="0" fontId="3" fillId="0" borderId="1" xfId="0" applyFont="1" applyBorder="1"/>
    <xf numFmtId="0" fontId="4" fillId="0" borderId="1" xfId="0" applyFont="1" applyBorder="1"/>
    <xf numFmtId="2" fontId="4" fillId="0" borderId="1" xfId="0" applyNumberFormat="1" applyFont="1" applyBorder="1"/>
    <xf numFmtId="3" fontId="4" fillId="0" borderId="1" xfId="0" applyNumberFormat="1" applyFont="1" applyBorder="1"/>
    <xf numFmtId="4" fontId="4" fillId="0" borderId="1" xfId="0" applyNumberFormat="1" applyFont="1" applyBorder="1"/>
    <xf numFmtId="0" fontId="3" fillId="0" borderId="0" xfId="0" applyFont="1"/>
    <xf numFmtId="0" fontId="4" fillId="0" borderId="0" xfId="0" applyFont="1"/>
    <xf numFmtId="2" fontId="4" fillId="0" borderId="0" xfId="0" applyNumberFormat="1" applyFont="1"/>
    <xf numFmtId="0" fontId="1" fillId="3" borderId="1" xfId="0" applyFont="1" applyFill="1" applyBorder="1" applyAlignment="1">
      <alignment wrapText="1"/>
    </xf>
    <xf numFmtId="0" fontId="5" fillId="4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5" fillId="6" borderId="1" xfId="0" applyFont="1" applyFill="1" applyBorder="1" applyAlignment="1">
      <alignment horizontal="center" wrapText="1"/>
    </xf>
    <xf numFmtId="0" fontId="5" fillId="7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horizontal="right"/>
    </xf>
    <xf numFmtId="0" fontId="6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534150" cy="441007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0"/>
  <sheetViews>
    <sheetView workbookViewId="0">
      <selection activeCell="H3" sqref="H3:H344"/>
    </sheetView>
  </sheetViews>
  <sheetFormatPr baseColWidth="10" defaultColWidth="12.6640625" defaultRowHeight="15.75" customHeight="1" x14ac:dyDescent="0.25"/>
  <sheetData>
    <row r="1" spans="1:27" ht="92.4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2" t="s">
        <v>0</v>
      </c>
      <c r="K1" s="2" t="s">
        <v>8</v>
      </c>
      <c r="L1" s="2" t="s">
        <v>2</v>
      </c>
      <c r="M1" s="2" t="s">
        <v>3</v>
      </c>
      <c r="N1" s="4" t="s">
        <v>4</v>
      </c>
      <c r="O1" s="2" t="s">
        <v>5</v>
      </c>
      <c r="P1" s="2" t="s">
        <v>6</v>
      </c>
      <c r="Q1" s="4" t="s">
        <v>7</v>
      </c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3">
      <c r="A2" s="5">
        <v>10101</v>
      </c>
      <c r="B2" s="6" t="s">
        <v>9</v>
      </c>
      <c r="C2" s="7">
        <v>9108</v>
      </c>
      <c r="D2" s="7">
        <v>10494</v>
      </c>
      <c r="E2" s="8">
        <f>IF(D2+C2=0,0,100*(C2/(C2+D2)))</f>
        <v>46.464646464646464</v>
      </c>
      <c r="F2" s="7">
        <v>477</v>
      </c>
      <c r="G2" s="7">
        <v>514</v>
      </c>
      <c r="H2" s="8">
        <f>IF(G2+F2=0,0,100*(F2/(F2+G2)))</f>
        <v>48.133198789101918</v>
      </c>
      <c r="J2" s="7">
        <v>1</v>
      </c>
      <c r="K2" s="7" t="s">
        <v>10</v>
      </c>
      <c r="L2" s="9">
        <f t="shared" ref="L2:M2" si="0">SUM(C2:C30)</f>
        <v>42350</v>
      </c>
      <c r="M2" s="9">
        <f t="shared" si="0"/>
        <v>52678</v>
      </c>
      <c r="N2" s="10">
        <f t="shared" ref="N2:N12" si="1">L2/(L2+M2)</f>
        <v>0.4456581218167277</v>
      </c>
      <c r="O2" s="9">
        <f t="shared" ref="O2:P2" si="2">SUM(F2:F30)</f>
        <v>3036</v>
      </c>
      <c r="P2" s="9">
        <f t="shared" si="2"/>
        <v>3471</v>
      </c>
      <c r="Q2" s="10">
        <f t="shared" ref="Q2:Q12" si="3">O2/(O2+P2)</f>
        <v>0.4665744582757031</v>
      </c>
    </row>
    <row r="3" spans="1:27" ht="15.75" customHeight="1" x14ac:dyDescent="0.3">
      <c r="A3" s="5">
        <v>10102</v>
      </c>
      <c r="B3" s="6" t="s">
        <v>11</v>
      </c>
      <c r="C3" s="7">
        <v>10</v>
      </c>
      <c r="D3" s="7">
        <v>7</v>
      </c>
      <c r="E3" s="8">
        <f t="shared" ref="E3:E66" si="4">IF(D3+C3=0,0,100*(C3/(C3+D3)))</f>
        <v>58.82352941176471</v>
      </c>
      <c r="F3" s="7">
        <v>229</v>
      </c>
      <c r="G3" s="7">
        <v>275</v>
      </c>
      <c r="H3" s="8">
        <f t="shared" ref="H3:H66" si="5">IF(G3+F3=0,0,100*(F3/(F3+G3)))</f>
        <v>45.436507936507937</v>
      </c>
      <c r="J3" s="7">
        <v>2</v>
      </c>
      <c r="K3" s="7" t="s">
        <v>12</v>
      </c>
      <c r="L3" s="9">
        <f t="shared" ref="L3:M3" si="6">SUM(C31:C117)</f>
        <v>21880</v>
      </c>
      <c r="M3" s="9">
        <f t="shared" si="6"/>
        <v>24829</v>
      </c>
      <c r="N3" s="10">
        <f t="shared" si="1"/>
        <v>0.46843220792566742</v>
      </c>
      <c r="O3" s="9">
        <f t="shared" ref="O3:P3" si="7">SUM(F31:F117)</f>
        <v>73039</v>
      </c>
      <c r="P3" s="9">
        <f t="shared" si="7"/>
        <v>84424</v>
      </c>
      <c r="Q3" s="10">
        <f t="shared" si="3"/>
        <v>0.463848650159085</v>
      </c>
    </row>
    <row r="4" spans="1:27" ht="15.75" customHeight="1" x14ac:dyDescent="0.3">
      <c r="A4" s="5">
        <v>10103</v>
      </c>
      <c r="B4" s="6" t="s">
        <v>13</v>
      </c>
      <c r="C4" s="7">
        <v>501</v>
      </c>
      <c r="D4" s="7">
        <v>682</v>
      </c>
      <c r="E4" s="8">
        <f t="shared" si="4"/>
        <v>42.349957734573117</v>
      </c>
      <c r="F4" s="7">
        <v>46</v>
      </c>
      <c r="G4" s="7">
        <v>64</v>
      </c>
      <c r="H4" s="8">
        <f t="shared" si="5"/>
        <v>41.818181818181813</v>
      </c>
      <c r="J4" s="7">
        <v>3</v>
      </c>
      <c r="K4" s="7" t="s">
        <v>14</v>
      </c>
      <c r="L4" s="9">
        <f t="shared" ref="L4:M4" si="8">SUM(C118:C165)</f>
        <v>81834</v>
      </c>
      <c r="M4" s="9">
        <f t="shared" si="8"/>
        <v>93969</v>
      </c>
      <c r="N4" s="10">
        <f t="shared" si="1"/>
        <v>0.46548693708298494</v>
      </c>
      <c r="O4" s="9">
        <f t="shared" ref="O4:P4" si="9">SUM(F118:F165)</f>
        <v>23983</v>
      </c>
      <c r="P4" s="9">
        <f t="shared" si="9"/>
        <v>26189</v>
      </c>
      <c r="Q4" s="10">
        <f t="shared" si="3"/>
        <v>0.47801562624571475</v>
      </c>
    </row>
    <row r="5" spans="1:27" ht="15.75" customHeight="1" x14ac:dyDescent="0.3">
      <c r="A5" s="5">
        <v>10201</v>
      </c>
      <c r="B5" s="6" t="s">
        <v>15</v>
      </c>
      <c r="C5" s="7">
        <v>1159</v>
      </c>
      <c r="D5" s="7">
        <v>1362</v>
      </c>
      <c r="E5" s="8">
        <f t="shared" si="4"/>
        <v>45.973819912733042</v>
      </c>
      <c r="F5" s="7">
        <v>105</v>
      </c>
      <c r="G5" s="7">
        <v>120</v>
      </c>
      <c r="H5" s="8">
        <f t="shared" si="5"/>
        <v>46.666666666666664</v>
      </c>
      <c r="J5" s="7">
        <v>4</v>
      </c>
      <c r="K5" s="7" t="s">
        <v>16</v>
      </c>
      <c r="L5" s="9">
        <f t="shared" ref="L5:M5" si="10">SUM(C166:C200)</f>
        <v>10578</v>
      </c>
      <c r="M5" s="9">
        <f t="shared" si="10"/>
        <v>14307</v>
      </c>
      <c r="N5" s="10">
        <f t="shared" si="1"/>
        <v>0.42507534659433394</v>
      </c>
      <c r="O5" s="9">
        <f t="shared" ref="O5:P5" si="11">SUM(F166:F200)</f>
        <v>1204</v>
      </c>
      <c r="P5" s="9">
        <f t="shared" si="11"/>
        <v>1740</v>
      </c>
      <c r="Q5" s="10">
        <f t="shared" si="3"/>
        <v>0.40896739130434784</v>
      </c>
    </row>
    <row r="6" spans="1:27" ht="15.75" customHeight="1" x14ac:dyDescent="0.3">
      <c r="A6" s="5">
        <v>10202</v>
      </c>
      <c r="B6" s="6" t="s">
        <v>17</v>
      </c>
      <c r="C6" s="7">
        <v>115</v>
      </c>
      <c r="D6" s="7">
        <v>138</v>
      </c>
      <c r="E6" s="8">
        <f t="shared" si="4"/>
        <v>45.454545454545453</v>
      </c>
      <c r="F6" s="7">
        <v>342</v>
      </c>
      <c r="G6" s="7">
        <v>421</v>
      </c>
      <c r="H6" s="8">
        <f t="shared" si="5"/>
        <v>44.823066841415468</v>
      </c>
      <c r="J6" s="7">
        <v>5</v>
      </c>
      <c r="K6" s="7" t="s">
        <v>18</v>
      </c>
      <c r="L6" s="9">
        <f t="shared" ref="L6:M6" si="12">SUM(C201:C242)</f>
        <v>2803</v>
      </c>
      <c r="M6" s="9">
        <f t="shared" si="12"/>
        <v>3870</v>
      </c>
      <c r="N6" s="10">
        <f t="shared" si="1"/>
        <v>0.42005095159598382</v>
      </c>
      <c r="O6" s="9">
        <f t="shared" ref="O6:P6" si="13">SUM(F201:F242)</f>
        <v>5327</v>
      </c>
      <c r="P6" s="9">
        <f t="shared" si="13"/>
        <v>7865</v>
      </c>
      <c r="Q6" s="10">
        <f t="shared" si="3"/>
        <v>0.40380533656761675</v>
      </c>
    </row>
    <row r="7" spans="1:27" ht="15.75" customHeight="1" x14ac:dyDescent="0.3">
      <c r="A7" s="5">
        <v>10301</v>
      </c>
      <c r="B7" s="6" t="s">
        <v>19</v>
      </c>
      <c r="C7" s="7">
        <v>1201</v>
      </c>
      <c r="D7" s="7">
        <v>1562</v>
      </c>
      <c r="E7" s="8">
        <f t="shared" si="4"/>
        <v>43.46724574737604</v>
      </c>
      <c r="F7" s="7">
        <v>7</v>
      </c>
      <c r="G7" s="7">
        <v>16</v>
      </c>
      <c r="H7" s="8">
        <f t="shared" si="5"/>
        <v>30.434782608695656</v>
      </c>
      <c r="J7" s="7">
        <v>6</v>
      </c>
      <c r="K7" s="7" t="s">
        <v>20</v>
      </c>
      <c r="L7" s="9">
        <f t="shared" ref="L7:M7" si="14">SUM(C243:C253)</f>
        <v>23829</v>
      </c>
      <c r="M7" s="9">
        <f t="shared" si="14"/>
        <v>25358</v>
      </c>
      <c r="N7" s="10">
        <f t="shared" si="1"/>
        <v>0.48445727529631816</v>
      </c>
      <c r="O7" s="9">
        <f t="shared" ref="O7:P7" si="15">SUM(F243:F253)</f>
        <v>3586</v>
      </c>
      <c r="P7" s="9">
        <f t="shared" si="15"/>
        <v>3653</v>
      </c>
      <c r="Q7" s="10">
        <f t="shared" si="3"/>
        <v>0.49537228899019203</v>
      </c>
    </row>
    <row r="8" spans="1:27" ht="15.75" customHeight="1" x14ac:dyDescent="0.3">
      <c r="A8" s="5">
        <v>10302</v>
      </c>
      <c r="B8" s="6" t="s">
        <v>21</v>
      </c>
      <c r="C8" s="7">
        <v>1929</v>
      </c>
      <c r="D8" s="7">
        <v>2334</v>
      </c>
      <c r="E8" s="8">
        <f t="shared" si="4"/>
        <v>45.249824067558059</v>
      </c>
      <c r="F8" s="7">
        <v>257</v>
      </c>
      <c r="G8" s="7">
        <v>268</v>
      </c>
      <c r="H8" s="8">
        <f t="shared" si="5"/>
        <v>48.952380952380956</v>
      </c>
      <c r="J8" s="7">
        <v>7</v>
      </c>
      <c r="K8" s="7" t="s">
        <v>22</v>
      </c>
      <c r="L8" s="9">
        <f t="shared" ref="L8:M8" si="16">SUM(C254:C309)</f>
        <v>21364</v>
      </c>
      <c r="M8" s="9">
        <f t="shared" si="16"/>
        <v>29960</v>
      </c>
      <c r="N8" s="10">
        <f t="shared" si="1"/>
        <v>0.41625750136388434</v>
      </c>
      <c r="O8" s="9">
        <f t="shared" ref="O8:P8" si="17">SUM(F254:F309)</f>
        <v>1789</v>
      </c>
      <c r="P8" s="9">
        <f t="shared" si="17"/>
        <v>2779</v>
      </c>
      <c r="Q8" s="10">
        <f t="shared" si="3"/>
        <v>0.39163747810858146</v>
      </c>
    </row>
    <row r="9" spans="1:27" ht="15.75" customHeight="1" x14ac:dyDescent="0.3">
      <c r="A9" s="5">
        <v>10303</v>
      </c>
      <c r="B9" s="6" t="s">
        <v>23</v>
      </c>
      <c r="C9" s="7">
        <v>393</v>
      </c>
      <c r="D9" s="7">
        <v>475</v>
      </c>
      <c r="E9" s="8">
        <f t="shared" si="4"/>
        <v>45.276497695852534</v>
      </c>
      <c r="F9" s="7">
        <v>22</v>
      </c>
      <c r="G9" s="7">
        <v>21</v>
      </c>
      <c r="H9" s="8">
        <f t="shared" si="5"/>
        <v>51.162790697674424</v>
      </c>
      <c r="J9" s="7">
        <v>8</v>
      </c>
      <c r="K9" s="7" t="s">
        <v>24</v>
      </c>
      <c r="L9" s="9">
        <f t="shared" ref="L9:M9" si="18">SUM(C310:C329)</f>
        <v>1875</v>
      </c>
      <c r="M9" s="9">
        <f t="shared" si="18"/>
        <v>3502</v>
      </c>
      <c r="N9" s="10">
        <f t="shared" si="1"/>
        <v>0.34870745769016182</v>
      </c>
      <c r="O9" s="9">
        <f t="shared" ref="O9:P9" si="19">SUM(F310:F329)</f>
        <v>383</v>
      </c>
      <c r="P9" s="9">
        <f t="shared" si="19"/>
        <v>523</v>
      </c>
      <c r="Q9" s="10">
        <f t="shared" si="3"/>
        <v>0.4227373068432671</v>
      </c>
    </row>
    <row r="10" spans="1:27" ht="15.75" customHeight="1" x14ac:dyDescent="0.3">
      <c r="A10" s="5">
        <v>10304</v>
      </c>
      <c r="B10" s="6" t="s">
        <v>25</v>
      </c>
      <c r="C10" s="7">
        <v>0</v>
      </c>
      <c r="D10" s="7">
        <v>0</v>
      </c>
      <c r="E10" s="8">
        <f t="shared" si="4"/>
        <v>0</v>
      </c>
      <c r="F10" s="7">
        <v>333</v>
      </c>
      <c r="G10" s="7">
        <v>351</v>
      </c>
      <c r="H10" s="8">
        <f t="shared" si="5"/>
        <v>48.684210526315788</v>
      </c>
      <c r="J10" s="7">
        <v>9</v>
      </c>
      <c r="K10" s="7" t="s">
        <v>26</v>
      </c>
      <c r="L10" s="9">
        <f t="shared" ref="L10:M10" si="20">SUM(C330:C344)</f>
        <v>331</v>
      </c>
      <c r="M10" s="9">
        <f t="shared" si="20"/>
        <v>446</v>
      </c>
      <c r="N10" s="10">
        <f t="shared" si="1"/>
        <v>0.42599742599742602</v>
      </c>
      <c r="O10" s="9">
        <f t="shared" ref="O10:P10" si="21">SUM(F330:F344)</f>
        <v>2</v>
      </c>
      <c r="P10" s="9">
        <f t="shared" si="21"/>
        <v>5</v>
      </c>
      <c r="Q10" s="10">
        <f t="shared" si="3"/>
        <v>0.2857142857142857</v>
      </c>
    </row>
    <row r="11" spans="1:27" ht="15.75" customHeight="1" x14ac:dyDescent="0.3">
      <c r="A11" s="5">
        <v>10401</v>
      </c>
      <c r="B11" s="6" t="s">
        <v>27</v>
      </c>
      <c r="C11" s="7">
        <v>2622</v>
      </c>
      <c r="D11" s="7">
        <v>3005</v>
      </c>
      <c r="E11" s="8">
        <f t="shared" si="4"/>
        <v>46.596765594455306</v>
      </c>
      <c r="F11" s="7">
        <v>4</v>
      </c>
      <c r="G11" s="7">
        <v>6</v>
      </c>
      <c r="H11" s="8">
        <f t="shared" si="5"/>
        <v>40</v>
      </c>
      <c r="J11" s="7">
        <v>10</v>
      </c>
      <c r="K11" s="7" t="s">
        <v>28</v>
      </c>
      <c r="L11" s="9">
        <f t="shared" ref="L11:M11" si="22">SUM(C246:C248)</f>
        <v>739</v>
      </c>
      <c r="M11" s="9">
        <f t="shared" si="22"/>
        <v>1046</v>
      </c>
      <c r="N11" s="10">
        <f t="shared" si="1"/>
        <v>0.41400560224089633</v>
      </c>
      <c r="O11" s="9">
        <f t="shared" ref="O11:P11" si="23">SUM(F246:F248)</f>
        <v>161</v>
      </c>
      <c r="P11" s="9">
        <f t="shared" si="23"/>
        <v>201</v>
      </c>
      <c r="Q11" s="10">
        <f t="shared" si="3"/>
        <v>0.44475138121546959</v>
      </c>
    </row>
    <row r="12" spans="1:27" ht="15.75" customHeight="1" x14ac:dyDescent="0.3">
      <c r="A12" s="5">
        <v>10402</v>
      </c>
      <c r="B12" s="6" t="s">
        <v>29</v>
      </c>
      <c r="C12" s="7">
        <v>2653</v>
      </c>
      <c r="D12" s="7">
        <v>2948</v>
      </c>
      <c r="E12" s="8">
        <f t="shared" si="4"/>
        <v>47.366541688984107</v>
      </c>
      <c r="F12" s="7">
        <v>0</v>
      </c>
      <c r="G12" s="7">
        <v>0</v>
      </c>
      <c r="H12" s="8">
        <f t="shared" si="5"/>
        <v>0</v>
      </c>
      <c r="J12" s="7">
        <v>11</v>
      </c>
      <c r="K12" s="7" t="s">
        <v>30</v>
      </c>
      <c r="L12" s="9">
        <f t="shared" ref="L12:M12" si="24">SUM(L2:L10)</f>
        <v>206844</v>
      </c>
      <c r="M12" s="9">
        <f t="shared" si="24"/>
        <v>248919</v>
      </c>
      <c r="N12" s="10">
        <f t="shared" si="1"/>
        <v>0.45384114111939761</v>
      </c>
      <c r="O12" s="9">
        <f t="shared" ref="O12:P12" si="25">SUM(O2:O10)</f>
        <v>112349</v>
      </c>
      <c r="P12" s="9">
        <f t="shared" si="25"/>
        <v>130649</v>
      </c>
      <c r="Q12" s="10">
        <f t="shared" si="3"/>
        <v>0.46234536909768803</v>
      </c>
    </row>
    <row r="13" spans="1:27" ht="15.75" customHeight="1" x14ac:dyDescent="0.3">
      <c r="A13" s="5">
        <v>10403</v>
      </c>
      <c r="B13" s="6" t="s">
        <v>31</v>
      </c>
      <c r="C13" s="7">
        <v>1805</v>
      </c>
      <c r="D13" s="7">
        <v>2522</v>
      </c>
      <c r="E13" s="8">
        <f t="shared" si="4"/>
        <v>41.714813958862955</v>
      </c>
      <c r="F13" s="7">
        <v>15</v>
      </c>
      <c r="G13" s="7">
        <v>22</v>
      </c>
      <c r="H13" s="8">
        <f t="shared" si="5"/>
        <v>40.54054054054054</v>
      </c>
    </row>
    <row r="14" spans="1:27" ht="15.75" customHeight="1" x14ac:dyDescent="0.3">
      <c r="A14" s="5">
        <v>10404</v>
      </c>
      <c r="B14" s="6" t="s">
        <v>32</v>
      </c>
      <c r="C14" s="7">
        <v>309</v>
      </c>
      <c r="D14" s="7">
        <v>383</v>
      </c>
      <c r="E14" s="8">
        <f t="shared" si="4"/>
        <v>44.653179190751445</v>
      </c>
      <c r="F14" s="7">
        <v>4</v>
      </c>
      <c r="G14" s="7">
        <v>5</v>
      </c>
      <c r="H14" s="8">
        <f t="shared" si="5"/>
        <v>44.444444444444443</v>
      </c>
    </row>
    <row r="15" spans="1:27" ht="15.75" customHeight="1" x14ac:dyDescent="0.3">
      <c r="A15" s="5">
        <v>10405</v>
      </c>
      <c r="B15" s="6" t="s">
        <v>33</v>
      </c>
      <c r="C15" s="7">
        <v>52</v>
      </c>
      <c r="D15" s="7">
        <v>45</v>
      </c>
      <c r="E15" s="8">
        <f t="shared" si="4"/>
        <v>53.608247422680414</v>
      </c>
      <c r="F15" s="7">
        <v>6</v>
      </c>
      <c r="G15" s="7">
        <v>7</v>
      </c>
      <c r="H15" s="8">
        <f t="shared" si="5"/>
        <v>46.153846153846153</v>
      </c>
    </row>
    <row r="16" spans="1:27" ht="15.75" customHeight="1" x14ac:dyDescent="0.3">
      <c r="A16" s="5">
        <v>10501</v>
      </c>
      <c r="B16" s="6" t="s">
        <v>34</v>
      </c>
      <c r="C16" s="7">
        <v>504</v>
      </c>
      <c r="D16" s="7">
        <v>612</v>
      </c>
      <c r="E16" s="8">
        <f t="shared" si="4"/>
        <v>45.161290322580641</v>
      </c>
      <c r="F16" s="7">
        <v>327</v>
      </c>
      <c r="G16" s="7">
        <v>322</v>
      </c>
      <c r="H16" s="8">
        <f t="shared" si="5"/>
        <v>50.385208012326657</v>
      </c>
    </row>
    <row r="17" spans="1:8" ht="15.75" customHeight="1" x14ac:dyDescent="0.3">
      <c r="A17" s="5">
        <v>10502</v>
      </c>
      <c r="B17" s="6" t="s">
        <v>35</v>
      </c>
      <c r="C17" s="7">
        <v>204</v>
      </c>
      <c r="D17" s="7">
        <v>210</v>
      </c>
      <c r="E17" s="8">
        <f t="shared" si="4"/>
        <v>49.275362318840585</v>
      </c>
      <c r="F17" s="7">
        <v>3</v>
      </c>
      <c r="G17" s="7">
        <v>2</v>
      </c>
      <c r="H17" s="8">
        <f t="shared" si="5"/>
        <v>60</v>
      </c>
    </row>
    <row r="18" spans="1:8" ht="15.75" customHeight="1" x14ac:dyDescent="0.3">
      <c r="A18" s="5">
        <v>10601</v>
      </c>
      <c r="B18" s="6" t="s">
        <v>36</v>
      </c>
      <c r="C18" s="7">
        <v>27</v>
      </c>
      <c r="D18" s="7">
        <v>28</v>
      </c>
      <c r="E18" s="8">
        <f t="shared" si="4"/>
        <v>49.090909090909093</v>
      </c>
      <c r="F18" s="7">
        <v>305</v>
      </c>
      <c r="G18" s="7">
        <v>403</v>
      </c>
      <c r="H18" s="8">
        <f t="shared" si="5"/>
        <v>43.079096045197737</v>
      </c>
    </row>
    <row r="19" spans="1:8" ht="15.75" customHeight="1" x14ac:dyDescent="0.3">
      <c r="A19" s="5">
        <v>10602</v>
      </c>
      <c r="B19" s="6" t="s">
        <v>37</v>
      </c>
      <c r="C19" s="7">
        <v>2679</v>
      </c>
      <c r="D19" s="7">
        <v>3686</v>
      </c>
      <c r="E19" s="8">
        <f t="shared" si="4"/>
        <v>42.089552238805972</v>
      </c>
      <c r="F19" s="7">
        <v>0</v>
      </c>
      <c r="G19" s="7">
        <v>0</v>
      </c>
      <c r="H19" s="8">
        <f t="shared" si="5"/>
        <v>0</v>
      </c>
    </row>
    <row r="20" spans="1:8" ht="15.75" customHeight="1" x14ac:dyDescent="0.3">
      <c r="A20" s="5">
        <v>10701</v>
      </c>
      <c r="B20" s="6" t="s">
        <v>38</v>
      </c>
      <c r="C20" s="7">
        <v>7127</v>
      </c>
      <c r="D20" s="7">
        <v>8522</v>
      </c>
      <c r="E20" s="8">
        <f t="shared" si="4"/>
        <v>45.542846188254842</v>
      </c>
      <c r="F20" s="7">
        <v>37</v>
      </c>
      <c r="G20" s="7">
        <v>19</v>
      </c>
      <c r="H20" s="8">
        <f t="shared" si="5"/>
        <v>66.071428571428569</v>
      </c>
    </row>
    <row r="21" spans="1:8" ht="15.75" customHeight="1" x14ac:dyDescent="0.3">
      <c r="A21" s="5">
        <v>10702</v>
      </c>
      <c r="B21" s="6" t="s">
        <v>39</v>
      </c>
      <c r="C21" s="7">
        <v>7</v>
      </c>
      <c r="D21" s="7">
        <v>12</v>
      </c>
      <c r="E21" s="8">
        <f t="shared" si="4"/>
        <v>36.84210526315789</v>
      </c>
      <c r="F21" s="7">
        <v>135</v>
      </c>
      <c r="G21" s="7">
        <v>216</v>
      </c>
      <c r="H21" s="8">
        <f t="shared" si="5"/>
        <v>38.461538461538467</v>
      </c>
    </row>
    <row r="22" spans="1:8" ht="15.75" customHeight="1" x14ac:dyDescent="0.3">
      <c r="A22" s="5">
        <v>10703</v>
      </c>
      <c r="B22" s="6" t="s">
        <v>40</v>
      </c>
      <c r="C22" s="7">
        <v>433</v>
      </c>
      <c r="D22" s="7">
        <v>597</v>
      </c>
      <c r="E22" s="8">
        <f t="shared" si="4"/>
        <v>42.038834951456309</v>
      </c>
      <c r="F22" s="7">
        <v>59</v>
      </c>
      <c r="G22" s="7">
        <v>52</v>
      </c>
      <c r="H22" s="8">
        <f t="shared" si="5"/>
        <v>53.153153153153156</v>
      </c>
    </row>
    <row r="23" spans="1:8" ht="15.75" customHeight="1" x14ac:dyDescent="0.3">
      <c r="A23" s="5">
        <v>10704</v>
      </c>
      <c r="B23" s="6" t="s">
        <v>41</v>
      </c>
      <c r="C23" s="7">
        <v>0</v>
      </c>
      <c r="D23" s="7">
        <v>0</v>
      </c>
      <c r="E23" s="8">
        <f t="shared" si="4"/>
        <v>0</v>
      </c>
      <c r="F23" s="7">
        <v>165</v>
      </c>
      <c r="G23" s="7">
        <v>186</v>
      </c>
      <c r="H23" s="8">
        <f t="shared" si="5"/>
        <v>47.008547008547005</v>
      </c>
    </row>
    <row r="24" spans="1:8" ht="15.75" customHeight="1" x14ac:dyDescent="0.3">
      <c r="A24" s="5">
        <v>10801</v>
      </c>
      <c r="B24" s="6" t="s">
        <v>42</v>
      </c>
      <c r="C24" s="7">
        <v>4710</v>
      </c>
      <c r="D24" s="7">
        <v>6716</v>
      </c>
      <c r="E24" s="8">
        <f t="shared" si="4"/>
        <v>41.221774899352354</v>
      </c>
      <c r="F24" s="7">
        <v>19</v>
      </c>
      <c r="G24" s="7">
        <v>13</v>
      </c>
      <c r="H24" s="8">
        <f t="shared" si="5"/>
        <v>59.375</v>
      </c>
    </row>
    <row r="25" spans="1:8" ht="15.75" customHeight="1" x14ac:dyDescent="0.3">
      <c r="A25" s="5">
        <v>10901</v>
      </c>
      <c r="B25" s="6" t="s">
        <v>43</v>
      </c>
      <c r="C25" s="7">
        <v>115</v>
      </c>
      <c r="D25" s="7">
        <v>137</v>
      </c>
      <c r="E25" s="8">
        <f t="shared" si="4"/>
        <v>45.634920634920633</v>
      </c>
      <c r="F25" s="7">
        <v>0</v>
      </c>
      <c r="G25" s="7">
        <v>0</v>
      </c>
      <c r="H25" s="8">
        <f t="shared" si="5"/>
        <v>0</v>
      </c>
    </row>
    <row r="26" spans="1:8" ht="15.75" customHeight="1" x14ac:dyDescent="0.3">
      <c r="A26" s="5">
        <v>10902</v>
      </c>
      <c r="B26" s="6" t="s">
        <v>44</v>
      </c>
      <c r="C26" s="7">
        <v>4057</v>
      </c>
      <c r="D26" s="7">
        <v>5410</v>
      </c>
      <c r="E26" s="8">
        <f t="shared" si="4"/>
        <v>42.854124854758638</v>
      </c>
      <c r="F26" s="7">
        <v>3</v>
      </c>
      <c r="G26" s="7">
        <v>5</v>
      </c>
      <c r="H26" s="8">
        <f t="shared" si="5"/>
        <v>37.5</v>
      </c>
    </row>
    <row r="27" spans="1:8" ht="15.75" customHeight="1" x14ac:dyDescent="0.3">
      <c r="A27" s="5">
        <v>10903</v>
      </c>
      <c r="B27" s="6" t="s">
        <v>45</v>
      </c>
      <c r="C27" s="7">
        <v>181</v>
      </c>
      <c r="D27" s="7">
        <v>154</v>
      </c>
      <c r="E27" s="8">
        <f t="shared" si="4"/>
        <v>54.029850746268657</v>
      </c>
      <c r="F27" s="7">
        <v>8</v>
      </c>
      <c r="G27" s="7">
        <v>33</v>
      </c>
      <c r="H27" s="8">
        <f t="shared" si="5"/>
        <v>19.512195121951219</v>
      </c>
    </row>
    <row r="28" spans="1:8" ht="15.75" customHeight="1" x14ac:dyDescent="0.3">
      <c r="A28" s="5">
        <v>11001</v>
      </c>
      <c r="B28" s="6" t="s">
        <v>46</v>
      </c>
      <c r="C28" s="7">
        <v>313</v>
      </c>
      <c r="D28" s="7">
        <v>458</v>
      </c>
      <c r="E28" s="8">
        <f t="shared" si="4"/>
        <v>40.596627756160828</v>
      </c>
      <c r="F28" s="7">
        <v>104</v>
      </c>
      <c r="G28" s="7">
        <v>103</v>
      </c>
      <c r="H28" s="8">
        <f t="shared" si="5"/>
        <v>50.24154589371981</v>
      </c>
    </row>
    <row r="29" spans="1:8" ht="15.75" customHeight="1" x14ac:dyDescent="0.3">
      <c r="A29" s="5">
        <v>11002</v>
      </c>
      <c r="B29" s="6" t="s">
        <v>47</v>
      </c>
      <c r="C29" s="7">
        <v>13</v>
      </c>
      <c r="D29" s="7">
        <v>15</v>
      </c>
      <c r="E29" s="8">
        <f t="shared" si="4"/>
        <v>46.428571428571431</v>
      </c>
      <c r="F29" s="7">
        <v>7</v>
      </c>
      <c r="G29" s="7">
        <v>7</v>
      </c>
      <c r="H29" s="8">
        <f t="shared" si="5"/>
        <v>50</v>
      </c>
    </row>
    <row r="30" spans="1:8" ht="15.75" customHeight="1" x14ac:dyDescent="0.3">
      <c r="A30" s="5">
        <v>11003</v>
      </c>
      <c r="B30" s="6" t="s">
        <v>48</v>
      </c>
      <c r="C30" s="7">
        <v>123</v>
      </c>
      <c r="D30" s="7">
        <v>164</v>
      </c>
      <c r="E30" s="8">
        <f t="shared" si="4"/>
        <v>42.857142857142854</v>
      </c>
      <c r="F30" s="7">
        <v>17</v>
      </c>
      <c r="G30" s="7">
        <v>20</v>
      </c>
      <c r="H30" s="8">
        <f t="shared" si="5"/>
        <v>45.945945945945951</v>
      </c>
    </row>
    <row r="31" spans="1:8" ht="14.4" x14ac:dyDescent="0.3">
      <c r="A31" s="5">
        <v>20101</v>
      </c>
      <c r="B31" s="6" t="s">
        <v>49</v>
      </c>
      <c r="C31" s="7">
        <v>1</v>
      </c>
      <c r="D31" s="7">
        <v>2</v>
      </c>
      <c r="E31" s="8">
        <f t="shared" si="4"/>
        <v>33.333333333333329</v>
      </c>
      <c r="F31" s="7">
        <v>188</v>
      </c>
      <c r="G31" s="7">
        <v>264</v>
      </c>
      <c r="H31" s="8">
        <f t="shared" si="5"/>
        <v>41.592920353982301</v>
      </c>
    </row>
    <row r="32" spans="1:8" ht="14.4" x14ac:dyDescent="0.3">
      <c r="A32" s="5">
        <v>20102</v>
      </c>
      <c r="B32" s="6" t="s">
        <v>50</v>
      </c>
      <c r="C32" s="7">
        <v>0</v>
      </c>
      <c r="D32" s="7">
        <v>0</v>
      </c>
      <c r="E32" s="8">
        <f t="shared" si="4"/>
        <v>0</v>
      </c>
      <c r="F32" s="7">
        <v>6245</v>
      </c>
      <c r="G32" s="7">
        <v>6990</v>
      </c>
      <c r="H32" s="8">
        <f t="shared" si="5"/>
        <v>47.185493010955796</v>
      </c>
    </row>
    <row r="33" spans="1:8" ht="14.4" x14ac:dyDescent="0.3">
      <c r="A33" s="5">
        <v>20103</v>
      </c>
      <c r="B33" s="6" t="s">
        <v>51</v>
      </c>
      <c r="C33" s="7">
        <v>2</v>
      </c>
      <c r="D33" s="7">
        <v>1</v>
      </c>
      <c r="E33" s="8">
        <f t="shared" si="4"/>
        <v>66.666666666666657</v>
      </c>
      <c r="F33" s="7">
        <v>4214</v>
      </c>
      <c r="G33" s="7">
        <v>5745</v>
      </c>
      <c r="H33" s="8">
        <f t="shared" si="5"/>
        <v>42.313485289687719</v>
      </c>
    </row>
    <row r="34" spans="1:8" ht="14.4" x14ac:dyDescent="0.3">
      <c r="A34" s="5">
        <v>20104</v>
      </c>
      <c r="B34" s="6" t="s">
        <v>52</v>
      </c>
      <c r="C34" s="7">
        <v>0</v>
      </c>
      <c r="D34" s="7">
        <v>0</v>
      </c>
      <c r="E34" s="8">
        <f t="shared" si="4"/>
        <v>0</v>
      </c>
      <c r="F34" s="7">
        <v>8</v>
      </c>
      <c r="G34" s="7">
        <v>10</v>
      </c>
      <c r="H34" s="8">
        <f t="shared" si="5"/>
        <v>44.444444444444443</v>
      </c>
    </row>
    <row r="35" spans="1:8" ht="14.4" x14ac:dyDescent="0.3">
      <c r="A35" s="5">
        <v>20105</v>
      </c>
      <c r="B35" s="6" t="s">
        <v>53</v>
      </c>
      <c r="C35" s="7">
        <v>4</v>
      </c>
      <c r="D35" s="7">
        <v>2</v>
      </c>
      <c r="E35" s="8">
        <f t="shared" si="4"/>
        <v>66.666666666666657</v>
      </c>
      <c r="F35" s="7">
        <v>889</v>
      </c>
      <c r="G35" s="7">
        <v>854</v>
      </c>
      <c r="H35" s="8">
        <f t="shared" si="5"/>
        <v>51.00401606425703</v>
      </c>
    </row>
    <row r="36" spans="1:8" ht="14.4" x14ac:dyDescent="0.3">
      <c r="A36" s="5">
        <v>20201</v>
      </c>
      <c r="B36" s="6" t="s">
        <v>54</v>
      </c>
      <c r="C36" s="7">
        <v>1</v>
      </c>
      <c r="D36" s="7">
        <v>0</v>
      </c>
      <c r="E36" s="8">
        <f t="shared" si="4"/>
        <v>100</v>
      </c>
      <c r="F36" s="7">
        <v>3476</v>
      </c>
      <c r="G36" s="7">
        <v>3992</v>
      </c>
      <c r="H36" s="8">
        <f t="shared" si="5"/>
        <v>46.545259775040172</v>
      </c>
    </row>
    <row r="37" spans="1:8" ht="14.4" x14ac:dyDescent="0.3">
      <c r="A37" s="5">
        <v>20202</v>
      </c>
      <c r="B37" s="6" t="s">
        <v>55</v>
      </c>
      <c r="C37" s="7">
        <v>0</v>
      </c>
      <c r="D37" s="7">
        <v>0</v>
      </c>
      <c r="E37" s="8">
        <f t="shared" si="4"/>
        <v>0</v>
      </c>
      <c r="F37" s="7">
        <v>741</v>
      </c>
      <c r="G37" s="7">
        <v>1003</v>
      </c>
      <c r="H37" s="8">
        <f t="shared" si="5"/>
        <v>42.488532110091739</v>
      </c>
    </row>
    <row r="38" spans="1:8" ht="14.4" x14ac:dyDescent="0.3">
      <c r="A38" s="5">
        <v>20203</v>
      </c>
      <c r="B38" s="6" t="s">
        <v>56</v>
      </c>
      <c r="C38" s="7">
        <v>0</v>
      </c>
      <c r="D38" s="7">
        <v>0</v>
      </c>
      <c r="E38" s="8">
        <f t="shared" si="4"/>
        <v>0</v>
      </c>
      <c r="F38" s="7">
        <v>178</v>
      </c>
      <c r="G38" s="7">
        <v>183</v>
      </c>
      <c r="H38" s="8">
        <f t="shared" si="5"/>
        <v>49.307479224376735</v>
      </c>
    </row>
    <row r="39" spans="1:8" ht="14.4" x14ac:dyDescent="0.3">
      <c r="A39" s="5">
        <v>20204</v>
      </c>
      <c r="B39" s="6" t="s">
        <v>57</v>
      </c>
      <c r="C39" s="7">
        <v>1</v>
      </c>
      <c r="D39" s="7">
        <v>1</v>
      </c>
      <c r="E39" s="8">
        <f t="shared" si="4"/>
        <v>50</v>
      </c>
      <c r="F39" s="7">
        <v>985</v>
      </c>
      <c r="G39" s="7">
        <v>866</v>
      </c>
      <c r="H39" s="8">
        <f t="shared" si="5"/>
        <v>53.214478660183687</v>
      </c>
    </row>
    <row r="40" spans="1:8" ht="14.4" x14ac:dyDescent="0.3">
      <c r="A40" s="5">
        <v>20205</v>
      </c>
      <c r="B40" s="6" t="s">
        <v>58</v>
      </c>
      <c r="C40" s="7">
        <v>0</v>
      </c>
      <c r="D40" s="7">
        <v>0</v>
      </c>
      <c r="E40" s="8">
        <f t="shared" si="4"/>
        <v>0</v>
      </c>
      <c r="F40" s="7">
        <v>1712</v>
      </c>
      <c r="G40" s="7">
        <v>1705</v>
      </c>
      <c r="H40" s="8">
        <f t="shared" si="5"/>
        <v>50.102429031314024</v>
      </c>
    </row>
    <row r="41" spans="1:8" ht="14.4" x14ac:dyDescent="0.3">
      <c r="A41" s="5">
        <v>20206</v>
      </c>
      <c r="B41" s="6" t="s">
        <v>59</v>
      </c>
      <c r="C41" s="7">
        <v>0</v>
      </c>
      <c r="D41" s="7">
        <v>0</v>
      </c>
      <c r="E41" s="8">
        <f t="shared" si="4"/>
        <v>0</v>
      </c>
      <c r="F41" s="7">
        <v>155</v>
      </c>
      <c r="G41" s="7">
        <v>167</v>
      </c>
      <c r="H41" s="8">
        <f t="shared" si="5"/>
        <v>48.136645962732921</v>
      </c>
    </row>
    <row r="42" spans="1:8" ht="14.4" x14ac:dyDescent="0.3">
      <c r="A42" s="5">
        <v>20301</v>
      </c>
      <c r="B42" s="6" t="s">
        <v>60</v>
      </c>
      <c r="C42" s="7">
        <v>0</v>
      </c>
      <c r="D42" s="7">
        <v>0</v>
      </c>
      <c r="E42" s="8">
        <f t="shared" si="4"/>
        <v>0</v>
      </c>
      <c r="F42" s="7">
        <v>189</v>
      </c>
      <c r="G42" s="7">
        <v>160</v>
      </c>
      <c r="H42" s="8">
        <f t="shared" si="5"/>
        <v>54.154727793696281</v>
      </c>
    </row>
    <row r="43" spans="1:8" ht="14.4" x14ac:dyDescent="0.3">
      <c r="A43" s="5">
        <v>20302</v>
      </c>
      <c r="B43" s="6" t="s">
        <v>61</v>
      </c>
      <c r="C43" s="7">
        <v>0</v>
      </c>
      <c r="D43" s="7">
        <v>0</v>
      </c>
      <c r="E43" s="8">
        <f t="shared" si="4"/>
        <v>0</v>
      </c>
      <c r="F43" s="7">
        <v>9</v>
      </c>
      <c r="G43" s="7">
        <v>9</v>
      </c>
      <c r="H43" s="8">
        <f t="shared" si="5"/>
        <v>50</v>
      </c>
    </row>
    <row r="44" spans="1:8" ht="14.4" x14ac:dyDescent="0.3">
      <c r="A44" s="5">
        <v>20303</v>
      </c>
      <c r="B44" s="6" t="s">
        <v>62</v>
      </c>
      <c r="C44" s="7">
        <v>0</v>
      </c>
      <c r="D44" s="7">
        <v>0</v>
      </c>
      <c r="E44" s="8">
        <f t="shared" si="4"/>
        <v>0</v>
      </c>
      <c r="F44" s="7">
        <v>29</v>
      </c>
      <c r="G44" s="7">
        <v>55</v>
      </c>
      <c r="H44" s="8">
        <f t="shared" si="5"/>
        <v>34.523809523809526</v>
      </c>
    </row>
    <row r="45" spans="1:8" ht="14.4" x14ac:dyDescent="0.3">
      <c r="A45" s="5">
        <v>20304</v>
      </c>
      <c r="B45" s="6" t="s">
        <v>63</v>
      </c>
      <c r="C45" s="7">
        <v>0</v>
      </c>
      <c r="D45" s="7">
        <v>0</v>
      </c>
      <c r="E45" s="8">
        <f t="shared" si="4"/>
        <v>0</v>
      </c>
      <c r="F45" s="7">
        <v>295</v>
      </c>
      <c r="G45" s="7">
        <v>298</v>
      </c>
      <c r="H45" s="8">
        <f t="shared" si="5"/>
        <v>49.747048903878586</v>
      </c>
    </row>
    <row r="46" spans="1:8" ht="14.4" x14ac:dyDescent="0.3">
      <c r="A46" s="5">
        <v>20305</v>
      </c>
      <c r="B46" s="6" t="s">
        <v>64</v>
      </c>
      <c r="C46" s="7">
        <v>0</v>
      </c>
      <c r="D46" s="7">
        <v>0</v>
      </c>
      <c r="E46" s="8">
        <f t="shared" si="4"/>
        <v>0</v>
      </c>
      <c r="F46" s="7">
        <v>0</v>
      </c>
      <c r="G46" s="7">
        <v>0</v>
      </c>
      <c r="H46" s="8">
        <f t="shared" si="5"/>
        <v>0</v>
      </c>
    </row>
    <row r="47" spans="1:8" ht="14.4" x14ac:dyDescent="0.3">
      <c r="A47" s="5">
        <v>20306</v>
      </c>
      <c r="B47" s="6" t="s">
        <v>65</v>
      </c>
      <c r="C47" s="7">
        <v>0</v>
      </c>
      <c r="D47" s="7">
        <v>0</v>
      </c>
      <c r="E47" s="8">
        <f t="shared" si="4"/>
        <v>0</v>
      </c>
      <c r="F47" s="7">
        <v>0</v>
      </c>
      <c r="G47" s="7">
        <v>0</v>
      </c>
      <c r="H47" s="8">
        <f t="shared" si="5"/>
        <v>0</v>
      </c>
    </row>
    <row r="48" spans="1:8" ht="14.4" x14ac:dyDescent="0.3">
      <c r="A48" s="5">
        <v>20307</v>
      </c>
      <c r="B48" s="6" t="s">
        <v>66</v>
      </c>
      <c r="C48" s="7">
        <v>0</v>
      </c>
      <c r="D48" s="7">
        <v>0</v>
      </c>
      <c r="E48" s="8">
        <f t="shared" si="4"/>
        <v>0</v>
      </c>
      <c r="F48" s="7">
        <v>0</v>
      </c>
      <c r="G48" s="7">
        <v>0</v>
      </c>
      <c r="H48" s="8">
        <f t="shared" si="5"/>
        <v>0</v>
      </c>
    </row>
    <row r="49" spans="1:8" ht="14.4" x14ac:dyDescent="0.3">
      <c r="A49" s="5">
        <v>20308</v>
      </c>
      <c r="B49" s="6" t="s">
        <v>67</v>
      </c>
      <c r="C49" s="7">
        <v>0</v>
      </c>
      <c r="D49" s="7">
        <v>0</v>
      </c>
      <c r="E49" s="8">
        <f t="shared" si="4"/>
        <v>0</v>
      </c>
      <c r="F49" s="7">
        <v>30</v>
      </c>
      <c r="G49" s="7">
        <v>34</v>
      </c>
      <c r="H49" s="8">
        <f t="shared" si="5"/>
        <v>46.875</v>
      </c>
    </row>
    <row r="50" spans="1:8" ht="14.4" x14ac:dyDescent="0.3">
      <c r="A50" s="5">
        <v>20401</v>
      </c>
      <c r="B50" s="6" t="s">
        <v>68</v>
      </c>
      <c r="C50" s="7">
        <v>0</v>
      </c>
      <c r="D50" s="7">
        <v>0</v>
      </c>
      <c r="E50" s="8">
        <f t="shared" si="4"/>
        <v>0</v>
      </c>
      <c r="F50" s="7">
        <v>0</v>
      </c>
      <c r="G50" s="7">
        <v>5</v>
      </c>
      <c r="H50" s="8">
        <f t="shared" si="5"/>
        <v>0</v>
      </c>
    </row>
    <row r="51" spans="1:8" ht="14.4" x14ac:dyDescent="0.3">
      <c r="A51" s="5">
        <v>20402</v>
      </c>
      <c r="B51" s="6" t="s">
        <v>69</v>
      </c>
      <c r="C51" s="7">
        <v>0</v>
      </c>
      <c r="D51" s="7">
        <v>0</v>
      </c>
      <c r="E51" s="8">
        <f t="shared" si="4"/>
        <v>0</v>
      </c>
      <c r="F51" s="7">
        <v>1256</v>
      </c>
      <c r="G51" s="7">
        <v>1705</v>
      </c>
      <c r="H51" s="8">
        <f t="shared" si="5"/>
        <v>42.41810199257008</v>
      </c>
    </row>
    <row r="52" spans="1:8" ht="14.4" x14ac:dyDescent="0.3">
      <c r="A52" s="5">
        <v>20403</v>
      </c>
      <c r="B52" s="6" t="s">
        <v>70</v>
      </c>
      <c r="C52" s="7">
        <v>0</v>
      </c>
      <c r="D52" s="7">
        <v>0</v>
      </c>
      <c r="E52" s="8">
        <f t="shared" si="4"/>
        <v>0</v>
      </c>
      <c r="F52" s="7">
        <v>3218</v>
      </c>
      <c r="G52" s="7">
        <v>3301</v>
      </c>
      <c r="H52" s="8">
        <f t="shared" si="5"/>
        <v>49.363399294370303</v>
      </c>
    </row>
    <row r="53" spans="1:8" ht="14.4" x14ac:dyDescent="0.3">
      <c r="A53" s="5">
        <v>20404</v>
      </c>
      <c r="B53" s="6" t="s">
        <v>71</v>
      </c>
      <c r="C53" s="7">
        <v>0</v>
      </c>
      <c r="D53" s="7">
        <v>0</v>
      </c>
      <c r="E53" s="8">
        <f t="shared" si="4"/>
        <v>0</v>
      </c>
      <c r="F53" s="7">
        <v>42</v>
      </c>
      <c r="G53" s="7">
        <v>35</v>
      </c>
      <c r="H53" s="8">
        <f t="shared" si="5"/>
        <v>54.54545454545454</v>
      </c>
    </row>
    <row r="54" spans="1:8" ht="14.4" x14ac:dyDescent="0.3">
      <c r="A54" s="5">
        <v>20405</v>
      </c>
      <c r="B54" s="6" t="s">
        <v>72</v>
      </c>
      <c r="C54" s="7">
        <v>0</v>
      </c>
      <c r="D54" s="7">
        <v>0</v>
      </c>
      <c r="E54" s="8">
        <f t="shared" si="4"/>
        <v>0</v>
      </c>
      <c r="F54" s="7">
        <v>0</v>
      </c>
      <c r="G54" s="7">
        <v>11</v>
      </c>
      <c r="H54" s="8">
        <f t="shared" si="5"/>
        <v>0</v>
      </c>
    </row>
    <row r="55" spans="1:8" ht="14.4" x14ac:dyDescent="0.3">
      <c r="A55" s="5">
        <v>20501</v>
      </c>
      <c r="B55" s="6" t="s">
        <v>73</v>
      </c>
      <c r="C55" s="7">
        <v>1</v>
      </c>
      <c r="D55" s="7">
        <v>1</v>
      </c>
      <c r="E55" s="8">
        <f t="shared" si="4"/>
        <v>50</v>
      </c>
      <c r="F55" s="7">
        <v>3765</v>
      </c>
      <c r="G55" s="7">
        <v>4342</v>
      </c>
      <c r="H55" s="8">
        <f t="shared" si="5"/>
        <v>46.441346984087829</v>
      </c>
    </row>
    <row r="56" spans="1:8" ht="14.4" x14ac:dyDescent="0.3">
      <c r="A56" s="5">
        <v>20502</v>
      </c>
      <c r="B56" s="6" t="s">
        <v>74</v>
      </c>
      <c r="C56" s="7">
        <v>0</v>
      </c>
      <c r="D56" s="7">
        <v>0</v>
      </c>
      <c r="E56" s="8">
        <f t="shared" si="4"/>
        <v>0</v>
      </c>
      <c r="F56" s="7">
        <v>2045</v>
      </c>
      <c r="G56" s="7">
        <v>2472</v>
      </c>
      <c r="H56" s="8">
        <f t="shared" si="5"/>
        <v>45.273411556342708</v>
      </c>
    </row>
    <row r="57" spans="1:8" ht="14.4" x14ac:dyDescent="0.3">
      <c r="A57" s="5">
        <v>20503</v>
      </c>
      <c r="B57" s="6" t="s">
        <v>75</v>
      </c>
      <c r="C57" s="7">
        <v>0</v>
      </c>
      <c r="D57" s="7">
        <v>0</v>
      </c>
      <c r="E57" s="8">
        <f t="shared" si="4"/>
        <v>0</v>
      </c>
      <c r="F57" s="7">
        <v>168</v>
      </c>
      <c r="G57" s="7">
        <v>378</v>
      </c>
      <c r="H57" s="8">
        <f t="shared" si="5"/>
        <v>30.76923076923077</v>
      </c>
    </row>
    <row r="58" spans="1:8" ht="14.4" x14ac:dyDescent="0.3">
      <c r="A58" s="5">
        <v>20601</v>
      </c>
      <c r="B58" s="6" t="s">
        <v>76</v>
      </c>
      <c r="C58" s="7">
        <v>12</v>
      </c>
      <c r="D58" s="7">
        <v>15</v>
      </c>
      <c r="E58" s="8">
        <f t="shared" si="4"/>
        <v>44.444444444444443</v>
      </c>
      <c r="F58" s="7">
        <v>4459</v>
      </c>
      <c r="G58" s="7">
        <v>5127</v>
      </c>
      <c r="H58" s="8">
        <f t="shared" si="5"/>
        <v>46.515752138535369</v>
      </c>
    </row>
    <row r="59" spans="1:8" ht="14.4" x14ac:dyDescent="0.3">
      <c r="A59" s="5">
        <v>20602</v>
      </c>
      <c r="B59" s="6" t="s">
        <v>77</v>
      </c>
      <c r="C59" s="7">
        <v>1</v>
      </c>
      <c r="D59" s="7">
        <v>3</v>
      </c>
      <c r="E59" s="8">
        <f t="shared" si="4"/>
        <v>25</v>
      </c>
      <c r="F59" s="7">
        <v>0</v>
      </c>
      <c r="G59" s="7">
        <v>1</v>
      </c>
      <c r="H59" s="8">
        <f t="shared" si="5"/>
        <v>0</v>
      </c>
    </row>
    <row r="60" spans="1:8" ht="14.4" x14ac:dyDescent="0.3">
      <c r="A60" s="5">
        <v>20603</v>
      </c>
      <c r="B60" s="6" t="s">
        <v>78</v>
      </c>
      <c r="C60" s="7">
        <v>1</v>
      </c>
      <c r="D60" s="7">
        <v>1</v>
      </c>
      <c r="E60" s="8">
        <f t="shared" si="4"/>
        <v>50</v>
      </c>
      <c r="F60" s="7">
        <v>460</v>
      </c>
      <c r="G60" s="7">
        <v>625</v>
      </c>
      <c r="H60" s="8">
        <f t="shared" si="5"/>
        <v>42.396313364055302</v>
      </c>
    </row>
    <row r="61" spans="1:8" ht="14.4" x14ac:dyDescent="0.3">
      <c r="A61" s="5">
        <v>20604</v>
      </c>
      <c r="B61" s="6" t="s">
        <v>79</v>
      </c>
      <c r="C61" s="7">
        <v>0</v>
      </c>
      <c r="D61" s="7">
        <v>0</v>
      </c>
      <c r="E61" s="8">
        <f t="shared" si="4"/>
        <v>0</v>
      </c>
      <c r="F61" s="7">
        <v>1427</v>
      </c>
      <c r="G61" s="7">
        <v>2180</v>
      </c>
      <c r="H61" s="8">
        <f t="shared" si="5"/>
        <v>39.561962850013863</v>
      </c>
    </row>
    <row r="62" spans="1:8" ht="14.4" x14ac:dyDescent="0.3">
      <c r="A62" s="5">
        <v>20605</v>
      </c>
      <c r="B62" s="6" t="s">
        <v>80</v>
      </c>
      <c r="C62" s="7">
        <v>0</v>
      </c>
      <c r="D62" s="7">
        <v>0</v>
      </c>
      <c r="E62" s="8">
        <f t="shared" si="4"/>
        <v>0</v>
      </c>
      <c r="F62" s="7">
        <v>394</v>
      </c>
      <c r="G62" s="7">
        <v>779</v>
      </c>
      <c r="H62" s="8">
        <f t="shared" si="5"/>
        <v>33.589087809036663</v>
      </c>
    </row>
    <row r="63" spans="1:8" ht="14.4" x14ac:dyDescent="0.3">
      <c r="A63" s="5">
        <v>20606</v>
      </c>
      <c r="B63" s="6" t="s">
        <v>81</v>
      </c>
      <c r="C63" s="7">
        <v>0</v>
      </c>
      <c r="D63" s="7">
        <v>0</v>
      </c>
      <c r="E63" s="8">
        <f t="shared" si="4"/>
        <v>0</v>
      </c>
      <c r="F63" s="7">
        <v>0</v>
      </c>
      <c r="G63" s="7">
        <v>0</v>
      </c>
      <c r="H63" s="8">
        <f t="shared" si="5"/>
        <v>0</v>
      </c>
    </row>
    <row r="64" spans="1:8" ht="14.4" x14ac:dyDescent="0.3">
      <c r="A64" s="5">
        <v>20607</v>
      </c>
      <c r="B64" s="6" t="s">
        <v>82</v>
      </c>
      <c r="C64" s="7">
        <v>5</v>
      </c>
      <c r="D64" s="7">
        <v>7</v>
      </c>
      <c r="E64" s="8">
        <f t="shared" si="4"/>
        <v>41.666666666666671</v>
      </c>
      <c r="F64" s="7">
        <v>0</v>
      </c>
      <c r="G64" s="7">
        <v>0</v>
      </c>
      <c r="H64" s="8">
        <f t="shared" si="5"/>
        <v>0</v>
      </c>
    </row>
    <row r="65" spans="1:8" ht="14.4" x14ac:dyDescent="0.3">
      <c r="A65" s="5">
        <v>20608</v>
      </c>
      <c r="B65" s="6" t="s">
        <v>83</v>
      </c>
      <c r="C65" s="7">
        <v>3</v>
      </c>
      <c r="D65" s="7">
        <v>17</v>
      </c>
      <c r="E65" s="8">
        <f t="shared" si="4"/>
        <v>15</v>
      </c>
      <c r="F65" s="7">
        <v>166</v>
      </c>
      <c r="G65" s="7">
        <v>210</v>
      </c>
      <c r="H65" s="8">
        <f t="shared" si="5"/>
        <v>44.148936170212764</v>
      </c>
    </row>
    <row r="66" spans="1:8" ht="14.4" x14ac:dyDescent="0.3">
      <c r="A66" s="5">
        <v>20701</v>
      </c>
      <c r="B66" s="6" t="s">
        <v>84</v>
      </c>
      <c r="C66" s="7">
        <v>0</v>
      </c>
      <c r="D66" s="7">
        <v>2</v>
      </c>
      <c r="E66" s="8">
        <f t="shared" si="4"/>
        <v>0</v>
      </c>
      <c r="F66" s="7">
        <v>1</v>
      </c>
      <c r="G66" s="7">
        <v>4</v>
      </c>
      <c r="H66" s="8">
        <f t="shared" si="5"/>
        <v>20</v>
      </c>
    </row>
    <row r="67" spans="1:8" ht="14.4" x14ac:dyDescent="0.3">
      <c r="A67" s="5">
        <v>20702</v>
      </c>
      <c r="B67" s="6" t="s">
        <v>85</v>
      </c>
      <c r="C67" s="7">
        <v>11</v>
      </c>
      <c r="D67" s="7">
        <v>13</v>
      </c>
      <c r="E67" s="8">
        <f t="shared" ref="E67:E130" si="26">IF(D67+C67=0,0,100*(C67/(C67+D67)))</f>
        <v>45.833333333333329</v>
      </c>
      <c r="F67" s="7">
        <v>0</v>
      </c>
      <c r="G67" s="7">
        <v>0</v>
      </c>
      <c r="H67" s="8">
        <f t="shared" ref="H67:H130" si="27">IF(G67+F67=0,0,100*(F67/(F67+G67)))</f>
        <v>0</v>
      </c>
    </row>
    <row r="68" spans="1:8" ht="14.4" x14ac:dyDescent="0.3">
      <c r="A68" s="5">
        <v>20801</v>
      </c>
      <c r="B68" s="6" t="s">
        <v>86</v>
      </c>
      <c r="C68" s="7">
        <v>3263</v>
      </c>
      <c r="D68" s="7">
        <v>4043</v>
      </c>
      <c r="E68" s="8">
        <f t="shared" si="26"/>
        <v>44.661921708185055</v>
      </c>
      <c r="F68" s="7">
        <v>1665</v>
      </c>
      <c r="G68" s="7">
        <v>1594</v>
      </c>
      <c r="H68" s="8">
        <f t="shared" si="27"/>
        <v>51.089291193617669</v>
      </c>
    </row>
    <row r="69" spans="1:8" ht="14.4" x14ac:dyDescent="0.3">
      <c r="A69" s="5">
        <v>20802</v>
      </c>
      <c r="B69" s="6" t="s">
        <v>87</v>
      </c>
      <c r="C69" s="7">
        <v>1016</v>
      </c>
      <c r="D69" s="7">
        <v>1193</v>
      </c>
      <c r="E69" s="8">
        <f t="shared" si="26"/>
        <v>45.993662290629246</v>
      </c>
      <c r="F69" s="7">
        <v>2840</v>
      </c>
      <c r="G69" s="7">
        <v>2356</v>
      </c>
      <c r="H69" s="8">
        <f t="shared" si="27"/>
        <v>54.657428791377981</v>
      </c>
    </row>
    <row r="70" spans="1:8" ht="14.4" x14ac:dyDescent="0.3">
      <c r="A70" s="5">
        <v>20803</v>
      </c>
      <c r="B70" s="6" t="s">
        <v>88</v>
      </c>
      <c r="C70" s="7">
        <v>3843</v>
      </c>
      <c r="D70" s="7">
        <v>4058</v>
      </c>
      <c r="E70" s="8">
        <f t="shared" si="26"/>
        <v>48.639412732565496</v>
      </c>
      <c r="F70" s="7">
        <v>0</v>
      </c>
      <c r="G70" s="7">
        <v>0</v>
      </c>
      <c r="H70" s="8">
        <f t="shared" si="27"/>
        <v>0</v>
      </c>
    </row>
    <row r="71" spans="1:8" ht="14.4" x14ac:dyDescent="0.3">
      <c r="A71" s="5">
        <v>20804</v>
      </c>
      <c r="B71" s="6" t="s">
        <v>89</v>
      </c>
      <c r="C71" s="7">
        <v>0</v>
      </c>
      <c r="D71" s="7">
        <v>0</v>
      </c>
      <c r="E71" s="8">
        <f t="shared" si="26"/>
        <v>0</v>
      </c>
      <c r="F71" s="7">
        <v>1200</v>
      </c>
      <c r="G71" s="7">
        <v>978</v>
      </c>
      <c r="H71" s="8">
        <f t="shared" si="27"/>
        <v>55.096418732782368</v>
      </c>
    </row>
    <row r="72" spans="1:8" ht="14.4" x14ac:dyDescent="0.3">
      <c r="A72" s="5">
        <v>20805</v>
      </c>
      <c r="B72" s="6" t="s">
        <v>90</v>
      </c>
      <c r="C72" s="7">
        <v>1</v>
      </c>
      <c r="D72" s="7">
        <v>0</v>
      </c>
      <c r="E72" s="8">
        <f t="shared" si="26"/>
        <v>100</v>
      </c>
      <c r="F72" s="7">
        <v>5</v>
      </c>
      <c r="G72" s="7">
        <v>2</v>
      </c>
      <c r="H72" s="8">
        <f t="shared" si="27"/>
        <v>71.428571428571431</v>
      </c>
    </row>
    <row r="73" spans="1:8" ht="14.4" x14ac:dyDescent="0.3">
      <c r="A73" s="5">
        <v>20806</v>
      </c>
      <c r="B73" s="6" t="s">
        <v>91</v>
      </c>
      <c r="C73" s="7">
        <v>0</v>
      </c>
      <c r="D73" s="7">
        <v>0</v>
      </c>
      <c r="E73" s="8">
        <f t="shared" si="26"/>
        <v>0</v>
      </c>
      <c r="F73" s="7">
        <v>0</v>
      </c>
      <c r="G73" s="7">
        <v>0</v>
      </c>
      <c r="H73" s="8">
        <f t="shared" si="27"/>
        <v>0</v>
      </c>
    </row>
    <row r="74" spans="1:8" ht="14.4" x14ac:dyDescent="0.3">
      <c r="A74" s="5">
        <v>20807</v>
      </c>
      <c r="B74" s="6" t="s">
        <v>92</v>
      </c>
      <c r="C74" s="7">
        <v>604</v>
      </c>
      <c r="D74" s="7">
        <v>667</v>
      </c>
      <c r="E74" s="8">
        <f t="shared" si="26"/>
        <v>47.521636506687649</v>
      </c>
      <c r="F74" s="7">
        <v>4</v>
      </c>
      <c r="G74" s="7">
        <v>5</v>
      </c>
      <c r="H74" s="8">
        <f t="shared" si="27"/>
        <v>44.444444444444443</v>
      </c>
    </row>
    <row r="75" spans="1:8" ht="14.4" x14ac:dyDescent="0.3">
      <c r="A75" s="5">
        <v>20901</v>
      </c>
      <c r="B75" s="6" t="s">
        <v>93</v>
      </c>
      <c r="C75" s="7">
        <v>3</v>
      </c>
      <c r="D75" s="7">
        <v>2</v>
      </c>
      <c r="E75" s="8">
        <f t="shared" si="26"/>
        <v>60</v>
      </c>
      <c r="F75" s="7">
        <v>265</v>
      </c>
      <c r="G75" s="7">
        <v>277</v>
      </c>
      <c r="H75" s="8">
        <f t="shared" si="27"/>
        <v>48.892988929889299</v>
      </c>
    </row>
    <row r="76" spans="1:8" ht="14.4" x14ac:dyDescent="0.3">
      <c r="A76" s="5">
        <v>20902</v>
      </c>
      <c r="B76" s="6" t="s">
        <v>94</v>
      </c>
      <c r="C76" s="7">
        <v>108</v>
      </c>
      <c r="D76" s="7">
        <v>139</v>
      </c>
      <c r="E76" s="8">
        <f t="shared" si="26"/>
        <v>43.724696356275302</v>
      </c>
      <c r="F76" s="7">
        <v>2628</v>
      </c>
      <c r="G76" s="7">
        <v>2798</v>
      </c>
      <c r="H76" s="8">
        <f t="shared" si="27"/>
        <v>48.433468485071877</v>
      </c>
    </row>
    <row r="77" spans="1:8" ht="14.4" x14ac:dyDescent="0.3">
      <c r="A77" s="5">
        <v>20903</v>
      </c>
      <c r="B77" s="6" t="s">
        <v>95</v>
      </c>
      <c r="C77" s="7">
        <v>0</v>
      </c>
      <c r="D77" s="7">
        <v>0</v>
      </c>
      <c r="E77" s="8">
        <f t="shared" si="26"/>
        <v>0</v>
      </c>
      <c r="F77" s="7">
        <v>158</v>
      </c>
      <c r="G77" s="7">
        <v>353</v>
      </c>
      <c r="H77" s="8">
        <f t="shared" si="27"/>
        <v>30.919765166340508</v>
      </c>
    </row>
    <row r="78" spans="1:8" ht="14.4" x14ac:dyDescent="0.3">
      <c r="A78" s="5">
        <v>20904</v>
      </c>
      <c r="B78" s="6" t="s">
        <v>96</v>
      </c>
      <c r="C78" s="7">
        <v>0</v>
      </c>
      <c r="D78" s="7">
        <v>0</v>
      </c>
      <c r="E78" s="8">
        <f t="shared" si="26"/>
        <v>0</v>
      </c>
      <c r="F78" s="7">
        <v>84</v>
      </c>
      <c r="G78" s="7">
        <v>84</v>
      </c>
      <c r="H78" s="8">
        <f t="shared" si="27"/>
        <v>50</v>
      </c>
    </row>
    <row r="79" spans="1:8" ht="14.4" x14ac:dyDescent="0.3">
      <c r="A79" s="5">
        <v>20905</v>
      </c>
      <c r="B79" s="6" t="s">
        <v>97</v>
      </c>
      <c r="C79" s="7">
        <v>0</v>
      </c>
      <c r="D79" s="7">
        <v>0</v>
      </c>
      <c r="E79" s="8">
        <f t="shared" si="26"/>
        <v>0</v>
      </c>
      <c r="F79" s="7">
        <v>1693</v>
      </c>
      <c r="G79" s="7">
        <v>1734</v>
      </c>
      <c r="H79" s="8">
        <f t="shared" si="27"/>
        <v>49.401809162532828</v>
      </c>
    </row>
    <row r="80" spans="1:8" ht="14.4" x14ac:dyDescent="0.3">
      <c r="A80" s="5">
        <v>21001</v>
      </c>
      <c r="B80" s="6" t="s">
        <v>98</v>
      </c>
      <c r="C80" s="7">
        <v>0</v>
      </c>
      <c r="D80" s="7">
        <v>0</v>
      </c>
      <c r="E80" s="8">
        <f t="shared" si="26"/>
        <v>0</v>
      </c>
      <c r="F80" s="7">
        <v>1351</v>
      </c>
      <c r="G80" s="7">
        <v>2041</v>
      </c>
      <c r="H80" s="8">
        <f t="shared" si="27"/>
        <v>39.829009433962263</v>
      </c>
    </row>
    <row r="81" spans="1:8" ht="14.4" x14ac:dyDescent="0.3">
      <c r="A81" s="5">
        <v>21002</v>
      </c>
      <c r="B81" s="6" t="s">
        <v>99</v>
      </c>
      <c r="C81" s="7">
        <v>30</v>
      </c>
      <c r="D81" s="7">
        <v>54</v>
      </c>
      <c r="E81" s="8">
        <f t="shared" si="26"/>
        <v>35.714285714285715</v>
      </c>
      <c r="F81" s="7">
        <v>31</v>
      </c>
      <c r="G81" s="7">
        <v>37</v>
      </c>
      <c r="H81" s="8">
        <f t="shared" si="27"/>
        <v>45.588235294117645</v>
      </c>
    </row>
    <row r="82" spans="1:8" ht="14.4" x14ac:dyDescent="0.3">
      <c r="A82" s="5">
        <v>21003</v>
      </c>
      <c r="B82" s="6" t="s">
        <v>100</v>
      </c>
      <c r="C82" s="7">
        <v>0</v>
      </c>
      <c r="D82" s="7">
        <v>0</v>
      </c>
      <c r="E82" s="8">
        <f t="shared" si="26"/>
        <v>0</v>
      </c>
      <c r="F82" s="7">
        <v>1466</v>
      </c>
      <c r="G82" s="7">
        <v>1955</v>
      </c>
      <c r="H82" s="8">
        <f t="shared" si="27"/>
        <v>42.852966968722598</v>
      </c>
    </row>
    <row r="83" spans="1:8" ht="14.4" x14ac:dyDescent="0.3">
      <c r="A83" s="5">
        <v>21004</v>
      </c>
      <c r="B83" s="6" t="s">
        <v>101</v>
      </c>
      <c r="C83" s="7">
        <v>0</v>
      </c>
      <c r="D83" s="7">
        <v>0</v>
      </c>
      <c r="E83" s="8">
        <f t="shared" si="26"/>
        <v>0</v>
      </c>
      <c r="F83" s="7">
        <v>279</v>
      </c>
      <c r="G83" s="7">
        <v>449</v>
      </c>
      <c r="H83" s="8">
        <f t="shared" si="27"/>
        <v>38.324175824175825</v>
      </c>
    </row>
    <row r="84" spans="1:8" ht="14.4" x14ac:dyDescent="0.3">
      <c r="A84" s="5">
        <v>21005</v>
      </c>
      <c r="B84" s="6" t="s">
        <v>102</v>
      </c>
      <c r="C84" s="7">
        <v>0</v>
      </c>
      <c r="D84" s="7">
        <v>0</v>
      </c>
      <c r="E84" s="8">
        <f t="shared" si="26"/>
        <v>0</v>
      </c>
      <c r="F84" s="7">
        <v>0</v>
      </c>
      <c r="G84" s="7">
        <v>0</v>
      </c>
      <c r="H84" s="8">
        <f t="shared" si="27"/>
        <v>0</v>
      </c>
    </row>
    <row r="85" spans="1:8" ht="14.4" x14ac:dyDescent="0.3">
      <c r="A85" s="5">
        <v>21006</v>
      </c>
      <c r="B85" s="6" t="s">
        <v>103</v>
      </c>
      <c r="C85" s="7">
        <v>0</v>
      </c>
      <c r="D85" s="7">
        <v>0</v>
      </c>
      <c r="E85" s="8">
        <f t="shared" si="26"/>
        <v>0</v>
      </c>
      <c r="F85" s="7">
        <v>322</v>
      </c>
      <c r="G85" s="7">
        <v>510</v>
      </c>
      <c r="H85" s="8">
        <f t="shared" si="27"/>
        <v>38.70192307692308</v>
      </c>
    </row>
    <row r="86" spans="1:8" ht="14.4" x14ac:dyDescent="0.3">
      <c r="A86" s="5">
        <v>21101</v>
      </c>
      <c r="B86" s="6" t="s">
        <v>104</v>
      </c>
      <c r="C86" s="7">
        <v>37</v>
      </c>
      <c r="D86" s="7">
        <v>38</v>
      </c>
      <c r="E86" s="8">
        <f t="shared" si="26"/>
        <v>49.333333333333336</v>
      </c>
      <c r="F86" s="7">
        <v>1118</v>
      </c>
      <c r="G86" s="7">
        <v>1182</v>
      </c>
      <c r="H86" s="8">
        <f t="shared" si="27"/>
        <v>48.608695652173914</v>
      </c>
    </row>
    <row r="87" spans="1:8" ht="14.4" x14ac:dyDescent="0.3">
      <c r="A87" s="5">
        <v>21102</v>
      </c>
      <c r="B87" s="6" t="s">
        <v>105</v>
      </c>
      <c r="C87" s="7">
        <v>1</v>
      </c>
      <c r="D87" s="7">
        <v>3</v>
      </c>
      <c r="E87" s="8">
        <f t="shared" si="26"/>
        <v>25</v>
      </c>
      <c r="F87" s="7">
        <v>2224</v>
      </c>
      <c r="G87" s="7">
        <v>3016</v>
      </c>
      <c r="H87" s="8">
        <f t="shared" si="27"/>
        <v>42.442748091603058</v>
      </c>
    </row>
    <row r="88" spans="1:8" ht="14.4" x14ac:dyDescent="0.3">
      <c r="A88" s="5">
        <v>21103</v>
      </c>
      <c r="B88" s="6" t="s">
        <v>106</v>
      </c>
      <c r="C88" s="7">
        <v>1</v>
      </c>
      <c r="D88" s="7">
        <v>1</v>
      </c>
      <c r="E88" s="8">
        <f t="shared" si="26"/>
        <v>50</v>
      </c>
      <c r="F88" s="7">
        <v>4</v>
      </c>
      <c r="G88" s="7">
        <v>3</v>
      </c>
      <c r="H88" s="8">
        <f t="shared" si="27"/>
        <v>57.142857142857139</v>
      </c>
    </row>
    <row r="89" spans="1:8" ht="14.4" x14ac:dyDescent="0.3">
      <c r="A89" s="5">
        <v>21104</v>
      </c>
      <c r="B89" s="6" t="s">
        <v>107</v>
      </c>
      <c r="C89" s="7">
        <v>778</v>
      </c>
      <c r="D89" s="7">
        <v>1028</v>
      </c>
      <c r="E89" s="8">
        <f t="shared" si="26"/>
        <v>43.078626799557036</v>
      </c>
      <c r="F89" s="7">
        <v>48</v>
      </c>
      <c r="G89" s="7">
        <v>101</v>
      </c>
      <c r="H89" s="8">
        <f t="shared" si="27"/>
        <v>32.214765100671137</v>
      </c>
    </row>
    <row r="90" spans="1:8" ht="14.4" x14ac:dyDescent="0.3">
      <c r="A90" s="5">
        <v>21105</v>
      </c>
      <c r="B90" s="6" t="s">
        <v>108</v>
      </c>
      <c r="C90" s="7">
        <v>193</v>
      </c>
      <c r="D90" s="7">
        <v>335</v>
      </c>
      <c r="E90" s="8">
        <f t="shared" si="26"/>
        <v>36.553030303030305</v>
      </c>
      <c r="F90" s="7">
        <v>1497</v>
      </c>
      <c r="G90" s="7">
        <v>1896</v>
      </c>
      <c r="H90" s="8">
        <f t="shared" si="27"/>
        <v>44.120247568523432</v>
      </c>
    </row>
    <row r="91" spans="1:8" ht="14.4" x14ac:dyDescent="0.3">
      <c r="A91" s="5">
        <v>21201</v>
      </c>
      <c r="B91" s="6" t="s">
        <v>109</v>
      </c>
      <c r="C91" s="7">
        <v>3429</v>
      </c>
      <c r="D91" s="7">
        <v>3213</v>
      </c>
      <c r="E91" s="8">
        <f t="shared" si="26"/>
        <v>51.626016260162601</v>
      </c>
      <c r="F91" s="7">
        <v>1621</v>
      </c>
      <c r="G91" s="7">
        <v>1512</v>
      </c>
      <c r="H91" s="8">
        <f t="shared" si="27"/>
        <v>51.739546760293656</v>
      </c>
    </row>
    <row r="92" spans="1:8" ht="14.4" x14ac:dyDescent="0.3">
      <c r="A92" s="5">
        <v>21202</v>
      </c>
      <c r="B92" s="6" t="s">
        <v>110</v>
      </c>
      <c r="C92" s="7">
        <v>3177</v>
      </c>
      <c r="D92" s="7">
        <v>3296</v>
      </c>
      <c r="E92" s="8">
        <f t="shared" si="26"/>
        <v>49.080797157423142</v>
      </c>
      <c r="F92" s="7">
        <v>2438</v>
      </c>
      <c r="G92" s="7">
        <v>2343</v>
      </c>
      <c r="H92" s="8">
        <f t="shared" si="27"/>
        <v>50.993516000836649</v>
      </c>
    </row>
    <row r="93" spans="1:8" ht="14.4" x14ac:dyDescent="0.3">
      <c r="A93" s="5">
        <v>21203</v>
      </c>
      <c r="B93" s="6" t="s">
        <v>111</v>
      </c>
      <c r="C93" s="7">
        <v>0</v>
      </c>
      <c r="D93" s="7">
        <v>0</v>
      </c>
      <c r="E93" s="8">
        <f t="shared" si="26"/>
        <v>0</v>
      </c>
      <c r="F93" s="7">
        <v>1479</v>
      </c>
      <c r="G93" s="7">
        <v>1340</v>
      </c>
      <c r="H93" s="8">
        <f t="shared" si="27"/>
        <v>52.465413267115999</v>
      </c>
    </row>
    <row r="94" spans="1:8" ht="14.4" x14ac:dyDescent="0.3">
      <c r="A94" s="5">
        <v>21204</v>
      </c>
      <c r="B94" s="6" t="s">
        <v>112</v>
      </c>
      <c r="C94" s="7">
        <v>0</v>
      </c>
      <c r="D94" s="7">
        <v>1</v>
      </c>
      <c r="E94" s="8">
        <f t="shared" si="26"/>
        <v>0</v>
      </c>
      <c r="F94" s="7">
        <v>1182</v>
      </c>
      <c r="G94" s="7">
        <v>1779</v>
      </c>
      <c r="H94" s="8">
        <f t="shared" si="27"/>
        <v>39.918946301925025</v>
      </c>
    </row>
    <row r="95" spans="1:8" ht="14.4" x14ac:dyDescent="0.3">
      <c r="A95" s="5">
        <v>21301</v>
      </c>
      <c r="B95" s="6" t="s">
        <v>113</v>
      </c>
      <c r="C95" s="7">
        <v>0</v>
      </c>
      <c r="D95" s="7">
        <v>0</v>
      </c>
      <c r="E95" s="8">
        <f t="shared" si="26"/>
        <v>0</v>
      </c>
      <c r="F95" s="7">
        <v>59</v>
      </c>
      <c r="G95" s="7">
        <v>119</v>
      </c>
      <c r="H95" s="8">
        <f t="shared" si="27"/>
        <v>33.146067415730336</v>
      </c>
    </row>
    <row r="96" spans="1:8" ht="14.4" x14ac:dyDescent="0.3">
      <c r="A96" s="5">
        <v>21302</v>
      </c>
      <c r="B96" s="6" t="s">
        <v>114</v>
      </c>
      <c r="C96" s="7">
        <v>0</v>
      </c>
      <c r="D96" s="7">
        <v>0</v>
      </c>
      <c r="E96" s="8">
        <f t="shared" si="26"/>
        <v>0</v>
      </c>
      <c r="F96" s="7">
        <v>0</v>
      </c>
      <c r="G96" s="7">
        <v>0</v>
      </c>
      <c r="H96" s="8">
        <f t="shared" si="27"/>
        <v>0</v>
      </c>
    </row>
    <row r="97" spans="1:8" ht="14.4" x14ac:dyDescent="0.3">
      <c r="A97" s="5">
        <v>21303</v>
      </c>
      <c r="B97" s="6" t="s">
        <v>115</v>
      </c>
      <c r="C97" s="7">
        <v>0</v>
      </c>
      <c r="D97" s="7">
        <v>0</v>
      </c>
      <c r="E97" s="8">
        <f t="shared" si="26"/>
        <v>0</v>
      </c>
      <c r="F97" s="7">
        <v>24</v>
      </c>
      <c r="G97" s="7">
        <v>24</v>
      </c>
      <c r="H97" s="8">
        <f t="shared" si="27"/>
        <v>50</v>
      </c>
    </row>
    <row r="98" spans="1:8" ht="14.4" x14ac:dyDescent="0.3">
      <c r="A98" s="5">
        <v>21304</v>
      </c>
      <c r="B98" s="6" t="s">
        <v>116</v>
      </c>
      <c r="C98" s="7">
        <v>1199</v>
      </c>
      <c r="D98" s="7">
        <v>1516</v>
      </c>
      <c r="E98" s="8">
        <f t="shared" si="26"/>
        <v>44.162062615101291</v>
      </c>
      <c r="F98" s="7">
        <v>0</v>
      </c>
      <c r="G98" s="7">
        <v>1</v>
      </c>
      <c r="H98" s="8">
        <f t="shared" si="27"/>
        <v>0</v>
      </c>
    </row>
    <row r="99" spans="1:8" ht="14.4" x14ac:dyDescent="0.3">
      <c r="A99" s="5">
        <v>21305</v>
      </c>
      <c r="B99" s="6" t="s">
        <v>117</v>
      </c>
      <c r="C99" s="7">
        <v>0</v>
      </c>
      <c r="D99" s="7">
        <v>0</v>
      </c>
      <c r="E99" s="8">
        <f t="shared" si="26"/>
        <v>0</v>
      </c>
      <c r="F99" s="7">
        <v>0</v>
      </c>
      <c r="G99" s="7">
        <v>20</v>
      </c>
      <c r="H99" s="8">
        <f t="shared" si="27"/>
        <v>0</v>
      </c>
    </row>
    <row r="100" spans="1:8" ht="14.4" x14ac:dyDescent="0.3">
      <c r="A100" s="5">
        <v>21306</v>
      </c>
      <c r="B100" s="6" t="s">
        <v>118</v>
      </c>
      <c r="C100" s="7">
        <v>0</v>
      </c>
      <c r="D100" s="7">
        <v>0</v>
      </c>
      <c r="E100" s="8">
        <f t="shared" si="26"/>
        <v>0</v>
      </c>
      <c r="F100" s="7">
        <v>0</v>
      </c>
      <c r="G100" s="7">
        <v>0</v>
      </c>
      <c r="H100" s="8">
        <f t="shared" si="27"/>
        <v>0</v>
      </c>
    </row>
    <row r="101" spans="1:8" ht="14.4" x14ac:dyDescent="0.3">
      <c r="A101" s="5">
        <v>21307</v>
      </c>
      <c r="B101" s="6" t="s">
        <v>119</v>
      </c>
      <c r="C101" s="7">
        <v>0</v>
      </c>
      <c r="D101" s="7">
        <v>0</v>
      </c>
      <c r="E101" s="8">
        <f t="shared" si="26"/>
        <v>0</v>
      </c>
      <c r="F101" s="7">
        <v>0</v>
      </c>
      <c r="G101" s="7">
        <v>0</v>
      </c>
      <c r="H101" s="8">
        <f t="shared" si="27"/>
        <v>0</v>
      </c>
    </row>
    <row r="102" spans="1:8" ht="14.4" x14ac:dyDescent="0.3">
      <c r="A102" s="5">
        <v>21401</v>
      </c>
      <c r="B102" s="6" t="s">
        <v>120</v>
      </c>
      <c r="C102" s="7">
        <v>206</v>
      </c>
      <c r="D102" s="7">
        <v>217</v>
      </c>
      <c r="E102" s="8">
        <f t="shared" si="26"/>
        <v>48.699763593380609</v>
      </c>
      <c r="F102" s="7">
        <v>948</v>
      </c>
      <c r="G102" s="7">
        <v>1036</v>
      </c>
      <c r="H102" s="8">
        <f t="shared" si="27"/>
        <v>47.782258064516128</v>
      </c>
    </row>
    <row r="103" spans="1:8" ht="14.4" x14ac:dyDescent="0.3">
      <c r="A103" s="5">
        <v>21402</v>
      </c>
      <c r="B103" s="6" t="s">
        <v>121</v>
      </c>
      <c r="C103" s="7">
        <v>688</v>
      </c>
      <c r="D103" s="7">
        <v>889</v>
      </c>
      <c r="E103" s="8">
        <f t="shared" si="26"/>
        <v>43.627140139505386</v>
      </c>
      <c r="F103" s="7">
        <v>1715</v>
      </c>
      <c r="G103" s="7">
        <v>1810</v>
      </c>
      <c r="H103" s="8">
        <f t="shared" si="27"/>
        <v>48.652482269503544</v>
      </c>
    </row>
    <row r="104" spans="1:8" ht="14.4" x14ac:dyDescent="0.3">
      <c r="A104" s="5">
        <v>21501</v>
      </c>
      <c r="B104" s="6" t="s">
        <v>122</v>
      </c>
      <c r="C104" s="7">
        <v>46</v>
      </c>
      <c r="D104" s="7">
        <v>68</v>
      </c>
      <c r="E104" s="8">
        <f t="shared" si="26"/>
        <v>40.350877192982452</v>
      </c>
      <c r="F104" s="7">
        <v>2</v>
      </c>
      <c r="G104" s="7">
        <v>3</v>
      </c>
      <c r="H104" s="8">
        <f t="shared" si="27"/>
        <v>40</v>
      </c>
    </row>
    <row r="105" spans="1:8" ht="14.4" x14ac:dyDescent="0.3">
      <c r="A105" s="5">
        <v>21502</v>
      </c>
      <c r="B105" s="6" t="s">
        <v>123</v>
      </c>
      <c r="C105" s="7">
        <v>17</v>
      </c>
      <c r="D105" s="7">
        <v>26</v>
      </c>
      <c r="E105" s="8">
        <f t="shared" si="26"/>
        <v>39.534883720930232</v>
      </c>
      <c r="F105" s="7">
        <v>0</v>
      </c>
      <c r="G105" s="7">
        <v>0</v>
      </c>
      <c r="H105" s="8">
        <f t="shared" si="27"/>
        <v>0</v>
      </c>
    </row>
    <row r="106" spans="1:8" ht="14.4" x14ac:dyDescent="0.3">
      <c r="A106" s="5">
        <v>21601</v>
      </c>
      <c r="B106" s="6" t="s">
        <v>124</v>
      </c>
      <c r="C106" s="7">
        <v>0</v>
      </c>
      <c r="D106" s="7">
        <v>0</v>
      </c>
      <c r="E106" s="8">
        <f t="shared" si="26"/>
        <v>0</v>
      </c>
      <c r="F106" s="7">
        <v>225</v>
      </c>
      <c r="G106" s="7">
        <v>278</v>
      </c>
      <c r="H106" s="8">
        <f t="shared" si="27"/>
        <v>44.731610337972164</v>
      </c>
    </row>
    <row r="107" spans="1:8" ht="14.4" x14ac:dyDescent="0.3">
      <c r="A107" s="5">
        <v>21602</v>
      </c>
      <c r="B107" s="6" t="s">
        <v>125</v>
      </c>
      <c r="C107" s="7">
        <v>0</v>
      </c>
      <c r="D107" s="7">
        <v>0</v>
      </c>
      <c r="E107" s="8">
        <f t="shared" si="26"/>
        <v>0</v>
      </c>
      <c r="F107" s="7">
        <v>0</v>
      </c>
      <c r="G107" s="7">
        <v>0</v>
      </c>
      <c r="H107" s="8">
        <f t="shared" si="27"/>
        <v>0</v>
      </c>
    </row>
    <row r="108" spans="1:8" ht="14.4" x14ac:dyDescent="0.3">
      <c r="A108" s="5">
        <v>21701</v>
      </c>
      <c r="B108" s="6" t="s">
        <v>126</v>
      </c>
      <c r="C108" s="7">
        <v>0</v>
      </c>
      <c r="D108" s="7">
        <v>0</v>
      </c>
      <c r="E108" s="8">
        <f t="shared" si="26"/>
        <v>0</v>
      </c>
      <c r="F108" s="7">
        <v>2785</v>
      </c>
      <c r="G108" s="7">
        <v>2903</v>
      </c>
      <c r="H108" s="8">
        <f t="shared" si="27"/>
        <v>48.962728551336149</v>
      </c>
    </row>
    <row r="109" spans="1:8" ht="14.4" x14ac:dyDescent="0.3">
      <c r="A109" s="5">
        <v>21702</v>
      </c>
      <c r="B109" s="6" t="s">
        <v>127</v>
      </c>
      <c r="C109" s="7">
        <v>0</v>
      </c>
      <c r="D109" s="7">
        <v>0</v>
      </c>
      <c r="E109" s="8">
        <f t="shared" si="26"/>
        <v>0</v>
      </c>
      <c r="F109" s="7">
        <v>2381</v>
      </c>
      <c r="G109" s="7">
        <v>2171</v>
      </c>
      <c r="H109" s="8">
        <f t="shared" si="27"/>
        <v>52.306678383128293</v>
      </c>
    </row>
    <row r="110" spans="1:8" ht="14.4" x14ac:dyDescent="0.3">
      <c r="A110" s="5">
        <v>21703</v>
      </c>
      <c r="B110" s="6" t="s">
        <v>128</v>
      </c>
      <c r="C110" s="7">
        <v>0</v>
      </c>
      <c r="D110" s="7">
        <v>0</v>
      </c>
      <c r="E110" s="8">
        <f t="shared" si="26"/>
        <v>0</v>
      </c>
      <c r="F110" s="7">
        <v>192</v>
      </c>
      <c r="G110" s="7">
        <v>170</v>
      </c>
      <c r="H110" s="8">
        <f t="shared" si="27"/>
        <v>53.038674033149171</v>
      </c>
    </row>
    <row r="111" spans="1:8" ht="14.4" x14ac:dyDescent="0.3">
      <c r="A111" s="5">
        <v>21801</v>
      </c>
      <c r="B111" s="6" t="s">
        <v>129</v>
      </c>
      <c r="C111" s="7">
        <v>0</v>
      </c>
      <c r="D111" s="7">
        <v>0</v>
      </c>
      <c r="E111" s="8">
        <f t="shared" si="26"/>
        <v>0</v>
      </c>
      <c r="F111" s="7">
        <v>0</v>
      </c>
      <c r="G111" s="7">
        <v>0</v>
      </c>
      <c r="H111" s="8">
        <f t="shared" si="27"/>
        <v>0</v>
      </c>
    </row>
    <row r="112" spans="1:8" ht="14.4" x14ac:dyDescent="0.3">
      <c r="A112" s="5">
        <v>21802</v>
      </c>
      <c r="B112" s="6" t="s">
        <v>130</v>
      </c>
      <c r="C112" s="7">
        <v>0</v>
      </c>
      <c r="D112" s="7">
        <v>0</v>
      </c>
      <c r="E112" s="8">
        <f t="shared" si="26"/>
        <v>0</v>
      </c>
      <c r="F112" s="7">
        <v>1836</v>
      </c>
      <c r="G112" s="7">
        <v>3337</v>
      </c>
      <c r="H112" s="8">
        <f t="shared" si="27"/>
        <v>35.491977575874735</v>
      </c>
    </row>
    <row r="113" spans="1:8" ht="14.4" x14ac:dyDescent="0.3">
      <c r="A113" s="5">
        <v>21803</v>
      </c>
      <c r="B113" s="6" t="s">
        <v>131</v>
      </c>
      <c r="C113" s="7">
        <v>0</v>
      </c>
      <c r="D113" s="7">
        <v>0</v>
      </c>
      <c r="E113" s="8">
        <f t="shared" si="26"/>
        <v>0</v>
      </c>
      <c r="F113" s="7">
        <v>0</v>
      </c>
      <c r="G113" s="7">
        <v>0</v>
      </c>
      <c r="H113" s="8">
        <f t="shared" si="27"/>
        <v>0</v>
      </c>
    </row>
    <row r="114" spans="1:8" ht="14.4" x14ac:dyDescent="0.3">
      <c r="A114" s="5">
        <v>21901</v>
      </c>
      <c r="B114" s="6" t="s">
        <v>132</v>
      </c>
      <c r="C114" s="7">
        <v>0</v>
      </c>
      <c r="D114" s="7">
        <v>0</v>
      </c>
      <c r="E114" s="8">
        <f t="shared" si="26"/>
        <v>0</v>
      </c>
      <c r="F114" s="7">
        <v>2</v>
      </c>
      <c r="G114" s="7">
        <v>1</v>
      </c>
      <c r="H114" s="8">
        <f t="shared" si="27"/>
        <v>66.666666666666657</v>
      </c>
    </row>
    <row r="115" spans="1:8" ht="14.4" x14ac:dyDescent="0.3">
      <c r="A115" s="5">
        <v>21902</v>
      </c>
      <c r="B115" s="6" t="s">
        <v>133</v>
      </c>
      <c r="C115" s="7">
        <v>0</v>
      </c>
      <c r="D115" s="7">
        <v>0</v>
      </c>
      <c r="E115" s="8">
        <f t="shared" si="26"/>
        <v>0</v>
      </c>
      <c r="F115" s="7">
        <v>0</v>
      </c>
      <c r="G115" s="7">
        <v>0</v>
      </c>
      <c r="H115" s="8">
        <f t="shared" si="27"/>
        <v>0</v>
      </c>
    </row>
    <row r="116" spans="1:8" ht="14.4" x14ac:dyDescent="0.3">
      <c r="A116" s="5">
        <v>22001</v>
      </c>
      <c r="B116" s="6" t="s">
        <v>134</v>
      </c>
      <c r="C116" s="7">
        <v>3102</v>
      </c>
      <c r="D116" s="7">
        <v>3851</v>
      </c>
      <c r="E116" s="8">
        <f t="shared" si="26"/>
        <v>44.613835754350639</v>
      </c>
      <c r="F116" s="7">
        <v>520</v>
      </c>
      <c r="G116" s="7">
        <v>689</v>
      </c>
      <c r="H116" s="8">
        <f t="shared" si="27"/>
        <v>43.01075268817204</v>
      </c>
    </row>
    <row r="117" spans="1:8" ht="14.4" x14ac:dyDescent="0.3">
      <c r="A117" s="5">
        <v>22002</v>
      </c>
      <c r="B117" s="6" t="s">
        <v>135</v>
      </c>
      <c r="C117" s="7">
        <v>95</v>
      </c>
      <c r="D117" s="7">
        <v>126</v>
      </c>
      <c r="E117" s="8">
        <f t="shared" si="26"/>
        <v>42.986425339366519</v>
      </c>
      <c r="F117" s="7">
        <v>4</v>
      </c>
      <c r="G117" s="7">
        <v>7</v>
      </c>
      <c r="H117" s="8">
        <f t="shared" si="27"/>
        <v>36.363636363636367</v>
      </c>
    </row>
    <row r="118" spans="1:8" ht="14.4" x14ac:dyDescent="0.3">
      <c r="A118" s="5">
        <v>30101</v>
      </c>
      <c r="B118" s="6" t="s">
        <v>14</v>
      </c>
      <c r="C118" s="7">
        <v>3985</v>
      </c>
      <c r="D118" s="7">
        <v>3446</v>
      </c>
      <c r="E118" s="8">
        <f t="shared" si="26"/>
        <v>53.626698963800301</v>
      </c>
      <c r="F118" s="7">
        <v>934</v>
      </c>
      <c r="G118" s="7">
        <v>843</v>
      </c>
      <c r="H118" s="8">
        <f t="shared" si="27"/>
        <v>52.560495216657287</v>
      </c>
    </row>
    <row r="119" spans="1:8" ht="14.4" x14ac:dyDescent="0.3">
      <c r="A119" s="5">
        <v>30201</v>
      </c>
      <c r="B119" s="6" t="s">
        <v>136</v>
      </c>
      <c r="C119" s="7">
        <v>1711</v>
      </c>
      <c r="D119" s="7">
        <v>2351</v>
      </c>
      <c r="E119" s="8">
        <f t="shared" si="26"/>
        <v>42.122107336287549</v>
      </c>
      <c r="F119" s="7">
        <v>70</v>
      </c>
      <c r="G119" s="7">
        <v>75</v>
      </c>
      <c r="H119" s="8">
        <f t="shared" si="27"/>
        <v>48.275862068965516</v>
      </c>
    </row>
    <row r="120" spans="1:8" ht="14.4" x14ac:dyDescent="0.3">
      <c r="A120" s="5">
        <v>30202</v>
      </c>
      <c r="B120" s="6" t="s">
        <v>137</v>
      </c>
      <c r="C120" s="7">
        <v>501</v>
      </c>
      <c r="D120" s="7">
        <v>532</v>
      </c>
      <c r="E120" s="8">
        <f t="shared" si="26"/>
        <v>48.499515972894478</v>
      </c>
      <c r="F120" s="7">
        <v>4</v>
      </c>
      <c r="G120" s="7">
        <v>8</v>
      </c>
      <c r="H120" s="8">
        <f t="shared" si="27"/>
        <v>33.333333333333329</v>
      </c>
    </row>
    <row r="121" spans="1:8" ht="14.4" x14ac:dyDescent="0.3">
      <c r="A121" s="5">
        <v>30203</v>
      </c>
      <c r="B121" s="6" t="s">
        <v>138</v>
      </c>
      <c r="C121" s="7">
        <v>109</v>
      </c>
      <c r="D121" s="7">
        <v>152</v>
      </c>
      <c r="E121" s="8">
        <f t="shared" si="26"/>
        <v>41.762452107279699</v>
      </c>
      <c r="F121" s="7">
        <v>1</v>
      </c>
      <c r="G121" s="7">
        <v>1</v>
      </c>
      <c r="H121" s="8">
        <f t="shared" si="27"/>
        <v>50</v>
      </c>
    </row>
    <row r="122" spans="1:8" ht="14.4" x14ac:dyDescent="0.3">
      <c r="A122" s="5">
        <v>30301</v>
      </c>
      <c r="B122" s="6" t="s">
        <v>139</v>
      </c>
      <c r="C122" s="7">
        <v>6</v>
      </c>
      <c r="D122" s="7">
        <v>4</v>
      </c>
      <c r="E122" s="8">
        <f t="shared" si="26"/>
        <v>60</v>
      </c>
      <c r="F122" s="7">
        <v>183</v>
      </c>
      <c r="G122" s="7">
        <v>329</v>
      </c>
      <c r="H122" s="8">
        <f t="shared" si="27"/>
        <v>35.7421875</v>
      </c>
    </row>
    <row r="123" spans="1:8" ht="14.4" x14ac:dyDescent="0.3">
      <c r="A123" s="5">
        <v>30302</v>
      </c>
      <c r="B123" s="6" t="s">
        <v>140</v>
      </c>
      <c r="C123" s="7">
        <v>0</v>
      </c>
      <c r="D123" s="7">
        <v>0</v>
      </c>
      <c r="E123" s="8">
        <f t="shared" si="26"/>
        <v>0</v>
      </c>
      <c r="F123" s="7">
        <v>792</v>
      </c>
      <c r="G123" s="7">
        <v>1262</v>
      </c>
      <c r="H123" s="8">
        <f t="shared" si="27"/>
        <v>38.558909444985396</v>
      </c>
    </row>
    <row r="124" spans="1:8" ht="14.4" x14ac:dyDescent="0.3">
      <c r="A124" s="5">
        <v>30303</v>
      </c>
      <c r="B124" s="6" t="s">
        <v>141</v>
      </c>
      <c r="C124" s="7">
        <v>0</v>
      </c>
      <c r="D124" s="7">
        <v>1</v>
      </c>
      <c r="E124" s="8">
        <f t="shared" si="26"/>
        <v>0</v>
      </c>
      <c r="F124" s="7">
        <v>0</v>
      </c>
      <c r="G124" s="7">
        <v>0</v>
      </c>
      <c r="H124" s="8">
        <f t="shared" si="27"/>
        <v>0</v>
      </c>
    </row>
    <row r="125" spans="1:8" ht="14.4" x14ac:dyDescent="0.3">
      <c r="A125" s="5">
        <v>30401</v>
      </c>
      <c r="B125" s="6" t="s">
        <v>142</v>
      </c>
      <c r="C125" s="7">
        <v>258</v>
      </c>
      <c r="D125" s="7">
        <v>473</v>
      </c>
      <c r="E125" s="8">
        <f t="shared" si="26"/>
        <v>35.294117647058826</v>
      </c>
      <c r="F125" s="7">
        <v>677</v>
      </c>
      <c r="G125" s="7">
        <v>596</v>
      </c>
      <c r="H125" s="8">
        <f t="shared" si="27"/>
        <v>53.181461115475258</v>
      </c>
    </row>
    <row r="126" spans="1:8" ht="14.4" x14ac:dyDescent="0.3">
      <c r="A126" s="5">
        <v>30402</v>
      </c>
      <c r="B126" s="6" t="s">
        <v>143</v>
      </c>
      <c r="C126" s="7">
        <v>8911</v>
      </c>
      <c r="D126" s="7">
        <v>11433</v>
      </c>
      <c r="E126" s="8">
        <f t="shared" si="26"/>
        <v>43.801612268973656</v>
      </c>
      <c r="F126" s="7">
        <v>288</v>
      </c>
      <c r="G126" s="7">
        <v>354</v>
      </c>
      <c r="H126" s="8">
        <f t="shared" si="27"/>
        <v>44.859813084112147</v>
      </c>
    </row>
    <row r="127" spans="1:8" ht="14.4" x14ac:dyDescent="0.3">
      <c r="A127" s="5">
        <v>30403</v>
      </c>
      <c r="B127" s="6" t="s">
        <v>144</v>
      </c>
      <c r="C127" s="7">
        <v>296</v>
      </c>
      <c r="D127" s="7">
        <v>282</v>
      </c>
      <c r="E127" s="8">
        <f t="shared" si="26"/>
        <v>51.211072664359861</v>
      </c>
      <c r="F127" s="7">
        <v>1439</v>
      </c>
      <c r="G127" s="7">
        <v>1161</v>
      </c>
      <c r="H127" s="8">
        <f t="shared" si="27"/>
        <v>55.346153846153847</v>
      </c>
    </row>
    <row r="128" spans="1:8" ht="14.4" x14ac:dyDescent="0.3">
      <c r="A128" s="5">
        <v>30404</v>
      </c>
      <c r="B128" s="6" t="s">
        <v>145</v>
      </c>
      <c r="C128" s="7">
        <v>3370</v>
      </c>
      <c r="D128" s="7">
        <v>3633</v>
      </c>
      <c r="E128" s="8">
        <f t="shared" si="26"/>
        <v>48.122233328573465</v>
      </c>
      <c r="F128" s="7">
        <v>111</v>
      </c>
      <c r="G128" s="7">
        <v>80</v>
      </c>
      <c r="H128" s="8">
        <f t="shared" si="27"/>
        <v>58.1151832460733</v>
      </c>
    </row>
    <row r="129" spans="1:8" ht="14.4" x14ac:dyDescent="0.3">
      <c r="A129" s="5">
        <v>30501</v>
      </c>
      <c r="B129" s="6" t="s">
        <v>146</v>
      </c>
      <c r="C129" s="7">
        <v>2956</v>
      </c>
      <c r="D129" s="7">
        <v>2381</v>
      </c>
      <c r="E129" s="8">
        <f t="shared" si="26"/>
        <v>55.386921491474617</v>
      </c>
      <c r="F129" s="7">
        <v>132</v>
      </c>
      <c r="G129" s="7">
        <v>111</v>
      </c>
      <c r="H129" s="8">
        <f t="shared" si="27"/>
        <v>54.320987654320987</v>
      </c>
    </row>
    <row r="130" spans="1:8" ht="14.4" x14ac:dyDescent="0.3">
      <c r="A130" s="5">
        <v>30502</v>
      </c>
      <c r="B130" s="6" t="s">
        <v>147</v>
      </c>
      <c r="C130" s="7">
        <v>0</v>
      </c>
      <c r="D130" s="7">
        <v>0</v>
      </c>
      <c r="E130" s="8">
        <f t="shared" si="26"/>
        <v>0</v>
      </c>
      <c r="F130" s="7">
        <v>2228</v>
      </c>
      <c r="G130" s="7">
        <v>2236</v>
      </c>
      <c r="H130" s="8">
        <f t="shared" si="27"/>
        <v>49.910394265232974</v>
      </c>
    </row>
    <row r="131" spans="1:8" ht="14.4" x14ac:dyDescent="0.3">
      <c r="A131" s="5">
        <v>30601</v>
      </c>
      <c r="B131" s="6" t="s">
        <v>148</v>
      </c>
      <c r="C131" s="7">
        <v>0</v>
      </c>
      <c r="D131" s="7">
        <v>0</v>
      </c>
      <c r="E131" s="8">
        <f t="shared" ref="E131:E194" si="28">IF(D131+C131=0,0,100*(C131/(C131+D131)))</f>
        <v>0</v>
      </c>
      <c r="F131" s="7">
        <v>248</v>
      </c>
      <c r="G131" s="7">
        <v>318</v>
      </c>
      <c r="H131" s="8">
        <f t="shared" ref="H131:H194" si="29">IF(G131+F131=0,0,100*(F131/(F131+G131)))</f>
        <v>43.816254416961129</v>
      </c>
    </row>
    <row r="132" spans="1:8" ht="14.4" x14ac:dyDescent="0.3">
      <c r="A132" s="5">
        <v>30602</v>
      </c>
      <c r="B132" s="6" t="s">
        <v>149</v>
      </c>
      <c r="C132" s="7">
        <v>0</v>
      </c>
      <c r="D132" s="7">
        <v>0</v>
      </c>
      <c r="E132" s="8">
        <f t="shared" si="28"/>
        <v>0</v>
      </c>
      <c r="F132" s="7">
        <v>223</v>
      </c>
      <c r="G132" s="7">
        <v>323</v>
      </c>
      <c r="H132" s="8">
        <f t="shared" si="29"/>
        <v>40.842490842490839</v>
      </c>
    </row>
    <row r="133" spans="1:8" ht="14.4" x14ac:dyDescent="0.3">
      <c r="A133" s="5">
        <v>30701</v>
      </c>
      <c r="B133" s="6" t="s">
        <v>150</v>
      </c>
      <c r="C133" s="7">
        <v>1481</v>
      </c>
      <c r="D133" s="7">
        <v>1735</v>
      </c>
      <c r="E133" s="8">
        <f t="shared" si="28"/>
        <v>46.050995024875625</v>
      </c>
      <c r="F133" s="7">
        <v>275</v>
      </c>
      <c r="G133" s="7">
        <v>286</v>
      </c>
      <c r="H133" s="8">
        <f t="shared" si="29"/>
        <v>49.019607843137251</v>
      </c>
    </row>
    <row r="134" spans="1:8" ht="14.4" x14ac:dyDescent="0.3">
      <c r="A134" s="5">
        <v>30702</v>
      </c>
      <c r="B134" s="6" t="s">
        <v>151</v>
      </c>
      <c r="C134" s="7">
        <v>913</v>
      </c>
      <c r="D134" s="7">
        <v>812</v>
      </c>
      <c r="E134" s="8">
        <f t="shared" si="28"/>
        <v>52.927536231884055</v>
      </c>
      <c r="F134" s="7">
        <v>1070</v>
      </c>
      <c r="G134" s="7">
        <v>992</v>
      </c>
      <c r="H134" s="8">
        <f t="shared" si="29"/>
        <v>51.8913676042677</v>
      </c>
    </row>
    <row r="135" spans="1:8" ht="14.4" x14ac:dyDescent="0.3">
      <c r="A135" s="5">
        <v>30703</v>
      </c>
      <c r="B135" s="6" t="s">
        <v>152</v>
      </c>
      <c r="C135" s="7">
        <v>865</v>
      </c>
      <c r="D135" s="7">
        <v>895</v>
      </c>
      <c r="E135" s="8">
        <f t="shared" si="28"/>
        <v>49.147727272727273</v>
      </c>
      <c r="F135" s="7">
        <v>36</v>
      </c>
      <c r="G135" s="7">
        <v>24</v>
      </c>
      <c r="H135" s="8">
        <f t="shared" si="29"/>
        <v>60</v>
      </c>
    </row>
    <row r="136" spans="1:8" ht="14.4" x14ac:dyDescent="0.3">
      <c r="A136" s="5">
        <v>30801</v>
      </c>
      <c r="B136" s="6" t="s">
        <v>153</v>
      </c>
      <c r="C136" s="7">
        <v>1058</v>
      </c>
      <c r="D136" s="7">
        <v>1036</v>
      </c>
      <c r="E136" s="8">
        <f t="shared" si="28"/>
        <v>50.52531041069723</v>
      </c>
      <c r="F136" s="7">
        <v>529</v>
      </c>
      <c r="G136" s="7">
        <v>494</v>
      </c>
      <c r="H136" s="8">
        <f t="shared" si="29"/>
        <v>51.710654936461388</v>
      </c>
    </row>
    <row r="137" spans="1:8" ht="14.4" x14ac:dyDescent="0.3">
      <c r="A137" s="5">
        <v>30802</v>
      </c>
      <c r="B137" s="6" t="s">
        <v>154</v>
      </c>
      <c r="C137" s="7">
        <v>1349</v>
      </c>
      <c r="D137" s="7">
        <v>1147</v>
      </c>
      <c r="E137" s="8">
        <f t="shared" si="28"/>
        <v>54.046474358974365</v>
      </c>
      <c r="F137" s="7">
        <v>132</v>
      </c>
      <c r="G137" s="7">
        <v>114</v>
      </c>
      <c r="H137" s="8">
        <f t="shared" si="29"/>
        <v>53.658536585365859</v>
      </c>
    </row>
    <row r="138" spans="1:8" ht="14.4" x14ac:dyDescent="0.3">
      <c r="A138" s="5">
        <v>30803</v>
      </c>
      <c r="B138" s="6" t="s">
        <v>155</v>
      </c>
      <c r="C138" s="7">
        <v>55</v>
      </c>
      <c r="D138" s="7">
        <v>53</v>
      </c>
      <c r="E138" s="8">
        <f t="shared" si="28"/>
        <v>50.925925925925931</v>
      </c>
      <c r="F138" s="7">
        <v>470</v>
      </c>
      <c r="G138" s="7">
        <v>409</v>
      </c>
      <c r="H138" s="8">
        <f t="shared" si="29"/>
        <v>53.469852104664398</v>
      </c>
    </row>
    <row r="139" spans="1:8" ht="14.4" x14ac:dyDescent="0.3">
      <c r="A139" s="5">
        <v>30901</v>
      </c>
      <c r="B139" s="6" t="s">
        <v>156</v>
      </c>
      <c r="C139" s="7">
        <v>2867</v>
      </c>
      <c r="D139" s="7">
        <v>2561</v>
      </c>
      <c r="E139" s="8">
        <f t="shared" si="28"/>
        <v>52.818717759764191</v>
      </c>
      <c r="F139" s="7">
        <v>821</v>
      </c>
      <c r="G139" s="7">
        <v>813</v>
      </c>
      <c r="H139" s="8">
        <f t="shared" si="29"/>
        <v>50.244798041615667</v>
      </c>
    </row>
    <row r="140" spans="1:8" ht="14.4" x14ac:dyDescent="0.3">
      <c r="A140" s="5">
        <v>30902</v>
      </c>
      <c r="B140" s="6" t="s">
        <v>157</v>
      </c>
      <c r="C140" s="7">
        <v>2361</v>
      </c>
      <c r="D140" s="7">
        <v>2363</v>
      </c>
      <c r="E140" s="8">
        <f t="shared" si="28"/>
        <v>49.978831498729889</v>
      </c>
      <c r="F140" s="7">
        <v>988</v>
      </c>
      <c r="G140" s="7">
        <v>944</v>
      </c>
      <c r="H140" s="8">
        <f t="shared" si="29"/>
        <v>51.138716356107658</v>
      </c>
    </row>
    <row r="141" spans="1:8" ht="14.4" x14ac:dyDescent="0.3">
      <c r="A141" s="5">
        <v>30903</v>
      </c>
      <c r="B141" s="6" t="s">
        <v>158</v>
      </c>
      <c r="C141" s="7">
        <v>103</v>
      </c>
      <c r="D141" s="7">
        <v>107</v>
      </c>
      <c r="E141" s="8">
        <f t="shared" si="28"/>
        <v>49.047619047619044</v>
      </c>
      <c r="F141" s="7">
        <v>4</v>
      </c>
      <c r="G141" s="7">
        <v>3</v>
      </c>
      <c r="H141" s="8">
        <f t="shared" si="29"/>
        <v>57.142857142857139</v>
      </c>
    </row>
    <row r="142" spans="1:8" ht="14.4" x14ac:dyDescent="0.3">
      <c r="A142" s="5">
        <v>30904</v>
      </c>
      <c r="B142" s="6" t="s">
        <v>159</v>
      </c>
      <c r="C142" s="7">
        <v>2869</v>
      </c>
      <c r="D142" s="7">
        <v>2871</v>
      </c>
      <c r="E142" s="8">
        <f t="shared" si="28"/>
        <v>49.982578397212549</v>
      </c>
      <c r="F142" s="7">
        <v>720</v>
      </c>
      <c r="G142" s="7">
        <v>747</v>
      </c>
      <c r="H142" s="8">
        <f t="shared" si="29"/>
        <v>49.079754601226995</v>
      </c>
    </row>
    <row r="143" spans="1:8" ht="14.4" x14ac:dyDescent="0.3">
      <c r="A143" s="5">
        <v>30905</v>
      </c>
      <c r="B143" s="6" t="s">
        <v>160</v>
      </c>
      <c r="C143" s="7">
        <v>216</v>
      </c>
      <c r="D143" s="7">
        <v>221</v>
      </c>
      <c r="E143" s="8">
        <f t="shared" si="28"/>
        <v>49.427917620137301</v>
      </c>
      <c r="F143" s="7">
        <v>3</v>
      </c>
      <c r="G143" s="7">
        <v>5</v>
      </c>
      <c r="H143" s="8">
        <f t="shared" si="29"/>
        <v>37.5</v>
      </c>
    </row>
    <row r="144" spans="1:8" ht="14.4" x14ac:dyDescent="0.3">
      <c r="A144" s="5">
        <v>31001</v>
      </c>
      <c r="B144" s="6" t="s">
        <v>161</v>
      </c>
      <c r="C144" s="7">
        <v>5400</v>
      </c>
      <c r="D144" s="7">
        <v>5139</v>
      </c>
      <c r="E144" s="8">
        <f t="shared" si="28"/>
        <v>51.238257899231421</v>
      </c>
      <c r="F144" s="7">
        <v>4427</v>
      </c>
      <c r="G144" s="7">
        <v>4551</v>
      </c>
      <c r="H144" s="8">
        <f t="shared" si="29"/>
        <v>49.309423034083316</v>
      </c>
    </row>
    <row r="145" spans="1:8" ht="14.4" x14ac:dyDescent="0.3">
      <c r="A145" s="5">
        <v>31002</v>
      </c>
      <c r="B145" s="6" t="s">
        <v>162</v>
      </c>
      <c r="C145" s="7">
        <v>223</v>
      </c>
      <c r="D145" s="7">
        <v>295</v>
      </c>
      <c r="E145" s="8">
        <f t="shared" si="28"/>
        <v>43.050193050193045</v>
      </c>
      <c r="F145" s="7">
        <v>2028</v>
      </c>
      <c r="G145" s="7">
        <v>2665</v>
      </c>
      <c r="H145" s="8">
        <f t="shared" si="29"/>
        <v>43.213296398891963</v>
      </c>
    </row>
    <row r="146" spans="1:8" ht="14.4" x14ac:dyDescent="0.3">
      <c r="A146" s="5">
        <v>31003</v>
      </c>
      <c r="B146" s="6" t="s">
        <v>163</v>
      </c>
      <c r="C146" s="7">
        <v>8689</v>
      </c>
      <c r="D146" s="7">
        <v>14328</v>
      </c>
      <c r="E146" s="8">
        <f t="shared" si="28"/>
        <v>37.750358430725115</v>
      </c>
      <c r="F146" s="7">
        <v>426</v>
      </c>
      <c r="G146" s="7">
        <v>656</v>
      </c>
      <c r="H146" s="8">
        <f t="shared" si="29"/>
        <v>39.371534195933457</v>
      </c>
    </row>
    <row r="147" spans="1:8" ht="14.4" x14ac:dyDescent="0.3">
      <c r="A147" s="5">
        <v>31101</v>
      </c>
      <c r="B147" s="6" t="s">
        <v>164</v>
      </c>
      <c r="C147" s="7">
        <v>393</v>
      </c>
      <c r="D147" s="7">
        <v>527</v>
      </c>
      <c r="E147" s="8">
        <f t="shared" si="28"/>
        <v>42.717391304347821</v>
      </c>
      <c r="F147" s="7">
        <v>316</v>
      </c>
      <c r="G147" s="7">
        <v>1194</v>
      </c>
      <c r="H147" s="8">
        <f t="shared" si="29"/>
        <v>20.927152317880797</v>
      </c>
    </row>
    <row r="148" spans="1:8" ht="14.4" x14ac:dyDescent="0.3">
      <c r="A148" s="5">
        <v>31201</v>
      </c>
      <c r="B148" s="6" t="s">
        <v>165</v>
      </c>
      <c r="C148" s="7">
        <v>4041</v>
      </c>
      <c r="D148" s="7">
        <v>4574</v>
      </c>
      <c r="E148" s="8">
        <f t="shared" si="28"/>
        <v>46.906558328496807</v>
      </c>
      <c r="F148" s="7">
        <v>93</v>
      </c>
      <c r="G148" s="7">
        <v>115</v>
      </c>
      <c r="H148" s="8">
        <f t="shared" si="29"/>
        <v>44.711538461538467</v>
      </c>
    </row>
    <row r="149" spans="1:8" ht="14.4" x14ac:dyDescent="0.3">
      <c r="A149" s="5">
        <v>31202</v>
      </c>
      <c r="B149" s="6" t="s">
        <v>166</v>
      </c>
      <c r="C149" s="7">
        <v>1420</v>
      </c>
      <c r="D149" s="7">
        <v>1661</v>
      </c>
      <c r="E149" s="8">
        <f t="shared" si="28"/>
        <v>46.088932164881527</v>
      </c>
      <c r="F149" s="7">
        <v>151</v>
      </c>
      <c r="G149" s="7">
        <v>204</v>
      </c>
      <c r="H149" s="8">
        <f t="shared" si="29"/>
        <v>42.535211267605632</v>
      </c>
    </row>
    <row r="150" spans="1:8" ht="14.4" x14ac:dyDescent="0.3">
      <c r="A150" s="5">
        <v>31203</v>
      </c>
      <c r="B150" s="6" t="s">
        <v>167</v>
      </c>
      <c r="C150" s="7">
        <v>6987</v>
      </c>
      <c r="D150" s="7">
        <v>7308</v>
      </c>
      <c r="E150" s="8">
        <f t="shared" si="28"/>
        <v>48.877229800629593</v>
      </c>
      <c r="F150" s="7">
        <v>61</v>
      </c>
      <c r="G150" s="7">
        <v>67</v>
      </c>
      <c r="H150" s="8">
        <f t="shared" si="29"/>
        <v>47.65625</v>
      </c>
    </row>
    <row r="151" spans="1:8" ht="14.4" x14ac:dyDescent="0.3">
      <c r="A151" s="5">
        <v>31204</v>
      </c>
      <c r="B151" s="6" t="s">
        <v>168</v>
      </c>
      <c r="C151" s="7">
        <v>450</v>
      </c>
      <c r="D151" s="7">
        <v>846</v>
      </c>
      <c r="E151" s="8">
        <f t="shared" si="28"/>
        <v>34.722222222222221</v>
      </c>
      <c r="F151" s="7">
        <v>106</v>
      </c>
      <c r="G151" s="7">
        <v>182</v>
      </c>
      <c r="H151" s="8">
        <f t="shared" si="29"/>
        <v>36.805555555555557</v>
      </c>
    </row>
    <row r="152" spans="1:8" ht="14.4" x14ac:dyDescent="0.3">
      <c r="A152" s="5">
        <v>31205</v>
      </c>
      <c r="B152" s="6" t="s">
        <v>169</v>
      </c>
      <c r="C152" s="7">
        <v>1611</v>
      </c>
      <c r="D152" s="7">
        <v>2823</v>
      </c>
      <c r="E152" s="8">
        <f t="shared" si="28"/>
        <v>36.332882273342356</v>
      </c>
      <c r="F152" s="7">
        <v>72</v>
      </c>
      <c r="G152" s="7">
        <v>115</v>
      </c>
      <c r="H152" s="8">
        <f t="shared" si="29"/>
        <v>38.502673796791441</v>
      </c>
    </row>
    <row r="153" spans="1:8" ht="14.4" x14ac:dyDescent="0.3">
      <c r="A153" s="5">
        <v>31206</v>
      </c>
      <c r="B153" s="6" t="s">
        <v>170</v>
      </c>
      <c r="C153" s="7">
        <v>1162</v>
      </c>
      <c r="D153" s="7">
        <v>1990</v>
      </c>
      <c r="E153" s="8">
        <f t="shared" si="28"/>
        <v>36.86548223350254</v>
      </c>
      <c r="F153" s="7">
        <v>25</v>
      </c>
      <c r="G153" s="7">
        <v>41</v>
      </c>
      <c r="H153" s="8">
        <f t="shared" si="29"/>
        <v>37.878787878787875</v>
      </c>
    </row>
    <row r="154" spans="1:8" ht="14.4" x14ac:dyDescent="0.3">
      <c r="A154" s="5">
        <v>31301</v>
      </c>
      <c r="B154" s="6" t="s">
        <v>171</v>
      </c>
      <c r="C154" s="7">
        <v>3422</v>
      </c>
      <c r="D154" s="7">
        <v>3757</v>
      </c>
      <c r="E154" s="8">
        <f t="shared" si="28"/>
        <v>47.666805961833127</v>
      </c>
      <c r="F154" s="7">
        <v>250</v>
      </c>
      <c r="G154" s="7">
        <v>241</v>
      </c>
      <c r="H154" s="8">
        <f t="shared" si="29"/>
        <v>50.916496945010181</v>
      </c>
    </row>
    <row r="155" spans="1:8" ht="14.4" x14ac:dyDescent="0.3">
      <c r="A155" s="5">
        <v>31302</v>
      </c>
      <c r="B155" s="6" t="s">
        <v>172</v>
      </c>
      <c r="C155" s="7">
        <v>2254</v>
      </c>
      <c r="D155" s="7">
        <v>2559</v>
      </c>
      <c r="E155" s="8">
        <f t="shared" si="28"/>
        <v>46.831498026179098</v>
      </c>
      <c r="F155" s="7">
        <v>0</v>
      </c>
      <c r="G155" s="7">
        <v>0</v>
      </c>
      <c r="H155" s="8">
        <f t="shared" si="29"/>
        <v>0</v>
      </c>
    </row>
    <row r="156" spans="1:8" ht="14.4" x14ac:dyDescent="0.3">
      <c r="A156" s="5">
        <v>31303</v>
      </c>
      <c r="B156" s="6" t="s">
        <v>173</v>
      </c>
      <c r="C156" s="7">
        <v>0</v>
      </c>
      <c r="D156" s="7">
        <v>0</v>
      </c>
      <c r="E156" s="8">
        <f t="shared" si="28"/>
        <v>0</v>
      </c>
      <c r="F156" s="7">
        <v>0</v>
      </c>
      <c r="G156" s="7">
        <v>0</v>
      </c>
      <c r="H156" s="8">
        <f t="shared" si="29"/>
        <v>0</v>
      </c>
    </row>
    <row r="157" spans="1:8" ht="14.4" x14ac:dyDescent="0.3">
      <c r="A157" s="5">
        <v>31304</v>
      </c>
      <c r="B157" s="6" t="s">
        <v>174</v>
      </c>
      <c r="C157" s="7">
        <v>0</v>
      </c>
      <c r="D157" s="7">
        <v>0</v>
      </c>
      <c r="E157" s="8">
        <f t="shared" si="28"/>
        <v>0</v>
      </c>
      <c r="F157" s="7">
        <v>0</v>
      </c>
      <c r="G157" s="7">
        <v>0</v>
      </c>
      <c r="H157" s="8">
        <f t="shared" si="29"/>
        <v>0</v>
      </c>
    </row>
    <row r="158" spans="1:8" ht="14.4" x14ac:dyDescent="0.3">
      <c r="A158" s="5">
        <v>31401</v>
      </c>
      <c r="B158" s="6" t="s">
        <v>175</v>
      </c>
      <c r="C158" s="7">
        <v>4552</v>
      </c>
      <c r="D158" s="7">
        <v>4087</v>
      </c>
      <c r="E158" s="8">
        <f t="shared" si="28"/>
        <v>52.691283713392757</v>
      </c>
      <c r="F158" s="7">
        <v>904</v>
      </c>
      <c r="G158" s="7">
        <v>899</v>
      </c>
      <c r="H158" s="8">
        <f t="shared" si="29"/>
        <v>50.13865779256794</v>
      </c>
    </row>
    <row r="159" spans="1:8" ht="14.4" x14ac:dyDescent="0.3">
      <c r="A159" s="5">
        <v>31402</v>
      </c>
      <c r="B159" s="6" t="s">
        <v>176</v>
      </c>
      <c r="C159" s="7">
        <v>564</v>
      </c>
      <c r="D159" s="7">
        <v>473</v>
      </c>
      <c r="E159" s="8">
        <f t="shared" si="28"/>
        <v>54.387656702025076</v>
      </c>
      <c r="F159" s="7">
        <v>550</v>
      </c>
      <c r="G159" s="7">
        <v>530</v>
      </c>
      <c r="H159" s="8">
        <f t="shared" si="29"/>
        <v>50.925925925925931</v>
      </c>
    </row>
    <row r="160" spans="1:8" ht="14.4" x14ac:dyDescent="0.3">
      <c r="A160" s="5">
        <v>31403</v>
      </c>
      <c r="B160" s="6" t="s">
        <v>177</v>
      </c>
      <c r="C160" s="7">
        <v>2600</v>
      </c>
      <c r="D160" s="7">
        <v>2474</v>
      </c>
      <c r="E160" s="8">
        <f t="shared" si="28"/>
        <v>51.241623965313366</v>
      </c>
      <c r="F160" s="7">
        <v>770</v>
      </c>
      <c r="G160" s="7">
        <v>663</v>
      </c>
      <c r="H160" s="8">
        <f t="shared" si="29"/>
        <v>53.733426378227499</v>
      </c>
    </row>
    <row r="161" spans="1:8" ht="14.4" x14ac:dyDescent="0.3">
      <c r="A161" s="5">
        <v>31404</v>
      </c>
      <c r="B161" s="6" t="s">
        <v>178</v>
      </c>
      <c r="C161" s="7">
        <v>0</v>
      </c>
      <c r="D161" s="7">
        <v>0</v>
      </c>
      <c r="E161" s="8">
        <f t="shared" si="28"/>
        <v>0</v>
      </c>
      <c r="F161" s="7">
        <v>0</v>
      </c>
      <c r="G161" s="7">
        <v>0</v>
      </c>
      <c r="H161" s="8">
        <f t="shared" si="29"/>
        <v>0</v>
      </c>
    </row>
    <row r="162" spans="1:8" ht="14.4" x14ac:dyDescent="0.3">
      <c r="A162" s="5">
        <v>31405</v>
      </c>
      <c r="B162" s="6" t="s">
        <v>179</v>
      </c>
      <c r="C162" s="7">
        <v>0</v>
      </c>
      <c r="D162" s="7">
        <v>0</v>
      </c>
      <c r="E162" s="8">
        <f t="shared" si="28"/>
        <v>0</v>
      </c>
      <c r="F162" s="7">
        <v>0</v>
      </c>
      <c r="G162" s="7">
        <v>0</v>
      </c>
      <c r="H162" s="8">
        <f t="shared" si="29"/>
        <v>0</v>
      </c>
    </row>
    <row r="163" spans="1:8" ht="14.4" x14ac:dyDescent="0.3">
      <c r="A163" s="5">
        <v>31501</v>
      </c>
      <c r="B163" s="6" t="s">
        <v>180</v>
      </c>
      <c r="C163" s="7">
        <v>0</v>
      </c>
      <c r="D163" s="7">
        <v>0</v>
      </c>
      <c r="E163" s="8">
        <f t="shared" si="28"/>
        <v>0</v>
      </c>
      <c r="F163" s="7">
        <v>0</v>
      </c>
      <c r="G163" s="7">
        <v>0</v>
      </c>
      <c r="H163" s="8">
        <f t="shared" si="29"/>
        <v>0</v>
      </c>
    </row>
    <row r="164" spans="1:8" ht="14.4" x14ac:dyDescent="0.3">
      <c r="A164" s="5">
        <v>31601</v>
      </c>
      <c r="B164" s="6" t="s">
        <v>181</v>
      </c>
      <c r="C164" s="7">
        <v>1747</v>
      </c>
      <c r="D164" s="7">
        <v>2488</v>
      </c>
      <c r="E164" s="8">
        <f t="shared" si="28"/>
        <v>41.251475796930343</v>
      </c>
      <c r="F164" s="7">
        <v>1393</v>
      </c>
      <c r="G164" s="7">
        <v>1461</v>
      </c>
      <c r="H164" s="8">
        <f t="shared" si="29"/>
        <v>48.808689558514367</v>
      </c>
    </row>
    <row r="165" spans="1:8" ht="14.4" x14ac:dyDescent="0.3">
      <c r="A165" s="5">
        <v>31602</v>
      </c>
      <c r="B165" s="6" t="s">
        <v>182</v>
      </c>
      <c r="C165" s="7">
        <v>79</v>
      </c>
      <c r="D165" s="7">
        <v>151</v>
      </c>
      <c r="E165" s="8">
        <f t="shared" si="28"/>
        <v>34.347826086956523</v>
      </c>
      <c r="F165" s="7">
        <v>33</v>
      </c>
      <c r="G165" s="7">
        <v>77</v>
      </c>
      <c r="H165" s="8">
        <f t="shared" si="29"/>
        <v>30</v>
      </c>
    </row>
    <row r="166" spans="1:8" ht="14.4" x14ac:dyDescent="0.3">
      <c r="A166" s="5">
        <v>40101</v>
      </c>
      <c r="B166" s="6" t="s">
        <v>16</v>
      </c>
      <c r="C166" s="7">
        <v>3</v>
      </c>
      <c r="D166" s="7">
        <v>0</v>
      </c>
      <c r="E166" s="8">
        <f t="shared" si="28"/>
        <v>100</v>
      </c>
      <c r="F166" s="7">
        <v>0</v>
      </c>
      <c r="G166" s="7">
        <v>0</v>
      </c>
      <c r="H166" s="8">
        <f t="shared" si="29"/>
        <v>0</v>
      </c>
    </row>
    <row r="167" spans="1:8" ht="14.4" x14ac:dyDescent="0.3">
      <c r="A167" s="5">
        <v>40102</v>
      </c>
      <c r="B167" s="6" t="s">
        <v>183</v>
      </c>
      <c r="C167" s="7">
        <v>4948</v>
      </c>
      <c r="D167" s="7">
        <v>7379</v>
      </c>
      <c r="E167" s="8">
        <f t="shared" si="28"/>
        <v>40.139531110570289</v>
      </c>
      <c r="F167" s="7">
        <v>1129</v>
      </c>
      <c r="G167" s="7">
        <v>1617</v>
      </c>
      <c r="H167" s="8">
        <f t="shared" si="29"/>
        <v>41.114348142753094</v>
      </c>
    </row>
    <row r="168" spans="1:8" ht="14.4" x14ac:dyDescent="0.3">
      <c r="A168" s="5">
        <v>40103</v>
      </c>
      <c r="B168" s="6" t="s">
        <v>184</v>
      </c>
      <c r="C168" s="7">
        <v>2</v>
      </c>
      <c r="D168" s="7">
        <v>6</v>
      </c>
      <c r="E168" s="8">
        <f t="shared" si="28"/>
        <v>25</v>
      </c>
      <c r="F168" s="7">
        <v>0</v>
      </c>
      <c r="G168" s="7">
        <v>0</v>
      </c>
      <c r="H168" s="8">
        <f t="shared" si="29"/>
        <v>0</v>
      </c>
    </row>
    <row r="169" spans="1:8" ht="14.4" x14ac:dyDescent="0.3">
      <c r="A169" s="5">
        <v>40104</v>
      </c>
      <c r="B169" s="6" t="s">
        <v>185</v>
      </c>
      <c r="C169" s="7">
        <v>3146</v>
      </c>
      <c r="D169" s="7">
        <v>4410</v>
      </c>
      <c r="E169" s="8">
        <f t="shared" si="28"/>
        <v>41.635786130227629</v>
      </c>
      <c r="F169" s="7">
        <v>60</v>
      </c>
      <c r="G169" s="7">
        <v>80</v>
      </c>
      <c r="H169" s="8">
        <f t="shared" si="29"/>
        <v>42.857142857142854</v>
      </c>
    </row>
    <row r="170" spans="1:8" ht="14.4" x14ac:dyDescent="0.3">
      <c r="A170" s="5">
        <v>40201</v>
      </c>
      <c r="B170" s="6" t="s">
        <v>186</v>
      </c>
      <c r="C170" s="7">
        <v>181</v>
      </c>
      <c r="D170" s="7">
        <v>207</v>
      </c>
      <c r="E170" s="8">
        <f t="shared" si="28"/>
        <v>46.649484536082475</v>
      </c>
      <c r="F170" s="7">
        <v>1</v>
      </c>
      <c r="G170" s="7">
        <v>0</v>
      </c>
      <c r="H170" s="8">
        <f t="shared" si="29"/>
        <v>100</v>
      </c>
    </row>
    <row r="171" spans="1:8" ht="14.4" x14ac:dyDescent="0.3">
      <c r="A171" s="5">
        <v>40202</v>
      </c>
      <c r="B171" s="6" t="s">
        <v>187</v>
      </c>
      <c r="C171" s="7">
        <v>2</v>
      </c>
      <c r="D171" s="7">
        <v>4</v>
      </c>
      <c r="E171" s="8">
        <f t="shared" si="28"/>
        <v>33.333333333333329</v>
      </c>
      <c r="F171" s="7">
        <v>0</v>
      </c>
      <c r="G171" s="7">
        <v>0</v>
      </c>
      <c r="H171" s="8">
        <f t="shared" si="29"/>
        <v>0</v>
      </c>
    </row>
    <row r="172" spans="1:8" ht="14.4" x14ac:dyDescent="0.3">
      <c r="A172" s="5">
        <v>40301</v>
      </c>
      <c r="B172" s="6" t="s">
        <v>188</v>
      </c>
      <c r="C172" s="7">
        <v>0</v>
      </c>
      <c r="D172" s="7">
        <v>0</v>
      </c>
      <c r="E172" s="8">
        <f t="shared" si="28"/>
        <v>0</v>
      </c>
      <c r="F172" s="7">
        <v>0</v>
      </c>
      <c r="G172" s="7">
        <v>0</v>
      </c>
      <c r="H172" s="8">
        <f t="shared" si="29"/>
        <v>0</v>
      </c>
    </row>
    <row r="173" spans="1:8" ht="14.4" x14ac:dyDescent="0.3">
      <c r="A173" s="5">
        <v>40302</v>
      </c>
      <c r="B173" s="6" t="s">
        <v>189</v>
      </c>
      <c r="C173" s="7">
        <v>0</v>
      </c>
      <c r="D173" s="7">
        <v>0</v>
      </c>
      <c r="E173" s="8">
        <f t="shared" si="28"/>
        <v>0</v>
      </c>
      <c r="F173" s="7">
        <v>0</v>
      </c>
      <c r="G173" s="7">
        <v>0</v>
      </c>
      <c r="H173" s="8">
        <f t="shared" si="29"/>
        <v>0</v>
      </c>
    </row>
    <row r="174" spans="1:8" ht="14.4" x14ac:dyDescent="0.3">
      <c r="A174" s="5">
        <v>40401</v>
      </c>
      <c r="B174" s="6" t="s">
        <v>190</v>
      </c>
      <c r="C174" s="7">
        <v>0</v>
      </c>
      <c r="D174" s="7">
        <v>0</v>
      </c>
      <c r="E174" s="8">
        <f t="shared" si="28"/>
        <v>0</v>
      </c>
      <c r="F174" s="7">
        <v>0</v>
      </c>
      <c r="G174" s="7">
        <v>0</v>
      </c>
      <c r="H174" s="8">
        <f t="shared" si="29"/>
        <v>0</v>
      </c>
    </row>
    <row r="175" spans="1:8" ht="14.4" x14ac:dyDescent="0.3">
      <c r="A175" s="5">
        <v>40402</v>
      </c>
      <c r="B175" s="6" t="s">
        <v>191</v>
      </c>
      <c r="C175" s="7">
        <v>0</v>
      </c>
      <c r="D175" s="7">
        <v>0</v>
      </c>
      <c r="E175" s="8">
        <f t="shared" si="28"/>
        <v>0</v>
      </c>
      <c r="F175" s="7">
        <v>0</v>
      </c>
      <c r="G175" s="7">
        <v>0</v>
      </c>
      <c r="H175" s="8">
        <f t="shared" si="29"/>
        <v>0</v>
      </c>
    </row>
    <row r="176" spans="1:8" ht="14.4" x14ac:dyDescent="0.3">
      <c r="A176" s="5">
        <v>40501</v>
      </c>
      <c r="B176" s="6" t="s">
        <v>192</v>
      </c>
      <c r="C176" s="7">
        <v>0</v>
      </c>
      <c r="D176" s="7">
        <v>0</v>
      </c>
      <c r="E176" s="8">
        <f t="shared" si="28"/>
        <v>0</v>
      </c>
      <c r="F176" s="7">
        <v>0</v>
      </c>
      <c r="G176" s="7">
        <v>0</v>
      </c>
      <c r="H176" s="8">
        <f t="shared" si="29"/>
        <v>0</v>
      </c>
    </row>
    <row r="177" spans="1:8" ht="14.4" x14ac:dyDescent="0.3">
      <c r="A177" s="5">
        <v>40502</v>
      </c>
      <c r="B177" s="6" t="s">
        <v>193</v>
      </c>
      <c r="C177" s="7">
        <v>0</v>
      </c>
      <c r="D177" s="7">
        <v>0</v>
      </c>
      <c r="E177" s="8">
        <f t="shared" si="28"/>
        <v>0</v>
      </c>
      <c r="F177" s="7">
        <v>0</v>
      </c>
      <c r="G177" s="7">
        <v>0</v>
      </c>
      <c r="H177" s="8">
        <f t="shared" si="29"/>
        <v>0</v>
      </c>
    </row>
    <row r="178" spans="1:8" ht="14.4" x14ac:dyDescent="0.3">
      <c r="A178" s="5">
        <v>40503</v>
      </c>
      <c r="B178" s="6" t="s">
        <v>194</v>
      </c>
      <c r="C178" s="7">
        <v>0</v>
      </c>
      <c r="D178" s="7">
        <v>0</v>
      </c>
      <c r="E178" s="8">
        <f t="shared" si="28"/>
        <v>0</v>
      </c>
      <c r="F178" s="7">
        <v>0</v>
      </c>
      <c r="G178" s="7">
        <v>0</v>
      </c>
      <c r="H178" s="8">
        <f t="shared" si="29"/>
        <v>0</v>
      </c>
    </row>
    <row r="179" spans="1:8" ht="14.4" x14ac:dyDescent="0.3">
      <c r="A179" s="5">
        <v>40504</v>
      </c>
      <c r="B179" s="6" t="s">
        <v>195</v>
      </c>
      <c r="C179" s="7">
        <v>0</v>
      </c>
      <c r="D179" s="7">
        <v>0</v>
      </c>
      <c r="E179" s="8">
        <f t="shared" si="28"/>
        <v>0</v>
      </c>
      <c r="F179" s="7">
        <v>0</v>
      </c>
      <c r="G179" s="7">
        <v>0</v>
      </c>
      <c r="H179" s="8">
        <f t="shared" si="29"/>
        <v>0</v>
      </c>
    </row>
    <row r="180" spans="1:8" ht="14.4" x14ac:dyDescent="0.3">
      <c r="A180" s="5">
        <v>40505</v>
      </c>
      <c r="B180" s="6" t="s">
        <v>196</v>
      </c>
      <c r="C180" s="7">
        <v>0</v>
      </c>
      <c r="D180" s="7">
        <v>0</v>
      </c>
      <c r="E180" s="8">
        <f t="shared" si="28"/>
        <v>0</v>
      </c>
      <c r="F180" s="7">
        <v>0</v>
      </c>
      <c r="G180" s="7">
        <v>0</v>
      </c>
      <c r="H180" s="8">
        <f t="shared" si="29"/>
        <v>0</v>
      </c>
    </row>
    <row r="181" spans="1:8" ht="14.4" x14ac:dyDescent="0.3">
      <c r="A181" s="5">
        <v>40601</v>
      </c>
      <c r="B181" s="6" t="s">
        <v>197</v>
      </c>
      <c r="C181" s="7">
        <v>22</v>
      </c>
      <c r="D181" s="7">
        <v>23</v>
      </c>
      <c r="E181" s="8">
        <f t="shared" si="28"/>
        <v>48.888888888888886</v>
      </c>
      <c r="F181" s="7">
        <v>0</v>
      </c>
      <c r="G181" s="7">
        <v>0</v>
      </c>
      <c r="H181" s="8">
        <f t="shared" si="29"/>
        <v>0</v>
      </c>
    </row>
    <row r="182" spans="1:8" ht="14.4" x14ac:dyDescent="0.3">
      <c r="A182" s="5">
        <v>40602</v>
      </c>
      <c r="B182" s="6" t="s">
        <v>198</v>
      </c>
      <c r="C182" s="7">
        <v>126</v>
      </c>
      <c r="D182" s="7">
        <v>130</v>
      </c>
      <c r="E182" s="8">
        <f t="shared" si="28"/>
        <v>49.21875</v>
      </c>
      <c r="F182" s="7">
        <v>0</v>
      </c>
      <c r="G182" s="7">
        <v>0</v>
      </c>
      <c r="H182" s="8">
        <f t="shared" si="29"/>
        <v>0</v>
      </c>
    </row>
    <row r="183" spans="1:8" ht="14.4" x14ac:dyDescent="0.3">
      <c r="A183" s="5">
        <v>40603</v>
      </c>
      <c r="B183" s="6" t="s">
        <v>199</v>
      </c>
      <c r="C183" s="7">
        <v>0</v>
      </c>
      <c r="D183" s="7">
        <v>0</v>
      </c>
      <c r="E183" s="8">
        <f t="shared" si="28"/>
        <v>0</v>
      </c>
      <c r="F183" s="7">
        <v>0</v>
      </c>
      <c r="G183" s="7">
        <v>0</v>
      </c>
      <c r="H183" s="8">
        <f t="shared" si="29"/>
        <v>0</v>
      </c>
    </row>
    <row r="184" spans="1:8" ht="14.4" x14ac:dyDescent="0.3">
      <c r="A184" s="5">
        <v>40701</v>
      </c>
      <c r="B184" s="6" t="s">
        <v>200</v>
      </c>
      <c r="C184" s="7">
        <v>0</v>
      </c>
      <c r="D184" s="7">
        <v>0</v>
      </c>
      <c r="E184" s="8">
        <f t="shared" si="28"/>
        <v>0</v>
      </c>
      <c r="F184" s="7">
        <v>0</v>
      </c>
      <c r="G184" s="7">
        <v>0</v>
      </c>
      <c r="H184" s="8">
        <f t="shared" si="29"/>
        <v>0</v>
      </c>
    </row>
    <row r="185" spans="1:8" ht="14.4" x14ac:dyDescent="0.3">
      <c r="A185" s="5">
        <v>40702</v>
      </c>
      <c r="B185" s="6" t="s">
        <v>201</v>
      </c>
      <c r="C185" s="7">
        <v>0</v>
      </c>
      <c r="D185" s="7">
        <v>0</v>
      </c>
      <c r="E185" s="8">
        <f t="shared" si="28"/>
        <v>0</v>
      </c>
      <c r="F185" s="7">
        <v>1</v>
      </c>
      <c r="G185" s="7">
        <v>0</v>
      </c>
      <c r="H185" s="8">
        <f t="shared" si="29"/>
        <v>100</v>
      </c>
    </row>
    <row r="186" spans="1:8" ht="14.4" x14ac:dyDescent="0.3">
      <c r="A186" s="5">
        <v>40801</v>
      </c>
      <c r="B186" s="6" t="s">
        <v>202</v>
      </c>
      <c r="C186" s="7">
        <v>0</v>
      </c>
      <c r="D186" s="7">
        <v>0</v>
      </c>
      <c r="E186" s="8">
        <f t="shared" si="28"/>
        <v>0</v>
      </c>
      <c r="F186" s="7">
        <v>0</v>
      </c>
      <c r="G186" s="7">
        <v>0</v>
      </c>
      <c r="H186" s="8">
        <f t="shared" si="29"/>
        <v>0</v>
      </c>
    </row>
    <row r="187" spans="1:8" ht="14.4" x14ac:dyDescent="0.3">
      <c r="A187" s="5">
        <v>40802</v>
      </c>
      <c r="B187" s="6" t="s">
        <v>203</v>
      </c>
      <c r="C187" s="7">
        <v>0</v>
      </c>
      <c r="D187" s="7">
        <v>0</v>
      </c>
      <c r="E187" s="8">
        <f t="shared" si="28"/>
        <v>0</v>
      </c>
      <c r="F187" s="7">
        <v>0</v>
      </c>
      <c r="G187" s="7">
        <v>0</v>
      </c>
      <c r="H187" s="8">
        <f t="shared" si="29"/>
        <v>0</v>
      </c>
    </row>
    <row r="188" spans="1:8" ht="14.4" x14ac:dyDescent="0.3">
      <c r="A188" s="5">
        <v>40901</v>
      </c>
      <c r="B188" s="6" t="s">
        <v>204</v>
      </c>
      <c r="C188" s="7">
        <v>0</v>
      </c>
      <c r="D188" s="7">
        <v>0</v>
      </c>
      <c r="E188" s="8">
        <f t="shared" si="28"/>
        <v>0</v>
      </c>
      <c r="F188" s="7">
        <v>0</v>
      </c>
      <c r="G188" s="7">
        <v>0</v>
      </c>
      <c r="H188" s="8">
        <f t="shared" si="29"/>
        <v>0</v>
      </c>
    </row>
    <row r="189" spans="1:8" ht="14.4" x14ac:dyDescent="0.3">
      <c r="A189" s="5">
        <v>40902</v>
      </c>
      <c r="B189" s="6" t="s">
        <v>205</v>
      </c>
      <c r="C189" s="7">
        <v>0</v>
      </c>
      <c r="D189" s="7">
        <v>0</v>
      </c>
      <c r="E189" s="8">
        <f t="shared" si="28"/>
        <v>0</v>
      </c>
      <c r="F189" s="7">
        <v>0</v>
      </c>
      <c r="G189" s="7">
        <v>0</v>
      </c>
      <c r="H189" s="8">
        <f t="shared" si="29"/>
        <v>0</v>
      </c>
    </row>
    <row r="190" spans="1:8" ht="14.4" x14ac:dyDescent="0.3">
      <c r="A190" s="5">
        <v>40903</v>
      </c>
      <c r="B190" s="6" t="s">
        <v>206</v>
      </c>
      <c r="C190" s="7">
        <v>0</v>
      </c>
      <c r="D190" s="7">
        <v>0</v>
      </c>
      <c r="E190" s="8">
        <f t="shared" si="28"/>
        <v>0</v>
      </c>
      <c r="F190" s="7">
        <v>0</v>
      </c>
      <c r="G190" s="7">
        <v>0</v>
      </c>
      <c r="H190" s="8">
        <f t="shared" si="29"/>
        <v>0</v>
      </c>
    </row>
    <row r="191" spans="1:8" ht="14.4" x14ac:dyDescent="0.3">
      <c r="A191" s="5">
        <v>41001</v>
      </c>
      <c r="B191" s="6" t="s">
        <v>207</v>
      </c>
      <c r="C191" s="7">
        <v>0</v>
      </c>
      <c r="D191" s="7">
        <v>2</v>
      </c>
      <c r="E191" s="8">
        <f t="shared" si="28"/>
        <v>0</v>
      </c>
      <c r="F191" s="7">
        <v>0</v>
      </c>
      <c r="G191" s="7">
        <v>0</v>
      </c>
      <c r="H191" s="8">
        <f t="shared" si="29"/>
        <v>0</v>
      </c>
    </row>
    <row r="192" spans="1:8" ht="14.4" x14ac:dyDescent="0.3">
      <c r="A192" s="5">
        <v>41101</v>
      </c>
      <c r="B192" s="6" t="s">
        <v>208</v>
      </c>
      <c r="C192" s="7">
        <v>2138</v>
      </c>
      <c r="D192" s="7">
        <v>2137</v>
      </c>
      <c r="E192" s="8">
        <f t="shared" si="28"/>
        <v>50.011695906432749</v>
      </c>
      <c r="F192" s="7">
        <v>13</v>
      </c>
      <c r="G192" s="7">
        <v>43</v>
      </c>
      <c r="H192" s="8">
        <f t="shared" si="29"/>
        <v>23.214285714285715</v>
      </c>
    </row>
    <row r="193" spans="1:8" ht="14.4" x14ac:dyDescent="0.3">
      <c r="A193" s="5">
        <v>41201</v>
      </c>
      <c r="B193" s="6" t="s">
        <v>209</v>
      </c>
      <c r="C193" s="7">
        <v>0</v>
      </c>
      <c r="D193" s="7">
        <v>0</v>
      </c>
      <c r="E193" s="8">
        <f t="shared" si="28"/>
        <v>0</v>
      </c>
      <c r="F193" s="7">
        <v>0</v>
      </c>
      <c r="G193" s="7">
        <v>0</v>
      </c>
      <c r="H193" s="8">
        <f t="shared" si="29"/>
        <v>0</v>
      </c>
    </row>
    <row r="194" spans="1:8" ht="14.4" x14ac:dyDescent="0.3">
      <c r="A194" s="5">
        <v>41202</v>
      </c>
      <c r="B194" s="6" t="s">
        <v>210</v>
      </c>
      <c r="C194" s="7">
        <v>0</v>
      </c>
      <c r="D194" s="7">
        <v>0</v>
      </c>
      <c r="E194" s="8">
        <f t="shared" si="28"/>
        <v>0</v>
      </c>
      <c r="F194" s="7">
        <v>0</v>
      </c>
      <c r="G194" s="7">
        <v>0</v>
      </c>
      <c r="H194" s="8">
        <f t="shared" si="29"/>
        <v>0</v>
      </c>
    </row>
    <row r="195" spans="1:8" ht="14.4" x14ac:dyDescent="0.3">
      <c r="A195" s="5">
        <v>41301</v>
      </c>
      <c r="B195" s="6" t="s">
        <v>165</v>
      </c>
      <c r="C195" s="7">
        <v>10</v>
      </c>
      <c r="D195" s="7">
        <v>8</v>
      </c>
      <c r="E195" s="8">
        <f t="shared" ref="E195:E258" si="30">IF(D195+C195=0,0,100*(C195/(C195+D195)))</f>
        <v>55.555555555555557</v>
      </c>
      <c r="F195" s="7">
        <v>0</v>
      </c>
      <c r="G195" s="7">
        <v>0</v>
      </c>
      <c r="H195" s="8">
        <f t="shared" ref="H195:H258" si="31">IF(G195+F195=0,0,100*(F195/(F195+G195)))</f>
        <v>0</v>
      </c>
    </row>
    <row r="196" spans="1:8" ht="14.4" x14ac:dyDescent="0.3">
      <c r="A196" s="5">
        <v>41401</v>
      </c>
      <c r="B196" s="6" t="s">
        <v>211</v>
      </c>
      <c r="C196" s="7">
        <v>0</v>
      </c>
      <c r="D196" s="7">
        <v>1</v>
      </c>
      <c r="E196" s="8">
        <f t="shared" si="30"/>
        <v>0</v>
      </c>
      <c r="F196" s="7">
        <v>0</v>
      </c>
      <c r="G196" s="7">
        <v>0</v>
      </c>
      <c r="H196" s="8">
        <f t="shared" si="31"/>
        <v>0</v>
      </c>
    </row>
    <row r="197" spans="1:8" ht="14.4" x14ac:dyDescent="0.3">
      <c r="A197" s="5">
        <v>41501</v>
      </c>
      <c r="B197" s="6" t="s">
        <v>212</v>
      </c>
      <c r="C197" s="7">
        <v>0</v>
      </c>
      <c r="D197" s="7">
        <v>0</v>
      </c>
      <c r="E197" s="8">
        <f t="shared" si="30"/>
        <v>0</v>
      </c>
      <c r="F197" s="7">
        <v>0</v>
      </c>
      <c r="G197" s="7">
        <v>0</v>
      </c>
      <c r="H197" s="8">
        <f t="shared" si="31"/>
        <v>0</v>
      </c>
    </row>
    <row r="198" spans="1:8" ht="14.4" x14ac:dyDescent="0.3">
      <c r="A198" s="5">
        <v>41502</v>
      </c>
      <c r="B198" s="6" t="s">
        <v>213</v>
      </c>
      <c r="C198" s="7">
        <v>0</v>
      </c>
      <c r="D198" s="7">
        <v>0</v>
      </c>
      <c r="E198" s="8">
        <f t="shared" si="30"/>
        <v>0</v>
      </c>
      <c r="F198" s="7">
        <v>0</v>
      </c>
      <c r="G198" s="7">
        <v>0</v>
      </c>
      <c r="H198" s="8">
        <f t="shared" si="31"/>
        <v>0</v>
      </c>
    </row>
    <row r="199" spans="1:8" ht="14.4" x14ac:dyDescent="0.3">
      <c r="A199" s="5">
        <v>41503</v>
      </c>
      <c r="B199" s="6" t="s">
        <v>214</v>
      </c>
      <c r="C199" s="7">
        <v>0</v>
      </c>
      <c r="D199" s="7">
        <v>0</v>
      </c>
      <c r="E199" s="8">
        <f t="shared" si="30"/>
        <v>0</v>
      </c>
      <c r="F199" s="7">
        <v>0</v>
      </c>
      <c r="G199" s="7">
        <v>0</v>
      </c>
      <c r="H199" s="8">
        <f t="shared" si="31"/>
        <v>0</v>
      </c>
    </row>
    <row r="200" spans="1:8" ht="14.4" x14ac:dyDescent="0.3">
      <c r="A200" s="5">
        <v>41601</v>
      </c>
      <c r="B200" s="6" t="s">
        <v>215</v>
      </c>
      <c r="C200" s="7">
        <v>0</v>
      </c>
      <c r="D200" s="7">
        <v>0</v>
      </c>
      <c r="E200" s="8">
        <f t="shared" si="30"/>
        <v>0</v>
      </c>
      <c r="F200" s="7">
        <v>0</v>
      </c>
      <c r="G200" s="7">
        <v>0</v>
      </c>
      <c r="H200" s="8">
        <f t="shared" si="31"/>
        <v>0</v>
      </c>
    </row>
    <row r="201" spans="1:8" ht="14.4" x14ac:dyDescent="0.3">
      <c r="A201" s="5">
        <v>50101</v>
      </c>
      <c r="B201" s="6" t="s">
        <v>18</v>
      </c>
      <c r="C201" s="7">
        <v>3</v>
      </c>
      <c r="D201" s="7">
        <v>4</v>
      </c>
      <c r="E201" s="8">
        <f t="shared" si="30"/>
        <v>42.857142857142854</v>
      </c>
      <c r="F201" s="7">
        <v>370</v>
      </c>
      <c r="G201" s="7">
        <v>546</v>
      </c>
      <c r="H201" s="8">
        <f t="shared" si="31"/>
        <v>40.393013100436683</v>
      </c>
    </row>
    <row r="202" spans="1:8" ht="14.4" x14ac:dyDescent="0.3">
      <c r="A202" s="5">
        <v>50102</v>
      </c>
      <c r="B202" s="6" t="s">
        <v>216</v>
      </c>
      <c r="C202" s="7">
        <v>0</v>
      </c>
      <c r="D202" s="7">
        <v>0</v>
      </c>
      <c r="E202" s="8">
        <f t="shared" si="30"/>
        <v>0</v>
      </c>
      <c r="F202" s="7">
        <v>0</v>
      </c>
      <c r="G202" s="7">
        <v>0</v>
      </c>
      <c r="H202" s="8">
        <f t="shared" si="31"/>
        <v>0</v>
      </c>
    </row>
    <row r="203" spans="1:8" ht="14.4" x14ac:dyDescent="0.3">
      <c r="A203" s="5">
        <v>50103</v>
      </c>
      <c r="B203" s="6" t="s">
        <v>217</v>
      </c>
      <c r="C203" s="7">
        <v>8</v>
      </c>
      <c r="D203" s="7">
        <v>10</v>
      </c>
      <c r="E203" s="8">
        <f t="shared" si="30"/>
        <v>44.444444444444443</v>
      </c>
      <c r="F203" s="7">
        <v>368</v>
      </c>
      <c r="G203" s="7">
        <v>365</v>
      </c>
      <c r="H203" s="8">
        <f t="shared" si="31"/>
        <v>50.204638472032748</v>
      </c>
    </row>
    <row r="204" spans="1:8" ht="14.4" x14ac:dyDescent="0.3">
      <c r="A204" s="5">
        <v>50104</v>
      </c>
      <c r="B204" s="6" t="s">
        <v>218</v>
      </c>
      <c r="C204" s="7">
        <v>0</v>
      </c>
      <c r="D204" s="7">
        <v>0</v>
      </c>
      <c r="E204" s="8">
        <f t="shared" si="30"/>
        <v>0</v>
      </c>
      <c r="F204" s="7">
        <v>0</v>
      </c>
      <c r="G204" s="7">
        <v>0</v>
      </c>
      <c r="H204" s="8">
        <f t="shared" si="31"/>
        <v>0</v>
      </c>
    </row>
    <row r="205" spans="1:8" ht="14.4" x14ac:dyDescent="0.3">
      <c r="A205" s="5">
        <v>50201</v>
      </c>
      <c r="B205" s="6" t="s">
        <v>219</v>
      </c>
      <c r="C205" s="7">
        <v>0</v>
      </c>
      <c r="D205" s="7">
        <v>0</v>
      </c>
      <c r="E205" s="8">
        <f t="shared" si="30"/>
        <v>0</v>
      </c>
      <c r="F205" s="7">
        <v>0</v>
      </c>
      <c r="G205" s="7">
        <v>0</v>
      </c>
      <c r="H205" s="8">
        <f t="shared" si="31"/>
        <v>0</v>
      </c>
    </row>
    <row r="206" spans="1:8" ht="14.4" x14ac:dyDescent="0.3">
      <c r="A206" s="5">
        <v>50202</v>
      </c>
      <c r="B206" s="6" t="s">
        <v>220</v>
      </c>
      <c r="C206" s="7">
        <v>0</v>
      </c>
      <c r="D206" s="7">
        <v>0</v>
      </c>
      <c r="E206" s="8">
        <f t="shared" si="30"/>
        <v>0</v>
      </c>
      <c r="F206" s="7">
        <v>0</v>
      </c>
      <c r="G206" s="7">
        <v>0</v>
      </c>
      <c r="H206" s="8">
        <f t="shared" si="31"/>
        <v>0</v>
      </c>
    </row>
    <row r="207" spans="1:8" ht="14.4" x14ac:dyDescent="0.3">
      <c r="A207" s="5">
        <v>50203</v>
      </c>
      <c r="B207" s="6" t="s">
        <v>221</v>
      </c>
      <c r="C207" s="7">
        <v>0</v>
      </c>
      <c r="D207" s="7">
        <v>0</v>
      </c>
      <c r="E207" s="8">
        <f t="shared" si="30"/>
        <v>0</v>
      </c>
      <c r="F207" s="7">
        <v>0</v>
      </c>
      <c r="G207" s="7">
        <v>0</v>
      </c>
      <c r="H207" s="8">
        <f t="shared" si="31"/>
        <v>0</v>
      </c>
    </row>
    <row r="208" spans="1:8" ht="14.4" x14ac:dyDescent="0.3">
      <c r="A208" s="5">
        <v>50204</v>
      </c>
      <c r="B208" s="6" t="s">
        <v>222</v>
      </c>
      <c r="C208" s="7">
        <v>0</v>
      </c>
      <c r="D208" s="7">
        <v>0</v>
      </c>
      <c r="E208" s="8">
        <f t="shared" si="30"/>
        <v>0</v>
      </c>
      <c r="F208" s="7">
        <v>0</v>
      </c>
      <c r="G208" s="7">
        <v>0</v>
      </c>
      <c r="H208" s="8">
        <f t="shared" si="31"/>
        <v>0</v>
      </c>
    </row>
    <row r="209" spans="1:8" ht="14.4" x14ac:dyDescent="0.3">
      <c r="A209" s="5">
        <v>50301</v>
      </c>
      <c r="B209" s="6" t="s">
        <v>223</v>
      </c>
      <c r="C209" s="7">
        <v>54</v>
      </c>
      <c r="D209" s="7">
        <v>87</v>
      </c>
      <c r="E209" s="8">
        <f t="shared" si="30"/>
        <v>38.297872340425535</v>
      </c>
      <c r="F209" s="7">
        <v>875</v>
      </c>
      <c r="G209" s="7">
        <v>1043</v>
      </c>
      <c r="H209" s="8">
        <f t="shared" si="31"/>
        <v>45.620437956204377</v>
      </c>
    </row>
    <row r="210" spans="1:8" ht="14.4" x14ac:dyDescent="0.3">
      <c r="A210" s="5">
        <v>50302</v>
      </c>
      <c r="B210" s="6" t="s">
        <v>224</v>
      </c>
      <c r="C210" s="7">
        <v>0</v>
      </c>
      <c r="D210" s="7">
        <v>2</v>
      </c>
      <c r="E210" s="8">
        <f t="shared" si="30"/>
        <v>0</v>
      </c>
      <c r="F210" s="7">
        <v>0</v>
      </c>
      <c r="G210" s="7">
        <v>0</v>
      </c>
      <c r="H210" s="8">
        <f t="shared" si="31"/>
        <v>0</v>
      </c>
    </row>
    <row r="211" spans="1:8" ht="14.4" x14ac:dyDescent="0.3">
      <c r="A211" s="5">
        <v>50303</v>
      </c>
      <c r="B211" s="6" t="s">
        <v>225</v>
      </c>
      <c r="C211" s="7">
        <v>0</v>
      </c>
      <c r="D211" s="7">
        <v>0</v>
      </c>
      <c r="E211" s="8">
        <f t="shared" si="30"/>
        <v>0</v>
      </c>
      <c r="F211" s="7">
        <v>280</v>
      </c>
      <c r="G211" s="7">
        <v>306</v>
      </c>
      <c r="H211" s="8">
        <f t="shared" si="31"/>
        <v>47.781569965870304</v>
      </c>
    </row>
    <row r="212" spans="1:8" ht="14.4" x14ac:dyDescent="0.3">
      <c r="A212" s="5">
        <v>50401</v>
      </c>
      <c r="B212" s="6" t="s">
        <v>226</v>
      </c>
      <c r="C212" s="7">
        <v>0</v>
      </c>
      <c r="D212" s="7">
        <v>0</v>
      </c>
      <c r="E212" s="8">
        <f t="shared" si="30"/>
        <v>0</v>
      </c>
      <c r="F212" s="7">
        <v>0</v>
      </c>
      <c r="G212" s="7">
        <v>0</v>
      </c>
      <c r="H212" s="8">
        <f t="shared" si="31"/>
        <v>0</v>
      </c>
    </row>
    <row r="213" spans="1:8" ht="14.4" x14ac:dyDescent="0.3">
      <c r="A213" s="5">
        <v>50402</v>
      </c>
      <c r="B213" s="6" t="s">
        <v>227</v>
      </c>
      <c r="C213" s="7">
        <v>1206</v>
      </c>
      <c r="D213" s="7">
        <v>1428</v>
      </c>
      <c r="E213" s="8">
        <f t="shared" si="30"/>
        <v>45.785876993166283</v>
      </c>
      <c r="F213" s="7">
        <v>175</v>
      </c>
      <c r="G213" s="7">
        <v>261</v>
      </c>
      <c r="H213" s="8">
        <f t="shared" si="31"/>
        <v>40.137614678899084</v>
      </c>
    </row>
    <row r="214" spans="1:8" ht="14.4" x14ac:dyDescent="0.3">
      <c r="A214" s="5">
        <v>50403</v>
      </c>
      <c r="B214" s="6" t="s">
        <v>228</v>
      </c>
      <c r="C214" s="7">
        <v>0</v>
      </c>
      <c r="D214" s="7">
        <v>0</v>
      </c>
      <c r="E214" s="8">
        <f t="shared" si="30"/>
        <v>0</v>
      </c>
      <c r="F214" s="7">
        <v>1600</v>
      </c>
      <c r="G214" s="7">
        <v>3464</v>
      </c>
      <c r="H214" s="8">
        <f t="shared" si="31"/>
        <v>31.595576619273302</v>
      </c>
    </row>
    <row r="215" spans="1:8" ht="14.4" x14ac:dyDescent="0.3">
      <c r="A215" s="5">
        <v>50404</v>
      </c>
      <c r="B215" s="6" t="s">
        <v>229</v>
      </c>
      <c r="C215" s="7">
        <v>0</v>
      </c>
      <c r="D215" s="7">
        <v>0</v>
      </c>
      <c r="E215" s="8">
        <f t="shared" si="30"/>
        <v>0</v>
      </c>
      <c r="F215" s="7">
        <v>0</v>
      </c>
      <c r="G215" s="7">
        <v>0</v>
      </c>
      <c r="H215" s="8">
        <f t="shared" si="31"/>
        <v>0</v>
      </c>
    </row>
    <row r="216" spans="1:8" ht="14.4" x14ac:dyDescent="0.3">
      <c r="A216" s="5">
        <v>50405</v>
      </c>
      <c r="B216" s="6" t="s">
        <v>230</v>
      </c>
      <c r="C216" s="7">
        <v>0</v>
      </c>
      <c r="D216" s="7">
        <v>0</v>
      </c>
      <c r="E216" s="8">
        <f t="shared" si="30"/>
        <v>0</v>
      </c>
      <c r="F216" s="7">
        <v>12</v>
      </c>
      <c r="G216" s="7">
        <v>29</v>
      </c>
      <c r="H216" s="8">
        <f t="shared" si="31"/>
        <v>29.268292682926827</v>
      </c>
    </row>
    <row r="217" spans="1:8" ht="14.4" x14ac:dyDescent="0.3">
      <c r="A217" s="5">
        <v>50501</v>
      </c>
      <c r="B217" s="6" t="s">
        <v>231</v>
      </c>
      <c r="C217" s="7">
        <v>3</v>
      </c>
      <c r="D217" s="7">
        <v>5</v>
      </c>
      <c r="E217" s="8">
        <f t="shared" si="30"/>
        <v>37.5</v>
      </c>
      <c r="F217" s="7">
        <v>0</v>
      </c>
      <c r="G217" s="7">
        <v>0</v>
      </c>
      <c r="H217" s="8">
        <f t="shared" si="31"/>
        <v>0</v>
      </c>
    </row>
    <row r="218" spans="1:8" ht="14.4" x14ac:dyDescent="0.3">
      <c r="A218" s="5">
        <v>50502</v>
      </c>
      <c r="B218" s="6" t="s">
        <v>232</v>
      </c>
      <c r="C218" s="7">
        <v>502</v>
      </c>
      <c r="D218" s="7">
        <v>781</v>
      </c>
      <c r="E218" s="8">
        <f t="shared" si="30"/>
        <v>39.127045985970383</v>
      </c>
      <c r="F218" s="7">
        <v>100</v>
      </c>
      <c r="G218" s="7">
        <v>91</v>
      </c>
      <c r="H218" s="8">
        <f t="shared" si="31"/>
        <v>52.356020942408378</v>
      </c>
    </row>
    <row r="219" spans="1:8" ht="14.4" x14ac:dyDescent="0.3">
      <c r="A219" s="5">
        <v>50601</v>
      </c>
      <c r="B219" s="6" t="s">
        <v>233</v>
      </c>
      <c r="C219" s="7">
        <v>2</v>
      </c>
      <c r="D219" s="7">
        <v>0</v>
      </c>
      <c r="E219" s="8">
        <f t="shared" si="30"/>
        <v>100</v>
      </c>
      <c r="F219" s="7">
        <v>506</v>
      </c>
      <c r="G219" s="7">
        <v>687</v>
      </c>
      <c r="H219" s="8">
        <f t="shared" si="31"/>
        <v>42.414082145850799</v>
      </c>
    </row>
    <row r="220" spans="1:8" ht="14.4" x14ac:dyDescent="0.3">
      <c r="A220" s="5">
        <v>50602</v>
      </c>
      <c r="B220" s="6" t="s">
        <v>234</v>
      </c>
      <c r="C220" s="7">
        <v>1</v>
      </c>
      <c r="D220" s="7">
        <v>4</v>
      </c>
      <c r="E220" s="8">
        <f t="shared" si="30"/>
        <v>20</v>
      </c>
      <c r="F220" s="7">
        <v>0</v>
      </c>
      <c r="G220" s="7">
        <v>0</v>
      </c>
      <c r="H220" s="8">
        <f t="shared" si="31"/>
        <v>0</v>
      </c>
    </row>
    <row r="221" spans="1:8" ht="14.4" x14ac:dyDescent="0.3">
      <c r="A221" s="5">
        <v>50701</v>
      </c>
      <c r="B221" s="6" t="s">
        <v>235</v>
      </c>
      <c r="C221" s="7">
        <v>388</v>
      </c>
      <c r="D221" s="7">
        <v>737</v>
      </c>
      <c r="E221" s="8">
        <f t="shared" si="30"/>
        <v>34.488888888888894</v>
      </c>
      <c r="F221" s="7">
        <v>0</v>
      </c>
      <c r="G221" s="7">
        <v>0</v>
      </c>
      <c r="H221" s="8">
        <f t="shared" si="31"/>
        <v>0</v>
      </c>
    </row>
    <row r="222" spans="1:8" ht="14.4" x14ac:dyDescent="0.3">
      <c r="A222" s="5">
        <v>50702</v>
      </c>
      <c r="B222" s="6" t="s">
        <v>236</v>
      </c>
      <c r="C222" s="7">
        <v>0</v>
      </c>
      <c r="D222" s="7">
        <v>0</v>
      </c>
      <c r="E222" s="8">
        <f t="shared" si="30"/>
        <v>0</v>
      </c>
      <c r="F222" s="7">
        <v>0</v>
      </c>
      <c r="G222" s="7">
        <v>0</v>
      </c>
      <c r="H222" s="8">
        <f t="shared" si="31"/>
        <v>0</v>
      </c>
    </row>
    <row r="223" spans="1:8" ht="14.4" x14ac:dyDescent="0.3">
      <c r="A223" s="5">
        <v>50801</v>
      </c>
      <c r="B223" s="6" t="s">
        <v>237</v>
      </c>
      <c r="C223" s="7">
        <v>0</v>
      </c>
      <c r="D223" s="7">
        <v>0</v>
      </c>
      <c r="E223" s="8">
        <f t="shared" si="30"/>
        <v>0</v>
      </c>
      <c r="F223" s="7">
        <v>105</v>
      </c>
      <c r="G223" s="7">
        <v>96</v>
      </c>
      <c r="H223" s="8">
        <f t="shared" si="31"/>
        <v>52.238805970149251</v>
      </c>
    </row>
    <row r="224" spans="1:8" ht="14.4" x14ac:dyDescent="0.3">
      <c r="A224" s="5">
        <v>50802</v>
      </c>
      <c r="B224" s="6" t="s">
        <v>238</v>
      </c>
      <c r="C224" s="7">
        <v>0</v>
      </c>
      <c r="D224" s="7">
        <v>0</v>
      </c>
      <c r="E224" s="8">
        <f t="shared" si="30"/>
        <v>0</v>
      </c>
      <c r="F224" s="7">
        <v>0</v>
      </c>
      <c r="G224" s="7">
        <v>0</v>
      </c>
      <c r="H224" s="8">
        <f t="shared" si="31"/>
        <v>0</v>
      </c>
    </row>
    <row r="225" spans="1:8" ht="14.4" x14ac:dyDescent="0.3">
      <c r="A225" s="5">
        <v>50901</v>
      </c>
      <c r="B225" s="6" t="s">
        <v>239</v>
      </c>
      <c r="C225" s="7">
        <v>0</v>
      </c>
      <c r="D225" s="7">
        <v>0</v>
      </c>
      <c r="E225" s="8">
        <f t="shared" si="30"/>
        <v>0</v>
      </c>
      <c r="F225" s="7">
        <v>0</v>
      </c>
      <c r="G225" s="7">
        <v>0</v>
      </c>
      <c r="H225" s="8">
        <f t="shared" si="31"/>
        <v>0</v>
      </c>
    </row>
    <row r="226" spans="1:8" ht="14.4" x14ac:dyDescent="0.3">
      <c r="A226" s="5">
        <v>50902</v>
      </c>
      <c r="B226" s="6" t="s">
        <v>240</v>
      </c>
      <c r="C226" s="7">
        <v>0</v>
      </c>
      <c r="D226" s="7">
        <v>0</v>
      </c>
      <c r="E226" s="8">
        <f t="shared" si="30"/>
        <v>0</v>
      </c>
      <c r="F226" s="7">
        <v>0</v>
      </c>
      <c r="G226" s="7">
        <v>0</v>
      </c>
      <c r="H226" s="8">
        <f t="shared" si="31"/>
        <v>0</v>
      </c>
    </row>
    <row r="227" spans="1:8" ht="14.4" x14ac:dyDescent="0.3">
      <c r="A227" s="5">
        <v>51001</v>
      </c>
      <c r="B227" s="6" t="s">
        <v>241</v>
      </c>
      <c r="C227" s="7">
        <v>0</v>
      </c>
      <c r="D227" s="7">
        <v>0</v>
      </c>
      <c r="E227" s="8">
        <f t="shared" si="30"/>
        <v>0</v>
      </c>
      <c r="F227" s="7">
        <v>0</v>
      </c>
      <c r="G227" s="7">
        <v>0</v>
      </c>
      <c r="H227" s="8">
        <f t="shared" si="31"/>
        <v>0</v>
      </c>
    </row>
    <row r="228" spans="1:8" ht="14.4" x14ac:dyDescent="0.3">
      <c r="A228" s="5">
        <v>51002</v>
      </c>
      <c r="B228" s="6" t="s">
        <v>242</v>
      </c>
      <c r="C228" s="7">
        <v>0</v>
      </c>
      <c r="D228" s="7">
        <v>0</v>
      </c>
      <c r="E228" s="8">
        <f t="shared" si="30"/>
        <v>0</v>
      </c>
      <c r="F228" s="7">
        <v>0</v>
      </c>
      <c r="G228" s="7">
        <v>0</v>
      </c>
      <c r="H228" s="8">
        <f t="shared" si="31"/>
        <v>0</v>
      </c>
    </row>
    <row r="229" spans="1:8" ht="14.4" x14ac:dyDescent="0.3">
      <c r="A229" s="5">
        <v>51003</v>
      </c>
      <c r="B229" s="6" t="s">
        <v>243</v>
      </c>
      <c r="C229" s="7">
        <v>0</v>
      </c>
      <c r="D229" s="7">
        <v>0</v>
      </c>
      <c r="E229" s="8">
        <f t="shared" si="30"/>
        <v>0</v>
      </c>
      <c r="F229" s="7">
        <v>0</v>
      </c>
      <c r="G229" s="7">
        <v>0</v>
      </c>
      <c r="H229" s="8">
        <f t="shared" si="31"/>
        <v>0</v>
      </c>
    </row>
    <row r="230" spans="1:8" ht="14.4" x14ac:dyDescent="0.3">
      <c r="A230" s="5">
        <v>51101</v>
      </c>
      <c r="B230" s="6" t="s">
        <v>244</v>
      </c>
      <c r="C230" s="7">
        <v>0</v>
      </c>
      <c r="D230" s="7">
        <v>5</v>
      </c>
      <c r="E230" s="8">
        <f t="shared" si="30"/>
        <v>0</v>
      </c>
      <c r="F230" s="7">
        <v>346</v>
      </c>
      <c r="G230" s="7">
        <v>307</v>
      </c>
      <c r="H230" s="8">
        <f t="shared" si="31"/>
        <v>52.986217457886674</v>
      </c>
    </row>
    <row r="231" spans="1:8" ht="14.4" x14ac:dyDescent="0.3">
      <c r="A231" s="5">
        <v>51102</v>
      </c>
      <c r="B231" s="6" t="s">
        <v>245</v>
      </c>
      <c r="C231" s="7">
        <v>0</v>
      </c>
      <c r="D231" s="7">
        <v>0</v>
      </c>
      <c r="E231" s="8">
        <f t="shared" si="30"/>
        <v>0</v>
      </c>
      <c r="F231" s="7">
        <v>0</v>
      </c>
      <c r="G231" s="7">
        <v>0</v>
      </c>
      <c r="H231" s="8">
        <f t="shared" si="31"/>
        <v>0</v>
      </c>
    </row>
    <row r="232" spans="1:8" ht="14.4" x14ac:dyDescent="0.3">
      <c r="A232" s="5">
        <v>51103</v>
      </c>
      <c r="B232" s="6" t="s">
        <v>246</v>
      </c>
      <c r="C232" s="7">
        <v>0</v>
      </c>
      <c r="D232" s="7">
        <v>0</v>
      </c>
      <c r="E232" s="8">
        <f t="shared" si="30"/>
        <v>0</v>
      </c>
      <c r="F232" s="7">
        <v>503</v>
      </c>
      <c r="G232" s="7">
        <v>583</v>
      </c>
      <c r="H232" s="8">
        <f t="shared" si="31"/>
        <v>46.316758747697975</v>
      </c>
    </row>
    <row r="233" spans="1:8" ht="14.4" x14ac:dyDescent="0.3">
      <c r="A233" s="5">
        <v>51201</v>
      </c>
      <c r="B233" s="6" t="s">
        <v>247</v>
      </c>
      <c r="C233" s="7">
        <v>1</v>
      </c>
      <c r="D233" s="7">
        <v>0</v>
      </c>
      <c r="E233" s="8">
        <f t="shared" si="30"/>
        <v>100</v>
      </c>
      <c r="F233" s="7">
        <v>0</v>
      </c>
      <c r="G233" s="7">
        <v>3</v>
      </c>
      <c r="H233" s="8">
        <f t="shared" si="31"/>
        <v>0</v>
      </c>
    </row>
    <row r="234" spans="1:8" ht="14.4" x14ac:dyDescent="0.3">
      <c r="A234" s="5">
        <v>51202</v>
      </c>
      <c r="B234" s="6" t="s">
        <v>248</v>
      </c>
      <c r="C234" s="7">
        <v>0</v>
      </c>
      <c r="D234" s="7">
        <v>0</v>
      </c>
      <c r="E234" s="8">
        <f t="shared" si="30"/>
        <v>0</v>
      </c>
      <c r="F234" s="7">
        <v>0</v>
      </c>
      <c r="G234" s="7">
        <v>0</v>
      </c>
      <c r="H234" s="8">
        <f t="shared" si="31"/>
        <v>0</v>
      </c>
    </row>
    <row r="235" spans="1:8" ht="14.4" x14ac:dyDescent="0.3">
      <c r="A235" s="5">
        <v>51203</v>
      </c>
      <c r="B235" s="6" t="s">
        <v>249</v>
      </c>
      <c r="C235" s="7">
        <v>0</v>
      </c>
      <c r="D235" s="7">
        <v>0</v>
      </c>
      <c r="E235" s="8">
        <f t="shared" si="30"/>
        <v>0</v>
      </c>
      <c r="F235" s="7">
        <v>0</v>
      </c>
      <c r="G235" s="7">
        <v>0</v>
      </c>
      <c r="H235" s="8">
        <f t="shared" si="31"/>
        <v>0</v>
      </c>
    </row>
    <row r="236" spans="1:8" ht="14.4" x14ac:dyDescent="0.3">
      <c r="A236" s="5">
        <v>51204</v>
      </c>
      <c r="B236" s="6" t="s">
        <v>250</v>
      </c>
      <c r="C236" s="7">
        <v>0</v>
      </c>
      <c r="D236" s="7">
        <v>0</v>
      </c>
      <c r="E236" s="8">
        <f t="shared" si="30"/>
        <v>0</v>
      </c>
      <c r="F236" s="7">
        <v>0</v>
      </c>
      <c r="G236" s="7">
        <v>0</v>
      </c>
      <c r="H236" s="8">
        <f t="shared" si="31"/>
        <v>0</v>
      </c>
    </row>
    <row r="237" spans="1:8" ht="14.4" x14ac:dyDescent="0.3">
      <c r="A237" s="5">
        <v>51301</v>
      </c>
      <c r="B237" s="6" t="s">
        <v>251</v>
      </c>
      <c r="C237" s="7">
        <v>0</v>
      </c>
      <c r="D237" s="7">
        <v>0</v>
      </c>
      <c r="E237" s="8">
        <f t="shared" si="30"/>
        <v>0</v>
      </c>
      <c r="F237" s="7">
        <v>0</v>
      </c>
      <c r="G237" s="7">
        <v>0</v>
      </c>
      <c r="H237" s="8">
        <f t="shared" si="31"/>
        <v>0</v>
      </c>
    </row>
    <row r="238" spans="1:8" ht="14.4" x14ac:dyDescent="0.3">
      <c r="A238" s="5">
        <v>51302</v>
      </c>
      <c r="B238" s="6" t="s">
        <v>252</v>
      </c>
      <c r="C238" s="7">
        <v>496</v>
      </c>
      <c r="D238" s="7">
        <v>628</v>
      </c>
      <c r="E238" s="8">
        <f t="shared" si="30"/>
        <v>44.128113879003564</v>
      </c>
      <c r="F238" s="7">
        <v>0</v>
      </c>
      <c r="G238" s="7">
        <v>0</v>
      </c>
      <c r="H238" s="8">
        <f t="shared" si="31"/>
        <v>0</v>
      </c>
    </row>
    <row r="239" spans="1:8" ht="14.4" x14ac:dyDescent="0.3">
      <c r="A239" s="5">
        <v>51401</v>
      </c>
      <c r="B239" s="6" t="s">
        <v>253</v>
      </c>
      <c r="C239" s="7">
        <v>0</v>
      </c>
      <c r="D239" s="7">
        <v>0</v>
      </c>
      <c r="E239" s="8">
        <f t="shared" si="30"/>
        <v>0</v>
      </c>
      <c r="F239" s="7">
        <v>0</v>
      </c>
      <c r="G239" s="7">
        <v>0</v>
      </c>
      <c r="H239" s="8">
        <f t="shared" si="31"/>
        <v>0</v>
      </c>
    </row>
    <row r="240" spans="1:8" ht="14.4" x14ac:dyDescent="0.3">
      <c r="A240" s="5">
        <v>51402</v>
      </c>
      <c r="B240" s="6" t="s">
        <v>254</v>
      </c>
      <c r="C240" s="7">
        <v>0</v>
      </c>
      <c r="D240" s="7">
        <v>0</v>
      </c>
      <c r="E240" s="8">
        <f t="shared" si="30"/>
        <v>0</v>
      </c>
      <c r="F240" s="7">
        <v>0</v>
      </c>
      <c r="G240" s="7">
        <v>0</v>
      </c>
      <c r="H240" s="8">
        <f t="shared" si="31"/>
        <v>0</v>
      </c>
    </row>
    <row r="241" spans="1:8" ht="14.4" x14ac:dyDescent="0.3">
      <c r="A241" s="5">
        <v>51501</v>
      </c>
      <c r="B241" s="6" t="s">
        <v>255</v>
      </c>
      <c r="C241" s="7">
        <v>139</v>
      </c>
      <c r="D241" s="7">
        <v>179</v>
      </c>
      <c r="E241" s="8">
        <f t="shared" si="30"/>
        <v>43.710691823899374</v>
      </c>
      <c r="F241" s="7">
        <v>87</v>
      </c>
      <c r="G241" s="7">
        <v>84</v>
      </c>
      <c r="H241" s="8">
        <f t="shared" si="31"/>
        <v>50.877192982456144</v>
      </c>
    </row>
    <row r="242" spans="1:8" ht="14.4" x14ac:dyDescent="0.3">
      <c r="A242" s="5">
        <v>51601</v>
      </c>
      <c r="B242" s="6" t="s">
        <v>256</v>
      </c>
      <c r="C242" s="7">
        <v>0</v>
      </c>
      <c r="D242" s="7">
        <v>0</v>
      </c>
      <c r="E242" s="8">
        <f t="shared" si="30"/>
        <v>0</v>
      </c>
      <c r="F242" s="7">
        <v>0</v>
      </c>
      <c r="G242" s="7">
        <v>0</v>
      </c>
      <c r="H242" s="8">
        <f t="shared" si="31"/>
        <v>0</v>
      </c>
    </row>
    <row r="243" spans="1:8" ht="14.4" x14ac:dyDescent="0.3">
      <c r="A243" s="5">
        <v>60101</v>
      </c>
      <c r="B243" s="6" t="s">
        <v>20</v>
      </c>
      <c r="C243" s="7">
        <v>299</v>
      </c>
      <c r="D243" s="7">
        <v>366</v>
      </c>
      <c r="E243" s="8">
        <f t="shared" si="30"/>
        <v>44.962406015037594</v>
      </c>
      <c r="F243" s="7">
        <v>825</v>
      </c>
      <c r="G243" s="7">
        <v>853</v>
      </c>
      <c r="H243" s="8">
        <f t="shared" si="31"/>
        <v>49.165673420738976</v>
      </c>
    </row>
    <row r="244" spans="1:8" ht="14.4" x14ac:dyDescent="0.3">
      <c r="A244" s="5">
        <v>60201</v>
      </c>
      <c r="B244" s="6" t="s">
        <v>257</v>
      </c>
      <c r="C244" s="7">
        <v>893</v>
      </c>
      <c r="D244" s="7">
        <v>987</v>
      </c>
      <c r="E244" s="8">
        <f t="shared" si="30"/>
        <v>47.5</v>
      </c>
      <c r="F244" s="7">
        <v>457</v>
      </c>
      <c r="G244" s="7">
        <v>499</v>
      </c>
      <c r="H244" s="8">
        <f t="shared" si="31"/>
        <v>47.803347280334727</v>
      </c>
    </row>
    <row r="245" spans="1:8" ht="14.4" x14ac:dyDescent="0.3">
      <c r="A245" s="5">
        <v>60202</v>
      </c>
      <c r="B245" s="6" t="s">
        <v>258</v>
      </c>
      <c r="C245" s="7">
        <v>22</v>
      </c>
      <c r="D245" s="7">
        <v>320</v>
      </c>
      <c r="E245" s="8">
        <f t="shared" si="30"/>
        <v>6.4327485380116958</v>
      </c>
      <c r="F245" s="7">
        <v>32</v>
      </c>
      <c r="G245" s="7">
        <v>25</v>
      </c>
      <c r="H245" s="8">
        <f t="shared" si="31"/>
        <v>56.140350877192979</v>
      </c>
    </row>
    <row r="246" spans="1:8" ht="14.4" x14ac:dyDescent="0.3">
      <c r="A246" s="5">
        <v>60301</v>
      </c>
      <c r="B246" s="6" t="s">
        <v>259</v>
      </c>
      <c r="C246" s="7">
        <v>411</v>
      </c>
      <c r="D246" s="7">
        <v>631</v>
      </c>
      <c r="E246" s="8">
        <f t="shared" si="30"/>
        <v>39.44337811900192</v>
      </c>
      <c r="F246" s="7">
        <v>106</v>
      </c>
      <c r="G246" s="7">
        <v>119</v>
      </c>
      <c r="H246" s="8">
        <f t="shared" si="31"/>
        <v>47.111111111111107</v>
      </c>
    </row>
    <row r="247" spans="1:8" ht="14.4" x14ac:dyDescent="0.3">
      <c r="A247" s="5">
        <v>60302</v>
      </c>
      <c r="B247" s="6" t="s">
        <v>260</v>
      </c>
      <c r="C247" s="7">
        <v>247</v>
      </c>
      <c r="D247" s="7">
        <v>304</v>
      </c>
      <c r="E247" s="8">
        <f t="shared" si="30"/>
        <v>44.827586206896555</v>
      </c>
      <c r="F247" s="7">
        <v>28</v>
      </c>
      <c r="G247" s="7">
        <v>41</v>
      </c>
      <c r="H247" s="8">
        <f t="shared" si="31"/>
        <v>40.579710144927539</v>
      </c>
    </row>
    <row r="248" spans="1:8" ht="14.4" x14ac:dyDescent="0.3">
      <c r="A248" s="5">
        <v>60303</v>
      </c>
      <c r="B248" s="6" t="s">
        <v>261</v>
      </c>
      <c r="C248" s="7">
        <v>81</v>
      </c>
      <c r="D248" s="7">
        <v>111</v>
      </c>
      <c r="E248" s="8">
        <f t="shared" si="30"/>
        <v>42.1875</v>
      </c>
      <c r="F248" s="7">
        <v>27</v>
      </c>
      <c r="G248" s="7">
        <v>41</v>
      </c>
      <c r="H248" s="8">
        <f t="shared" si="31"/>
        <v>39.705882352941174</v>
      </c>
    </row>
    <row r="249" spans="1:8" ht="14.4" x14ac:dyDescent="0.3">
      <c r="A249" s="5">
        <v>60401</v>
      </c>
      <c r="B249" s="6" t="s">
        <v>262</v>
      </c>
      <c r="C249" s="7">
        <v>717</v>
      </c>
      <c r="D249" s="7">
        <v>776</v>
      </c>
      <c r="E249" s="8">
        <f t="shared" si="30"/>
        <v>48.024112525117211</v>
      </c>
      <c r="F249" s="7">
        <v>222</v>
      </c>
      <c r="G249" s="7">
        <v>264</v>
      </c>
      <c r="H249" s="8">
        <f t="shared" si="31"/>
        <v>45.679012345679013</v>
      </c>
    </row>
    <row r="250" spans="1:8" ht="14.4" x14ac:dyDescent="0.3">
      <c r="A250" s="5">
        <v>60402</v>
      </c>
      <c r="B250" s="6" t="s">
        <v>263</v>
      </c>
      <c r="C250" s="7">
        <v>5616</v>
      </c>
      <c r="D250" s="7">
        <v>5891</v>
      </c>
      <c r="E250" s="8">
        <f t="shared" si="30"/>
        <v>48.805075171634662</v>
      </c>
      <c r="F250" s="7">
        <v>1</v>
      </c>
      <c r="G250" s="7">
        <v>1</v>
      </c>
      <c r="H250" s="8">
        <f t="shared" si="31"/>
        <v>50</v>
      </c>
    </row>
    <row r="251" spans="1:8" ht="14.4" x14ac:dyDescent="0.3">
      <c r="A251" s="5">
        <v>60501</v>
      </c>
      <c r="B251" s="6" t="s">
        <v>264</v>
      </c>
      <c r="C251" s="7">
        <v>4406</v>
      </c>
      <c r="D251" s="7">
        <v>4631</v>
      </c>
      <c r="E251" s="8">
        <f t="shared" si="30"/>
        <v>48.755117848843646</v>
      </c>
      <c r="F251" s="7">
        <v>1470</v>
      </c>
      <c r="G251" s="7">
        <v>1369</v>
      </c>
      <c r="H251" s="8">
        <f t="shared" si="31"/>
        <v>51.778795350475512</v>
      </c>
    </row>
    <row r="252" spans="1:8" ht="14.4" x14ac:dyDescent="0.3">
      <c r="A252" s="5">
        <v>60502</v>
      </c>
      <c r="B252" s="6" t="s">
        <v>265</v>
      </c>
      <c r="C252" s="7">
        <v>9656</v>
      </c>
      <c r="D252" s="7">
        <v>9721</v>
      </c>
      <c r="E252" s="8">
        <f t="shared" si="30"/>
        <v>49.832275378025493</v>
      </c>
      <c r="F252" s="7">
        <v>256</v>
      </c>
      <c r="G252" s="7">
        <v>273</v>
      </c>
      <c r="H252" s="8">
        <f t="shared" si="31"/>
        <v>48.393194706994329</v>
      </c>
    </row>
    <row r="253" spans="1:8" ht="14.4" x14ac:dyDescent="0.3">
      <c r="A253" s="5">
        <v>60601</v>
      </c>
      <c r="B253" s="6" t="s">
        <v>170</v>
      </c>
      <c r="C253" s="7">
        <v>1481</v>
      </c>
      <c r="D253" s="7">
        <v>1620</v>
      </c>
      <c r="E253" s="8">
        <f t="shared" si="30"/>
        <v>47.758787487907128</v>
      </c>
      <c r="F253" s="7">
        <v>162</v>
      </c>
      <c r="G253" s="7">
        <v>168</v>
      </c>
      <c r="H253" s="8">
        <f t="shared" si="31"/>
        <v>49.090909090909093</v>
      </c>
    </row>
    <row r="254" spans="1:8" ht="14.4" x14ac:dyDescent="0.3">
      <c r="A254" s="5">
        <v>70101</v>
      </c>
      <c r="B254" s="6" t="s">
        <v>266</v>
      </c>
      <c r="C254" s="7">
        <v>344</v>
      </c>
      <c r="D254" s="7">
        <v>371</v>
      </c>
      <c r="E254" s="8">
        <f t="shared" si="30"/>
        <v>48.111888111888113</v>
      </c>
      <c r="F254" s="7">
        <v>98</v>
      </c>
      <c r="G254" s="7">
        <v>131</v>
      </c>
      <c r="H254" s="8">
        <f t="shared" si="31"/>
        <v>42.79475982532751</v>
      </c>
    </row>
    <row r="255" spans="1:8" ht="14.4" x14ac:dyDescent="0.3">
      <c r="A255" s="5">
        <v>70102</v>
      </c>
      <c r="B255" s="6" t="s">
        <v>267</v>
      </c>
      <c r="C255" s="7">
        <v>67</v>
      </c>
      <c r="D255" s="7">
        <v>89</v>
      </c>
      <c r="E255" s="8">
        <f t="shared" si="30"/>
        <v>42.948717948717949</v>
      </c>
      <c r="F255" s="7">
        <v>15</v>
      </c>
      <c r="G255" s="7">
        <v>14</v>
      </c>
      <c r="H255" s="8">
        <f t="shared" si="31"/>
        <v>51.724137931034484</v>
      </c>
    </row>
    <row r="256" spans="1:8" ht="14.4" x14ac:dyDescent="0.3">
      <c r="A256" s="5">
        <v>70103</v>
      </c>
      <c r="B256" s="6" t="s">
        <v>268</v>
      </c>
      <c r="C256" s="7">
        <v>271</v>
      </c>
      <c r="D256" s="7">
        <v>507</v>
      </c>
      <c r="E256" s="8">
        <f t="shared" si="30"/>
        <v>34.832904884318765</v>
      </c>
      <c r="F256" s="7">
        <v>96</v>
      </c>
      <c r="G256" s="7">
        <v>141</v>
      </c>
      <c r="H256" s="8">
        <f t="shared" si="31"/>
        <v>40.506329113924053</v>
      </c>
    </row>
    <row r="257" spans="1:8" ht="14.4" x14ac:dyDescent="0.3">
      <c r="A257" s="5">
        <v>70104</v>
      </c>
      <c r="B257" s="6" t="s">
        <v>269</v>
      </c>
      <c r="C257" s="7">
        <v>329</v>
      </c>
      <c r="D257" s="7">
        <v>614</v>
      </c>
      <c r="E257" s="8">
        <f t="shared" si="30"/>
        <v>34.888653234358429</v>
      </c>
      <c r="F257" s="7">
        <v>383</v>
      </c>
      <c r="G257" s="7">
        <v>465</v>
      </c>
      <c r="H257" s="8">
        <f t="shared" si="31"/>
        <v>45.165094339622641</v>
      </c>
    </row>
    <row r="258" spans="1:8" ht="14.4" x14ac:dyDescent="0.3">
      <c r="A258" s="5">
        <v>70105</v>
      </c>
      <c r="B258" s="6" t="s">
        <v>270</v>
      </c>
      <c r="C258" s="7">
        <v>1189</v>
      </c>
      <c r="D258" s="7">
        <v>1984</v>
      </c>
      <c r="E258" s="8">
        <f t="shared" si="30"/>
        <v>37.47242357390482</v>
      </c>
      <c r="F258" s="7">
        <v>51</v>
      </c>
      <c r="G258" s="7">
        <v>79</v>
      </c>
      <c r="H258" s="8">
        <f t="shared" si="31"/>
        <v>39.230769230769234</v>
      </c>
    </row>
    <row r="259" spans="1:8" ht="14.4" x14ac:dyDescent="0.3">
      <c r="A259" s="5">
        <v>70201</v>
      </c>
      <c r="B259" s="6" t="s">
        <v>271</v>
      </c>
      <c r="C259" s="7">
        <v>222</v>
      </c>
      <c r="D259" s="7">
        <v>456</v>
      </c>
      <c r="E259" s="8">
        <f t="shared" ref="E259:E322" si="32">IF(D259+C259=0,0,100*(C259/(C259+D259)))</f>
        <v>32.743362831858406</v>
      </c>
      <c r="F259" s="7">
        <v>25</v>
      </c>
      <c r="G259" s="7">
        <v>44</v>
      </c>
      <c r="H259" s="8">
        <f t="shared" ref="H259:H322" si="33">IF(G259+F259=0,0,100*(F259/(F259+G259)))</f>
        <v>36.231884057971016</v>
      </c>
    </row>
    <row r="260" spans="1:8" ht="14.4" x14ac:dyDescent="0.3">
      <c r="A260" s="5">
        <v>70202</v>
      </c>
      <c r="B260" s="6" t="s">
        <v>272</v>
      </c>
      <c r="C260" s="7">
        <v>228</v>
      </c>
      <c r="D260" s="7">
        <v>389</v>
      </c>
      <c r="E260" s="8">
        <f t="shared" si="32"/>
        <v>36.95299837925446</v>
      </c>
      <c r="F260" s="7">
        <v>98</v>
      </c>
      <c r="G260" s="7">
        <v>232</v>
      </c>
      <c r="H260" s="8">
        <f t="shared" si="33"/>
        <v>29.696969696969699</v>
      </c>
    </row>
    <row r="261" spans="1:8" ht="14.4" x14ac:dyDescent="0.3">
      <c r="A261" s="5">
        <v>70301</v>
      </c>
      <c r="B261" s="6" t="s">
        <v>273</v>
      </c>
      <c r="C261" s="7">
        <v>86</v>
      </c>
      <c r="D261" s="7">
        <v>129</v>
      </c>
      <c r="E261" s="8">
        <f t="shared" si="32"/>
        <v>40</v>
      </c>
      <c r="F261" s="7">
        <v>7</v>
      </c>
      <c r="G261" s="7">
        <v>25</v>
      </c>
      <c r="H261" s="8">
        <f t="shared" si="33"/>
        <v>21.875</v>
      </c>
    </row>
    <row r="262" spans="1:8" ht="14.4" x14ac:dyDescent="0.3">
      <c r="A262" s="5">
        <v>70302</v>
      </c>
      <c r="B262" s="6" t="s">
        <v>274</v>
      </c>
      <c r="C262" s="7">
        <v>38</v>
      </c>
      <c r="D262" s="7">
        <v>61</v>
      </c>
      <c r="E262" s="8">
        <f t="shared" si="32"/>
        <v>38.383838383838381</v>
      </c>
      <c r="F262" s="7">
        <v>14</v>
      </c>
      <c r="G262" s="7">
        <v>16</v>
      </c>
      <c r="H262" s="8">
        <f t="shared" si="33"/>
        <v>46.666666666666664</v>
      </c>
    </row>
    <row r="263" spans="1:8" ht="14.4" x14ac:dyDescent="0.3">
      <c r="A263" s="5">
        <v>70303</v>
      </c>
      <c r="B263" s="6" t="s">
        <v>275</v>
      </c>
      <c r="C263" s="7">
        <v>17</v>
      </c>
      <c r="D263" s="7">
        <v>39</v>
      </c>
      <c r="E263" s="8">
        <f t="shared" si="32"/>
        <v>30.357142857142854</v>
      </c>
      <c r="F263" s="7">
        <v>4</v>
      </c>
      <c r="G263" s="7">
        <v>6</v>
      </c>
      <c r="H263" s="8">
        <f t="shared" si="33"/>
        <v>40</v>
      </c>
    </row>
    <row r="264" spans="1:8" ht="14.4" x14ac:dyDescent="0.3">
      <c r="A264" s="5">
        <v>70401</v>
      </c>
      <c r="B264" s="6" t="s">
        <v>276</v>
      </c>
      <c r="C264" s="7">
        <v>534</v>
      </c>
      <c r="D264" s="7">
        <v>831</v>
      </c>
      <c r="E264" s="8">
        <f t="shared" si="32"/>
        <v>39.120879120879124</v>
      </c>
      <c r="F264" s="7">
        <v>18</v>
      </c>
      <c r="G264" s="7">
        <v>22</v>
      </c>
      <c r="H264" s="8">
        <f t="shared" si="33"/>
        <v>45</v>
      </c>
    </row>
    <row r="265" spans="1:8" ht="14.4" x14ac:dyDescent="0.3">
      <c r="A265" s="5">
        <v>70402</v>
      </c>
      <c r="B265" s="6" t="s">
        <v>277</v>
      </c>
      <c r="C265" s="7">
        <v>485</v>
      </c>
      <c r="D265" s="7">
        <v>692</v>
      </c>
      <c r="E265" s="8">
        <f t="shared" si="32"/>
        <v>41.206457094307567</v>
      </c>
      <c r="F265" s="7">
        <v>14</v>
      </c>
      <c r="G265" s="7">
        <v>23</v>
      </c>
      <c r="H265" s="8">
        <f t="shared" si="33"/>
        <v>37.837837837837839</v>
      </c>
    </row>
    <row r="266" spans="1:8" ht="14.4" x14ac:dyDescent="0.3">
      <c r="A266" s="5">
        <v>70403</v>
      </c>
      <c r="B266" s="6" t="s">
        <v>278</v>
      </c>
      <c r="C266" s="7">
        <v>792</v>
      </c>
      <c r="D266" s="7">
        <v>1460</v>
      </c>
      <c r="E266" s="8">
        <f t="shared" si="32"/>
        <v>35.168738898756665</v>
      </c>
      <c r="F266" s="7">
        <v>237</v>
      </c>
      <c r="G266" s="7">
        <v>306</v>
      </c>
      <c r="H266" s="8">
        <f t="shared" si="33"/>
        <v>43.646408839779006</v>
      </c>
    </row>
    <row r="267" spans="1:8" ht="14.4" x14ac:dyDescent="0.3">
      <c r="A267" s="5">
        <v>70404</v>
      </c>
      <c r="B267" s="6" t="s">
        <v>279</v>
      </c>
      <c r="C267" s="7">
        <v>218</v>
      </c>
      <c r="D267" s="7">
        <v>752</v>
      </c>
      <c r="E267" s="8">
        <f t="shared" si="32"/>
        <v>22.474226804123713</v>
      </c>
      <c r="F267" s="7">
        <v>19</v>
      </c>
      <c r="G267" s="7">
        <v>32</v>
      </c>
      <c r="H267" s="8">
        <f t="shared" si="33"/>
        <v>37.254901960784316</v>
      </c>
    </row>
    <row r="268" spans="1:8" ht="14.4" x14ac:dyDescent="0.3">
      <c r="A268" s="5">
        <v>70501</v>
      </c>
      <c r="B268" s="6" t="s">
        <v>280</v>
      </c>
      <c r="C268" s="7">
        <v>278</v>
      </c>
      <c r="D268" s="7">
        <v>372</v>
      </c>
      <c r="E268" s="8">
        <f t="shared" si="32"/>
        <v>42.769230769230774</v>
      </c>
      <c r="F268" s="7">
        <v>9</v>
      </c>
      <c r="G268" s="7">
        <v>9</v>
      </c>
      <c r="H268" s="8">
        <f t="shared" si="33"/>
        <v>50</v>
      </c>
    </row>
    <row r="269" spans="1:8" ht="14.4" x14ac:dyDescent="0.3">
      <c r="A269" s="5">
        <v>70502</v>
      </c>
      <c r="B269" s="6" t="s">
        <v>281</v>
      </c>
      <c r="C269" s="7">
        <v>77</v>
      </c>
      <c r="D269" s="7">
        <v>127</v>
      </c>
      <c r="E269" s="8">
        <f t="shared" si="32"/>
        <v>37.745098039215684</v>
      </c>
      <c r="F269" s="7">
        <v>27</v>
      </c>
      <c r="G269" s="7">
        <v>44</v>
      </c>
      <c r="H269" s="8">
        <f t="shared" si="33"/>
        <v>38.028169014084504</v>
      </c>
    </row>
    <row r="270" spans="1:8" ht="14.4" x14ac:dyDescent="0.3">
      <c r="A270" s="5">
        <v>70503</v>
      </c>
      <c r="B270" s="6" t="s">
        <v>282</v>
      </c>
      <c r="C270" s="7">
        <v>74</v>
      </c>
      <c r="D270" s="7">
        <v>110</v>
      </c>
      <c r="E270" s="8">
        <f t="shared" si="32"/>
        <v>40.217391304347828</v>
      </c>
      <c r="F270" s="7">
        <v>7</v>
      </c>
      <c r="G270" s="7">
        <v>25</v>
      </c>
      <c r="H270" s="8">
        <f t="shared" si="33"/>
        <v>21.875</v>
      </c>
    </row>
    <row r="271" spans="1:8" ht="14.4" x14ac:dyDescent="0.3">
      <c r="A271" s="5">
        <v>70601</v>
      </c>
      <c r="B271" s="6" t="s">
        <v>283</v>
      </c>
      <c r="C271" s="7">
        <v>20</v>
      </c>
      <c r="D271" s="7">
        <v>59</v>
      </c>
      <c r="E271" s="8">
        <f t="shared" si="32"/>
        <v>25.316455696202532</v>
      </c>
      <c r="F271" s="7">
        <v>61</v>
      </c>
      <c r="G271" s="7">
        <v>88</v>
      </c>
      <c r="H271" s="8">
        <f t="shared" si="33"/>
        <v>40.939597315436245</v>
      </c>
    </row>
    <row r="272" spans="1:8" ht="14.4" x14ac:dyDescent="0.3">
      <c r="A272" s="5">
        <v>70602</v>
      </c>
      <c r="B272" s="6" t="s">
        <v>284</v>
      </c>
      <c r="C272" s="7">
        <v>0</v>
      </c>
      <c r="D272" s="7">
        <v>3</v>
      </c>
      <c r="E272" s="8">
        <f t="shared" si="32"/>
        <v>0</v>
      </c>
      <c r="F272" s="7">
        <v>43</v>
      </c>
      <c r="G272" s="7">
        <v>88</v>
      </c>
      <c r="H272" s="8">
        <f t="shared" si="33"/>
        <v>32.824427480916029</v>
      </c>
    </row>
    <row r="273" spans="1:8" ht="14.4" x14ac:dyDescent="0.3">
      <c r="A273" s="5">
        <v>70603</v>
      </c>
      <c r="B273" s="6" t="s">
        <v>285</v>
      </c>
      <c r="C273" s="7">
        <v>10</v>
      </c>
      <c r="D273" s="7">
        <v>6</v>
      </c>
      <c r="E273" s="8">
        <f t="shared" si="32"/>
        <v>62.5</v>
      </c>
      <c r="F273" s="7">
        <v>30</v>
      </c>
      <c r="G273" s="7">
        <v>38</v>
      </c>
      <c r="H273" s="8">
        <f t="shared" si="33"/>
        <v>44.117647058823529</v>
      </c>
    </row>
    <row r="274" spans="1:8" ht="14.4" x14ac:dyDescent="0.3">
      <c r="A274" s="5">
        <v>70701</v>
      </c>
      <c r="B274" s="6" t="s">
        <v>286</v>
      </c>
      <c r="C274" s="7">
        <v>155</v>
      </c>
      <c r="D274" s="7">
        <v>188</v>
      </c>
      <c r="E274" s="8">
        <f t="shared" si="32"/>
        <v>45.18950437317784</v>
      </c>
      <c r="F274" s="7">
        <v>1</v>
      </c>
      <c r="G274" s="7">
        <v>10</v>
      </c>
      <c r="H274" s="8">
        <f t="shared" si="33"/>
        <v>9.0909090909090917</v>
      </c>
    </row>
    <row r="275" spans="1:8" ht="14.4" x14ac:dyDescent="0.3">
      <c r="A275" s="5">
        <v>70702</v>
      </c>
      <c r="B275" s="6" t="s">
        <v>287</v>
      </c>
      <c r="C275" s="7">
        <v>71</v>
      </c>
      <c r="D275" s="7">
        <v>154</v>
      </c>
      <c r="E275" s="8">
        <f t="shared" si="32"/>
        <v>31.555555555555554</v>
      </c>
      <c r="F275" s="7">
        <v>14</v>
      </c>
      <c r="G275" s="7">
        <v>17</v>
      </c>
      <c r="H275" s="8">
        <f t="shared" si="33"/>
        <v>45.161290322580641</v>
      </c>
    </row>
    <row r="276" spans="1:8" ht="14.4" x14ac:dyDescent="0.3">
      <c r="A276" s="5">
        <v>70703</v>
      </c>
      <c r="B276" s="6" t="s">
        <v>288</v>
      </c>
      <c r="C276" s="7">
        <v>229</v>
      </c>
      <c r="D276" s="7">
        <v>473</v>
      </c>
      <c r="E276" s="8">
        <f t="shared" si="32"/>
        <v>32.621082621082621</v>
      </c>
      <c r="F276" s="7">
        <v>27</v>
      </c>
      <c r="G276" s="7">
        <v>25</v>
      </c>
      <c r="H276" s="8">
        <f t="shared" si="33"/>
        <v>51.923076923076927</v>
      </c>
    </row>
    <row r="277" spans="1:8" ht="14.4" x14ac:dyDescent="0.3">
      <c r="A277" s="5">
        <v>70704</v>
      </c>
      <c r="B277" s="6" t="s">
        <v>289</v>
      </c>
      <c r="C277" s="7">
        <v>35</v>
      </c>
      <c r="D277" s="7">
        <v>56</v>
      </c>
      <c r="E277" s="8">
        <f t="shared" si="32"/>
        <v>38.461538461538467</v>
      </c>
      <c r="F277" s="7">
        <v>1</v>
      </c>
      <c r="G277" s="7">
        <v>1</v>
      </c>
      <c r="H277" s="8">
        <f t="shared" si="33"/>
        <v>50</v>
      </c>
    </row>
    <row r="278" spans="1:8" ht="14.4" x14ac:dyDescent="0.3">
      <c r="A278" s="5">
        <v>70705</v>
      </c>
      <c r="B278" s="6" t="s">
        <v>290</v>
      </c>
      <c r="C278" s="7">
        <v>65</v>
      </c>
      <c r="D278" s="7">
        <v>86</v>
      </c>
      <c r="E278" s="8">
        <f t="shared" si="32"/>
        <v>43.046357615894038</v>
      </c>
      <c r="F278" s="7">
        <v>5</v>
      </c>
      <c r="G278" s="7">
        <v>5</v>
      </c>
      <c r="H278" s="8">
        <f t="shared" si="33"/>
        <v>50</v>
      </c>
    </row>
    <row r="279" spans="1:8" ht="14.4" x14ac:dyDescent="0.3">
      <c r="A279" s="5">
        <v>70706</v>
      </c>
      <c r="B279" s="6" t="s">
        <v>291</v>
      </c>
      <c r="C279" s="7">
        <v>37</v>
      </c>
      <c r="D279" s="7">
        <v>35</v>
      </c>
      <c r="E279" s="8">
        <f t="shared" si="32"/>
        <v>51.388888888888886</v>
      </c>
      <c r="F279" s="7">
        <v>2</v>
      </c>
      <c r="G279" s="7">
        <v>4</v>
      </c>
      <c r="H279" s="8">
        <f t="shared" si="33"/>
        <v>33.333333333333329</v>
      </c>
    </row>
    <row r="280" spans="1:8" ht="14.4" x14ac:dyDescent="0.3">
      <c r="A280" s="5">
        <v>70707</v>
      </c>
      <c r="B280" s="6" t="s">
        <v>292</v>
      </c>
      <c r="C280" s="7">
        <v>11</v>
      </c>
      <c r="D280" s="7">
        <v>29</v>
      </c>
      <c r="E280" s="8">
        <f t="shared" si="32"/>
        <v>27.500000000000004</v>
      </c>
      <c r="F280" s="7">
        <v>0</v>
      </c>
      <c r="G280" s="7">
        <v>0</v>
      </c>
      <c r="H280" s="8">
        <f t="shared" si="33"/>
        <v>0</v>
      </c>
    </row>
    <row r="281" spans="1:8" ht="14.4" x14ac:dyDescent="0.3">
      <c r="A281" s="5">
        <v>70801</v>
      </c>
      <c r="B281" s="6" t="s">
        <v>293</v>
      </c>
      <c r="C281" s="7">
        <v>1044</v>
      </c>
      <c r="D281" s="7">
        <v>1244</v>
      </c>
      <c r="E281" s="8">
        <f t="shared" si="32"/>
        <v>45.629370629370634</v>
      </c>
      <c r="F281" s="7">
        <v>20</v>
      </c>
      <c r="G281" s="7">
        <v>38</v>
      </c>
      <c r="H281" s="8">
        <f t="shared" si="33"/>
        <v>34.482758620689658</v>
      </c>
    </row>
    <row r="282" spans="1:8" ht="14.4" x14ac:dyDescent="0.3">
      <c r="A282" s="5">
        <v>70802</v>
      </c>
      <c r="B282" s="6" t="s">
        <v>294</v>
      </c>
      <c r="C282" s="7">
        <v>480</v>
      </c>
      <c r="D282" s="7">
        <v>516</v>
      </c>
      <c r="E282" s="8">
        <f t="shared" si="32"/>
        <v>48.192771084337352</v>
      </c>
      <c r="F282" s="7">
        <v>1</v>
      </c>
      <c r="G282" s="7">
        <v>4</v>
      </c>
      <c r="H282" s="8">
        <f t="shared" si="33"/>
        <v>20</v>
      </c>
    </row>
    <row r="283" spans="1:8" ht="14.4" x14ac:dyDescent="0.3">
      <c r="A283" s="5">
        <v>70803</v>
      </c>
      <c r="B283" s="6" t="s">
        <v>295</v>
      </c>
      <c r="C283" s="7">
        <v>1061</v>
      </c>
      <c r="D283" s="7">
        <v>1178</v>
      </c>
      <c r="E283" s="8">
        <f t="shared" si="32"/>
        <v>47.387226440375166</v>
      </c>
      <c r="F283" s="7">
        <v>4</v>
      </c>
      <c r="G283" s="7">
        <v>12</v>
      </c>
      <c r="H283" s="8">
        <f t="shared" si="33"/>
        <v>25</v>
      </c>
    </row>
    <row r="284" spans="1:8" ht="14.4" x14ac:dyDescent="0.3">
      <c r="A284" s="5">
        <v>70804</v>
      </c>
      <c r="B284" s="6" t="s">
        <v>296</v>
      </c>
      <c r="C284" s="7">
        <v>8</v>
      </c>
      <c r="D284" s="7">
        <v>12</v>
      </c>
      <c r="E284" s="8">
        <f t="shared" si="32"/>
        <v>40</v>
      </c>
      <c r="F284" s="7">
        <v>0</v>
      </c>
      <c r="G284" s="7">
        <v>0</v>
      </c>
      <c r="H284" s="8">
        <f t="shared" si="33"/>
        <v>0</v>
      </c>
    </row>
    <row r="285" spans="1:8" ht="14.4" x14ac:dyDescent="0.3">
      <c r="A285" s="5">
        <v>70805</v>
      </c>
      <c r="B285" s="6" t="s">
        <v>297</v>
      </c>
      <c r="C285" s="7">
        <v>0</v>
      </c>
      <c r="D285" s="7">
        <v>0</v>
      </c>
      <c r="E285" s="8">
        <f t="shared" si="32"/>
        <v>0</v>
      </c>
      <c r="F285" s="7">
        <v>0</v>
      </c>
      <c r="G285" s="7">
        <v>0</v>
      </c>
      <c r="H285" s="8">
        <f t="shared" si="33"/>
        <v>0</v>
      </c>
    </row>
    <row r="286" spans="1:8" ht="14.4" x14ac:dyDescent="0.3">
      <c r="A286" s="5">
        <v>70901</v>
      </c>
      <c r="B286" s="6" t="s">
        <v>298</v>
      </c>
      <c r="C286" s="7">
        <v>3481</v>
      </c>
      <c r="D286" s="7">
        <v>4174</v>
      </c>
      <c r="E286" s="8">
        <f t="shared" si="32"/>
        <v>45.473546701502286</v>
      </c>
      <c r="F286" s="7">
        <v>2</v>
      </c>
      <c r="G286" s="7">
        <v>2</v>
      </c>
      <c r="H286" s="8">
        <f t="shared" si="33"/>
        <v>50</v>
      </c>
    </row>
    <row r="287" spans="1:8" ht="14.4" x14ac:dyDescent="0.3">
      <c r="A287" s="5">
        <v>70902</v>
      </c>
      <c r="B287" s="6" t="s">
        <v>299</v>
      </c>
      <c r="C287" s="7">
        <v>1551</v>
      </c>
      <c r="D287" s="7">
        <v>1660</v>
      </c>
      <c r="E287" s="8">
        <f t="shared" si="32"/>
        <v>48.302709436312675</v>
      </c>
      <c r="F287" s="7">
        <v>4</v>
      </c>
      <c r="G287" s="7">
        <v>8</v>
      </c>
      <c r="H287" s="8">
        <f t="shared" si="33"/>
        <v>33.333333333333329</v>
      </c>
    </row>
    <row r="288" spans="1:8" ht="14.4" x14ac:dyDescent="0.3">
      <c r="A288" s="5">
        <v>70903</v>
      </c>
      <c r="B288" s="6" t="s">
        <v>300</v>
      </c>
      <c r="C288" s="7">
        <v>2027</v>
      </c>
      <c r="D288" s="7">
        <v>2507</v>
      </c>
      <c r="E288" s="8">
        <f t="shared" si="32"/>
        <v>44.706660785178649</v>
      </c>
      <c r="F288" s="7">
        <v>43</v>
      </c>
      <c r="G288" s="7">
        <v>87</v>
      </c>
      <c r="H288" s="8">
        <f t="shared" si="33"/>
        <v>33.076923076923073</v>
      </c>
    </row>
    <row r="289" spans="1:8" ht="14.4" x14ac:dyDescent="0.3">
      <c r="A289" s="5">
        <v>70904</v>
      </c>
      <c r="B289" s="6" t="s">
        <v>301</v>
      </c>
      <c r="C289" s="7">
        <v>698</v>
      </c>
      <c r="D289" s="7">
        <v>814</v>
      </c>
      <c r="E289" s="8">
        <f t="shared" si="32"/>
        <v>46.164021164021165</v>
      </c>
      <c r="F289" s="7">
        <v>5</v>
      </c>
      <c r="G289" s="7">
        <v>10</v>
      </c>
      <c r="H289" s="8">
        <f t="shared" si="33"/>
        <v>33.333333333333329</v>
      </c>
    </row>
    <row r="290" spans="1:8" ht="14.4" x14ac:dyDescent="0.3">
      <c r="A290" s="5">
        <v>71001</v>
      </c>
      <c r="B290" s="6" t="s">
        <v>302</v>
      </c>
      <c r="C290" s="7">
        <v>25</v>
      </c>
      <c r="D290" s="7">
        <v>49</v>
      </c>
      <c r="E290" s="8">
        <f t="shared" si="32"/>
        <v>33.783783783783782</v>
      </c>
      <c r="F290" s="7">
        <v>73</v>
      </c>
      <c r="G290" s="7">
        <v>75</v>
      </c>
      <c r="H290" s="8">
        <f t="shared" si="33"/>
        <v>49.324324324324323</v>
      </c>
    </row>
    <row r="291" spans="1:8" ht="14.4" x14ac:dyDescent="0.3">
      <c r="A291" s="5">
        <v>71002</v>
      </c>
      <c r="B291" s="6" t="s">
        <v>303</v>
      </c>
      <c r="C291" s="7">
        <v>63</v>
      </c>
      <c r="D291" s="7">
        <v>187</v>
      </c>
      <c r="E291" s="8">
        <f t="shared" si="32"/>
        <v>25.2</v>
      </c>
      <c r="F291" s="7">
        <v>36</v>
      </c>
      <c r="G291" s="7">
        <v>60</v>
      </c>
      <c r="H291" s="8">
        <f t="shared" si="33"/>
        <v>37.5</v>
      </c>
    </row>
    <row r="292" spans="1:8" ht="14.4" x14ac:dyDescent="0.3">
      <c r="A292" s="5">
        <v>71003</v>
      </c>
      <c r="B292" s="6" t="s">
        <v>304</v>
      </c>
      <c r="C292" s="7">
        <v>66</v>
      </c>
      <c r="D292" s="7">
        <v>186</v>
      </c>
      <c r="E292" s="8">
        <f t="shared" si="32"/>
        <v>26.190476190476193</v>
      </c>
      <c r="F292" s="7">
        <v>41</v>
      </c>
      <c r="G292" s="7">
        <v>62</v>
      </c>
      <c r="H292" s="8">
        <f t="shared" si="33"/>
        <v>39.805825242718448</v>
      </c>
    </row>
    <row r="293" spans="1:8" ht="14.4" x14ac:dyDescent="0.3">
      <c r="A293" s="5">
        <v>71004</v>
      </c>
      <c r="B293" s="6" t="s">
        <v>305</v>
      </c>
      <c r="C293" s="7">
        <v>200</v>
      </c>
      <c r="D293" s="7">
        <v>477</v>
      </c>
      <c r="E293" s="8">
        <f t="shared" si="32"/>
        <v>29.542097488921716</v>
      </c>
      <c r="F293" s="7">
        <v>11</v>
      </c>
      <c r="G293" s="7">
        <v>43</v>
      </c>
      <c r="H293" s="8">
        <f t="shared" si="33"/>
        <v>20.37037037037037</v>
      </c>
    </row>
    <row r="294" spans="1:8" ht="14.4" x14ac:dyDescent="0.3">
      <c r="A294" s="5">
        <v>71005</v>
      </c>
      <c r="B294" s="6" t="s">
        <v>231</v>
      </c>
      <c r="C294" s="7">
        <v>406</v>
      </c>
      <c r="D294" s="7">
        <v>693</v>
      </c>
      <c r="E294" s="8">
        <f t="shared" si="32"/>
        <v>36.942675159235669</v>
      </c>
      <c r="F294" s="7">
        <v>20</v>
      </c>
      <c r="G294" s="7">
        <v>35</v>
      </c>
      <c r="H294" s="8">
        <f t="shared" si="33"/>
        <v>36.363636363636367</v>
      </c>
    </row>
    <row r="295" spans="1:8" ht="14.4" x14ac:dyDescent="0.3">
      <c r="A295" s="5">
        <v>71101</v>
      </c>
      <c r="B295" s="6" t="s">
        <v>306</v>
      </c>
      <c r="C295" s="7">
        <v>80</v>
      </c>
      <c r="D295" s="7">
        <v>212</v>
      </c>
      <c r="E295" s="8">
        <f t="shared" si="32"/>
        <v>27.397260273972602</v>
      </c>
      <c r="F295" s="7">
        <v>14</v>
      </c>
      <c r="G295" s="7">
        <v>25</v>
      </c>
      <c r="H295" s="8">
        <f t="shared" si="33"/>
        <v>35.897435897435898</v>
      </c>
    </row>
    <row r="296" spans="1:8" ht="14.4" x14ac:dyDescent="0.3">
      <c r="A296" s="5">
        <v>71102</v>
      </c>
      <c r="B296" s="6" t="s">
        <v>307</v>
      </c>
      <c r="C296" s="7">
        <v>40</v>
      </c>
      <c r="D296" s="7">
        <v>121</v>
      </c>
      <c r="E296" s="8">
        <f t="shared" si="32"/>
        <v>24.844720496894411</v>
      </c>
      <c r="F296" s="7">
        <v>7</v>
      </c>
      <c r="G296" s="7">
        <v>19</v>
      </c>
      <c r="H296" s="8">
        <f t="shared" si="33"/>
        <v>26.923076923076923</v>
      </c>
    </row>
    <row r="297" spans="1:8" ht="14.4" x14ac:dyDescent="0.3">
      <c r="A297" s="5">
        <v>71103</v>
      </c>
      <c r="B297" s="6" t="s">
        <v>308</v>
      </c>
      <c r="C297" s="7">
        <v>11</v>
      </c>
      <c r="D297" s="7">
        <v>53</v>
      </c>
      <c r="E297" s="8">
        <f t="shared" si="32"/>
        <v>17.1875</v>
      </c>
      <c r="F297" s="7">
        <v>0</v>
      </c>
      <c r="G297" s="7">
        <v>0</v>
      </c>
      <c r="H297" s="8">
        <f t="shared" si="33"/>
        <v>0</v>
      </c>
    </row>
    <row r="298" spans="1:8" ht="14.4" x14ac:dyDescent="0.3">
      <c r="A298" s="5">
        <v>71104</v>
      </c>
      <c r="B298" s="6" t="s">
        <v>309</v>
      </c>
      <c r="C298" s="7">
        <v>210</v>
      </c>
      <c r="D298" s="7">
        <v>705</v>
      </c>
      <c r="E298" s="8">
        <f t="shared" si="32"/>
        <v>22.950819672131146</v>
      </c>
      <c r="F298" s="7">
        <v>38</v>
      </c>
      <c r="G298" s="7">
        <v>102</v>
      </c>
      <c r="H298" s="8">
        <f t="shared" si="33"/>
        <v>27.142857142857142</v>
      </c>
    </row>
    <row r="299" spans="1:8" ht="14.4" x14ac:dyDescent="0.3">
      <c r="A299" s="5">
        <v>71105</v>
      </c>
      <c r="B299" s="6" t="s">
        <v>310</v>
      </c>
      <c r="C299" s="7">
        <v>0</v>
      </c>
      <c r="D299" s="7">
        <v>0</v>
      </c>
      <c r="E299" s="8">
        <f t="shared" si="32"/>
        <v>0</v>
      </c>
      <c r="F299" s="7">
        <v>0</v>
      </c>
      <c r="G299" s="7">
        <v>0</v>
      </c>
      <c r="H299" s="8">
        <f t="shared" si="33"/>
        <v>0</v>
      </c>
    </row>
    <row r="300" spans="1:8" ht="14.4" x14ac:dyDescent="0.3">
      <c r="A300" s="5">
        <v>71106</v>
      </c>
      <c r="B300" s="6" t="s">
        <v>311</v>
      </c>
      <c r="C300" s="7">
        <v>79</v>
      </c>
      <c r="D300" s="7">
        <v>202</v>
      </c>
      <c r="E300" s="8">
        <f t="shared" si="32"/>
        <v>28.113879003558718</v>
      </c>
      <c r="F300" s="7">
        <v>6</v>
      </c>
      <c r="G300" s="7">
        <v>12</v>
      </c>
      <c r="H300" s="8">
        <f t="shared" si="33"/>
        <v>33.333333333333329</v>
      </c>
    </row>
    <row r="301" spans="1:8" ht="14.4" x14ac:dyDescent="0.3">
      <c r="A301" s="5">
        <v>71201</v>
      </c>
      <c r="B301" s="6" t="s">
        <v>312</v>
      </c>
      <c r="C301" s="7">
        <v>20</v>
      </c>
      <c r="D301" s="7">
        <v>25</v>
      </c>
      <c r="E301" s="8">
        <f t="shared" si="32"/>
        <v>44.444444444444443</v>
      </c>
      <c r="F301" s="7">
        <v>10</v>
      </c>
      <c r="G301" s="7">
        <v>13</v>
      </c>
      <c r="H301" s="8">
        <f t="shared" si="33"/>
        <v>43.478260869565219</v>
      </c>
    </row>
    <row r="302" spans="1:8" ht="14.4" x14ac:dyDescent="0.3">
      <c r="A302" s="5">
        <v>71301</v>
      </c>
      <c r="B302" s="6" t="s">
        <v>313</v>
      </c>
      <c r="C302" s="7">
        <v>3316</v>
      </c>
      <c r="D302" s="7">
        <v>3803</v>
      </c>
      <c r="E302" s="8">
        <f t="shared" si="32"/>
        <v>46.579575783115608</v>
      </c>
      <c r="F302" s="7">
        <v>8</v>
      </c>
      <c r="G302" s="7">
        <v>14</v>
      </c>
      <c r="H302" s="8">
        <f t="shared" si="33"/>
        <v>36.363636363636367</v>
      </c>
    </row>
    <row r="303" spans="1:8" ht="14.4" x14ac:dyDescent="0.3">
      <c r="A303" s="5">
        <v>71302</v>
      </c>
      <c r="B303" s="6" t="s">
        <v>314</v>
      </c>
      <c r="C303" s="7">
        <v>160</v>
      </c>
      <c r="D303" s="7">
        <v>203</v>
      </c>
      <c r="E303" s="8">
        <f t="shared" si="32"/>
        <v>44.0771349862259</v>
      </c>
      <c r="F303" s="7">
        <v>0</v>
      </c>
      <c r="G303" s="7">
        <v>1</v>
      </c>
      <c r="H303" s="8">
        <f t="shared" si="33"/>
        <v>0</v>
      </c>
    </row>
    <row r="304" spans="1:8" ht="14.4" x14ac:dyDescent="0.3">
      <c r="A304" s="5">
        <v>71401</v>
      </c>
      <c r="B304" s="6" t="s">
        <v>315</v>
      </c>
      <c r="C304" s="7">
        <v>6</v>
      </c>
      <c r="D304" s="7">
        <v>26</v>
      </c>
      <c r="E304" s="8">
        <f t="shared" si="32"/>
        <v>18.75</v>
      </c>
      <c r="F304" s="7">
        <v>1</v>
      </c>
      <c r="G304" s="7">
        <v>4</v>
      </c>
      <c r="H304" s="8">
        <f t="shared" si="33"/>
        <v>20</v>
      </c>
    </row>
    <row r="305" spans="1:8" ht="14.4" x14ac:dyDescent="0.3">
      <c r="A305" s="5">
        <v>71402</v>
      </c>
      <c r="B305" s="6" t="s">
        <v>316</v>
      </c>
      <c r="C305" s="7">
        <v>1</v>
      </c>
      <c r="D305" s="7">
        <v>2</v>
      </c>
      <c r="E305" s="8">
        <f t="shared" si="32"/>
        <v>33.333333333333329</v>
      </c>
      <c r="F305" s="7">
        <v>1</v>
      </c>
      <c r="G305" s="7">
        <v>3</v>
      </c>
      <c r="H305" s="8">
        <f t="shared" si="33"/>
        <v>25</v>
      </c>
    </row>
    <row r="306" spans="1:8" ht="14.4" x14ac:dyDescent="0.3">
      <c r="A306" s="5">
        <v>71403</v>
      </c>
      <c r="B306" s="6" t="s">
        <v>317</v>
      </c>
      <c r="C306" s="7">
        <v>5</v>
      </c>
      <c r="D306" s="7">
        <v>12</v>
      </c>
      <c r="E306" s="8">
        <f t="shared" si="32"/>
        <v>29.411764705882355</v>
      </c>
      <c r="F306" s="7">
        <v>8</v>
      </c>
      <c r="G306" s="7">
        <v>11</v>
      </c>
      <c r="H306" s="8">
        <f t="shared" si="33"/>
        <v>42.105263157894733</v>
      </c>
    </row>
    <row r="307" spans="1:8" ht="14.4" x14ac:dyDescent="0.3">
      <c r="A307" s="5">
        <v>71501</v>
      </c>
      <c r="B307" s="6" t="s">
        <v>318</v>
      </c>
      <c r="C307" s="7">
        <v>100</v>
      </c>
      <c r="D307" s="7">
        <v>197</v>
      </c>
      <c r="E307" s="8">
        <f t="shared" si="32"/>
        <v>33.670033670033675</v>
      </c>
      <c r="F307" s="7">
        <v>5</v>
      </c>
      <c r="G307" s="7">
        <v>26</v>
      </c>
      <c r="H307" s="8">
        <f t="shared" si="33"/>
        <v>16.129032258064516</v>
      </c>
    </row>
    <row r="308" spans="1:8" ht="14.4" x14ac:dyDescent="0.3">
      <c r="A308" s="5">
        <v>71502</v>
      </c>
      <c r="B308" s="6" t="s">
        <v>319</v>
      </c>
      <c r="C308" s="7">
        <v>10</v>
      </c>
      <c r="D308" s="7">
        <v>24</v>
      </c>
      <c r="E308" s="8">
        <f t="shared" si="32"/>
        <v>29.411764705882355</v>
      </c>
      <c r="F308" s="7">
        <v>12</v>
      </c>
      <c r="G308" s="7">
        <v>19</v>
      </c>
      <c r="H308" s="8">
        <f t="shared" si="33"/>
        <v>38.70967741935484</v>
      </c>
    </row>
    <row r="309" spans="1:8" ht="14.4" x14ac:dyDescent="0.3">
      <c r="A309" s="5">
        <v>71503</v>
      </c>
      <c r="B309" s="6" t="s">
        <v>265</v>
      </c>
      <c r="C309" s="7">
        <v>334</v>
      </c>
      <c r="D309" s="7">
        <v>606</v>
      </c>
      <c r="E309" s="8">
        <f t="shared" si="32"/>
        <v>35.531914893617021</v>
      </c>
      <c r="F309" s="7">
        <v>113</v>
      </c>
      <c r="G309" s="7">
        <v>204</v>
      </c>
      <c r="H309" s="8">
        <f t="shared" si="33"/>
        <v>35.646687697160885</v>
      </c>
    </row>
    <row r="310" spans="1:8" ht="14.4" x14ac:dyDescent="0.3">
      <c r="A310" s="5">
        <v>80101</v>
      </c>
      <c r="B310" s="6" t="s">
        <v>320</v>
      </c>
      <c r="C310" s="7">
        <v>0</v>
      </c>
      <c r="D310" s="7">
        <v>6</v>
      </c>
      <c r="E310" s="8">
        <f t="shared" si="32"/>
        <v>0</v>
      </c>
      <c r="F310" s="7">
        <v>42</v>
      </c>
      <c r="G310" s="7">
        <v>45</v>
      </c>
      <c r="H310" s="8">
        <f t="shared" si="33"/>
        <v>48.275862068965516</v>
      </c>
    </row>
    <row r="311" spans="1:8" ht="14.4" x14ac:dyDescent="0.3">
      <c r="A311" s="5">
        <v>80102</v>
      </c>
      <c r="B311" s="6" t="s">
        <v>307</v>
      </c>
      <c r="C311" s="7">
        <v>10</v>
      </c>
      <c r="D311" s="7">
        <v>25</v>
      </c>
      <c r="E311" s="8">
        <f t="shared" si="32"/>
        <v>28.571428571428569</v>
      </c>
      <c r="F311" s="7">
        <v>11</v>
      </c>
      <c r="G311" s="7">
        <v>15</v>
      </c>
      <c r="H311" s="8">
        <f t="shared" si="33"/>
        <v>42.307692307692307</v>
      </c>
    </row>
    <row r="312" spans="1:8" ht="14.4" x14ac:dyDescent="0.3">
      <c r="A312" s="5">
        <v>80201</v>
      </c>
      <c r="B312" s="6" t="s">
        <v>321</v>
      </c>
      <c r="C312" s="7">
        <v>27</v>
      </c>
      <c r="D312" s="7">
        <v>87</v>
      </c>
      <c r="E312" s="8">
        <f t="shared" si="32"/>
        <v>23.684210526315788</v>
      </c>
      <c r="F312" s="7">
        <v>18</v>
      </c>
      <c r="G312" s="7">
        <v>33</v>
      </c>
      <c r="H312" s="8">
        <f t="shared" si="33"/>
        <v>35.294117647058826</v>
      </c>
    </row>
    <row r="313" spans="1:8" ht="14.4" x14ac:dyDescent="0.3">
      <c r="A313" s="5">
        <v>80202</v>
      </c>
      <c r="B313" s="6" t="s">
        <v>322</v>
      </c>
      <c r="C313" s="7">
        <v>26</v>
      </c>
      <c r="D313" s="7">
        <v>64</v>
      </c>
      <c r="E313" s="8">
        <f t="shared" si="32"/>
        <v>28.888888888888886</v>
      </c>
      <c r="F313" s="7">
        <v>9</v>
      </c>
      <c r="G313" s="7">
        <v>17</v>
      </c>
      <c r="H313" s="8">
        <f t="shared" si="33"/>
        <v>34.615384615384613</v>
      </c>
    </row>
    <row r="314" spans="1:8" ht="14.4" x14ac:dyDescent="0.3">
      <c r="A314" s="5">
        <v>80301</v>
      </c>
      <c r="B314" s="6" t="s">
        <v>323</v>
      </c>
      <c r="C314" s="7">
        <v>20</v>
      </c>
      <c r="D314" s="7">
        <v>62</v>
      </c>
      <c r="E314" s="8">
        <f t="shared" si="32"/>
        <v>24.390243902439025</v>
      </c>
      <c r="F314" s="7">
        <v>21</v>
      </c>
      <c r="G314" s="7">
        <v>26</v>
      </c>
      <c r="H314" s="8">
        <f t="shared" si="33"/>
        <v>44.680851063829785</v>
      </c>
    </row>
    <row r="315" spans="1:8" ht="14.4" x14ac:dyDescent="0.3">
      <c r="A315" s="5">
        <v>80302</v>
      </c>
      <c r="B315" s="6" t="s">
        <v>324</v>
      </c>
      <c r="C315" s="7">
        <v>706</v>
      </c>
      <c r="D315" s="7">
        <v>1072</v>
      </c>
      <c r="E315" s="8">
        <f t="shared" si="32"/>
        <v>39.707536557930254</v>
      </c>
      <c r="F315" s="7">
        <v>35</v>
      </c>
      <c r="G315" s="7">
        <v>44</v>
      </c>
      <c r="H315" s="8">
        <f t="shared" si="33"/>
        <v>44.303797468354425</v>
      </c>
    </row>
    <row r="316" spans="1:8" ht="14.4" x14ac:dyDescent="0.3">
      <c r="A316" s="5">
        <v>80303</v>
      </c>
      <c r="B316" s="6" t="s">
        <v>284</v>
      </c>
      <c r="C316" s="7">
        <v>517</v>
      </c>
      <c r="D316" s="7">
        <v>1162</v>
      </c>
      <c r="E316" s="8">
        <f t="shared" si="32"/>
        <v>30.792138177486599</v>
      </c>
      <c r="F316" s="7">
        <v>12</v>
      </c>
      <c r="G316" s="7">
        <v>19</v>
      </c>
      <c r="H316" s="8">
        <f t="shared" si="33"/>
        <v>38.70967741935484</v>
      </c>
    </row>
    <row r="317" spans="1:8" ht="14.4" x14ac:dyDescent="0.3">
      <c r="A317" s="5">
        <v>80304</v>
      </c>
      <c r="B317" s="6" t="s">
        <v>325</v>
      </c>
      <c r="C317" s="7">
        <v>259</v>
      </c>
      <c r="D317" s="7">
        <v>467</v>
      </c>
      <c r="E317" s="8">
        <f t="shared" si="32"/>
        <v>35.674931129476583</v>
      </c>
      <c r="F317" s="7">
        <v>4</v>
      </c>
      <c r="G317" s="7">
        <v>3</v>
      </c>
      <c r="H317" s="8">
        <f t="shared" si="33"/>
        <v>57.142857142857139</v>
      </c>
    </row>
    <row r="318" spans="1:8" ht="14.4" x14ac:dyDescent="0.3">
      <c r="A318" s="5">
        <v>80401</v>
      </c>
      <c r="B318" s="6" t="s">
        <v>326</v>
      </c>
      <c r="C318" s="7">
        <v>11</v>
      </c>
      <c r="D318" s="7">
        <v>18</v>
      </c>
      <c r="E318" s="8">
        <f t="shared" si="32"/>
        <v>37.931034482758619</v>
      </c>
      <c r="F318" s="7">
        <v>38</v>
      </c>
      <c r="G318" s="7">
        <v>50</v>
      </c>
      <c r="H318" s="8">
        <f t="shared" si="33"/>
        <v>43.18181818181818</v>
      </c>
    </row>
    <row r="319" spans="1:8" ht="14.4" x14ac:dyDescent="0.3">
      <c r="A319" s="5">
        <v>80402</v>
      </c>
      <c r="B319" s="6" t="s">
        <v>327</v>
      </c>
      <c r="C319" s="7">
        <v>20</v>
      </c>
      <c r="D319" s="7">
        <v>54</v>
      </c>
      <c r="E319" s="8">
        <f t="shared" si="32"/>
        <v>27.027027027027028</v>
      </c>
      <c r="F319" s="7">
        <v>22</v>
      </c>
      <c r="G319" s="7">
        <v>43</v>
      </c>
      <c r="H319" s="8">
        <f t="shared" si="33"/>
        <v>33.846153846153847</v>
      </c>
    </row>
    <row r="320" spans="1:8" ht="14.4" x14ac:dyDescent="0.3">
      <c r="A320" s="5">
        <v>80501</v>
      </c>
      <c r="B320" s="6" t="s">
        <v>273</v>
      </c>
      <c r="C320" s="7">
        <v>52</v>
      </c>
      <c r="D320" s="7">
        <v>85</v>
      </c>
      <c r="E320" s="8">
        <f t="shared" si="32"/>
        <v>37.956204379562038</v>
      </c>
      <c r="F320" s="7">
        <v>33</v>
      </c>
      <c r="G320" s="7">
        <v>37</v>
      </c>
      <c r="H320" s="8">
        <f t="shared" si="33"/>
        <v>47.142857142857139</v>
      </c>
    </row>
    <row r="321" spans="1:8" ht="14.4" x14ac:dyDescent="0.3">
      <c r="A321" s="5">
        <v>80601</v>
      </c>
      <c r="B321" s="6" t="s">
        <v>328</v>
      </c>
      <c r="C321" s="7">
        <v>2</v>
      </c>
      <c r="D321" s="7">
        <v>5</v>
      </c>
      <c r="E321" s="8">
        <f t="shared" si="32"/>
        <v>28.571428571428569</v>
      </c>
      <c r="F321" s="7">
        <v>6</v>
      </c>
      <c r="G321" s="7">
        <v>19</v>
      </c>
      <c r="H321" s="8">
        <f t="shared" si="33"/>
        <v>24</v>
      </c>
    </row>
    <row r="322" spans="1:8" ht="14.4" x14ac:dyDescent="0.3">
      <c r="A322" s="5">
        <v>80602</v>
      </c>
      <c r="B322" s="6" t="s">
        <v>329</v>
      </c>
      <c r="C322" s="7">
        <v>186</v>
      </c>
      <c r="D322" s="7">
        <v>320</v>
      </c>
      <c r="E322" s="8">
        <f t="shared" si="32"/>
        <v>36.758893280632407</v>
      </c>
      <c r="F322" s="7">
        <v>43</v>
      </c>
      <c r="G322" s="7">
        <v>44</v>
      </c>
      <c r="H322" s="8">
        <f t="shared" si="33"/>
        <v>49.425287356321839</v>
      </c>
    </row>
    <row r="323" spans="1:8" ht="14.4" x14ac:dyDescent="0.3">
      <c r="A323" s="5">
        <v>80701</v>
      </c>
      <c r="B323" s="6" t="s">
        <v>330</v>
      </c>
      <c r="C323" s="7">
        <v>3</v>
      </c>
      <c r="D323" s="7">
        <v>8</v>
      </c>
      <c r="E323" s="8">
        <f t="shared" ref="E323:E344" si="34">IF(D323+C323=0,0,100*(C323/(C323+D323)))</f>
        <v>27.27272727272727</v>
      </c>
      <c r="F323" s="7">
        <v>29</v>
      </c>
      <c r="G323" s="7">
        <v>25</v>
      </c>
      <c r="H323" s="8">
        <f t="shared" ref="H323:H344" si="35">IF(G323+F323=0,0,100*(F323/(F323+G323)))</f>
        <v>53.703703703703709</v>
      </c>
    </row>
    <row r="324" spans="1:8" ht="14.4" x14ac:dyDescent="0.3">
      <c r="A324" s="5">
        <v>80702</v>
      </c>
      <c r="B324" s="6" t="s">
        <v>308</v>
      </c>
      <c r="C324" s="7">
        <v>0</v>
      </c>
      <c r="D324" s="7">
        <v>8</v>
      </c>
      <c r="E324" s="8">
        <f t="shared" si="34"/>
        <v>0</v>
      </c>
      <c r="F324" s="7">
        <v>9</v>
      </c>
      <c r="G324" s="7">
        <v>12</v>
      </c>
      <c r="H324" s="8">
        <f t="shared" si="35"/>
        <v>42.857142857142854</v>
      </c>
    </row>
    <row r="325" spans="1:8" ht="14.4" x14ac:dyDescent="0.3">
      <c r="A325" s="5">
        <v>80703</v>
      </c>
      <c r="B325" s="6" t="s">
        <v>331</v>
      </c>
      <c r="C325" s="7">
        <v>2</v>
      </c>
      <c r="D325" s="7">
        <v>2</v>
      </c>
      <c r="E325" s="8">
        <f t="shared" si="34"/>
        <v>50</v>
      </c>
      <c r="F325" s="7">
        <v>1</v>
      </c>
      <c r="G325" s="7">
        <v>6</v>
      </c>
      <c r="H325" s="8">
        <f t="shared" si="35"/>
        <v>14.285714285714285</v>
      </c>
    </row>
    <row r="326" spans="1:8" ht="14.4" x14ac:dyDescent="0.3">
      <c r="A326" s="5">
        <v>80801</v>
      </c>
      <c r="B326" s="6" t="s">
        <v>332</v>
      </c>
      <c r="C326" s="7">
        <v>32</v>
      </c>
      <c r="D326" s="7">
        <v>46</v>
      </c>
      <c r="E326" s="8">
        <f t="shared" si="34"/>
        <v>41.025641025641022</v>
      </c>
      <c r="F326" s="7">
        <v>25</v>
      </c>
      <c r="G326" s="7">
        <v>28</v>
      </c>
      <c r="H326" s="8">
        <f t="shared" si="35"/>
        <v>47.169811320754718</v>
      </c>
    </row>
    <row r="327" spans="1:8" ht="14.4" x14ac:dyDescent="0.3">
      <c r="A327" s="5">
        <v>80802</v>
      </c>
      <c r="B327" s="6" t="s">
        <v>333</v>
      </c>
      <c r="C327" s="7">
        <v>1</v>
      </c>
      <c r="D327" s="7">
        <v>4</v>
      </c>
      <c r="E327" s="8">
        <f t="shared" si="34"/>
        <v>20</v>
      </c>
      <c r="F327" s="7">
        <v>10</v>
      </c>
      <c r="G327" s="7">
        <v>20</v>
      </c>
      <c r="H327" s="8">
        <f t="shared" si="35"/>
        <v>33.333333333333329</v>
      </c>
    </row>
    <row r="328" spans="1:8" ht="14.4" x14ac:dyDescent="0.3">
      <c r="A328" s="5">
        <v>80803</v>
      </c>
      <c r="B328" s="6" t="s">
        <v>334</v>
      </c>
      <c r="C328" s="7">
        <v>1</v>
      </c>
      <c r="D328" s="7">
        <v>7</v>
      </c>
      <c r="E328" s="8">
        <f t="shared" si="34"/>
        <v>12.5</v>
      </c>
      <c r="F328" s="7">
        <v>15</v>
      </c>
      <c r="G328" s="7">
        <v>37</v>
      </c>
      <c r="H328" s="8">
        <f t="shared" si="35"/>
        <v>28.846153846153843</v>
      </c>
    </row>
    <row r="329" spans="1:8" ht="14.4" x14ac:dyDescent="0.3">
      <c r="A329" s="5">
        <v>80901</v>
      </c>
      <c r="B329" s="6" t="s">
        <v>335</v>
      </c>
      <c r="C329" s="7">
        <v>0</v>
      </c>
      <c r="D329" s="7">
        <v>0</v>
      </c>
      <c r="E329" s="8">
        <f t="shared" si="34"/>
        <v>0</v>
      </c>
      <c r="F329" s="7">
        <v>0</v>
      </c>
      <c r="G329" s="7">
        <v>0</v>
      </c>
      <c r="H329" s="8">
        <f t="shared" si="35"/>
        <v>0</v>
      </c>
    </row>
    <row r="330" spans="1:8" ht="14.4" x14ac:dyDescent="0.3">
      <c r="A330" s="5">
        <v>90101</v>
      </c>
      <c r="B330" s="6" t="s">
        <v>336</v>
      </c>
      <c r="C330" s="7">
        <v>187</v>
      </c>
      <c r="D330" s="7">
        <v>232</v>
      </c>
      <c r="E330" s="8">
        <f t="shared" si="34"/>
        <v>44.630071599045344</v>
      </c>
      <c r="F330" s="7">
        <v>0</v>
      </c>
      <c r="G330" s="7">
        <v>0</v>
      </c>
      <c r="H330" s="8">
        <f t="shared" si="35"/>
        <v>0</v>
      </c>
    </row>
    <row r="331" spans="1:8" ht="14.4" x14ac:dyDescent="0.3">
      <c r="A331" s="5">
        <v>90102</v>
      </c>
      <c r="B331" s="6" t="s">
        <v>337</v>
      </c>
      <c r="C331" s="7">
        <v>96</v>
      </c>
      <c r="D331" s="7">
        <v>126</v>
      </c>
      <c r="E331" s="8">
        <f t="shared" si="34"/>
        <v>43.243243243243242</v>
      </c>
      <c r="F331" s="7">
        <v>0</v>
      </c>
      <c r="G331" s="7">
        <v>0</v>
      </c>
      <c r="H331" s="8">
        <f t="shared" si="35"/>
        <v>0</v>
      </c>
    </row>
    <row r="332" spans="1:8" ht="14.4" x14ac:dyDescent="0.3">
      <c r="A332" s="5">
        <v>90103</v>
      </c>
      <c r="B332" s="6" t="s">
        <v>338</v>
      </c>
      <c r="C332" s="7">
        <v>4</v>
      </c>
      <c r="D332" s="7">
        <v>5</v>
      </c>
      <c r="E332" s="8">
        <f t="shared" si="34"/>
        <v>44.444444444444443</v>
      </c>
      <c r="F332" s="7">
        <v>0</v>
      </c>
      <c r="G332" s="7">
        <v>0</v>
      </c>
      <c r="H332" s="8">
        <f t="shared" si="35"/>
        <v>0</v>
      </c>
    </row>
    <row r="333" spans="1:8" ht="14.4" x14ac:dyDescent="0.3">
      <c r="A333" s="5">
        <v>90104</v>
      </c>
      <c r="B333" s="6" t="s">
        <v>339</v>
      </c>
      <c r="C333" s="7">
        <v>2</v>
      </c>
      <c r="D333" s="7">
        <v>4</v>
      </c>
      <c r="E333" s="8">
        <f t="shared" si="34"/>
        <v>33.333333333333329</v>
      </c>
      <c r="F333" s="7">
        <v>0</v>
      </c>
      <c r="G333" s="7">
        <v>0</v>
      </c>
      <c r="H333" s="8">
        <f t="shared" si="35"/>
        <v>0</v>
      </c>
    </row>
    <row r="334" spans="1:8" ht="14.4" x14ac:dyDescent="0.3">
      <c r="A334" s="5">
        <v>90201</v>
      </c>
      <c r="B334" s="6" t="s">
        <v>340</v>
      </c>
      <c r="C334" s="7">
        <v>4</v>
      </c>
      <c r="D334" s="7">
        <v>4</v>
      </c>
      <c r="E334" s="8">
        <f t="shared" si="34"/>
        <v>50</v>
      </c>
      <c r="F334" s="7">
        <v>2</v>
      </c>
      <c r="G334" s="7">
        <v>5</v>
      </c>
      <c r="H334" s="8">
        <f t="shared" si="35"/>
        <v>28.571428571428569</v>
      </c>
    </row>
    <row r="335" spans="1:8" ht="14.4" x14ac:dyDescent="0.3">
      <c r="A335" s="5">
        <v>90202</v>
      </c>
      <c r="B335" s="6" t="s">
        <v>231</v>
      </c>
      <c r="C335" s="7">
        <v>3</v>
      </c>
      <c r="D335" s="7">
        <v>4</v>
      </c>
      <c r="E335" s="8">
        <f t="shared" si="34"/>
        <v>42.857142857142854</v>
      </c>
      <c r="F335" s="7">
        <v>0</v>
      </c>
      <c r="G335" s="7">
        <v>0</v>
      </c>
      <c r="H335" s="8">
        <f t="shared" si="35"/>
        <v>0</v>
      </c>
    </row>
    <row r="336" spans="1:8" ht="14.4" x14ac:dyDescent="0.3">
      <c r="A336" s="5">
        <v>90203</v>
      </c>
      <c r="B336" s="6" t="s">
        <v>341</v>
      </c>
      <c r="C336" s="7">
        <v>12</v>
      </c>
      <c r="D336" s="7">
        <v>19</v>
      </c>
      <c r="E336" s="8">
        <f t="shared" si="34"/>
        <v>38.70967741935484</v>
      </c>
      <c r="F336" s="7">
        <v>0</v>
      </c>
      <c r="G336" s="7">
        <v>0</v>
      </c>
      <c r="H336" s="8">
        <f t="shared" si="35"/>
        <v>0</v>
      </c>
    </row>
    <row r="337" spans="1:8" ht="14.4" x14ac:dyDescent="0.3">
      <c r="A337" s="5">
        <v>90301</v>
      </c>
      <c r="B337" s="6" t="s">
        <v>342</v>
      </c>
      <c r="C337" s="7">
        <v>4</v>
      </c>
      <c r="D337" s="7">
        <v>13</v>
      </c>
      <c r="E337" s="8">
        <f t="shared" si="34"/>
        <v>23.52941176470588</v>
      </c>
      <c r="F337" s="7">
        <v>0</v>
      </c>
      <c r="G337" s="7">
        <v>0</v>
      </c>
      <c r="H337" s="8">
        <f t="shared" si="35"/>
        <v>0</v>
      </c>
    </row>
    <row r="338" spans="1:8" ht="14.4" x14ac:dyDescent="0.3">
      <c r="A338" s="5">
        <v>90302</v>
      </c>
      <c r="B338" s="6" t="s">
        <v>264</v>
      </c>
      <c r="C338" s="7">
        <v>0</v>
      </c>
      <c r="D338" s="7">
        <v>1</v>
      </c>
      <c r="E338" s="8">
        <f t="shared" si="34"/>
        <v>0</v>
      </c>
      <c r="F338" s="7">
        <v>0</v>
      </c>
      <c r="G338" s="7">
        <v>0</v>
      </c>
      <c r="H338" s="8">
        <f t="shared" si="35"/>
        <v>0</v>
      </c>
    </row>
    <row r="339" spans="1:8" ht="14.4" x14ac:dyDescent="0.3">
      <c r="A339" s="5">
        <v>90303</v>
      </c>
      <c r="B339" s="6" t="s">
        <v>343</v>
      </c>
      <c r="C339" s="7">
        <v>12</v>
      </c>
      <c r="D339" s="7">
        <v>20</v>
      </c>
      <c r="E339" s="8">
        <f t="shared" si="34"/>
        <v>37.5</v>
      </c>
      <c r="F339" s="7">
        <v>0</v>
      </c>
      <c r="G339" s="7">
        <v>0</v>
      </c>
      <c r="H339" s="8">
        <f t="shared" si="35"/>
        <v>0</v>
      </c>
    </row>
    <row r="340" spans="1:8" ht="14.4" x14ac:dyDescent="0.3">
      <c r="A340" s="5">
        <v>90401</v>
      </c>
      <c r="B340" s="6" t="s">
        <v>284</v>
      </c>
      <c r="C340" s="7">
        <v>1</v>
      </c>
      <c r="D340" s="7">
        <v>4</v>
      </c>
      <c r="E340" s="8">
        <f t="shared" si="34"/>
        <v>20</v>
      </c>
      <c r="F340" s="7">
        <v>0</v>
      </c>
      <c r="G340" s="7">
        <v>0</v>
      </c>
      <c r="H340" s="8">
        <f t="shared" si="35"/>
        <v>0</v>
      </c>
    </row>
    <row r="341" spans="1:8" ht="14.4" x14ac:dyDescent="0.3">
      <c r="A341" s="5">
        <v>90402</v>
      </c>
      <c r="B341" s="6" t="s">
        <v>344</v>
      </c>
      <c r="C341" s="7">
        <v>2</v>
      </c>
      <c r="D341" s="7">
        <v>12</v>
      </c>
      <c r="E341" s="8">
        <f t="shared" si="34"/>
        <v>14.285714285714285</v>
      </c>
      <c r="F341" s="7">
        <v>0</v>
      </c>
      <c r="G341" s="7">
        <v>0</v>
      </c>
      <c r="H341" s="8">
        <f t="shared" si="35"/>
        <v>0</v>
      </c>
    </row>
    <row r="342" spans="1:8" ht="14.4" x14ac:dyDescent="0.3">
      <c r="A342" s="5">
        <v>90501</v>
      </c>
      <c r="B342" s="6" t="s">
        <v>345</v>
      </c>
      <c r="C342" s="7">
        <v>0</v>
      </c>
      <c r="D342" s="7">
        <v>0</v>
      </c>
      <c r="E342" s="8">
        <f t="shared" si="34"/>
        <v>0</v>
      </c>
      <c r="F342" s="7">
        <v>0</v>
      </c>
      <c r="G342" s="7">
        <v>0</v>
      </c>
      <c r="H342" s="8">
        <f t="shared" si="35"/>
        <v>0</v>
      </c>
    </row>
    <row r="343" spans="1:8" ht="14.4" x14ac:dyDescent="0.3">
      <c r="A343" s="5">
        <v>90502</v>
      </c>
      <c r="B343" s="6" t="s">
        <v>346</v>
      </c>
      <c r="C343" s="7">
        <v>0</v>
      </c>
      <c r="D343" s="7">
        <v>0</v>
      </c>
      <c r="E343" s="8">
        <f t="shared" si="34"/>
        <v>0</v>
      </c>
      <c r="F343" s="7">
        <v>0</v>
      </c>
      <c r="G343" s="7">
        <v>0</v>
      </c>
      <c r="H343" s="8">
        <f t="shared" si="35"/>
        <v>0</v>
      </c>
    </row>
    <row r="344" spans="1:8" ht="14.4" x14ac:dyDescent="0.3">
      <c r="A344" s="5">
        <v>90503</v>
      </c>
      <c r="B344" s="6" t="s">
        <v>347</v>
      </c>
      <c r="C344" s="7">
        <v>4</v>
      </c>
      <c r="D344" s="7">
        <v>2</v>
      </c>
      <c r="E344" s="8">
        <f t="shared" si="34"/>
        <v>66.666666666666657</v>
      </c>
      <c r="F344" s="7">
        <v>0</v>
      </c>
      <c r="G344" s="7">
        <v>0</v>
      </c>
      <c r="H344" s="8">
        <f t="shared" si="35"/>
        <v>0</v>
      </c>
    </row>
    <row r="345" spans="1:8" ht="14.4" x14ac:dyDescent="0.3">
      <c r="A345" s="11"/>
      <c r="B345" s="11"/>
    </row>
    <row r="346" spans="1:8" ht="14.4" x14ac:dyDescent="0.3">
      <c r="A346" s="11"/>
      <c r="B346" s="11"/>
      <c r="D346" s="12" t="s">
        <v>348</v>
      </c>
      <c r="E346" s="13">
        <f>AVERAGE(E2:E344)</f>
        <v>26.610198365793806</v>
      </c>
      <c r="F346" s="13">
        <f>E346+E347</f>
        <v>49.833852261903587</v>
      </c>
    </row>
    <row r="347" spans="1:8" ht="14.4" x14ac:dyDescent="0.3">
      <c r="A347" s="11"/>
      <c r="B347" s="11"/>
      <c r="D347" s="12" t="s">
        <v>349</v>
      </c>
      <c r="E347" s="13">
        <f>STDEVA(E2:E344)</f>
        <v>23.223653896109777</v>
      </c>
      <c r="F347" s="13">
        <f>E346-E347</f>
        <v>3.3865444696840292</v>
      </c>
    </row>
    <row r="348" spans="1:8" ht="14.4" x14ac:dyDescent="0.3">
      <c r="A348" s="11"/>
      <c r="B348" s="11"/>
      <c r="D348" s="12" t="s">
        <v>350</v>
      </c>
      <c r="E348" s="13">
        <f>MAX(E2:E344)</f>
        <v>100</v>
      </c>
    </row>
    <row r="349" spans="1:8" ht="14.4" x14ac:dyDescent="0.3">
      <c r="A349" s="11"/>
      <c r="B349" s="11"/>
      <c r="D349" s="12" t="s">
        <v>351</v>
      </c>
      <c r="E349" s="13">
        <f>MIN(E2:E344)</f>
        <v>0</v>
      </c>
    </row>
    <row r="350" spans="1:8" ht="14.4" x14ac:dyDescent="0.3">
      <c r="A350" s="11"/>
      <c r="B350" s="11"/>
    </row>
    <row r="351" spans="1:8" ht="14.4" x14ac:dyDescent="0.3">
      <c r="A351" s="11"/>
      <c r="B351" s="11"/>
    </row>
    <row r="352" spans="1:8" ht="14.4" x14ac:dyDescent="0.3">
      <c r="A352" s="11"/>
      <c r="B352" s="11"/>
    </row>
    <row r="353" spans="1:2" ht="14.4" x14ac:dyDescent="0.3">
      <c r="A353" s="11"/>
      <c r="B353" s="11"/>
    </row>
    <row r="354" spans="1:2" ht="14.4" x14ac:dyDescent="0.3">
      <c r="A354" s="11"/>
      <c r="B354" s="11"/>
    </row>
    <row r="355" spans="1:2" ht="14.4" x14ac:dyDescent="0.3">
      <c r="A355" s="11"/>
      <c r="B355" s="11"/>
    </row>
    <row r="356" spans="1:2" ht="14.4" x14ac:dyDescent="0.3">
      <c r="A356" s="11"/>
      <c r="B356" s="11"/>
    </row>
    <row r="357" spans="1:2" ht="14.4" x14ac:dyDescent="0.3">
      <c r="A357" s="11"/>
      <c r="B357" s="11"/>
    </row>
    <row r="358" spans="1:2" ht="14.4" x14ac:dyDescent="0.3">
      <c r="A358" s="11"/>
      <c r="B358" s="11"/>
    </row>
    <row r="359" spans="1:2" ht="14.4" x14ac:dyDescent="0.3">
      <c r="A359" s="11"/>
      <c r="B359" s="11"/>
    </row>
    <row r="360" spans="1:2" ht="14.4" x14ac:dyDescent="0.3">
      <c r="A360" s="11"/>
      <c r="B360" s="11"/>
    </row>
    <row r="361" spans="1:2" ht="14.4" x14ac:dyDescent="0.3">
      <c r="A361" s="11"/>
      <c r="B361" s="11"/>
    </row>
    <row r="362" spans="1:2" ht="14.4" x14ac:dyDescent="0.3">
      <c r="A362" s="11"/>
      <c r="B362" s="11"/>
    </row>
    <row r="363" spans="1:2" ht="14.4" x14ac:dyDescent="0.3">
      <c r="A363" s="11"/>
      <c r="B363" s="11"/>
    </row>
    <row r="364" spans="1:2" ht="14.4" x14ac:dyDescent="0.3">
      <c r="A364" s="11"/>
      <c r="B364" s="11"/>
    </row>
    <row r="365" spans="1:2" ht="14.4" x14ac:dyDescent="0.3">
      <c r="A365" s="11"/>
      <c r="B365" s="11"/>
    </row>
    <row r="366" spans="1:2" ht="14.4" x14ac:dyDescent="0.3">
      <c r="A366" s="11"/>
      <c r="B366" s="11"/>
    </row>
    <row r="367" spans="1:2" ht="14.4" x14ac:dyDescent="0.3">
      <c r="A367" s="11"/>
      <c r="B367" s="11"/>
    </row>
    <row r="368" spans="1:2" ht="14.4" x14ac:dyDescent="0.3">
      <c r="A368" s="11"/>
      <c r="B368" s="11"/>
    </row>
    <row r="369" spans="1:2" ht="14.4" x14ac:dyDescent="0.3">
      <c r="A369" s="11"/>
      <c r="B369" s="11"/>
    </row>
    <row r="370" spans="1:2" ht="14.4" x14ac:dyDescent="0.3">
      <c r="A370" s="11"/>
      <c r="B370" s="11"/>
    </row>
    <row r="371" spans="1:2" ht="14.4" x14ac:dyDescent="0.3">
      <c r="A371" s="11"/>
      <c r="B371" s="11"/>
    </row>
    <row r="372" spans="1:2" ht="14.4" x14ac:dyDescent="0.3">
      <c r="A372" s="11"/>
      <c r="B372" s="11"/>
    </row>
    <row r="373" spans="1:2" ht="14.4" x14ac:dyDescent="0.3">
      <c r="A373" s="11"/>
      <c r="B373" s="11"/>
    </row>
    <row r="374" spans="1:2" ht="14.4" x14ac:dyDescent="0.3">
      <c r="A374" s="11"/>
      <c r="B374" s="11"/>
    </row>
    <row r="375" spans="1:2" ht="14.4" x14ac:dyDescent="0.3">
      <c r="A375" s="11"/>
      <c r="B375" s="11"/>
    </row>
    <row r="376" spans="1:2" ht="14.4" x14ac:dyDescent="0.3">
      <c r="A376" s="11"/>
      <c r="B376" s="11"/>
    </row>
    <row r="377" spans="1:2" ht="14.4" x14ac:dyDescent="0.3">
      <c r="A377" s="11"/>
      <c r="B377" s="11"/>
    </row>
    <row r="378" spans="1:2" ht="14.4" x14ac:dyDescent="0.3">
      <c r="A378" s="11"/>
      <c r="B378" s="11"/>
    </row>
    <row r="379" spans="1:2" ht="14.4" x14ac:dyDescent="0.3">
      <c r="A379" s="11"/>
      <c r="B379" s="11"/>
    </row>
    <row r="380" spans="1:2" ht="14.4" x14ac:dyDescent="0.3">
      <c r="A380" s="11"/>
      <c r="B380" s="11"/>
    </row>
    <row r="381" spans="1:2" ht="14.4" x14ac:dyDescent="0.3">
      <c r="A381" s="11"/>
      <c r="B381" s="11"/>
    </row>
    <row r="382" spans="1:2" ht="14.4" x14ac:dyDescent="0.3">
      <c r="A382" s="11"/>
      <c r="B382" s="11"/>
    </row>
    <row r="383" spans="1:2" ht="14.4" x14ac:dyDescent="0.3">
      <c r="A383" s="11"/>
      <c r="B383" s="11"/>
    </row>
    <row r="384" spans="1:2" ht="14.4" x14ac:dyDescent="0.3">
      <c r="A384" s="11"/>
      <c r="B384" s="11"/>
    </row>
    <row r="385" spans="1:2" ht="14.4" x14ac:dyDescent="0.3">
      <c r="A385" s="11"/>
      <c r="B385" s="11"/>
    </row>
    <row r="386" spans="1:2" ht="14.4" x14ac:dyDescent="0.3">
      <c r="A386" s="11"/>
      <c r="B386" s="11"/>
    </row>
    <row r="387" spans="1:2" ht="14.4" x14ac:dyDescent="0.3">
      <c r="A387" s="11"/>
      <c r="B387" s="11"/>
    </row>
    <row r="388" spans="1:2" ht="14.4" x14ac:dyDescent="0.3">
      <c r="A388" s="11"/>
      <c r="B388" s="11"/>
    </row>
    <row r="389" spans="1:2" ht="14.4" x14ac:dyDescent="0.3">
      <c r="A389" s="11"/>
      <c r="B389" s="11"/>
    </row>
    <row r="390" spans="1:2" ht="14.4" x14ac:dyDescent="0.3">
      <c r="A390" s="11"/>
      <c r="B390" s="11"/>
    </row>
    <row r="391" spans="1:2" ht="14.4" x14ac:dyDescent="0.3">
      <c r="A391" s="11"/>
      <c r="B391" s="11"/>
    </row>
    <row r="392" spans="1:2" ht="14.4" x14ac:dyDescent="0.3">
      <c r="A392" s="11"/>
      <c r="B392" s="11"/>
    </row>
    <row r="393" spans="1:2" ht="14.4" x14ac:dyDescent="0.3">
      <c r="A393" s="11"/>
      <c r="B393" s="11"/>
    </row>
    <row r="394" spans="1:2" ht="14.4" x14ac:dyDescent="0.3">
      <c r="A394" s="11"/>
      <c r="B394" s="11"/>
    </row>
    <row r="395" spans="1:2" ht="14.4" x14ac:dyDescent="0.3">
      <c r="A395" s="11"/>
      <c r="B395" s="11"/>
    </row>
    <row r="396" spans="1:2" ht="14.4" x14ac:dyDescent="0.3">
      <c r="A396" s="11"/>
      <c r="B396" s="11"/>
    </row>
    <row r="397" spans="1:2" ht="14.4" x14ac:dyDescent="0.3">
      <c r="A397" s="11"/>
      <c r="B397" s="11"/>
    </row>
    <row r="398" spans="1:2" ht="14.4" x14ac:dyDescent="0.3">
      <c r="A398" s="11"/>
      <c r="B398" s="11"/>
    </row>
    <row r="399" spans="1:2" ht="14.4" x14ac:dyDescent="0.3">
      <c r="A399" s="11"/>
      <c r="B399" s="11"/>
    </row>
    <row r="400" spans="1:2" ht="14.4" x14ac:dyDescent="0.3">
      <c r="A400" s="11"/>
      <c r="B400" s="11"/>
    </row>
    <row r="401" spans="1:2" ht="14.4" x14ac:dyDescent="0.3">
      <c r="A401" s="11"/>
      <c r="B401" s="11"/>
    </row>
    <row r="402" spans="1:2" ht="14.4" x14ac:dyDescent="0.3">
      <c r="A402" s="11"/>
      <c r="B402" s="11"/>
    </row>
    <row r="403" spans="1:2" ht="14.4" x14ac:dyDescent="0.3">
      <c r="A403" s="11"/>
      <c r="B403" s="11"/>
    </row>
    <row r="404" spans="1:2" ht="14.4" x14ac:dyDescent="0.3">
      <c r="A404" s="11"/>
      <c r="B404" s="11"/>
    </row>
    <row r="405" spans="1:2" ht="14.4" x14ac:dyDescent="0.3">
      <c r="A405" s="11"/>
      <c r="B405" s="11"/>
    </row>
    <row r="406" spans="1:2" ht="14.4" x14ac:dyDescent="0.3">
      <c r="A406" s="11"/>
      <c r="B406" s="11"/>
    </row>
    <row r="407" spans="1:2" ht="14.4" x14ac:dyDescent="0.3">
      <c r="A407" s="11"/>
      <c r="B407" s="11"/>
    </row>
    <row r="408" spans="1:2" ht="14.4" x14ac:dyDescent="0.3">
      <c r="A408" s="11"/>
      <c r="B408" s="11"/>
    </row>
    <row r="409" spans="1:2" ht="14.4" x14ac:dyDescent="0.3">
      <c r="A409" s="11"/>
      <c r="B409" s="11"/>
    </row>
    <row r="410" spans="1:2" ht="14.4" x14ac:dyDescent="0.3">
      <c r="A410" s="11"/>
      <c r="B410" s="11"/>
    </row>
    <row r="411" spans="1:2" ht="14.4" x14ac:dyDescent="0.3">
      <c r="A411" s="11"/>
      <c r="B411" s="11"/>
    </row>
    <row r="412" spans="1:2" ht="14.4" x14ac:dyDescent="0.3">
      <c r="A412" s="11"/>
      <c r="B412" s="11"/>
    </row>
    <row r="413" spans="1:2" ht="14.4" x14ac:dyDescent="0.3">
      <c r="A413" s="11"/>
      <c r="B413" s="11"/>
    </row>
    <row r="414" spans="1:2" ht="14.4" x14ac:dyDescent="0.3">
      <c r="A414" s="11"/>
      <c r="B414" s="11"/>
    </row>
    <row r="415" spans="1:2" ht="14.4" x14ac:dyDescent="0.3">
      <c r="A415" s="11"/>
      <c r="B415" s="11"/>
    </row>
    <row r="416" spans="1:2" ht="14.4" x14ac:dyDescent="0.3">
      <c r="A416" s="11"/>
      <c r="B416" s="11"/>
    </row>
    <row r="417" spans="1:2" ht="14.4" x14ac:dyDescent="0.3">
      <c r="A417" s="11"/>
      <c r="B417" s="11"/>
    </row>
    <row r="418" spans="1:2" ht="14.4" x14ac:dyDescent="0.3">
      <c r="A418" s="11"/>
      <c r="B418" s="11"/>
    </row>
    <row r="419" spans="1:2" ht="14.4" x14ac:dyDescent="0.3">
      <c r="A419" s="11"/>
      <c r="B419" s="11"/>
    </row>
    <row r="420" spans="1:2" ht="14.4" x14ac:dyDescent="0.3">
      <c r="A420" s="11"/>
      <c r="B420" s="11"/>
    </row>
    <row r="421" spans="1:2" ht="14.4" x14ac:dyDescent="0.3">
      <c r="A421" s="11"/>
      <c r="B421" s="11"/>
    </row>
    <row r="422" spans="1:2" ht="14.4" x14ac:dyDescent="0.3">
      <c r="A422" s="11"/>
      <c r="B422" s="11"/>
    </row>
    <row r="423" spans="1:2" ht="14.4" x14ac:dyDescent="0.3">
      <c r="A423" s="11"/>
      <c r="B423" s="11"/>
    </row>
    <row r="424" spans="1:2" ht="14.4" x14ac:dyDescent="0.3">
      <c r="A424" s="11"/>
      <c r="B424" s="11"/>
    </row>
    <row r="425" spans="1:2" ht="14.4" x14ac:dyDescent="0.3">
      <c r="A425" s="11"/>
      <c r="B425" s="11"/>
    </row>
    <row r="426" spans="1:2" ht="14.4" x14ac:dyDescent="0.3">
      <c r="A426" s="11"/>
      <c r="B426" s="11"/>
    </row>
    <row r="427" spans="1:2" ht="14.4" x14ac:dyDescent="0.3">
      <c r="A427" s="11"/>
      <c r="B427" s="11"/>
    </row>
    <row r="428" spans="1:2" ht="14.4" x14ac:dyDescent="0.3">
      <c r="A428" s="11"/>
      <c r="B428" s="11"/>
    </row>
    <row r="429" spans="1:2" ht="14.4" x14ac:dyDescent="0.3">
      <c r="A429" s="11"/>
      <c r="B429" s="11"/>
    </row>
    <row r="430" spans="1:2" ht="14.4" x14ac:dyDescent="0.3">
      <c r="A430" s="11"/>
      <c r="B430" s="11"/>
    </row>
    <row r="431" spans="1:2" ht="14.4" x14ac:dyDescent="0.3">
      <c r="A431" s="11"/>
      <c r="B431" s="11"/>
    </row>
    <row r="432" spans="1:2" ht="14.4" x14ac:dyDescent="0.3">
      <c r="A432" s="11"/>
      <c r="B432" s="11"/>
    </row>
    <row r="433" spans="1:2" ht="14.4" x14ac:dyDescent="0.3">
      <c r="A433" s="11"/>
      <c r="B433" s="11"/>
    </row>
    <row r="434" spans="1:2" ht="14.4" x14ac:dyDescent="0.3">
      <c r="A434" s="11"/>
      <c r="B434" s="11"/>
    </row>
    <row r="435" spans="1:2" ht="14.4" x14ac:dyDescent="0.3">
      <c r="A435" s="11"/>
      <c r="B435" s="11"/>
    </row>
    <row r="436" spans="1:2" ht="14.4" x14ac:dyDescent="0.3">
      <c r="A436" s="11"/>
      <c r="B436" s="11"/>
    </row>
    <row r="437" spans="1:2" ht="14.4" x14ac:dyDescent="0.3">
      <c r="A437" s="11"/>
      <c r="B437" s="11"/>
    </row>
    <row r="438" spans="1:2" ht="14.4" x14ac:dyDescent="0.3">
      <c r="A438" s="11"/>
      <c r="B438" s="11"/>
    </row>
    <row r="439" spans="1:2" ht="14.4" x14ac:dyDescent="0.3">
      <c r="A439" s="11"/>
      <c r="B439" s="11"/>
    </row>
    <row r="440" spans="1:2" ht="14.4" x14ac:dyDescent="0.3">
      <c r="A440" s="11"/>
      <c r="B440" s="11"/>
    </row>
    <row r="441" spans="1:2" ht="14.4" x14ac:dyDescent="0.3">
      <c r="A441" s="11"/>
      <c r="B441" s="11"/>
    </row>
    <row r="442" spans="1:2" ht="14.4" x14ac:dyDescent="0.3">
      <c r="A442" s="11"/>
      <c r="B442" s="11"/>
    </row>
    <row r="443" spans="1:2" ht="14.4" x14ac:dyDescent="0.3">
      <c r="A443" s="11"/>
      <c r="B443" s="11"/>
    </row>
    <row r="444" spans="1:2" ht="14.4" x14ac:dyDescent="0.3">
      <c r="A444" s="11"/>
      <c r="B444" s="11"/>
    </row>
    <row r="445" spans="1:2" ht="14.4" x14ac:dyDescent="0.3">
      <c r="A445" s="11"/>
      <c r="B445" s="11"/>
    </row>
    <row r="446" spans="1:2" ht="14.4" x14ac:dyDescent="0.3">
      <c r="A446" s="11"/>
      <c r="B446" s="11"/>
    </row>
    <row r="447" spans="1:2" ht="14.4" x14ac:dyDescent="0.3">
      <c r="A447" s="11"/>
      <c r="B447" s="11"/>
    </row>
    <row r="448" spans="1:2" ht="14.4" x14ac:dyDescent="0.3">
      <c r="A448" s="11"/>
      <c r="B448" s="11"/>
    </row>
    <row r="449" spans="1:2" ht="14.4" x14ac:dyDescent="0.3">
      <c r="A449" s="11"/>
      <c r="B449" s="11"/>
    </row>
    <row r="450" spans="1:2" ht="14.4" x14ac:dyDescent="0.3">
      <c r="A450" s="11"/>
      <c r="B450" s="11"/>
    </row>
    <row r="451" spans="1:2" ht="14.4" x14ac:dyDescent="0.3">
      <c r="A451" s="11"/>
      <c r="B451" s="11"/>
    </row>
    <row r="452" spans="1:2" ht="14.4" x14ac:dyDescent="0.3">
      <c r="A452" s="11"/>
      <c r="B452" s="11"/>
    </row>
    <row r="453" spans="1:2" ht="14.4" x14ac:dyDescent="0.3">
      <c r="A453" s="11"/>
      <c r="B453" s="11"/>
    </row>
    <row r="454" spans="1:2" ht="14.4" x14ac:dyDescent="0.3">
      <c r="A454" s="11"/>
      <c r="B454" s="11"/>
    </row>
    <row r="455" spans="1:2" ht="14.4" x14ac:dyDescent="0.3">
      <c r="A455" s="11"/>
      <c r="B455" s="11"/>
    </row>
    <row r="456" spans="1:2" ht="14.4" x14ac:dyDescent="0.3">
      <c r="A456" s="11"/>
      <c r="B456" s="11"/>
    </row>
    <row r="457" spans="1:2" ht="14.4" x14ac:dyDescent="0.3">
      <c r="A457" s="11"/>
      <c r="B457" s="11"/>
    </row>
    <row r="458" spans="1:2" ht="14.4" x14ac:dyDescent="0.3">
      <c r="A458" s="11"/>
      <c r="B458" s="11"/>
    </row>
    <row r="459" spans="1:2" ht="14.4" x14ac:dyDescent="0.3">
      <c r="A459" s="11"/>
      <c r="B459" s="11"/>
    </row>
    <row r="460" spans="1:2" ht="14.4" x14ac:dyDescent="0.3">
      <c r="A460" s="11"/>
      <c r="B460" s="11"/>
    </row>
    <row r="461" spans="1:2" ht="14.4" x14ac:dyDescent="0.3">
      <c r="A461" s="11"/>
      <c r="B461" s="11"/>
    </row>
    <row r="462" spans="1:2" ht="14.4" x14ac:dyDescent="0.3">
      <c r="A462" s="11"/>
      <c r="B462" s="11"/>
    </row>
    <row r="463" spans="1:2" ht="14.4" x14ac:dyDescent="0.3">
      <c r="A463" s="11"/>
      <c r="B463" s="11"/>
    </row>
    <row r="464" spans="1:2" ht="14.4" x14ac:dyDescent="0.3">
      <c r="A464" s="11"/>
      <c r="B464" s="11"/>
    </row>
    <row r="465" spans="1:2" ht="14.4" x14ac:dyDescent="0.3">
      <c r="A465" s="11"/>
      <c r="B465" s="11"/>
    </row>
    <row r="466" spans="1:2" ht="14.4" x14ac:dyDescent="0.3">
      <c r="A466" s="11"/>
      <c r="B466" s="11"/>
    </row>
    <row r="467" spans="1:2" ht="14.4" x14ac:dyDescent="0.3">
      <c r="A467" s="11"/>
      <c r="B467" s="11"/>
    </row>
    <row r="468" spans="1:2" ht="14.4" x14ac:dyDescent="0.3">
      <c r="A468" s="11"/>
      <c r="B468" s="11"/>
    </row>
    <row r="469" spans="1:2" ht="14.4" x14ac:dyDescent="0.3">
      <c r="A469" s="11"/>
      <c r="B469" s="11"/>
    </row>
    <row r="470" spans="1:2" ht="14.4" x14ac:dyDescent="0.3">
      <c r="A470" s="11"/>
      <c r="B470" s="11"/>
    </row>
    <row r="471" spans="1:2" ht="14.4" x14ac:dyDescent="0.3">
      <c r="A471" s="11"/>
      <c r="B471" s="11"/>
    </row>
    <row r="472" spans="1:2" ht="14.4" x14ac:dyDescent="0.3">
      <c r="A472" s="11"/>
      <c r="B472" s="11"/>
    </row>
    <row r="473" spans="1:2" ht="14.4" x14ac:dyDescent="0.3">
      <c r="A473" s="11"/>
      <c r="B473" s="11"/>
    </row>
    <row r="474" spans="1:2" ht="14.4" x14ac:dyDescent="0.3">
      <c r="A474" s="11"/>
      <c r="B474" s="11"/>
    </row>
    <row r="475" spans="1:2" ht="14.4" x14ac:dyDescent="0.3">
      <c r="A475" s="11"/>
      <c r="B475" s="11"/>
    </row>
    <row r="476" spans="1:2" ht="14.4" x14ac:dyDescent="0.3">
      <c r="A476" s="11"/>
      <c r="B476" s="11"/>
    </row>
    <row r="477" spans="1:2" ht="14.4" x14ac:dyDescent="0.3">
      <c r="A477" s="11"/>
      <c r="B477" s="11"/>
    </row>
    <row r="478" spans="1:2" ht="14.4" x14ac:dyDescent="0.3">
      <c r="A478" s="11"/>
      <c r="B478" s="11"/>
    </row>
    <row r="479" spans="1:2" ht="14.4" x14ac:dyDescent="0.3">
      <c r="A479" s="11"/>
      <c r="B479" s="11"/>
    </row>
    <row r="480" spans="1:2" ht="14.4" x14ac:dyDescent="0.3">
      <c r="A480" s="11"/>
      <c r="B480" s="11"/>
    </row>
    <row r="481" spans="1:2" ht="14.4" x14ac:dyDescent="0.3">
      <c r="A481" s="11"/>
      <c r="B481" s="11"/>
    </row>
    <row r="482" spans="1:2" ht="14.4" x14ac:dyDescent="0.3">
      <c r="A482" s="11"/>
      <c r="B482" s="11"/>
    </row>
    <row r="483" spans="1:2" ht="14.4" x14ac:dyDescent="0.3">
      <c r="A483" s="11"/>
      <c r="B483" s="11"/>
    </row>
    <row r="484" spans="1:2" ht="14.4" x14ac:dyDescent="0.3">
      <c r="A484" s="11"/>
      <c r="B484" s="11"/>
    </row>
    <row r="485" spans="1:2" ht="14.4" x14ac:dyDescent="0.3">
      <c r="A485" s="11"/>
      <c r="B485" s="11"/>
    </row>
    <row r="486" spans="1:2" ht="14.4" x14ac:dyDescent="0.3">
      <c r="A486" s="11"/>
      <c r="B486" s="11"/>
    </row>
    <row r="487" spans="1:2" ht="14.4" x14ac:dyDescent="0.3">
      <c r="A487" s="11"/>
      <c r="B487" s="11"/>
    </row>
    <row r="488" spans="1:2" ht="14.4" x14ac:dyDescent="0.3">
      <c r="A488" s="11"/>
      <c r="B488" s="11"/>
    </row>
    <row r="489" spans="1:2" ht="14.4" x14ac:dyDescent="0.3">
      <c r="A489" s="11"/>
      <c r="B489" s="11"/>
    </row>
    <row r="490" spans="1:2" ht="14.4" x14ac:dyDescent="0.3">
      <c r="A490" s="11"/>
      <c r="B490" s="11"/>
    </row>
    <row r="491" spans="1:2" ht="14.4" x14ac:dyDescent="0.3">
      <c r="A491" s="11"/>
      <c r="B491" s="11"/>
    </row>
    <row r="492" spans="1:2" ht="14.4" x14ac:dyDescent="0.3">
      <c r="A492" s="11"/>
      <c r="B492" s="11"/>
    </row>
    <row r="493" spans="1:2" ht="14.4" x14ac:dyDescent="0.3">
      <c r="A493" s="11"/>
      <c r="B493" s="11"/>
    </row>
    <row r="494" spans="1:2" ht="14.4" x14ac:dyDescent="0.3">
      <c r="A494" s="11"/>
      <c r="B494" s="11"/>
    </row>
    <row r="495" spans="1:2" ht="14.4" x14ac:dyDescent="0.3">
      <c r="A495" s="11"/>
      <c r="B495" s="11"/>
    </row>
    <row r="496" spans="1:2" ht="14.4" x14ac:dyDescent="0.3">
      <c r="A496" s="11"/>
      <c r="B496" s="11"/>
    </row>
    <row r="497" spans="1:2" ht="14.4" x14ac:dyDescent="0.3">
      <c r="A497" s="11"/>
      <c r="B497" s="11"/>
    </row>
    <row r="498" spans="1:2" ht="14.4" x14ac:dyDescent="0.3">
      <c r="A498" s="11"/>
      <c r="B498" s="11"/>
    </row>
    <row r="499" spans="1:2" ht="14.4" x14ac:dyDescent="0.3">
      <c r="A499" s="11"/>
      <c r="B499" s="11"/>
    </row>
    <row r="500" spans="1:2" ht="14.4" x14ac:dyDescent="0.3">
      <c r="A500" s="11"/>
      <c r="B500" s="11"/>
    </row>
    <row r="501" spans="1:2" ht="14.4" x14ac:dyDescent="0.3">
      <c r="A501" s="11"/>
      <c r="B501" s="11"/>
    </row>
    <row r="502" spans="1:2" ht="14.4" x14ac:dyDescent="0.3">
      <c r="A502" s="11"/>
      <c r="B502" s="11"/>
    </row>
    <row r="503" spans="1:2" ht="14.4" x14ac:dyDescent="0.3">
      <c r="A503" s="11"/>
      <c r="B503" s="11"/>
    </row>
    <row r="504" spans="1:2" ht="14.4" x14ac:dyDescent="0.3">
      <c r="A504" s="11"/>
      <c r="B504" s="11"/>
    </row>
    <row r="505" spans="1:2" ht="14.4" x14ac:dyDescent="0.3">
      <c r="A505" s="11"/>
      <c r="B505" s="11"/>
    </row>
    <row r="506" spans="1:2" ht="14.4" x14ac:dyDescent="0.3">
      <c r="A506" s="11"/>
      <c r="B506" s="11"/>
    </row>
    <row r="507" spans="1:2" ht="14.4" x14ac:dyDescent="0.3">
      <c r="A507" s="11"/>
      <c r="B507" s="11"/>
    </row>
    <row r="508" spans="1:2" ht="14.4" x14ac:dyDescent="0.3">
      <c r="A508" s="11"/>
      <c r="B508" s="11"/>
    </row>
    <row r="509" spans="1:2" ht="14.4" x14ac:dyDescent="0.3">
      <c r="A509" s="11"/>
      <c r="B509" s="11"/>
    </row>
    <row r="510" spans="1:2" ht="14.4" x14ac:dyDescent="0.3">
      <c r="A510" s="11"/>
      <c r="B510" s="11"/>
    </row>
    <row r="511" spans="1:2" ht="14.4" x14ac:dyDescent="0.3">
      <c r="A511" s="11"/>
      <c r="B511" s="11"/>
    </row>
    <row r="512" spans="1:2" ht="14.4" x14ac:dyDescent="0.3">
      <c r="A512" s="11"/>
      <c r="B512" s="11"/>
    </row>
    <row r="513" spans="1:2" ht="14.4" x14ac:dyDescent="0.3">
      <c r="A513" s="11"/>
      <c r="B513" s="11"/>
    </row>
    <row r="514" spans="1:2" ht="14.4" x14ac:dyDescent="0.3">
      <c r="A514" s="11"/>
      <c r="B514" s="11"/>
    </row>
    <row r="515" spans="1:2" ht="14.4" x14ac:dyDescent="0.3">
      <c r="A515" s="11"/>
      <c r="B515" s="11"/>
    </row>
    <row r="516" spans="1:2" ht="14.4" x14ac:dyDescent="0.3">
      <c r="A516" s="11"/>
      <c r="B516" s="11"/>
    </row>
    <row r="517" spans="1:2" ht="14.4" x14ac:dyDescent="0.3">
      <c r="A517" s="11"/>
      <c r="B517" s="11"/>
    </row>
    <row r="518" spans="1:2" ht="14.4" x14ac:dyDescent="0.3">
      <c r="A518" s="11"/>
      <c r="B518" s="11"/>
    </row>
    <row r="519" spans="1:2" ht="14.4" x14ac:dyDescent="0.3">
      <c r="A519" s="11"/>
      <c r="B519" s="11"/>
    </row>
    <row r="520" spans="1:2" ht="14.4" x14ac:dyDescent="0.3">
      <c r="A520" s="11"/>
      <c r="B520" s="11"/>
    </row>
    <row r="521" spans="1:2" ht="14.4" x14ac:dyDescent="0.3">
      <c r="A521" s="11"/>
      <c r="B521" s="11"/>
    </row>
    <row r="522" spans="1:2" ht="14.4" x14ac:dyDescent="0.3">
      <c r="A522" s="11"/>
      <c r="B522" s="11"/>
    </row>
    <row r="523" spans="1:2" ht="14.4" x14ac:dyDescent="0.3">
      <c r="A523" s="11"/>
      <c r="B523" s="11"/>
    </row>
    <row r="524" spans="1:2" ht="14.4" x14ac:dyDescent="0.3">
      <c r="A524" s="11"/>
      <c r="B524" s="11"/>
    </row>
    <row r="525" spans="1:2" ht="14.4" x14ac:dyDescent="0.3">
      <c r="A525" s="11"/>
      <c r="B525" s="11"/>
    </row>
    <row r="526" spans="1:2" ht="14.4" x14ac:dyDescent="0.3">
      <c r="A526" s="11"/>
      <c r="B526" s="11"/>
    </row>
    <row r="527" spans="1:2" ht="14.4" x14ac:dyDescent="0.3">
      <c r="A527" s="11"/>
      <c r="B527" s="11"/>
    </row>
    <row r="528" spans="1:2" ht="14.4" x14ac:dyDescent="0.3">
      <c r="A528" s="11"/>
      <c r="B528" s="11"/>
    </row>
    <row r="529" spans="1:2" ht="14.4" x14ac:dyDescent="0.3">
      <c r="A529" s="11"/>
      <c r="B529" s="11"/>
    </row>
    <row r="530" spans="1:2" ht="14.4" x14ac:dyDescent="0.3">
      <c r="A530" s="11"/>
      <c r="B530" s="11"/>
    </row>
    <row r="531" spans="1:2" ht="14.4" x14ac:dyDescent="0.3">
      <c r="A531" s="11"/>
      <c r="B531" s="11"/>
    </row>
    <row r="532" spans="1:2" ht="14.4" x14ac:dyDescent="0.3">
      <c r="A532" s="11"/>
      <c r="B532" s="11"/>
    </row>
    <row r="533" spans="1:2" ht="14.4" x14ac:dyDescent="0.3">
      <c r="A533" s="11"/>
      <c r="B533" s="11"/>
    </row>
    <row r="534" spans="1:2" ht="14.4" x14ac:dyDescent="0.3">
      <c r="A534" s="11"/>
      <c r="B534" s="11"/>
    </row>
    <row r="535" spans="1:2" ht="14.4" x14ac:dyDescent="0.3">
      <c r="A535" s="11"/>
      <c r="B535" s="11"/>
    </row>
    <row r="536" spans="1:2" ht="14.4" x14ac:dyDescent="0.3">
      <c r="A536" s="11"/>
      <c r="B536" s="11"/>
    </row>
    <row r="537" spans="1:2" ht="14.4" x14ac:dyDescent="0.3">
      <c r="A537" s="11"/>
      <c r="B537" s="11"/>
    </row>
    <row r="538" spans="1:2" ht="14.4" x14ac:dyDescent="0.3">
      <c r="A538" s="11"/>
      <c r="B538" s="11"/>
    </row>
    <row r="539" spans="1:2" ht="14.4" x14ac:dyDescent="0.3">
      <c r="A539" s="11"/>
      <c r="B539" s="11"/>
    </row>
    <row r="540" spans="1:2" ht="14.4" x14ac:dyDescent="0.3">
      <c r="A540" s="11"/>
      <c r="B540" s="11"/>
    </row>
    <row r="541" spans="1:2" ht="14.4" x14ac:dyDescent="0.3">
      <c r="A541" s="11"/>
      <c r="B541" s="11"/>
    </row>
    <row r="542" spans="1:2" ht="14.4" x14ac:dyDescent="0.3">
      <c r="A542" s="11"/>
      <c r="B542" s="11"/>
    </row>
    <row r="543" spans="1:2" ht="14.4" x14ac:dyDescent="0.3">
      <c r="A543" s="11"/>
      <c r="B543" s="11"/>
    </row>
    <row r="544" spans="1:2" ht="14.4" x14ac:dyDescent="0.3">
      <c r="A544" s="11"/>
      <c r="B544" s="11"/>
    </row>
    <row r="545" spans="1:2" ht="14.4" x14ac:dyDescent="0.3">
      <c r="A545" s="11"/>
      <c r="B545" s="11"/>
    </row>
    <row r="546" spans="1:2" ht="14.4" x14ac:dyDescent="0.3">
      <c r="A546" s="11"/>
      <c r="B546" s="11"/>
    </row>
    <row r="547" spans="1:2" ht="14.4" x14ac:dyDescent="0.3">
      <c r="A547" s="11"/>
      <c r="B547" s="11"/>
    </row>
    <row r="548" spans="1:2" ht="14.4" x14ac:dyDescent="0.3">
      <c r="A548" s="11"/>
      <c r="B548" s="11"/>
    </row>
    <row r="549" spans="1:2" ht="14.4" x14ac:dyDescent="0.3">
      <c r="A549" s="11"/>
      <c r="B549" s="11"/>
    </row>
    <row r="550" spans="1:2" ht="14.4" x14ac:dyDescent="0.3">
      <c r="A550" s="11"/>
      <c r="B550" s="11"/>
    </row>
    <row r="551" spans="1:2" ht="14.4" x14ac:dyDescent="0.3">
      <c r="A551" s="11"/>
      <c r="B551" s="11"/>
    </row>
    <row r="552" spans="1:2" ht="14.4" x14ac:dyDescent="0.3">
      <c r="A552" s="11"/>
      <c r="B552" s="11"/>
    </row>
    <row r="553" spans="1:2" ht="14.4" x14ac:dyDescent="0.3">
      <c r="A553" s="11"/>
      <c r="B553" s="11"/>
    </row>
    <row r="554" spans="1:2" ht="14.4" x14ac:dyDescent="0.3">
      <c r="A554" s="11"/>
      <c r="B554" s="11"/>
    </row>
    <row r="555" spans="1:2" ht="14.4" x14ac:dyDescent="0.3">
      <c r="A555" s="11"/>
      <c r="B555" s="11"/>
    </row>
    <row r="556" spans="1:2" ht="14.4" x14ac:dyDescent="0.3">
      <c r="A556" s="11"/>
      <c r="B556" s="11"/>
    </row>
    <row r="557" spans="1:2" ht="14.4" x14ac:dyDescent="0.3">
      <c r="A557" s="11"/>
      <c r="B557" s="11"/>
    </row>
    <row r="558" spans="1:2" ht="14.4" x14ac:dyDescent="0.3">
      <c r="A558" s="11"/>
      <c r="B558" s="11"/>
    </row>
    <row r="559" spans="1:2" ht="14.4" x14ac:dyDescent="0.3">
      <c r="A559" s="11"/>
      <c r="B559" s="11"/>
    </row>
    <row r="560" spans="1:2" ht="14.4" x14ac:dyDescent="0.3">
      <c r="A560" s="11"/>
      <c r="B560" s="11"/>
    </row>
    <row r="561" spans="1:2" ht="14.4" x14ac:dyDescent="0.3">
      <c r="A561" s="11"/>
      <c r="B561" s="11"/>
    </row>
    <row r="562" spans="1:2" ht="14.4" x14ac:dyDescent="0.3">
      <c r="A562" s="11"/>
      <c r="B562" s="11"/>
    </row>
    <row r="563" spans="1:2" ht="14.4" x14ac:dyDescent="0.3">
      <c r="A563" s="11"/>
      <c r="B563" s="11"/>
    </row>
    <row r="564" spans="1:2" ht="14.4" x14ac:dyDescent="0.3">
      <c r="A564" s="11"/>
      <c r="B564" s="11"/>
    </row>
    <row r="565" spans="1:2" ht="14.4" x14ac:dyDescent="0.3">
      <c r="A565" s="11"/>
      <c r="B565" s="11"/>
    </row>
    <row r="566" spans="1:2" ht="14.4" x14ac:dyDescent="0.3">
      <c r="A566" s="11"/>
      <c r="B566" s="11"/>
    </row>
    <row r="567" spans="1:2" ht="14.4" x14ac:dyDescent="0.3">
      <c r="A567" s="11"/>
      <c r="B567" s="11"/>
    </row>
    <row r="568" spans="1:2" ht="14.4" x14ac:dyDescent="0.3">
      <c r="A568" s="11"/>
      <c r="B568" s="11"/>
    </row>
    <row r="569" spans="1:2" ht="14.4" x14ac:dyDescent="0.3">
      <c r="A569" s="11"/>
      <c r="B569" s="11"/>
    </row>
    <row r="570" spans="1:2" ht="14.4" x14ac:dyDescent="0.3">
      <c r="A570" s="11"/>
      <c r="B570" s="11"/>
    </row>
    <row r="571" spans="1:2" ht="14.4" x14ac:dyDescent="0.3">
      <c r="A571" s="11"/>
      <c r="B571" s="11"/>
    </row>
    <row r="572" spans="1:2" ht="14.4" x14ac:dyDescent="0.3">
      <c r="A572" s="11"/>
      <c r="B572" s="11"/>
    </row>
    <row r="573" spans="1:2" ht="14.4" x14ac:dyDescent="0.3">
      <c r="A573" s="11"/>
      <c r="B573" s="11"/>
    </row>
    <row r="574" spans="1:2" ht="14.4" x14ac:dyDescent="0.3">
      <c r="A574" s="11"/>
      <c r="B574" s="11"/>
    </row>
    <row r="575" spans="1:2" ht="14.4" x14ac:dyDescent="0.3">
      <c r="A575" s="11"/>
      <c r="B575" s="11"/>
    </row>
    <row r="576" spans="1:2" ht="14.4" x14ac:dyDescent="0.3">
      <c r="A576" s="11"/>
      <c r="B576" s="11"/>
    </row>
    <row r="577" spans="1:2" ht="14.4" x14ac:dyDescent="0.3">
      <c r="A577" s="11"/>
      <c r="B577" s="11"/>
    </row>
    <row r="578" spans="1:2" ht="14.4" x14ac:dyDescent="0.3">
      <c r="A578" s="11"/>
      <c r="B578" s="11"/>
    </row>
    <row r="579" spans="1:2" ht="14.4" x14ac:dyDescent="0.3">
      <c r="A579" s="11"/>
      <c r="B579" s="11"/>
    </row>
    <row r="580" spans="1:2" ht="14.4" x14ac:dyDescent="0.3">
      <c r="A580" s="11"/>
      <c r="B580" s="11"/>
    </row>
    <row r="581" spans="1:2" ht="14.4" x14ac:dyDescent="0.3">
      <c r="A581" s="11"/>
      <c r="B581" s="11"/>
    </row>
    <row r="582" spans="1:2" ht="14.4" x14ac:dyDescent="0.3">
      <c r="A582" s="11"/>
      <c r="B582" s="11"/>
    </row>
    <row r="583" spans="1:2" ht="14.4" x14ac:dyDescent="0.3">
      <c r="A583" s="11"/>
      <c r="B583" s="11"/>
    </row>
    <row r="584" spans="1:2" ht="14.4" x14ac:dyDescent="0.3">
      <c r="A584" s="11"/>
      <c r="B584" s="11"/>
    </row>
    <row r="585" spans="1:2" ht="14.4" x14ac:dyDescent="0.3">
      <c r="A585" s="11"/>
      <c r="B585" s="11"/>
    </row>
    <row r="586" spans="1:2" ht="14.4" x14ac:dyDescent="0.3">
      <c r="A586" s="11"/>
      <c r="B586" s="11"/>
    </row>
    <row r="587" spans="1:2" ht="14.4" x14ac:dyDescent="0.3">
      <c r="A587" s="11"/>
      <c r="B587" s="11"/>
    </row>
    <row r="588" spans="1:2" ht="14.4" x14ac:dyDescent="0.3">
      <c r="A588" s="11"/>
      <c r="B588" s="11"/>
    </row>
    <row r="589" spans="1:2" ht="14.4" x14ac:dyDescent="0.3">
      <c r="A589" s="11"/>
      <c r="B589" s="11"/>
    </row>
    <row r="590" spans="1:2" ht="14.4" x14ac:dyDescent="0.3">
      <c r="A590" s="11"/>
      <c r="B590" s="11"/>
    </row>
    <row r="591" spans="1:2" ht="14.4" x14ac:dyDescent="0.3">
      <c r="A591" s="11"/>
      <c r="B591" s="11"/>
    </row>
    <row r="592" spans="1:2" ht="14.4" x14ac:dyDescent="0.3">
      <c r="A592" s="11"/>
      <c r="B592" s="11"/>
    </row>
    <row r="593" spans="1:2" ht="14.4" x14ac:dyDescent="0.3">
      <c r="A593" s="11"/>
      <c r="B593" s="11"/>
    </row>
    <row r="594" spans="1:2" ht="14.4" x14ac:dyDescent="0.3">
      <c r="A594" s="11"/>
      <c r="B594" s="11"/>
    </row>
    <row r="595" spans="1:2" ht="14.4" x14ac:dyDescent="0.3">
      <c r="A595" s="11"/>
      <c r="B595" s="11"/>
    </row>
    <row r="596" spans="1:2" ht="14.4" x14ac:dyDescent="0.3">
      <c r="A596" s="11"/>
      <c r="B596" s="11"/>
    </row>
    <row r="597" spans="1:2" ht="14.4" x14ac:dyDescent="0.3">
      <c r="A597" s="11"/>
      <c r="B597" s="11"/>
    </row>
    <row r="598" spans="1:2" ht="14.4" x14ac:dyDescent="0.3">
      <c r="A598" s="11"/>
      <c r="B598" s="11"/>
    </row>
    <row r="599" spans="1:2" ht="14.4" x14ac:dyDescent="0.3">
      <c r="A599" s="11"/>
      <c r="B599" s="11"/>
    </row>
    <row r="600" spans="1:2" ht="14.4" x14ac:dyDescent="0.3">
      <c r="A600" s="11"/>
      <c r="B600" s="11"/>
    </row>
    <row r="601" spans="1:2" ht="14.4" x14ac:dyDescent="0.3">
      <c r="A601" s="11"/>
      <c r="B601" s="11"/>
    </row>
    <row r="602" spans="1:2" ht="14.4" x14ac:dyDescent="0.3">
      <c r="A602" s="11"/>
      <c r="B602" s="11"/>
    </row>
    <row r="603" spans="1:2" ht="14.4" x14ac:dyDescent="0.3">
      <c r="A603" s="11"/>
      <c r="B603" s="11"/>
    </row>
    <row r="604" spans="1:2" ht="14.4" x14ac:dyDescent="0.3">
      <c r="A604" s="11"/>
      <c r="B604" s="11"/>
    </row>
    <row r="605" spans="1:2" ht="14.4" x14ac:dyDescent="0.3">
      <c r="A605" s="11"/>
      <c r="B605" s="11"/>
    </row>
    <row r="606" spans="1:2" ht="14.4" x14ac:dyDescent="0.3">
      <c r="A606" s="11"/>
      <c r="B606" s="11"/>
    </row>
    <row r="607" spans="1:2" ht="14.4" x14ac:dyDescent="0.3">
      <c r="A607" s="11"/>
      <c r="B607" s="11"/>
    </row>
    <row r="608" spans="1:2" ht="14.4" x14ac:dyDescent="0.3">
      <c r="A608" s="11"/>
      <c r="B608" s="11"/>
    </row>
    <row r="609" spans="1:2" ht="14.4" x14ac:dyDescent="0.3">
      <c r="A609" s="11"/>
      <c r="B609" s="11"/>
    </row>
    <row r="610" spans="1:2" ht="14.4" x14ac:dyDescent="0.3">
      <c r="A610" s="11"/>
      <c r="B610" s="11"/>
    </row>
    <row r="611" spans="1:2" ht="14.4" x14ac:dyDescent="0.3">
      <c r="A611" s="11"/>
      <c r="B611" s="11"/>
    </row>
    <row r="612" spans="1:2" ht="14.4" x14ac:dyDescent="0.3">
      <c r="A612" s="11"/>
      <c r="B612" s="11"/>
    </row>
    <row r="613" spans="1:2" ht="14.4" x14ac:dyDescent="0.3">
      <c r="A613" s="11"/>
      <c r="B613" s="11"/>
    </row>
    <row r="614" spans="1:2" ht="14.4" x14ac:dyDescent="0.3">
      <c r="A614" s="11"/>
      <c r="B614" s="11"/>
    </row>
    <row r="615" spans="1:2" ht="14.4" x14ac:dyDescent="0.3">
      <c r="A615" s="11"/>
      <c r="B615" s="11"/>
    </row>
    <row r="616" spans="1:2" ht="14.4" x14ac:dyDescent="0.3">
      <c r="A616" s="11"/>
      <c r="B616" s="11"/>
    </row>
    <row r="617" spans="1:2" ht="14.4" x14ac:dyDescent="0.3">
      <c r="A617" s="11"/>
      <c r="B617" s="11"/>
    </row>
    <row r="618" spans="1:2" ht="14.4" x14ac:dyDescent="0.3">
      <c r="A618" s="11"/>
      <c r="B618" s="11"/>
    </row>
    <row r="619" spans="1:2" ht="14.4" x14ac:dyDescent="0.3">
      <c r="A619" s="11"/>
      <c r="B619" s="11"/>
    </row>
    <row r="620" spans="1:2" ht="14.4" x14ac:dyDescent="0.3">
      <c r="A620" s="11"/>
      <c r="B620" s="11"/>
    </row>
    <row r="621" spans="1:2" ht="14.4" x14ac:dyDescent="0.3">
      <c r="A621" s="11"/>
      <c r="B621" s="11"/>
    </row>
    <row r="622" spans="1:2" ht="14.4" x14ac:dyDescent="0.3">
      <c r="A622" s="11"/>
      <c r="B622" s="11"/>
    </row>
    <row r="623" spans="1:2" ht="14.4" x14ac:dyDescent="0.3">
      <c r="A623" s="11"/>
      <c r="B623" s="11"/>
    </row>
    <row r="624" spans="1:2" ht="14.4" x14ac:dyDescent="0.3">
      <c r="A624" s="11"/>
      <c r="B624" s="11"/>
    </row>
    <row r="625" spans="1:2" ht="14.4" x14ac:dyDescent="0.3">
      <c r="A625" s="11"/>
      <c r="B625" s="11"/>
    </row>
    <row r="626" spans="1:2" ht="14.4" x14ac:dyDescent="0.3">
      <c r="A626" s="11"/>
      <c r="B626" s="11"/>
    </row>
    <row r="627" spans="1:2" ht="14.4" x14ac:dyDescent="0.3">
      <c r="A627" s="11"/>
      <c r="B627" s="11"/>
    </row>
    <row r="628" spans="1:2" ht="14.4" x14ac:dyDescent="0.3">
      <c r="A628" s="11"/>
      <c r="B628" s="11"/>
    </row>
    <row r="629" spans="1:2" ht="14.4" x14ac:dyDescent="0.3">
      <c r="A629" s="11"/>
      <c r="B629" s="11"/>
    </row>
    <row r="630" spans="1:2" ht="14.4" x14ac:dyDescent="0.3">
      <c r="A630" s="11"/>
      <c r="B630" s="11"/>
    </row>
    <row r="631" spans="1:2" ht="14.4" x14ac:dyDescent="0.3">
      <c r="A631" s="11"/>
      <c r="B631" s="11"/>
    </row>
    <row r="632" spans="1:2" ht="14.4" x14ac:dyDescent="0.3">
      <c r="A632" s="11"/>
      <c r="B632" s="11"/>
    </row>
    <row r="633" spans="1:2" ht="14.4" x14ac:dyDescent="0.3">
      <c r="A633" s="11"/>
      <c r="B633" s="11"/>
    </row>
    <row r="634" spans="1:2" ht="14.4" x14ac:dyDescent="0.3">
      <c r="A634" s="11"/>
      <c r="B634" s="11"/>
    </row>
    <row r="635" spans="1:2" ht="14.4" x14ac:dyDescent="0.3">
      <c r="A635" s="11"/>
      <c r="B635" s="11"/>
    </row>
    <row r="636" spans="1:2" ht="14.4" x14ac:dyDescent="0.3">
      <c r="A636" s="11"/>
      <c r="B636" s="11"/>
    </row>
    <row r="637" spans="1:2" ht="14.4" x14ac:dyDescent="0.3">
      <c r="A637" s="11"/>
      <c r="B637" s="11"/>
    </row>
    <row r="638" spans="1:2" ht="14.4" x14ac:dyDescent="0.3">
      <c r="A638" s="11"/>
      <c r="B638" s="11"/>
    </row>
    <row r="639" spans="1:2" ht="14.4" x14ac:dyDescent="0.3">
      <c r="A639" s="11"/>
      <c r="B639" s="11"/>
    </row>
    <row r="640" spans="1:2" ht="14.4" x14ac:dyDescent="0.3">
      <c r="A640" s="11"/>
      <c r="B640" s="11"/>
    </row>
    <row r="641" spans="1:2" ht="14.4" x14ac:dyDescent="0.3">
      <c r="A641" s="11"/>
      <c r="B641" s="11"/>
    </row>
    <row r="642" spans="1:2" ht="14.4" x14ac:dyDescent="0.3">
      <c r="A642" s="11"/>
      <c r="B642" s="11"/>
    </row>
    <row r="643" spans="1:2" ht="14.4" x14ac:dyDescent="0.3">
      <c r="A643" s="11"/>
      <c r="B643" s="11"/>
    </row>
    <row r="644" spans="1:2" ht="14.4" x14ac:dyDescent="0.3">
      <c r="A644" s="11"/>
      <c r="B644" s="11"/>
    </row>
    <row r="645" spans="1:2" ht="14.4" x14ac:dyDescent="0.3">
      <c r="A645" s="11"/>
      <c r="B645" s="11"/>
    </row>
    <row r="646" spans="1:2" ht="14.4" x14ac:dyDescent="0.3">
      <c r="A646" s="11"/>
      <c r="B646" s="11"/>
    </row>
    <row r="647" spans="1:2" ht="14.4" x14ac:dyDescent="0.3">
      <c r="A647" s="11"/>
      <c r="B647" s="11"/>
    </row>
    <row r="648" spans="1:2" ht="14.4" x14ac:dyDescent="0.3">
      <c r="A648" s="11"/>
      <c r="B648" s="11"/>
    </row>
    <row r="649" spans="1:2" ht="14.4" x14ac:dyDescent="0.3">
      <c r="A649" s="11"/>
      <c r="B649" s="11"/>
    </row>
    <row r="650" spans="1:2" ht="14.4" x14ac:dyDescent="0.3">
      <c r="A650" s="11"/>
      <c r="B650" s="11"/>
    </row>
    <row r="651" spans="1:2" ht="14.4" x14ac:dyDescent="0.3">
      <c r="A651" s="11"/>
      <c r="B651" s="11"/>
    </row>
    <row r="652" spans="1:2" ht="14.4" x14ac:dyDescent="0.3">
      <c r="A652" s="11"/>
      <c r="B652" s="11"/>
    </row>
    <row r="653" spans="1:2" ht="14.4" x14ac:dyDescent="0.3">
      <c r="A653" s="11"/>
      <c r="B653" s="11"/>
    </row>
    <row r="654" spans="1:2" ht="14.4" x14ac:dyDescent="0.3">
      <c r="A654" s="11"/>
      <c r="B654" s="11"/>
    </row>
    <row r="655" spans="1:2" ht="14.4" x14ac:dyDescent="0.3">
      <c r="A655" s="11"/>
      <c r="B655" s="11"/>
    </row>
    <row r="656" spans="1:2" ht="14.4" x14ac:dyDescent="0.3">
      <c r="A656" s="11"/>
      <c r="B656" s="11"/>
    </row>
    <row r="657" spans="1:2" ht="14.4" x14ac:dyDescent="0.3">
      <c r="A657" s="11"/>
      <c r="B657" s="11"/>
    </row>
    <row r="658" spans="1:2" ht="14.4" x14ac:dyDescent="0.3">
      <c r="A658" s="11"/>
      <c r="B658" s="11"/>
    </row>
    <row r="659" spans="1:2" ht="14.4" x14ac:dyDescent="0.3">
      <c r="A659" s="11"/>
      <c r="B659" s="11"/>
    </row>
    <row r="660" spans="1:2" ht="14.4" x14ac:dyDescent="0.3">
      <c r="A660" s="11"/>
      <c r="B660" s="11"/>
    </row>
    <row r="661" spans="1:2" ht="14.4" x14ac:dyDescent="0.3">
      <c r="A661" s="11"/>
      <c r="B661" s="11"/>
    </row>
    <row r="662" spans="1:2" ht="14.4" x14ac:dyDescent="0.3">
      <c r="A662" s="11"/>
      <c r="B662" s="11"/>
    </row>
    <row r="663" spans="1:2" ht="14.4" x14ac:dyDescent="0.3">
      <c r="A663" s="11"/>
      <c r="B663" s="11"/>
    </row>
    <row r="664" spans="1:2" ht="14.4" x14ac:dyDescent="0.3">
      <c r="A664" s="11"/>
      <c r="B664" s="11"/>
    </row>
    <row r="665" spans="1:2" ht="14.4" x14ac:dyDescent="0.3">
      <c r="A665" s="11"/>
      <c r="B665" s="11"/>
    </row>
    <row r="666" spans="1:2" ht="14.4" x14ac:dyDescent="0.3">
      <c r="A666" s="11"/>
      <c r="B666" s="11"/>
    </row>
    <row r="667" spans="1:2" ht="14.4" x14ac:dyDescent="0.3">
      <c r="A667" s="11"/>
      <c r="B667" s="11"/>
    </row>
    <row r="668" spans="1:2" ht="14.4" x14ac:dyDescent="0.3">
      <c r="A668" s="11"/>
      <c r="B668" s="11"/>
    </row>
    <row r="669" spans="1:2" ht="14.4" x14ac:dyDescent="0.3">
      <c r="A669" s="11"/>
      <c r="B669" s="11"/>
    </row>
    <row r="670" spans="1:2" ht="14.4" x14ac:dyDescent="0.3">
      <c r="A670" s="11"/>
      <c r="B670" s="11"/>
    </row>
    <row r="671" spans="1:2" ht="14.4" x14ac:dyDescent="0.3">
      <c r="A671" s="11"/>
      <c r="B671" s="11"/>
    </row>
    <row r="672" spans="1:2" ht="14.4" x14ac:dyDescent="0.3">
      <c r="A672" s="11"/>
      <c r="B672" s="11"/>
    </row>
    <row r="673" spans="1:2" ht="14.4" x14ac:dyDescent="0.3">
      <c r="A673" s="11"/>
      <c r="B673" s="11"/>
    </row>
    <row r="674" spans="1:2" ht="14.4" x14ac:dyDescent="0.3">
      <c r="A674" s="11"/>
      <c r="B674" s="11"/>
    </row>
    <row r="675" spans="1:2" ht="14.4" x14ac:dyDescent="0.3">
      <c r="A675" s="11"/>
      <c r="B675" s="11"/>
    </row>
    <row r="676" spans="1:2" ht="14.4" x14ac:dyDescent="0.3">
      <c r="A676" s="11"/>
      <c r="B676" s="11"/>
    </row>
    <row r="677" spans="1:2" ht="14.4" x14ac:dyDescent="0.3">
      <c r="A677" s="11"/>
      <c r="B677" s="11"/>
    </row>
    <row r="678" spans="1:2" ht="14.4" x14ac:dyDescent="0.3">
      <c r="A678" s="11"/>
      <c r="B678" s="11"/>
    </row>
    <row r="679" spans="1:2" ht="14.4" x14ac:dyDescent="0.3">
      <c r="A679" s="11"/>
      <c r="B679" s="11"/>
    </row>
    <row r="680" spans="1:2" ht="14.4" x14ac:dyDescent="0.3">
      <c r="A680" s="11"/>
      <c r="B680" s="11"/>
    </row>
    <row r="681" spans="1:2" ht="14.4" x14ac:dyDescent="0.3">
      <c r="A681" s="11"/>
      <c r="B681" s="11"/>
    </row>
    <row r="682" spans="1:2" ht="14.4" x14ac:dyDescent="0.3">
      <c r="A682" s="11"/>
      <c r="B682" s="11"/>
    </row>
    <row r="683" spans="1:2" ht="14.4" x14ac:dyDescent="0.3">
      <c r="A683" s="11"/>
      <c r="B683" s="11"/>
    </row>
    <row r="684" spans="1:2" ht="14.4" x14ac:dyDescent="0.3">
      <c r="A684" s="11"/>
      <c r="B684" s="11"/>
    </row>
    <row r="685" spans="1:2" ht="14.4" x14ac:dyDescent="0.3">
      <c r="A685" s="11"/>
      <c r="B685" s="11"/>
    </row>
    <row r="686" spans="1:2" ht="14.4" x14ac:dyDescent="0.3">
      <c r="A686" s="11"/>
      <c r="B686" s="11"/>
    </row>
    <row r="687" spans="1:2" ht="14.4" x14ac:dyDescent="0.3">
      <c r="A687" s="11"/>
      <c r="B687" s="11"/>
    </row>
    <row r="688" spans="1:2" ht="14.4" x14ac:dyDescent="0.3">
      <c r="A688" s="11"/>
      <c r="B688" s="11"/>
    </row>
    <row r="689" spans="1:2" ht="14.4" x14ac:dyDescent="0.3">
      <c r="A689" s="11"/>
      <c r="B689" s="11"/>
    </row>
    <row r="690" spans="1:2" ht="14.4" x14ac:dyDescent="0.3">
      <c r="A690" s="11"/>
      <c r="B690" s="11"/>
    </row>
    <row r="691" spans="1:2" ht="14.4" x14ac:dyDescent="0.3">
      <c r="A691" s="11"/>
      <c r="B691" s="11"/>
    </row>
    <row r="692" spans="1:2" ht="14.4" x14ac:dyDescent="0.3">
      <c r="A692" s="11"/>
      <c r="B692" s="11"/>
    </row>
    <row r="693" spans="1:2" ht="14.4" x14ac:dyDescent="0.3">
      <c r="A693" s="11"/>
      <c r="B693" s="11"/>
    </row>
    <row r="694" spans="1:2" ht="14.4" x14ac:dyDescent="0.3">
      <c r="A694" s="11"/>
      <c r="B694" s="11"/>
    </row>
    <row r="695" spans="1:2" ht="14.4" x14ac:dyDescent="0.3">
      <c r="A695" s="11"/>
      <c r="B695" s="11"/>
    </row>
    <row r="696" spans="1:2" ht="14.4" x14ac:dyDescent="0.3">
      <c r="A696" s="11"/>
      <c r="B696" s="11"/>
    </row>
    <row r="697" spans="1:2" ht="14.4" x14ac:dyDescent="0.3">
      <c r="A697" s="11"/>
      <c r="B697" s="11"/>
    </row>
    <row r="698" spans="1:2" ht="14.4" x14ac:dyDescent="0.3">
      <c r="A698" s="11"/>
      <c r="B698" s="11"/>
    </row>
    <row r="699" spans="1:2" ht="14.4" x14ac:dyDescent="0.3">
      <c r="A699" s="11"/>
      <c r="B699" s="11"/>
    </row>
    <row r="700" spans="1:2" ht="14.4" x14ac:dyDescent="0.3">
      <c r="A700" s="11"/>
      <c r="B700" s="11"/>
    </row>
    <row r="701" spans="1:2" ht="14.4" x14ac:dyDescent="0.3">
      <c r="A701" s="11"/>
      <c r="B701" s="11"/>
    </row>
    <row r="702" spans="1:2" ht="14.4" x14ac:dyDescent="0.3">
      <c r="A702" s="11"/>
      <c r="B702" s="11"/>
    </row>
    <row r="703" spans="1:2" ht="14.4" x14ac:dyDescent="0.3">
      <c r="A703" s="11"/>
      <c r="B703" s="11"/>
    </row>
    <row r="704" spans="1:2" ht="14.4" x14ac:dyDescent="0.3">
      <c r="A704" s="11"/>
      <c r="B704" s="11"/>
    </row>
    <row r="705" spans="1:2" ht="14.4" x14ac:dyDescent="0.3">
      <c r="A705" s="11"/>
      <c r="B705" s="11"/>
    </row>
    <row r="706" spans="1:2" ht="14.4" x14ac:dyDescent="0.3">
      <c r="A706" s="11"/>
      <c r="B706" s="11"/>
    </row>
    <row r="707" spans="1:2" ht="14.4" x14ac:dyDescent="0.3">
      <c r="A707" s="11"/>
      <c r="B707" s="11"/>
    </row>
    <row r="708" spans="1:2" ht="14.4" x14ac:dyDescent="0.3">
      <c r="A708" s="11"/>
      <c r="B708" s="11"/>
    </row>
    <row r="709" spans="1:2" ht="14.4" x14ac:dyDescent="0.3">
      <c r="A709" s="11"/>
      <c r="B709" s="11"/>
    </row>
    <row r="710" spans="1:2" ht="14.4" x14ac:dyDescent="0.3">
      <c r="A710" s="11"/>
      <c r="B710" s="11"/>
    </row>
    <row r="711" spans="1:2" ht="14.4" x14ac:dyDescent="0.3">
      <c r="A711" s="11"/>
      <c r="B711" s="11"/>
    </row>
    <row r="712" spans="1:2" ht="14.4" x14ac:dyDescent="0.3">
      <c r="A712" s="11"/>
      <c r="B712" s="11"/>
    </row>
    <row r="713" spans="1:2" ht="14.4" x14ac:dyDescent="0.3">
      <c r="A713" s="11"/>
      <c r="B713" s="11"/>
    </row>
    <row r="714" spans="1:2" ht="14.4" x14ac:dyDescent="0.3">
      <c r="A714" s="11"/>
      <c r="B714" s="11"/>
    </row>
    <row r="715" spans="1:2" ht="14.4" x14ac:dyDescent="0.3">
      <c r="A715" s="11"/>
      <c r="B715" s="11"/>
    </row>
    <row r="716" spans="1:2" ht="14.4" x14ac:dyDescent="0.3">
      <c r="A716" s="11"/>
      <c r="B716" s="11"/>
    </row>
    <row r="717" spans="1:2" ht="14.4" x14ac:dyDescent="0.3">
      <c r="A717" s="11"/>
      <c r="B717" s="11"/>
    </row>
    <row r="718" spans="1:2" ht="14.4" x14ac:dyDescent="0.3">
      <c r="A718" s="11"/>
      <c r="B718" s="11"/>
    </row>
    <row r="719" spans="1:2" ht="14.4" x14ac:dyDescent="0.3">
      <c r="A719" s="11"/>
      <c r="B719" s="11"/>
    </row>
    <row r="720" spans="1:2" ht="14.4" x14ac:dyDescent="0.3">
      <c r="A720" s="11"/>
      <c r="B720" s="11"/>
    </row>
    <row r="721" spans="1:2" ht="14.4" x14ac:dyDescent="0.3">
      <c r="A721" s="11"/>
      <c r="B721" s="11"/>
    </row>
    <row r="722" spans="1:2" ht="14.4" x14ac:dyDescent="0.3">
      <c r="A722" s="11"/>
      <c r="B722" s="11"/>
    </row>
    <row r="723" spans="1:2" ht="14.4" x14ac:dyDescent="0.3">
      <c r="A723" s="11"/>
      <c r="B723" s="11"/>
    </row>
    <row r="724" spans="1:2" ht="14.4" x14ac:dyDescent="0.3">
      <c r="A724" s="11"/>
      <c r="B724" s="11"/>
    </row>
    <row r="725" spans="1:2" ht="14.4" x14ac:dyDescent="0.3">
      <c r="A725" s="11"/>
      <c r="B725" s="11"/>
    </row>
    <row r="726" spans="1:2" ht="14.4" x14ac:dyDescent="0.3">
      <c r="A726" s="11"/>
      <c r="B726" s="11"/>
    </row>
    <row r="727" spans="1:2" ht="14.4" x14ac:dyDescent="0.3">
      <c r="A727" s="11"/>
      <c r="B727" s="11"/>
    </row>
    <row r="728" spans="1:2" ht="14.4" x14ac:dyDescent="0.3">
      <c r="A728" s="11"/>
      <c r="B728" s="11"/>
    </row>
    <row r="729" spans="1:2" ht="14.4" x14ac:dyDescent="0.3">
      <c r="A729" s="11"/>
      <c r="B729" s="11"/>
    </row>
    <row r="730" spans="1:2" ht="14.4" x14ac:dyDescent="0.3">
      <c r="A730" s="11"/>
      <c r="B730" s="11"/>
    </row>
    <row r="731" spans="1:2" ht="14.4" x14ac:dyDescent="0.3">
      <c r="A731" s="11"/>
      <c r="B731" s="11"/>
    </row>
    <row r="732" spans="1:2" ht="14.4" x14ac:dyDescent="0.3">
      <c r="A732" s="11"/>
      <c r="B732" s="11"/>
    </row>
    <row r="733" spans="1:2" ht="14.4" x14ac:dyDescent="0.3">
      <c r="A733" s="11"/>
      <c r="B733" s="11"/>
    </row>
    <row r="734" spans="1:2" ht="14.4" x14ac:dyDescent="0.3">
      <c r="A734" s="11"/>
      <c r="B734" s="11"/>
    </row>
    <row r="735" spans="1:2" ht="14.4" x14ac:dyDescent="0.3">
      <c r="A735" s="11"/>
      <c r="B735" s="11"/>
    </row>
    <row r="736" spans="1:2" ht="14.4" x14ac:dyDescent="0.3">
      <c r="A736" s="11"/>
      <c r="B736" s="11"/>
    </row>
    <row r="737" spans="1:2" ht="14.4" x14ac:dyDescent="0.3">
      <c r="A737" s="11"/>
      <c r="B737" s="11"/>
    </row>
    <row r="738" spans="1:2" ht="14.4" x14ac:dyDescent="0.3">
      <c r="A738" s="11"/>
      <c r="B738" s="11"/>
    </row>
    <row r="739" spans="1:2" ht="14.4" x14ac:dyDescent="0.3">
      <c r="A739" s="11"/>
      <c r="B739" s="11"/>
    </row>
    <row r="740" spans="1:2" ht="14.4" x14ac:dyDescent="0.3">
      <c r="A740" s="11"/>
      <c r="B740" s="11"/>
    </row>
    <row r="741" spans="1:2" ht="14.4" x14ac:dyDescent="0.3">
      <c r="A741" s="11"/>
      <c r="B741" s="11"/>
    </row>
    <row r="742" spans="1:2" ht="14.4" x14ac:dyDescent="0.3">
      <c r="A742" s="11"/>
      <c r="B742" s="11"/>
    </row>
    <row r="743" spans="1:2" ht="14.4" x14ac:dyDescent="0.3">
      <c r="A743" s="11"/>
      <c r="B743" s="11"/>
    </row>
    <row r="744" spans="1:2" ht="14.4" x14ac:dyDescent="0.3">
      <c r="A744" s="11"/>
      <c r="B744" s="11"/>
    </row>
    <row r="745" spans="1:2" ht="14.4" x14ac:dyDescent="0.3">
      <c r="A745" s="11"/>
      <c r="B745" s="11"/>
    </row>
    <row r="746" spans="1:2" ht="14.4" x14ac:dyDescent="0.3">
      <c r="A746" s="11"/>
      <c r="B746" s="11"/>
    </row>
    <row r="747" spans="1:2" ht="14.4" x14ac:dyDescent="0.3">
      <c r="A747" s="11"/>
      <c r="B747" s="11"/>
    </row>
    <row r="748" spans="1:2" ht="14.4" x14ac:dyDescent="0.3">
      <c r="A748" s="11"/>
      <c r="B748" s="11"/>
    </row>
    <row r="749" spans="1:2" ht="14.4" x14ac:dyDescent="0.3">
      <c r="A749" s="11"/>
      <c r="B749" s="11"/>
    </row>
    <row r="750" spans="1:2" ht="14.4" x14ac:dyDescent="0.3">
      <c r="A750" s="11"/>
      <c r="B750" s="11"/>
    </row>
    <row r="751" spans="1:2" ht="14.4" x14ac:dyDescent="0.3">
      <c r="A751" s="11"/>
      <c r="B751" s="11"/>
    </row>
    <row r="752" spans="1:2" ht="14.4" x14ac:dyDescent="0.3">
      <c r="A752" s="11"/>
      <c r="B752" s="11"/>
    </row>
    <row r="753" spans="1:2" ht="14.4" x14ac:dyDescent="0.3">
      <c r="A753" s="11"/>
      <c r="B753" s="11"/>
    </row>
    <row r="754" spans="1:2" ht="14.4" x14ac:dyDescent="0.3">
      <c r="A754" s="11"/>
      <c r="B754" s="11"/>
    </row>
    <row r="755" spans="1:2" ht="14.4" x14ac:dyDescent="0.3">
      <c r="A755" s="11"/>
      <c r="B755" s="11"/>
    </row>
    <row r="756" spans="1:2" ht="14.4" x14ac:dyDescent="0.3">
      <c r="A756" s="11"/>
      <c r="B756" s="11"/>
    </row>
    <row r="757" spans="1:2" ht="14.4" x14ac:dyDescent="0.3">
      <c r="A757" s="11"/>
      <c r="B757" s="11"/>
    </row>
    <row r="758" spans="1:2" ht="14.4" x14ac:dyDescent="0.3">
      <c r="A758" s="11"/>
      <c r="B758" s="11"/>
    </row>
    <row r="759" spans="1:2" ht="14.4" x14ac:dyDescent="0.3">
      <c r="A759" s="11"/>
      <c r="B759" s="11"/>
    </row>
    <row r="760" spans="1:2" ht="14.4" x14ac:dyDescent="0.3">
      <c r="A760" s="11"/>
      <c r="B760" s="11"/>
    </row>
    <row r="761" spans="1:2" ht="14.4" x14ac:dyDescent="0.3">
      <c r="A761" s="11"/>
      <c r="B761" s="11"/>
    </row>
    <row r="762" spans="1:2" ht="14.4" x14ac:dyDescent="0.3">
      <c r="A762" s="11"/>
      <c r="B762" s="11"/>
    </row>
    <row r="763" spans="1:2" ht="14.4" x14ac:dyDescent="0.3">
      <c r="A763" s="11"/>
      <c r="B763" s="11"/>
    </row>
    <row r="764" spans="1:2" ht="14.4" x14ac:dyDescent="0.3">
      <c r="A764" s="11"/>
      <c r="B764" s="11"/>
    </row>
    <row r="765" spans="1:2" ht="14.4" x14ac:dyDescent="0.3">
      <c r="A765" s="11"/>
      <c r="B765" s="11"/>
    </row>
    <row r="766" spans="1:2" ht="14.4" x14ac:dyDescent="0.3">
      <c r="A766" s="11"/>
      <c r="B766" s="11"/>
    </row>
    <row r="767" spans="1:2" ht="14.4" x14ac:dyDescent="0.3">
      <c r="A767" s="11"/>
      <c r="B767" s="11"/>
    </row>
    <row r="768" spans="1:2" ht="14.4" x14ac:dyDescent="0.3">
      <c r="A768" s="11"/>
      <c r="B768" s="11"/>
    </row>
    <row r="769" spans="1:2" ht="14.4" x14ac:dyDescent="0.3">
      <c r="A769" s="11"/>
      <c r="B769" s="11"/>
    </row>
    <row r="770" spans="1:2" ht="14.4" x14ac:dyDescent="0.3">
      <c r="A770" s="11"/>
      <c r="B770" s="11"/>
    </row>
    <row r="771" spans="1:2" ht="14.4" x14ac:dyDescent="0.3">
      <c r="A771" s="11"/>
      <c r="B771" s="11"/>
    </row>
    <row r="772" spans="1:2" ht="14.4" x14ac:dyDescent="0.3">
      <c r="A772" s="11"/>
      <c r="B772" s="11"/>
    </row>
    <row r="773" spans="1:2" ht="14.4" x14ac:dyDescent="0.3">
      <c r="A773" s="11"/>
      <c r="B773" s="11"/>
    </row>
    <row r="774" spans="1:2" ht="14.4" x14ac:dyDescent="0.3">
      <c r="A774" s="11"/>
      <c r="B774" s="11"/>
    </row>
    <row r="775" spans="1:2" ht="14.4" x14ac:dyDescent="0.3">
      <c r="A775" s="11"/>
      <c r="B775" s="11"/>
    </row>
    <row r="776" spans="1:2" ht="14.4" x14ac:dyDescent="0.3">
      <c r="A776" s="11"/>
      <c r="B776" s="11"/>
    </row>
    <row r="777" spans="1:2" ht="14.4" x14ac:dyDescent="0.3">
      <c r="A777" s="11"/>
      <c r="B777" s="11"/>
    </row>
    <row r="778" spans="1:2" ht="14.4" x14ac:dyDescent="0.3">
      <c r="A778" s="11"/>
      <c r="B778" s="11"/>
    </row>
    <row r="779" spans="1:2" ht="14.4" x14ac:dyDescent="0.3">
      <c r="A779" s="11"/>
      <c r="B779" s="11"/>
    </row>
    <row r="780" spans="1:2" ht="14.4" x14ac:dyDescent="0.3">
      <c r="A780" s="11"/>
      <c r="B780" s="11"/>
    </row>
    <row r="781" spans="1:2" ht="14.4" x14ac:dyDescent="0.3">
      <c r="A781" s="11"/>
      <c r="B781" s="11"/>
    </row>
    <row r="782" spans="1:2" ht="14.4" x14ac:dyDescent="0.3">
      <c r="A782" s="11"/>
      <c r="B782" s="11"/>
    </row>
    <row r="783" spans="1:2" ht="14.4" x14ac:dyDescent="0.3">
      <c r="A783" s="11"/>
      <c r="B783" s="11"/>
    </row>
    <row r="784" spans="1:2" ht="14.4" x14ac:dyDescent="0.3">
      <c r="A784" s="11"/>
      <c r="B784" s="11"/>
    </row>
    <row r="785" spans="1:2" ht="14.4" x14ac:dyDescent="0.3">
      <c r="A785" s="11"/>
      <c r="B785" s="11"/>
    </row>
    <row r="786" spans="1:2" ht="14.4" x14ac:dyDescent="0.3">
      <c r="A786" s="11"/>
      <c r="B786" s="11"/>
    </row>
    <row r="787" spans="1:2" ht="14.4" x14ac:dyDescent="0.3">
      <c r="A787" s="11"/>
      <c r="B787" s="11"/>
    </row>
    <row r="788" spans="1:2" ht="14.4" x14ac:dyDescent="0.3">
      <c r="A788" s="11"/>
      <c r="B788" s="11"/>
    </row>
    <row r="789" spans="1:2" ht="14.4" x14ac:dyDescent="0.3">
      <c r="A789" s="11"/>
      <c r="B789" s="11"/>
    </row>
    <row r="790" spans="1:2" ht="14.4" x14ac:dyDescent="0.3">
      <c r="A790" s="11"/>
      <c r="B790" s="11"/>
    </row>
    <row r="791" spans="1:2" ht="14.4" x14ac:dyDescent="0.3">
      <c r="A791" s="11"/>
      <c r="B791" s="11"/>
    </row>
    <row r="792" spans="1:2" ht="14.4" x14ac:dyDescent="0.3">
      <c r="A792" s="11"/>
      <c r="B792" s="11"/>
    </row>
    <row r="793" spans="1:2" ht="14.4" x14ac:dyDescent="0.3">
      <c r="A793" s="11"/>
      <c r="B793" s="11"/>
    </row>
    <row r="794" spans="1:2" ht="14.4" x14ac:dyDescent="0.3">
      <c r="A794" s="11"/>
      <c r="B794" s="11"/>
    </row>
    <row r="795" spans="1:2" ht="14.4" x14ac:dyDescent="0.3">
      <c r="A795" s="11"/>
      <c r="B795" s="11"/>
    </row>
    <row r="796" spans="1:2" ht="14.4" x14ac:dyDescent="0.3">
      <c r="A796" s="11"/>
      <c r="B796" s="11"/>
    </row>
    <row r="797" spans="1:2" ht="14.4" x14ac:dyDescent="0.3">
      <c r="A797" s="11"/>
      <c r="B797" s="11"/>
    </row>
    <row r="798" spans="1:2" ht="14.4" x14ac:dyDescent="0.3">
      <c r="A798" s="11"/>
      <c r="B798" s="11"/>
    </row>
    <row r="799" spans="1:2" ht="14.4" x14ac:dyDescent="0.3">
      <c r="A799" s="11"/>
      <c r="B799" s="11"/>
    </row>
    <row r="800" spans="1:2" ht="14.4" x14ac:dyDescent="0.3">
      <c r="A800" s="11"/>
      <c r="B800" s="11"/>
    </row>
    <row r="801" spans="1:2" ht="14.4" x14ac:dyDescent="0.3">
      <c r="A801" s="11"/>
      <c r="B801" s="11"/>
    </row>
    <row r="802" spans="1:2" ht="14.4" x14ac:dyDescent="0.3">
      <c r="A802" s="11"/>
      <c r="B802" s="11"/>
    </row>
    <row r="803" spans="1:2" ht="14.4" x14ac:dyDescent="0.3">
      <c r="A803" s="11"/>
      <c r="B803" s="11"/>
    </row>
    <row r="804" spans="1:2" ht="14.4" x14ac:dyDescent="0.3">
      <c r="A804" s="11"/>
      <c r="B804" s="11"/>
    </row>
    <row r="805" spans="1:2" ht="14.4" x14ac:dyDescent="0.3">
      <c r="A805" s="11"/>
      <c r="B805" s="11"/>
    </row>
    <row r="806" spans="1:2" ht="14.4" x14ac:dyDescent="0.3">
      <c r="A806" s="11"/>
      <c r="B806" s="11"/>
    </row>
    <row r="807" spans="1:2" ht="14.4" x14ac:dyDescent="0.3">
      <c r="A807" s="11"/>
      <c r="B807" s="11"/>
    </row>
    <row r="808" spans="1:2" ht="14.4" x14ac:dyDescent="0.3">
      <c r="A808" s="11"/>
      <c r="B808" s="11"/>
    </row>
    <row r="809" spans="1:2" ht="14.4" x14ac:dyDescent="0.3">
      <c r="A809" s="11"/>
      <c r="B809" s="11"/>
    </row>
    <row r="810" spans="1:2" ht="14.4" x14ac:dyDescent="0.3">
      <c r="A810" s="11"/>
      <c r="B810" s="11"/>
    </row>
    <row r="811" spans="1:2" ht="14.4" x14ac:dyDescent="0.3">
      <c r="A811" s="11"/>
      <c r="B811" s="11"/>
    </row>
    <row r="812" spans="1:2" ht="14.4" x14ac:dyDescent="0.3">
      <c r="A812" s="11"/>
      <c r="B812" s="11"/>
    </row>
    <row r="813" spans="1:2" ht="14.4" x14ac:dyDescent="0.3">
      <c r="A813" s="11"/>
      <c r="B813" s="11"/>
    </row>
    <row r="814" spans="1:2" ht="14.4" x14ac:dyDescent="0.3">
      <c r="A814" s="11"/>
      <c r="B814" s="11"/>
    </row>
    <row r="815" spans="1:2" ht="14.4" x14ac:dyDescent="0.3">
      <c r="A815" s="11"/>
      <c r="B815" s="11"/>
    </row>
    <row r="816" spans="1:2" ht="14.4" x14ac:dyDescent="0.3">
      <c r="A816" s="11"/>
      <c r="B816" s="11"/>
    </row>
    <row r="817" spans="1:2" ht="14.4" x14ac:dyDescent="0.3">
      <c r="A817" s="11"/>
      <c r="B817" s="11"/>
    </row>
    <row r="818" spans="1:2" ht="14.4" x14ac:dyDescent="0.3">
      <c r="A818" s="11"/>
      <c r="B818" s="11"/>
    </row>
    <row r="819" spans="1:2" ht="14.4" x14ac:dyDescent="0.3">
      <c r="A819" s="11"/>
      <c r="B819" s="11"/>
    </row>
    <row r="820" spans="1:2" ht="14.4" x14ac:dyDescent="0.3">
      <c r="A820" s="11"/>
      <c r="B820" s="11"/>
    </row>
    <row r="821" spans="1:2" ht="14.4" x14ac:dyDescent="0.3">
      <c r="A821" s="11"/>
      <c r="B821" s="11"/>
    </row>
    <row r="822" spans="1:2" ht="14.4" x14ac:dyDescent="0.3">
      <c r="A822" s="11"/>
      <c r="B822" s="11"/>
    </row>
    <row r="823" spans="1:2" ht="14.4" x14ac:dyDescent="0.3">
      <c r="A823" s="11"/>
      <c r="B823" s="11"/>
    </row>
    <row r="824" spans="1:2" ht="14.4" x14ac:dyDescent="0.3">
      <c r="A824" s="11"/>
      <c r="B824" s="11"/>
    </row>
    <row r="825" spans="1:2" ht="14.4" x14ac:dyDescent="0.3">
      <c r="A825" s="11"/>
      <c r="B825" s="11"/>
    </row>
    <row r="826" spans="1:2" ht="14.4" x14ac:dyDescent="0.3">
      <c r="A826" s="11"/>
      <c r="B826" s="11"/>
    </row>
    <row r="827" spans="1:2" ht="14.4" x14ac:dyDescent="0.3">
      <c r="A827" s="11"/>
      <c r="B827" s="11"/>
    </row>
    <row r="828" spans="1:2" ht="14.4" x14ac:dyDescent="0.3">
      <c r="A828" s="11"/>
      <c r="B828" s="11"/>
    </row>
    <row r="829" spans="1:2" ht="14.4" x14ac:dyDescent="0.3">
      <c r="A829" s="11"/>
      <c r="B829" s="11"/>
    </row>
    <row r="830" spans="1:2" ht="14.4" x14ac:dyDescent="0.3">
      <c r="A830" s="11"/>
      <c r="B830" s="11"/>
    </row>
    <row r="831" spans="1:2" ht="14.4" x14ac:dyDescent="0.3">
      <c r="A831" s="11"/>
      <c r="B831" s="11"/>
    </row>
    <row r="832" spans="1:2" ht="14.4" x14ac:dyDescent="0.3">
      <c r="A832" s="11"/>
      <c r="B832" s="11"/>
    </row>
    <row r="833" spans="1:2" ht="14.4" x14ac:dyDescent="0.3">
      <c r="A833" s="11"/>
      <c r="B833" s="11"/>
    </row>
    <row r="834" spans="1:2" ht="14.4" x14ac:dyDescent="0.3">
      <c r="A834" s="11"/>
      <c r="B834" s="11"/>
    </row>
    <row r="835" spans="1:2" ht="14.4" x14ac:dyDescent="0.3">
      <c r="A835" s="11"/>
      <c r="B835" s="11"/>
    </row>
    <row r="836" spans="1:2" ht="14.4" x14ac:dyDescent="0.3">
      <c r="A836" s="11"/>
      <c r="B836" s="11"/>
    </row>
    <row r="837" spans="1:2" ht="14.4" x14ac:dyDescent="0.3">
      <c r="A837" s="11"/>
      <c r="B837" s="11"/>
    </row>
    <row r="838" spans="1:2" ht="14.4" x14ac:dyDescent="0.3">
      <c r="A838" s="11"/>
      <c r="B838" s="11"/>
    </row>
    <row r="839" spans="1:2" ht="14.4" x14ac:dyDescent="0.3">
      <c r="A839" s="11"/>
      <c r="B839" s="11"/>
    </row>
    <row r="840" spans="1:2" ht="14.4" x14ac:dyDescent="0.3">
      <c r="A840" s="11"/>
      <c r="B840" s="11"/>
    </row>
    <row r="841" spans="1:2" ht="14.4" x14ac:dyDescent="0.3">
      <c r="A841" s="11"/>
      <c r="B841" s="11"/>
    </row>
    <row r="842" spans="1:2" ht="14.4" x14ac:dyDescent="0.3">
      <c r="A842" s="11"/>
      <c r="B842" s="11"/>
    </row>
    <row r="843" spans="1:2" ht="14.4" x14ac:dyDescent="0.3">
      <c r="A843" s="11"/>
      <c r="B843" s="11"/>
    </row>
    <row r="844" spans="1:2" ht="14.4" x14ac:dyDescent="0.3">
      <c r="A844" s="11"/>
      <c r="B844" s="11"/>
    </row>
    <row r="845" spans="1:2" ht="14.4" x14ac:dyDescent="0.3">
      <c r="A845" s="11"/>
      <c r="B845" s="11"/>
    </row>
    <row r="846" spans="1:2" ht="14.4" x14ac:dyDescent="0.3">
      <c r="A846" s="11"/>
      <c r="B846" s="11"/>
    </row>
    <row r="847" spans="1:2" ht="14.4" x14ac:dyDescent="0.3">
      <c r="A847" s="11"/>
      <c r="B847" s="11"/>
    </row>
    <row r="848" spans="1:2" ht="14.4" x14ac:dyDescent="0.3">
      <c r="A848" s="11"/>
      <c r="B848" s="11"/>
    </row>
    <row r="849" spans="1:2" ht="14.4" x14ac:dyDescent="0.3">
      <c r="A849" s="11"/>
      <c r="B849" s="11"/>
    </row>
    <row r="850" spans="1:2" ht="14.4" x14ac:dyDescent="0.3">
      <c r="A850" s="11"/>
      <c r="B850" s="11"/>
    </row>
    <row r="851" spans="1:2" ht="14.4" x14ac:dyDescent="0.3">
      <c r="A851" s="11"/>
      <c r="B851" s="11"/>
    </row>
    <row r="852" spans="1:2" ht="14.4" x14ac:dyDescent="0.3">
      <c r="A852" s="11"/>
      <c r="B852" s="11"/>
    </row>
    <row r="853" spans="1:2" ht="14.4" x14ac:dyDescent="0.3">
      <c r="A853" s="11"/>
      <c r="B853" s="11"/>
    </row>
    <row r="854" spans="1:2" ht="14.4" x14ac:dyDescent="0.3">
      <c r="A854" s="11"/>
      <c r="B854" s="11"/>
    </row>
    <row r="855" spans="1:2" ht="14.4" x14ac:dyDescent="0.3">
      <c r="A855" s="11"/>
      <c r="B855" s="11"/>
    </row>
    <row r="856" spans="1:2" ht="14.4" x14ac:dyDescent="0.3">
      <c r="A856" s="11"/>
      <c r="B856" s="11"/>
    </row>
    <row r="857" spans="1:2" ht="14.4" x14ac:dyDescent="0.3">
      <c r="A857" s="11"/>
      <c r="B857" s="11"/>
    </row>
    <row r="858" spans="1:2" ht="14.4" x14ac:dyDescent="0.3">
      <c r="A858" s="11"/>
      <c r="B858" s="11"/>
    </row>
    <row r="859" spans="1:2" ht="14.4" x14ac:dyDescent="0.3">
      <c r="A859" s="11"/>
      <c r="B859" s="11"/>
    </row>
    <row r="860" spans="1:2" ht="14.4" x14ac:dyDescent="0.3">
      <c r="A860" s="11"/>
      <c r="B860" s="11"/>
    </row>
    <row r="861" spans="1:2" ht="14.4" x14ac:dyDescent="0.3">
      <c r="A861" s="11"/>
      <c r="B861" s="11"/>
    </row>
    <row r="862" spans="1:2" ht="14.4" x14ac:dyDescent="0.3">
      <c r="A862" s="11"/>
      <c r="B862" s="11"/>
    </row>
    <row r="863" spans="1:2" ht="14.4" x14ac:dyDescent="0.3">
      <c r="A863" s="11"/>
      <c r="B863" s="11"/>
    </row>
    <row r="864" spans="1:2" ht="14.4" x14ac:dyDescent="0.3">
      <c r="A864" s="11"/>
      <c r="B864" s="11"/>
    </row>
    <row r="865" spans="1:2" ht="14.4" x14ac:dyDescent="0.3">
      <c r="A865" s="11"/>
      <c r="B865" s="11"/>
    </row>
    <row r="866" spans="1:2" ht="14.4" x14ac:dyDescent="0.3">
      <c r="A866" s="11"/>
      <c r="B866" s="11"/>
    </row>
    <row r="867" spans="1:2" ht="14.4" x14ac:dyDescent="0.3">
      <c r="A867" s="11"/>
      <c r="B867" s="11"/>
    </row>
    <row r="868" spans="1:2" ht="14.4" x14ac:dyDescent="0.3">
      <c r="A868" s="11"/>
      <c r="B868" s="11"/>
    </row>
    <row r="869" spans="1:2" ht="14.4" x14ac:dyDescent="0.3">
      <c r="A869" s="11"/>
      <c r="B869" s="11"/>
    </row>
    <row r="870" spans="1:2" ht="14.4" x14ac:dyDescent="0.3">
      <c r="A870" s="11"/>
      <c r="B870" s="11"/>
    </row>
    <row r="871" spans="1:2" ht="14.4" x14ac:dyDescent="0.3">
      <c r="A871" s="11"/>
      <c r="B871" s="11"/>
    </row>
    <row r="872" spans="1:2" ht="14.4" x14ac:dyDescent="0.3">
      <c r="A872" s="11"/>
      <c r="B872" s="11"/>
    </row>
    <row r="873" spans="1:2" ht="14.4" x14ac:dyDescent="0.3">
      <c r="A873" s="11"/>
      <c r="B873" s="11"/>
    </row>
    <row r="874" spans="1:2" ht="14.4" x14ac:dyDescent="0.3">
      <c r="A874" s="11"/>
      <c r="B874" s="11"/>
    </row>
    <row r="875" spans="1:2" ht="14.4" x14ac:dyDescent="0.3">
      <c r="A875" s="11"/>
      <c r="B875" s="11"/>
    </row>
    <row r="876" spans="1:2" ht="14.4" x14ac:dyDescent="0.3">
      <c r="A876" s="11"/>
      <c r="B876" s="11"/>
    </row>
    <row r="877" spans="1:2" ht="14.4" x14ac:dyDescent="0.3">
      <c r="A877" s="11"/>
      <c r="B877" s="11"/>
    </row>
    <row r="878" spans="1:2" ht="14.4" x14ac:dyDescent="0.3">
      <c r="A878" s="11"/>
      <c r="B878" s="11"/>
    </row>
    <row r="879" spans="1:2" ht="14.4" x14ac:dyDescent="0.3">
      <c r="A879" s="11"/>
      <c r="B879" s="11"/>
    </row>
    <row r="880" spans="1:2" ht="14.4" x14ac:dyDescent="0.3">
      <c r="A880" s="11"/>
      <c r="B880" s="11"/>
    </row>
    <row r="881" spans="1:2" ht="14.4" x14ac:dyDescent="0.3">
      <c r="A881" s="11"/>
      <c r="B881" s="11"/>
    </row>
    <row r="882" spans="1:2" ht="14.4" x14ac:dyDescent="0.3">
      <c r="A882" s="11"/>
      <c r="B882" s="11"/>
    </row>
    <row r="883" spans="1:2" ht="14.4" x14ac:dyDescent="0.3">
      <c r="A883" s="11"/>
      <c r="B883" s="11"/>
    </row>
    <row r="884" spans="1:2" ht="14.4" x14ac:dyDescent="0.3">
      <c r="A884" s="11"/>
      <c r="B884" s="11"/>
    </row>
    <row r="885" spans="1:2" ht="14.4" x14ac:dyDescent="0.3">
      <c r="A885" s="11"/>
      <c r="B885" s="11"/>
    </row>
    <row r="886" spans="1:2" ht="14.4" x14ac:dyDescent="0.3">
      <c r="A886" s="11"/>
      <c r="B886" s="11"/>
    </row>
    <row r="887" spans="1:2" ht="14.4" x14ac:dyDescent="0.3">
      <c r="A887" s="11"/>
      <c r="B887" s="11"/>
    </row>
    <row r="888" spans="1:2" ht="14.4" x14ac:dyDescent="0.3">
      <c r="A888" s="11"/>
      <c r="B888" s="11"/>
    </row>
    <row r="889" spans="1:2" ht="14.4" x14ac:dyDescent="0.3">
      <c r="A889" s="11"/>
      <c r="B889" s="11"/>
    </row>
    <row r="890" spans="1:2" ht="14.4" x14ac:dyDescent="0.3">
      <c r="A890" s="11"/>
      <c r="B890" s="11"/>
    </row>
    <row r="891" spans="1:2" ht="14.4" x14ac:dyDescent="0.3">
      <c r="A891" s="11"/>
      <c r="B891" s="11"/>
    </row>
    <row r="892" spans="1:2" ht="14.4" x14ac:dyDescent="0.3">
      <c r="A892" s="11"/>
      <c r="B892" s="11"/>
    </row>
    <row r="893" spans="1:2" ht="14.4" x14ac:dyDescent="0.3">
      <c r="A893" s="11"/>
      <c r="B893" s="11"/>
    </row>
    <row r="894" spans="1:2" ht="14.4" x14ac:dyDescent="0.3">
      <c r="A894" s="11"/>
      <c r="B894" s="11"/>
    </row>
    <row r="895" spans="1:2" ht="14.4" x14ac:dyDescent="0.3">
      <c r="A895" s="11"/>
      <c r="B895" s="11"/>
    </row>
    <row r="896" spans="1:2" ht="14.4" x14ac:dyDescent="0.3">
      <c r="A896" s="11"/>
      <c r="B896" s="11"/>
    </row>
    <row r="897" spans="1:2" ht="14.4" x14ac:dyDescent="0.3">
      <c r="A897" s="11"/>
      <c r="B897" s="11"/>
    </row>
    <row r="898" spans="1:2" ht="14.4" x14ac:dyDescent="0.3">
      <c r="A898" s="11"/>
      <c r="B898" s="11"/>
    </row>
    <row r="899" spans="1:2" ht="14.4" x14ac:dyDescent="0.3">
      <c r="A899" s="11"/>
      <c r="B899" s="11"/>
    </row>
    <row r="900" spans="1:2" ht="14.4" x14ac:dyDescent="0.3">
      <c r="A900" s="11"/>
      <c r="B900" s="11"/>
    </row>
    <row r="901" spans="1:2" ht="14.4" x14ac:dyDescent="0.3">
      <c r="A901" s="11"/>
      <c r="B901" s="11"/>
    </row>
    <row r="902" spans="1:2" ht="14.4" x14ac:dyDescent="0.3">
      <c r="A902" s="11"/>
      <c r="B902" s="11"/>
    </row>
    <row r="903" spans="1:2" ht="14.4" x14ac:dyDescent="0.3">
      <c r="A903" s="11"/>
      <c r="B903" s="11"/>
    </row>
    <row r="904" spans="1:2" ht="14.4" x14ac:dyDescent="0.3">
      <c r="A904" s="11"/>
      <c r="B904" s="11"/>
    </row>
    <row r="905" spans="1:2" ht="14.4" x14ac:dyDescent="0.3">
      <c r="A905" s="11"/>
      <c r="B905" s="11"/>
    </row>
    <row r="906" spans="1:2" ht="14.4" x14ac:dyDescent="0.3">
      <c r="A906" s="11"/>
      <c r="B906" s="11"/>
    </row>
    <row r="907" spans="1:2" ht="14.4" x14ac:dyDescent="0.3">
      <c r="A907" s="11"/>
      <c r="B907" s="11"/>
    </row>
    <row r="908" spans="1:2" ht="14.4" x14ac:dyDescent="0.3">
      <c r="A908" s="11"/>
      <c r="B908" s="11"/>
    </row>
    <row r="909" spans="1:2" ht="14.4" x14ac:dyDescent="0.3">
      <c r="A909" s="11"/>
      <c r="B909" s="11"/>
    </row>
    <row r="910" spans="1:2" ht="14.4" x14ac:dyDescent="0.3">
      <c r="A910" s="11"/>
      <c r="B910" s="11"/>
    </row>
    <row r="911" spans="1:2" ht="14.4" x14ac:dyDescent="0.3">
      <c r="A911" s="11"/>
      <c r="B911" s="11"/>
    </row>
    <row r="912" spans="1:2" ht="14.4" x14ac:dyDescent="0.3">
      <c r="A912" s="11"/>
      <c r="B912" s="11"/>
    </row>
    <row r="913" spans="1:2" ht="14.4" x14ac:dyDescent="0.3">
      <c r="A913" s="11"/>
      <c r="B913" s="11"/>
    </row>
    <row r="914" spans="1:2" ht="14.4" x14ac:dyDescent="0.3">
      <c r="A914" s="11"/>
      <c r="B914" s="11"/>
    </row>
    <row r="915" spans="1:2" ht="14.4" x14ac:dyDescent="0.3">
      <c r="A915" s="11"/>
      <c r="B915" s="11"/>
    </row>
    <row r="916" spans="1:2" ht="14.4" x14ac:dyDescent="0.3">
      <c r="A916" s="11"/>
      <c r="B916" s="11"/>
    </row>
    <row r="917" spans="1:2" ht="14.4" x14ac:dyDescent="0.3">
      <c r="A917" s="11"/>
      <c r="B917" s="11"/>
    </row>
    <row r="918" spans="1:2" ht="14.4" x14ac:dyDescent="0.3">
      <c r="A918" s="11"/>
      <c r="B918" s="11"/>
    </row>
    <row r="919" spans="1:2" ht="14.4" x14ac:dyDescent="0.3">
      <c r="A919" s="11"/>
      <c r="B919" s="11"/>
    </row>
    <row r="920" spans="1:2" ht="14.4" x14ac:dyDescent="0.3">
      <c r="A920" s="11"/>
      <c r="B920" s="11"/>
    </row>
    <row r="921" spans="1:2" ht="14.4" x14ac:dyDescent="0.3">
      <c r="A921" s="11"/>
      <c r="B921" s="11"/>
    </row>
    <row r="922" spans="1:2" ht="14.4" x14ac:dyDescent="0.3">
      <c r="A922" s="11"/>
      <c r="B922" s="11"/>
    </row>
    <row r="923" spans="1:2" ht="14.4" x14ac:dyDescent="0.3">
      <c r="A923" s="11"/>
      <c r="B923" s="11"/>
    </row>
    <row r="924" spans="1:2" ht="14.4" x14ac:dyDescent="0.3">
      <c r="A924" s="11"/>
      <c r="B924" s="11"/>
    </row>
    <row r="925" spans="1:2" ht="14.4" x14ac:dyDescent="0.3">
      <c r="A925" s="11"/>
      <c r="B925" s="11"/>
    </row>
    <row r="926" spans="1:2" ht="14.4" x14ac:dyDescent="0.3">
      <c r="A926" s="11"/>
      <c r="B926" s="11"/>
    </row>
    <row r="927" spans="1:2" ht="14.4" x14ac:dyDescent="0.3">
      <c r="A927" s="11"/>
      <c r="B927" s="11"/>
    </row>
    <row r="928" spans="1:2" ht="14.4" x14ac:dyDescent="0.3">
      <c r="A928" s="11"/>
      <c r="B928" s="11"/>
    </row>
    <row r="929" spans="1:2" ht="14.4" x14ac:dyDescent="0.3">
      <c r="A929" s="11"/>
      <c r="B929" s="11"/>
    </row>
    <row r="930" spans="1:2" ht="14.4" x14ac:dyDescent="0.3">
      <c r="A930" s="11"/>
      <c r="B930" s="11"/>
    </row>
    <row r="931" spans="1:2" ht="14.4" x14ac:dyDescent="0.3">
      <c r="A931" s="11"/>
      <c r="B931" s="11"/>
    </row>
    <row r="932" spans="1:2" ht="14.4" x14ac:dyDescent="0.3">
      <c r="A932" s="11"/>
      <c r="B932" s="11"/>
    </row>
    <row r="933" spans="1:2" ht="14.4" x14ac:dyDescent="0.3">
      <c r="A933" s="11"/>
      <c r="B933" s="11"/>
    </row>
    <row r="934" spans="1:2" ht="14.4" x14ac:dyDescent="0.3">
      <c r="A934" s="11"/>
      <c r="B934" s="11"/>
    </row>
    <row r="935" spans="1:2" ht="14.4" x14ac:dyDescent="0.3">
      <c r="A935" s="11"/>
      <c r="B935" s="11"/>
    </row>
    <row r="936" spans="1:2" ht="14.4" x14ac:dyDescent="0.3">
      <c r="A936" s="11"/>
      <c r="B936" s="11"/>
    </row>
    <row r="937" spans="1:2" ht="14.4" x14ac:dyDescent="0.3">
      <c r="A937" s="11"/>
      <c r="B937" s="11"/>
    </row>
    <row r="938" spans="1:2" ht="14.4" x14ac:dyDescent="0.3">
      <c r="A938" s="11"/>
      <c r="B938" s="11"/>
    </row>
    <row r="939" spans="1:2" ht="14.4" x14ac:dyDescent="0.3">
      <c r="A939" s="11"/>
      <c r="B939" s="11"/>
    </row>
    <row r="940" spans="1:2" ht="14.4" x14ac:dyDescent="0.3">
      <c r="A940" s="11"/>
      <c r="B940" s="11"/>
    </row>
    <row r="941" spans="1:2" ht="14.4" x14ac:dyDescent="0.3">
      <c r="A941" s="11"/>
      <c r="B941" s="11"/>
    </row>
    <row r="942" spans="1:2" ht="14.4" x14ac:dyDescent="0.3">
      <c r="A942" s="11"/>
      <c r="B942" s="11"/>
    </row>
    <row r="943" spans="1:2" ht="14.4" x14ac:dyDescent="0.3">
      <c r="A943" s="11"/>
      <c r="B943" s="11"/>
    </row>
    <row r="944" spans="1:2" ht="14.4" x14ac:dyDescent="0.3">
      <c r="A944" s="11"/>
      <c r="B944" s="11"/>
    </row>
    <row r="945" spans="1:2" ht="14.4" x14ac:dyDescent="0.3">
      <c r="A945" s="11"/>
      <c r="B945" s="11"/>
    </row>
    <row r="946" spans="1:2" ht="14.4" x14ac:dyDescent="0.3">
      <c r="A946" s="11"/>
      <c r="B946" s="11"/>
    </row>
    <row r="947" spans="1:2" ht="14.4" x14ac:dyDescent="0.3">
      <c r="A947" s="11"/>
      <c r="B947" s="11"/>
    </row>
    <row r="948" spans="1:2" ht="14.4" x14ac:dyDescent="0.3">
      <c r="A948" s="11"/>
      <c r="B948" s="11"/>
    </row>
    <row r="949" spans="1:2" ht="14.4" x14ac:dyDescent="0.3">
      <c r="A949" s="11"/>
      <c r="B949" s="11"/>
    </row>
    <row r="950" spans="1:2" ht="14.4" x14ac:dyDescent="0.3">
      <c r="A950" s="11"/>
      <c r="B950" s="11"/>
    </row>
    <row r="951" spans="1:2" ht="14.4" x14ac:dyDescent="0.3">
      <c r="A951" s="11"/>
      <c r="B951" s="11"/>
    </row>
    <row r="952" spans="1:2" ht="14.4" x14ac:dyDescent="0.3">
      <c r="A952" s="11"/>
      <c r="B952" s="11"/>
    </row>
    <row r="953" spans="1:2" ht="14.4" x14ac:dyDescent="0.3">
      <c r="A953" s="11"/>
      <c r="B953" s="11"/>
    </row>
    <row r="954" spans="1:2" ht="14.4" x14ac:dyDescent="0.3">
      <c r="A954" s="11"/>
      <c r="B954" s="11"/>
    </row>
    <row r="955" spans="1:2" ht="14.4" x14ac:dyDescent="0.3">
      <c r="A955" s="11"/>
      <c r="B955" s="11"/>
    </row>
    <row r="956" spans="1:2" ht="14.4" x14ac:dyDescent="0.3">
      <c r="A956" s="11"/>
      <c r="B956" s="11"/>
    </row>
    <row r="957" spans="1:2" ht="14.4" x14ac:dyDescent="0.3">
      <c r="A957" s="11"/>
      <c r="B957" s="11"/>
    </row>
    <row r="958" spans="1:2" ht="14.4" x14ac:dyDescent="0.3">
      <c r="A958" s="11"/>
      <c r="B958" s="11"/>
    </row>
    <row r="959" spans="1:2" ht="14.4" x14ac:dyDescent="0.3">
      <c r="A959" s="11"/>
      <c r="B959" s="11"/>
    </row>
    <row r="960" spans="1:2" ht="14.4" x14ac:dyDescent="0.3">
      <c r="A960" s="11"/>
      <c r="B960" s="11"/>
    </row>
    <row r="961" spans="1:2" ht="14.4" x14ac:dyDescent="0.3">
      <c r="A961" s="11"/>
      <c r="B961" s="11"/>
    </row>
    <row r="962" spans="1:2" ht="14.4" x14ac:dyDescent="0.3">
      <c r="A962" s="11"/>
      <c r="B962" s="11"/>
    </row>
    <row r="963" spans="1:2" ht="14.4" x14ac:dyDescent="0.3">
      <c r="A963" s="11"/>
      <c r="B963" s="11"/>
    </row>
    <row r="964" spans="1:2" ht="14.4" x14ac:dyDescent="0.3">
      <c r="A964" s="11"/>
      <c r="B964" s="11"/>
    </row>
    <row r="965" spans="1:2" ht="14.4" x14ac:dyDescent="0.3">
      <c r="A965" s="11"/>
      <c r="B965" s="11"/>
    </row>
    <row r="966" spans="1:2" ht="14.4" x14ac:dyDescent="0.3">
      <c r="A966" s="11"/>
      <c r="B966" s="11"/>
    </row>
    <row r="967" spans="1:2" ht="14.4" x14ac:dyDescent="0.3">
      <c r="A967" s="11"/>
      <c r="B967" s="11"/>
    </row>
    <row r="968" spans="1:2" ht="14.4" x14ac:dyDescent="0.3">
      <c r="A968" s="11"/>
      <c r="B968" s="11"/>
    </row>
    <row r="969" spans="1:2" ht="14.4" x14ac:dyDescent="0.3">
      <c r="A969" s="11"/>
      <c r="B969" s="11"/>
    </row>
    <row r="970" spans="1:2" ht="14.4" x14ac:dyDescent="0.3">
      <c r="A970" s="11"/>
      <c r="B970" s="11"/>
    </row>
    <row r="971" spans="1:2" ht="14.4" x14ac:dyDescent="0.3">
      <c r="A971" s="11"/>
      <c r="B971" s="11"/>
    </row>
    <row r="972" spans="1:2" ht="14.4" x14ac:dyDescent="0.3">
      <c r="A972" s="11"/>
      <c r="B972" s="11"/>
    </row>
    <row r="973" spans="1:2" ht="14.4" x14ac:dyDescent="0.3">
      <c r="A973" s="11"/>
      <c r="B973" s="11"/>
    </row>
    <row r="974" spans="1:2" ht="14.4" x14ac:dyDescent="0.3">
      <c r="A974" s="11"/>
      <c r="B974" s="11"/>
    </row>
    <row r="975" spans="1:2" ht="14.4" x14ac:dyDescent="0.3">
      <c r="A975" s="11"/>
      <c r="B975" s="11"/>
    </row>
    <row r="976" spans="1:2" ht="14.4" x14ac:dyDescent="0.3">
      <c r="A976" s="11"/>
      <c r="B976" s="11"/>
    </row>
    <row r="977" spans="1:2" ht="14.4" x14ac:dyDescent="0.3">
      <c r="A977" s="11"/>
      <c r="B977" s="11"/>
    </row>
    <row r="978" spans="1:2" ht="14.4" x14ac:dyDescent="0.3">
      <c r="A978" s="11"/>
      <c r="B978" s="11"/>
    </row>
    <row r="979" spans="1:2" ht="14.4" x14ac:dyDescent="0.3">
      <c r="A979" s="11"/>
      <c r="B979" s="11"/>
    </row>
    <row r="980" spans="1:2" ht="14.4" x14ac:dyDescent="0.3">
      <c r="A980" s="11"/>
      <c r="B980" s="11"/>
    </row>
    <row r="981" spans="1:2" ht="14.4" x14ac:dyDescent="0.3">
      <c r="A981" s="11"/>
      <c r="B981" s="11"/>
    </row>
    <row r="982" spans="1:2" ht="14.4" x14ac:dyDescent="0.3">
      <c r="A982" s="11"/>
      <c r="B982" s="11"/>
    </row>
    <row r="983" spans="1:2" ht="14.4" x14ac:dyDescent="0.3">
      <c r="A983" s="11"/>
      <c r="B983" s="11"/>
    </row>
    <row r="984" spans="1:2" ht="14.4" x14ac:dyDescent="0.3">
      <c r="A984" s="11"/>
      <c r="B984" s="11"/>
    </row>
    <row r="985" spans="1:2" ht="14.4" x14ac:dyDescent="0.3">
      <c r="A985" s="11"/>
      <c r="B985" s="11"/>
    </row>
    <row r="986" spans="1:2" ht="14.4" x14ac:dyDescent="0.3">
      <c r="A986" s="11"/>
      <c r="B986" s="11"/>
    </row>
    <row r="987" spans="1:2" ht="14.4" x14ac:dyDescent="0.3">
      <c r="A987" s="11"/>
      <c r="B987" s="11"/>
    </row>
    <row r="988" spans="1:2" ht="14.4" x14ac:dyDescent="0.3">
      <c r="A988" s="11"/>
      <c r="B988" s="11"/>
    </row>
    <row r="989" spans="1:2" ht="14.4" x14ac:dyDescent="0.3">
      <c r="A989" s="11"/>
      <c r="B989" s="11"/>
    </row>
    <row r="990" spans="1:2" ht="14.4" x14ac:dyDescent="0.3">
      <c r="A990" s="11"/>
      <c r="B990" s="11"/>
    </row>
    <row r="991" spans="1:2" ht="14.4" x14ac:dyDescent="0.3">
      <c r="A991" s="11"/>
      <c r="B991" s="11"/>
    </row>
    <row r="992" spans="1:2" ht="14.4" x14ac:dyDescent="0.3">
      <c r="A992" s="11"/>
      <c r="B992" s="11"/>
    </row>
    <row r="993" spans="1:2" ht="14.4" x14ac:dyDescent="0.3">
      <c r="A993" s="11"/>
      <c r="B993" s="11"/>
    </row>
    <row r="994" spans="1:2" ht="14.4" x14ac:dyDescent="0.3">
      <c r="A994" s="11"/>
      <c r="B994" s="11"/>
    </row>
    <row r="995" spans="1:2" ht="14.4" x14ac:dyDescent="0.3">
      <c r="A995" s="11"/>
      <c r="B995" s="11"/>
    </row>
    <row r="996" spans="1:2" ht="14.4" x14ac:dyDescent="0.3">
      <c r="A996" s="11"/>
      <c r="B996" s="11"/>
    </row>
    <row r="997" spans="1:2" ht="14.4" x14ac:dyDescent="0.3">
      <c r="A997" s="11"/>
      <c r="B997" s="11"/>
    </row>
    <row r="998" spans="1:2" ht="14.4" x14ac:dyDescent="0.3">
      <c r="A998" s="11"/>
      <c r="B998" s="11"/>
    </row>
    <row r="999" spans="1:2" ht="14.4" x14ac:dyDescent="0.3">
      <c r="A999" s="11"/>
      <c r="B999" s="11"/>
    </row>
    <row r="1000" spans="1:2" ht="14.4" x14ac:dyDescent="0.3">
      <c r="A1000" s="11"/>
      <c r="B100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  <outlinePr summaryBelow="0" summaryRight="0"/>
  </sheetPr>
  <dimension ref="A1:X1000"/>
  <sheetViews>
    <sheetView topLeftCell="A313" workbookViewId="0">
      <selection activeCell="C2" sqref="C2:D344"/>
    </sheetView>
  </sheetViews>
  <sheetFormatPr baseColWidth="10" defaultColWidth="12.6640625" defaultRowHeight="15.75" customHeight="1" x14ac:dyDescent="0.25"/>
  <sheetData>
    <row r="1" spans="1:24" ht="92.4" x14ac:dyDescent="0.25">
      <c r="A1" s="1" t="s">
        <v>0</v>
      </c>
      <c r="B1" s="1" t="s">
        <v>1</v>
      </c>
      <c r="C1" s="2" t="s">
        <v>4</v>
      </c>
      <c r="D1" s="2" t="s">
        <v>7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15.75" customHeight="1" x14ac:dyDescent="0.3">
      <c r="A2" s="5">
        <v>10101</v>
      </c>
      <c r="B2" s="6" t="s">
        <v>9</v>
      </c>
      <c r="C2" s="8">
        <v>46.464646464646464</v>
      </c>
      <c r="D2" s="8">
        <v>48.133198789101918</v>
      </c>
    </row>
    <row r="3" spans="1:24" ht="15.75" customHeight="1" x14ac:dyDescent="0.3">
      <c r="A3" s="5">
        <v>10102</v>
      </c>
      <c r="B3" s="6" t="s">
        <v>11</v>
      </c>
      <c r="C3" s="8">
        <v>58.82352941176471</v>
      </c>
      <c r="D3" s="8">
        <v>45.436507936507937</v>
      </c>
    </row>
    <row r="4" spans="1:24" ht="15.75" customHeight="1" x14ac:dyDescent="0.3">
      <c r="A4" s="5">
        <v>10103</v>
      </c>
      <c r="B4" s="6" t="s">
        <v>13</v>
      </c>
      <c r="C4" s="8">
        <v>42.349957734573117</v>
      </c>
      <c r="D4" s="8">
        <v>41.818181818181813</v>
      </c>
    </row>
    <row r="5" spans="1:24" ht="15.75" customHeight="1" x14ac:dyDescent="0.3">
      <c r="A5" s="5">
        <v>10201</v>
      </c>
      <c r="B5" s="6" t="s">
        <v>15</v>
      </c>
      <c r="C5" s="8">
        <v>45.973819912733042</v>
      </c>
      <c r="D5" s="8">
        <v>46.666666666666664</v>
      </c>
    </row>
    <row r="6" spans="1:24" ht="15.75" customHeight="1" x14ac:dyDescent="0.3">
      <c r="A6" s="5">
        <v>10202</v>
      </c>
      <c r="B6" s="6" t="s">
        <v>17</v>
      </c>
      <c r="C6" s="8">
        <v>45.454545454545453</v>
      </c>
      <c r="D6" s="8">
        <v>44.823066841415468</v>
      </c>
    </row>
    <row r="7" spans="1:24" ht="15.75" customHeight="1" x14ac:dyDescent="0.3">
      <c r="A7" s="5">
        <v>10301</v>
      </c>
      <c r="B7" s="6" t="s">
        <v>19</v>
      </c>
      <c r="C7" s="8">
        <v>43.46724574737604</v>
      </c>
      <c r="D7" s="8">
        <v>30.434782608695656</v>
      </c>
    </row>
    <row r="8" spans="1:24" ht="15.75" customHeight="1" x14ac:dyDescent="0.3">
      <c r="A8" s="5">
        <v>10302</v>
      </c>
      <c r="B8" s="6" t="s">
        <v>21</v>
      </c>
      <c r="C8" s="8">
        <v>45.249824067558059</v>
      </c>
      <c r="D8" s="8">
        <v>48.952380952380956</v>
      </c>
    </row>
    <row r="9" spans="1:24" ht="15.75" customHeight="1" x14ac:dyDescent="0.3">
      <c r="A9" s="5">
        <v>10303</v>
      </c>
      <c r="B9" s="6" t="s">
        <v>23</v>
      </c>
      <c r="C9" s="8">
        <v>45.276497695852534</v>
      </c>
      <c r="D9" s="8">
        <v>51.162790697674424</v>
      </c>
    </row>
    <row r="10" spans="1:24" ht="15.75" customHeight="1" x14ac:dyDescent="0.3">
      <c r="A10" s="5">
        <v>10304</v>
      </c>
      <c r="B10" s="6" t="s">
        <v>25</v>
      </c>
      <c r="C10" s="8">
        <v>0</v>
      </c>
      <c r="D10" s="8">
        <v>48.684210526315788</v>
      </c>
    </row>
    <row r="11" spans="1:24" ht="15.75" customHeight="1" x14ac:dyDescent="0.3">
      <c r="A11" s="5">
        <v>10401</v>
      </c>
      <c r="B11" s="6" t="s">
        <v>27</v>
      </c>
      <c r="C11" s="8">
        <v>46.596765594455306</v>
      </c>
      <c r="D11" s="8">
        <v>40</v>
      </c>
    </row>
    <row r="12" spans="1:24" ht="15.75" customHeight="1" x14ac:dyDescent="0.3">
      <c r="A12" s="5">
        <v>10402</v>
      </c>
      <c r="B12" s="6" t="s">
        <v>29</v>
      </c>
      <c r="C12" s="8">
        <v>47.366541688984107</v>
      </c>
      <c r="D12" s="8">
        <v>0</v>
      </c>
    </row>
    <row r="13" spans="1:24" ht="15.75" customHeight="1" x14ac:dyDescent="0.3">
      <c r="A13" s="5">
        <v>10403</v>
      </c>
      <c r="B13" s="6" t="s">
        <v>31</v>
      </c>
      <c r="C13" s="8">
        <v>41.714813958862955</v>
      </c>
      <c r="D13" s="8">
        <v>40.54054054054054</v>
      </c>
    </row>
    <row r="14" spans="1:24" ht="15.75" customHeight="1" x14ac:dyDescent="0.3">
      <c r="A14" s="5">
        <v>10404</v>
      </c>
      <c r="B14" s="6" t="s">
        <v>32</v>
      </c>
      <c r="C14" s="8">
        <v>44.653179190751445</v>
      </c>
      <c r="D14" s="8">
        <v>44.444444444444443</v>
      </c>
    </row>
    <row r="15" spans="1:24" ht="15.75" customHeight="1" x14ac:dyDescent="0.3">
      <c r="A15" s="5">
        <v>10405</v>
      </c>
      <c r="B15" s="6" t="s">
        <v>33</v>
      </c>
      <c r="C15" s="8">
        <v>53.608247422680414</v>
      </c>
      <c r="D15" s="8">
        <v>46.153846153846153</v>
      </c>
    </row>
    <row r="16" spans="1:24" ht="15.75" customHeight="1" x14ac:dyDescent="0.3">
      <c r="A16" s="5">
        <v>10501</v>
      </c>
      <c r="B16" s="6" t="s">
        <v>34</v>
      </c>
      <c r="C16" s="8">
        <v>45.161290322580641</v>
      </c>
      <c r="D16" s="8">
        <v>50.385208012326657</v>
      </c>
    </row>
    <row r="17" spans="1:4" ht="15.75" customHeight="1" x14ac:dyDescent="0.3">
      <c r="A17" s="5">
        <v>10502</v>
      </c>
      <c r="B17" s="6" t="s">
        <v>35</v>
      </c>
      <c r="C17" s="8">
        <v>49.275362318840585</v>
      </c>
      <c r="D17" s="8">
        <v>60</v>
      </c>
    </row>
    <row r="18" spans="1:4" ht="15.75" customHeight="1" x14ac:dyDescent="0.3">
      <c r="A18" s="5">
        <v>10601</v>
      </c>
      <c r="B18" s="6" t="s">
        <v>36</v>
      </c>
      <c r="C18" s="8">
        <v>49.090909090909093</v>
      </c>
      <c r="D18" s="8">
        <v>43.079096045197737</v>
      </c>
    </row>
    <row r="19" spans="1:4" ht="15.75" customHeight="1" x14ac:dyDescent="0.3">
      <c r="A19" s="5">
        <v>10602</v>
      </c>
      <c r="B19" s="6" t="s">
        <v>37</v>
      </c>
      <c r="C19" s="8">
        <v>42.089552238805972</v>
      </c>
      <c r="D19" s="8">
        <v>0</v>
      </c>
    </row>
    <row r="20" spans="1:4" ht="15.75" customHeight="1" x14ac:dyDescent="0.3">
      <c r="A20" s="5">
        <v>10701</v>
      </c>
      <c r="B20" s="6" t="s">
        <v>38</v>
      </c>
      <c r="C20" s="8">
        <v>45.542846188254842</v>
      </c>
      <c r="D20" s="8">
        <v>66.071428571428569</v>
      </c>
    </row>
    <row r="21" spans="1:4" ht="15.75" customHeight="1" x14ac:dyDescent="0.3">
      <c r="A21" s="5">
        <v>10702</v>
      </c>
      <c r="B21" s="6" t="s">
        <v>39</v>
      </c>
      <c r="C21" s="8">
        <v>36.84210526315789</v>
      </c>
      <c r="D21" s="8">
        <v>38.461538461538467</v>
      </c>
    </row>
    <row r="22" spans="1:4" ht="15.75" customHeight="1" x14ac:dyDescent="0.3">
      <c r="A22" s="5">
        <v>10703</v>
      </c>
      <c r="B22" s="6" t="s">
        <v>40</v>
      </c>
      <c r="C22" s="8">
        <v>42.038834951456309</v>
      </c>
      <c r="D22" s="8">
        <v>53.153153153153156</v>
      </c>
    </row>
    <row r="23" spans="1:4" ht="15.75" customHeight="1" x14ac:dyDescent="0.3">
      <c r="A23" s="5">
        <v>10704</v>
      </c>
      <c r="B23" s="6" t="s">
        <v>41</v>
      </c>
      <c r="C23" s="8">
        <v>0</v>
      </c>
      <c r="D23" s="8">
        <v>47.008547008547005</v>
      </c>
    </row>
    <row r="24" spans="1:4" ht="15.75" customHeight="1" x14ac:dyDescent="0.3">
      <c r="A24" s="5">
        <v>10801</v>
      </c>
      <c r="B24" s="6" t="s">
        <v>42</v>
      </c>
      <c r="C24" s="8">
        <v>41.221774899352354</v>
      </c>
      <c r="D24" s="8">
        <v>59.375</v>
      </c>
    </row>
    <row r="25" spans="1:4" ht="15.75" customHeight="1" x14ac:dyDescent="0.3">
      <c r="A25" s="5">
        <v>10901</v>
      </c>
      <c r="B25" s="6" t="s">
        <v>43</v>
      </c>
      <c r="C25" s="8">
        <v>45.634920634920633</v>
      </c>
      <c r="D25" s="8">
        <v>0</v>
      </c>
    </row>
    <row r="26" spans="1:4" ht="15.75" customHeight="1" x14ac:dyDescent="0.3">
      <c r="A26" s="5">
        <v>10902</v>
      </c>
      <c r="B26" s="6" t="s">
        <v>44</v>
      </c>
      <c r="C26" s="8">
        <v>42.854124854758638</v>
      </c>
      <c r="D26" s="8">
        <v>37.5</v>
      </c>
    </row>
    <row r="27" spans="1:4" ht="15.75" customHeight="1" x14ac:dyDescent="0.3">
      <c r="A27" s="5">
        <v>10903</v>
      </c>
      <c r="B27" s="6" t="s">
        <v>45</v>
      </c>
      <c r="C27" s="8">
        <v>54.029850746268657</v>
      </c>
      <c r="D27" s="8">
        <v>19.512195121951219</v>
      </c>
    </row>
    <row r="28" spans="1:4" ht="15.75" customHeight="1" x14ac:dyDescent="0.3">
      <c r="A28" s="5">
        <v>11001</v>
      </c>
      <c r="B28" s="6" t="s">
        <v>46</v>
      </c>
      <c r="C28" s="8">
        <v>40.596627756160828</v>
      </c>
      <c r="D28" s="8">
        <v>50.24154589371981</v>
      </c>
    </row>
    <row r="29" spans="1:4" ht="15.75" customHeight="1" x14ac:dyDescent="0.3">
      <c r="A29" s="5">
        <v>11002</v>
      </c>
      <c r="B29" s="6" t="s">
        <v>47</v>
      </c>
      <c r="C29" s="8">
        <v>46.428571428571431</v>
      </c>
      <c r="D29" s="8">
        <v>50</v>
      </c>
    </row>
    <row r="30" spans="1:4" ht="15.75" customHeight="1" x14ac:dyDescent="0.3">
      <c r="A30" s="5">
        <v>11003</v>
      </c>
      <c r="B30" s="6" t="s">
        <v>48</v>
      </c>
      <c r="C30" s="8">
        <v>42.857142857142854</v>
      </c>
      <c r="D30" s="8">
        <v>45.945945945945951</v>
      </c>
    </row>
    <row r="31" spans="1:4" ht="14.4" x14ac:dyDescent="0.3">
      <c r="A31" s="5">
        <v>20101</v>
      </c>
      <c r="B31" s="6" t="s">
        <v>49</v>
      </c>
      <c r="C31" s="8">
        <v>33.333333333333329</v>
      </c>
      <c r="D31" s="8">
        <v>41.592920353982301</v>
      </c>
    </row>
    <row r="32" spans="1:4" ht="14.4" x14ac:dyDescent="0.3">
      <c r="A32" s="5">
        <v>20102</v>
      </c>
      <c r="B32" s="6" t="s">
        <v>50</v>
      </c>
      <c r="C32" s="8">
        <v>0</v>
      </c>
      <c r="D32" s="8">
        <v>47.185493010955796</v>
      </c>
    </row>
    <row r="33" spans="1:4" ht="14.4" x14ac:dyDescent="0.3">
      <c r="A33" s="5">
        <v>20103</v>
      </c>
      <c r="B33" s="6" t="s">
        <v>51</v>
      </c>
      <c r="C33" s="8">
        <v>66.666666666666657</v>
      </c>
      <c r="D33" s="8">
        <v>42.313485289687719</v>
      </c>
    </row>
    <row r="34" spans="1:4" ht="14.4" x14ac:dyDescent="0.3">
      <c r="A34" s="5">
        <v>20104</v>
      </c>
      <c r="B34" s="6" t="s">
        <v>52</v>
      </c>
      <c r="C34" s="8">
        <v>0</v>
      </c>
      <c r="D34" s="8">
        <v>44.444444444444443</v>
      </c>
    </row>
    <row r="35" spans="1:4" ht="14.4" x14ac:dyDescent="0.3">
      <c r="A35" s="5">
        <v>20105</v>
      </c>
      <c r="B35" s="6" t="s">
        <v>53</v>
      </c>
      <c r="C35" s="8">
        <v>66.666666666666657</v>
      </c>
      <c r="D35" s="8">
        <v>51.00401606425703</v>
      </c>
    </row>
    <row r="36" spans="1:4" ht="14.4" x14ac:dyDescent="0.3">
      <c r="A36" s="5">
        <v>20201</v>
      </c>
      <c r="B36" s="6" t="s">
        <v>54</v>
      </c>
      <c r="C36" s="8">
        <v>100</v>
      </c>
      <c r="D36" s="8">
        <v>46.545259775040172</v>
      </c>
    </row>
    <row r="37" spans="1:4" ht="14.4" x14ac:dyDescent="0.3">
      <c r="A37" s="5">
        <v>20202</v>
      </c>
      <c r="B37" s="6" t="s">
        <v>55</v>
      </c>
      <c r="C37" s="8">
        <v>0</v>
      </c>
      <c r="D37" s="8">
        <v>42.488532110091739</v>
      </c>
    </row>
    <row r="38" spans="1:4" ht="14.4" x14ac:dyDescent="0.3">
      <c r="A38" s="5">
        <v>20203</v>
      </c>
      <c r="B38" s="6" t="s">
        <v>56</v>
      </c>
      <c r="C38" s="8">
        <v>0</v>
      </c>
      <c r="D38" s="8">
        <v>49.307479224376735</v>
      </c>
    </row>
    <row r="39" spans="1:4" ht="14.4" x14ac:dyDescent="0.3">
      <c r="A39" s="5">
        <v>20204</v>
      </c>
      <c r="B39" s="6" t="s">
        <v>57</v>
      </c>
      <c r="C39" s="8">
        <v>50</v>
      </c>
      <c r="D39" s="8">
        <v>53.214478660183687</v>
      </c>
    </row>
    <row r="40" spans="1:4" ht="14.4" x14ac:dyDescent="0.3">
      <c r="A40" s="5">
        <v>20205</v>
      </c>
      <c r="B40" s="6" t="s">
        <v>58</v>
      </c>
      <c r="C40" s="8">
        <v>0</v>
      </c>
      <c r="D40" s="8">
        <v>50.102429031314024</v>
      </c>
    </row>
    <row r="41" spans="1:4" ht="14.4" x14ac:dyDescent="0.3">
      <c r="A41" s="5">
        <v>20206</v>
      </c>
      <c r="B41" s="6" t="s">
        <v>59</v>
      </c>
      <c r="C41" s="8">
        <v>0</v>
      </c>
      <c r="D41" s="8">
        <v>48.136645962732921</v>
      </c>
    </row>
    <row r="42" spans="1:4" ht="14.4" x14ac:dyDescent="0.3">
      <c r="A42" s="5">
        <v>20301</v>
      </c>
      <c r="B42" s="6" t="s">
        <v>60</v>
      </c>
      <c r="C42" s="8">
        <v>0</v>
      </c>
      <c r="D42" s="8">
        <v>54.154727793696281</v>
      </c>
    </row>
    <row r="43" spans="1:4" ht="14.4" x14ac:dyDescent="0.3">
      <c r="A43" s="5">
        <v>20302</v>
      </c>
      <c r="B43" s="6" t="s">
        <v>61</v>
      </c>
      <c r="C43" s="8">
        <v>0</v>
      </c>
      <c r="D43" s="8">
        <v>50</v>
      </c>
    </row>
    <row r="44" spans="1:4" ht="14.4" x14ac:dyDescent="0.3">
      <c r="A44" s="5">
        <v>20303</v>
      </c>
      <c r="B44" s="6" t="s">
        <v>62</v>
      </c>
      <c r="C44" s="8">
        <v>0</v>
      </c>
      <c r="D44" s="8">
        <v>34.523809523809526</v>
      </c>
    </row>
    <row r="45" spans="1:4" ht="14.4" x14ac:dyDescent="0.3">
      <c r="A45" s="5">
        <v>20304</v>
      </c>
      <c r="B45" s="6" t="s">
        <v>63</v>
      </c>
      <c r="C45" s="8">
        <v>0</v>
      </c>
      <c r="D45" s="8">
        <v>49.747048903878586</v>
      </c>
    </row>
    <row r="46" spans="1:4" ht="14.4" x14ac:dyDescent="0.3">
      <c r="A46" s="5">
        <v>20305</v>
      </c>
      <c r="B46" s="6" t="s">
        <v>64</v>
      </c>
      <c r="C46" s="8">
        <v>0</v>
      </c>
      <c r="D46" s="8">
        <v>0</v>
      </c>
    </row>
    <row r="47" spans="1:4" ht="14.4" x14ac:dyDescent="0.3">
      <c r="A47" s="5">
        <v>20306</v>
      </c>
      <c r="B47" s="6" t="s">
        <v>65</v>
      </c>
      <c r="C47" s="8">
        <v>0</v>
      </c>
      <c r="D47" s="8">
        <v>0</v>
      </c>
    </row>
    <row r="48" spans="1:4" ht="14.4" x14ac:dyDescent="0.3">
      <c r="A48" s="5">
        <v>20307</v>
      </c>
      <c r="B48" s="6" t="s">
        <v>66</v>
      </c>
      <c r="C48" s="8">
        <v>0</v>
      </c>
      <c r="D48" s="8">
        <v>0</v>
      </c>
    </row>
    <row r="49" spans="1:4" ht="14.4" x14ac:dyDescent="0.3">
      <c r="A49" s="5">
        <v>20308</v>
      </c>
      <c r="B49" s="6" t="s">
        <v>67</v>
      </c>
      <c r="C49" s="8">
        <v>0</v>
      </c>
      <c r="D49" s="8">
        <v>46.875</v>
      </c>
    </row>
    <row r="50" spans="1:4" ht="14.4" x14ac:dyDescent="0.3">
      <c r="A50" s="5">
        <v>20401</v>
      </c>
      <c r="B50" s="6" t="s">
        <v>68</v>
      </c>
      <c r="C50" s="8">
        <v>0</v>
      </c>
      <c r="D50" s="8">
        <v>0</v>
      </c>
    </row>
    <row r="51" spans="1:4" ht="14.4" x14ac:dyDescent="0.3">
      <c r="A51" s="5">
        <v>20402</v>
      </c>
      <c r="B51" s="6" t="s">
        <v>69</v>
      </c>
      <c r="C51" s="8">
        <v>0</v>
      </c>
      <c r="D51" s="8">
        <v>42.41810199257008</v>
      </c>
    </row>
    <row r="52" spans="1:4" ht="14.4" x14ac:dyDescent="0.3">
      <c r="A52" s="5">
        <v>20403</v>
      </c>
      <c r="B52" s="6" t="s">
        <v>70</v>
      </c>
      <c r="C52" s="8">
        <v>0</v>
      </c>
      <c r="D52" s="8">
        <v>49.363399294370303</v>
      </c>
    </row>
    <row r="53" spans="1:4" ht="14.4" x14ac:dyDescent="0.3">
      <c r="A53" s="5">
        <v>20404</v>
      </c>
      <c r="B53" s="6" t="s">
        <v>71</v>
      </c>
      <c r="C53" s="8">
        <v>0</v>
      </c>
      <c r="D53" s="8">
        <v>54.54545454545454</v>
      </c>
    </row>
    <row r="54" spans="1:4" ht="14.4" x14ac:dyDescent="0.3">
      <c r="A54" s="5">
        <v>20405</v>
      </c>
      <c r="B54" s="6" t="s">
        <v>72</v>
      </c>
      <c r="C54" s="8">
        <v>0</v>
      </c>
      <c r="D54" s="8">
        <v>0</v>
      </c>
    </row>
    <row r="55" spans="1:4" ht="14.4" x14ac:dyDescent="0.3">
      <c r="A55" s="5">
        <v>20501</v>
      </c>
      <c r="B55" s="6" t="s">
        <v>73</v>
      </c>
      <c r="C55" s="8">
        <v>50</v>
      </c>
      <c r="D55" s="8">
        <v>46.441346984087829</v>
      </c>
    </row>
    <row r="56" spans="1:4" ht="14.4" x14ac:dyDescent="0.3">
      <c r="A56" s="5">
        <v>20502</v>
      </c>
      <c r="B56" s="6" t="s">
        <v>74</v>
      </c>
      <c r="C56" s="8">
        <v>0</v>
      </c>
      <c r="D56" s="8">
        <v>45.273411556342708</v>
      </c>
    </row>
    <row r="57" spans="1:4" ht="14.4" x14ac:dyDescent="0.3">
      <c r="A57" s="5">
        <v>20503</v>
      </c>
      <c r="B57" s="6" t="s">
        <v>75</v>
      </c>
      <c r="C57" s="8">
        <v>0</v>
      </c>
      <c r="D57" s="8">
        <v>30.76923076923077</v>
      </c>
    </row>
    <row r="58" spans="1:4" ht="14.4" x14ac:dyDescent="0.3">
      <c r="A58" s="5">
        <v>20601</v>
      </c>
      <c r="B58" s="6" t="s">
        <v>76</v>
      </c>
      <c r="C58" s="8">
        <v>44.444444444444443</v>
      </c>
      <c r="D58" s="8">
        <v>46.515752138535369</v>
      </c>
    </row>
    <row r="59" spans="1:4" ht="14.4" x14ac:dyDescent="0.3">
      <c r="A59" s="5">
        <v>20602</v>
      </c>
      <c r="B59" s="6" t="s">
        <v>77</v>
      </c>
      <c r="C59" s="8">
        <v>25</v>
      </c>
      <c r="D59" s="8">
        <v>0</v>
      </c>
    </row>
    <row r="60" spans="1:4" ht="14.4" x14ac:dyDescent="0.3">
      <c r="A60" s="5">
        <v>20603</v>
      </c>
      <c r="B60" s="6" t="s">
        <v>78</v>
      </c>
      <c r="C60" s="8">
        <v>50</v>
      </c>
      <c r="D60" s="8">
        <v>42.396313364055302</v>
      </c>
    </row>
    <row r="61" spans="1:4" ht="14.4" x14ac:dyDescent="0.3">
      <c r="A61" s="5">
        <v>20604</v>
      </c>
      <c r="B61" s="6" t="s">
        <v>79</v>
      </c>
      <c r="C61" s="8">
        <v>0</v>
      </c>
      <c r="D61" s="8">
        <v>39.561962850013863</v>
      </c>
    </row>
    <row r="62" spans="1:4" ht="14.4" x14ac:dyDescent="0.3">
      <c r="A62" s="5">
        <v>20605</v>
      </c>
      <c r="B62" s="6" t="s">
        <v>80</v>
      </c>
      <c r="C62" s="8">
        <v>0</v>
      </c>
      <c r="D62" s="8">
        <v>33.589087809036663</v>
      </c>
    </row>
    <row r="63" spans="1:4" ht="14.4" x14ac:dyDescent="0.3">
      <c r="A63" s="5">
        <v>20606</v>
      </c>
      <c r="B63" s="6" t="s">
        <v>81</v>
      </c>
      <c r="C63" s="8">
        <v>0</v>
      </c>
      <c r="D63" s="8">
        <v>0</v>
      </c>
    </row>
    <row r="64" spans="1:4" ht="14.4" x14ac:dyDescent="0.3">
      <c r="A64" s="5">
        <v>20607</v>
      </c>
      <c r="B64" s="6" t="s">
        <v>82</v>
      </c>
      <c r="C64" s="8">
        <v>41.666666666666671</v>
      </c>
      <c r="D64" s="8">
        <v>0</v>
      </c>
    </row>
    <row r="65" spans="1:4" ht="14.4" x14ac:dyDescent="0.3">
      <c r="A65" s="5">
        <v>20608</v>
      </c>
      <c r="B65" s="6" t="s">
        <v>83</v>
      </c>
      <c r="C65" s="8">
        <v>15</v>
      </c>
      <c r="D65" s="8">
        <v>44.148936170212764</v>
      </c>
    </row>
    <row r="66" spans="1:4" ht="14.4" x14ac:dyDescent="0.3">
      <c r="A66" s="5">
        <v>20701</v>
      </c>
      <c r="B66" s="6" t="s">
        <v>84</v>
      </c>
      <c r="C66" s="8">
        <v>0</v>
      </c>
      <c r="D66" s="8">
        <v>20</v>
      </c>
    </row>
    <row r="67" spans="1:4" ht="14.4" x14ac:dyDescent="0.3">
      <c r="A67" s="5">
        <v>20702</v>
      </c>
      <c r="B67" s="6" t="s">
        <v>85</v>
      </c>
      <c r="C67" s="8">
        <v>45.833333333333329</v>
      </c>
      <c r="D67" s="8">
        <v>0</v>
      </c>
    </row>
    <row r="68" spans="1:4" ht="14.4" x14ac:dyDescent="0.3">
      <c r="A68" s="5">
        <v>20801</v>
      </c>
      <c r="B68" s="6" t="s">
        <v>86</v>
      </c>
      <c r="C68" s="8">
        <v>44.661921708185055</v>
      </c>
      <c r="D68" s="8">
        <v>51.089291193617669</v>
      </c>
    </row>
    <row r="69" spans="1:4" ht="14.4" x14ac:dyDescent="0.3">
      <c r="A69" s="5">
        <v>20802</v>
      </c>
      <c r="B69" s="6" t="s">
        <v>87</v>
      </c>
      <c r="C69" s="8">
        <v>45.993662290629246</v>
      </c>
      <c r="D69" s="8">
        <v>54.657428791377981</v>
      </c>
    </row>
    <row r="70" spans="1:4" ht="14.4" x14ac:dyDescent="0.3">
      <c r="A70" s="5">
        <v>20803</v>
      </c>
      <c r="B70" s="6" t="s">
        <v>88</v>
      </c>
      <c r="C70" s="8">
        <v>48.639412732565496</v>
      </c>
      <c r="D70" s="8">
        <v>0</v>
      </c>
    </row>
    <row r="71" spans="1:4" ht="14.4" x14ac:dyDescent="0.3">
      <c r="A71" s="5">
        <v>20804</v>
      </c>
      <c r="B71" s="6" t="s">
        <v>89</v>
      </c>
      <c r="C71" s="8">
        <v>0</v>
      </c>
      <c r="D71" s="8">
        <v>55.096418732782368</v>
      </c>
    </row>
    <row r="72" spans="1:4" ht="14.4" x14ac:dyDescent="0.3">
      <c r="A72" s="5">
        <v>20805</v>
      </c>
      <c r="B72" s="6" t="s">
        <v>90</v>
      </c>
      <c r="C72" s="8">
        <v>100</v>
      </c>
      <c r="D72" s="8">
        <v>71.428571428571431</v>
      </c>
    </row>
    <row r="73" spans="1:4" ht="14.4" x14ac:dyDescent="0.3">
      <c r="A73" s="5">
        <v>20806</v>
      </c>
      <c r="B73" s="6" t="s">
        <v>91</v>
      </c>
      <c r="C73" s="8">
        <v>0</v>
      </c>
      <c r="D73" s="8">
        <v>0</v>
      </c>
    </row>
    <row r="74" spans="1:4" ht="14.4" x14ac:dyDescent="0.3">
      <c r="A74" s="5">
        <v>20807</v>
      </c>
      <c r="B74" s="6" t="s">
        <v>92</v>
      </c>
      <c r="C74" s="8">
        <v>47.521636506687649</v>
      </c>
      <c r="D74" s="8">
        <v>44.444444444444443</v>
      </c>
    </row>
    <row r="75" spans="1:4" ht="14.4" x14ac:dyDescent="0.3">
      <c r="A75" s="5">
        <v>20901</v>
      </c>
      <c r="B75" s="6" t="s">
        <v>93</v>
      </c>
      <c r="C75" s="8">
        <v>60</v>
      </c>
      <c r="D75" s="8">
        <v>48.892988929889299</v>
      </c>
    </row>
    <row r="76" spans="1:4" ht="14.4" x14ac:dyDescent="0.3">
      <c r="A76" s="5">
        <v>20902</v>
      </c>
      <c r="B76" s="6" t="s">
        <v>94</v>
      </c>
      <c r="C76" s="8">
        <v>43.724696356275302</v>
      </c>
      <c r="D76" s="8">
        <v>48.433468485071877</v>
      </c>
    </row>
    <row r="77" spans="1:4" ht="14.4" x14ac:dyDescent="0.3">
      <c r="A77" s="5">
        <v>20903</v>
      </c>
      <c r="B77" s="6" t="s">
        <v>95</v>
      </c>
      <c r="C77" s="8">
        <v>0</v>
      </c>
      <c r="D77" s="8">
        <v>30.919765166340508</v>
      </c>
    </row>
    <row r="78" spans="1:4" ht="14.4" x14ac:dyDescent="0.3">
      <c r="A78" s="5">
        <v>20904</v>
      </c>
      <c r="B78" s="6" t="s">
        <v>96</v>
      </c>
      <c r="C78" s="8">
        <v>0</v>
      </c>
      <c r="D78" s="8">
        <v>50</v>
      </c>
    </row>
    <row r="79" spans="1:4" ht="14.4" x14ac:dyDescent="0.3">
      <c r="A79" s="5">
        <v>20905</v>
      </c>
      <c r="B79" s="6" t="s">
        <v>97</v>
      </c>
      <c r="C79" s="8">
        <v>0</v>
      </c>
      <c r="D79" s="8">
        <v>49.401809162532828</v>
      </c>
    </row>
    <row r="80" spans="1:4" ht="14.4" x14ac:dyDescent="0.3">
      <c r="A80" s="5">
        <v>21001</v>
      </c>
      <c r="B80" s="6" t="s">
        <v>98</v>
      </c>
      <c r="C80" s="8">
        <v>0</v>
      </c>
      <c r="D80" s="8">
        <v>39.829009433962263</v>
      </c>
    </row>
    <row r="81" spans="1:4" ht="14.4" x14ac:dyDescent="0.3">
      <c r="A81" s="5">
        <v>21002</v>
      </c>
      <c r="B81" s="6" t="s">
        <v>99</v>
      </c>
      <c r="C81" s="8">
        <v>35.714285714285715</v>
      </c>
      <c r="D81" s="8">
        <v>45.588235294117645</v>
      </c>
    </row>
    <row r="82" spans="1:4" ht="14.4" x14ac:dyDescent="0.3">
      <c r="A82" s="5">
        <v>21003</v>
      </c>
      <c r="B82" s="6" t="s">
        <v>100</v>
      </c>
      <c r="C82" s="8">
        <v>0</v>
      </c>
      <c r="D82" s="8">
        <v>42.852966968722598</v>
      </c>
    </row>
    <row r="83" spans="1:4" ht="14.4" x14ac:dyDescent="0.3">
      <c r="A83" s="5">
        <v>21004</v>
      </c>
      <c r="B83" s="6" t="s">
        <v>101</v>
      </c>
      <c r="C83" s="8">
        <v>0</v>
      </c>
      <c r="D83" s="8">
        <v>38.324175824175825</v>
      </c>
    </row>
    <row r="84" spans="1:4" ht="14.4" x14ac:dyDescent="0.3">
      <c r="A84" s="5">
        <v>21005</v>
      </c>
      <c r="B84" s="6" t="s">
        <v>102</v>
      </c>
      <c r="C84" s="8">
        <v>0</v>
      </c>
      <c r="D84" s="8">
        <v>0</v>
      </c>
    </row>
    <row r="85" spans="1:4" ht="14.4" x14ac:dyDescent="0.3">
      <c r="A85" s="5">
        <v>21006</v>
      </c>
      <c r="B85" s="6" t="s">
        <v>103</v>
      </c>
      <c r="C85" s="8">
        <v>0</v>
      </c>
      <c r="D85" s="8">
        <v>38.70192307692308</v>
      </c>
    </row>
    <row r="86" spans="1:4" ht="14.4" x14ac:dyDescent="0.3">
      <c r="A86" s="5">
        <v>21101</v>
      </c>
      <c r="B86" s="6" t="s">
        <v>104</v>
      </c>
      <c r="C86" s="8">
        <v>49.333333333333336</v>
      </c>
      <c r="D86" s="8">
        <v>48.608695652173914</v>
      </c>
    </row>
    <row r="87" spans="1:4" ht="14.4" x14ac:dyDescent="0.3">
      <c r="A87" s="5">
        <v>21102</v>
      </c>
      <c r="B87" s="6" t="s">
        <v>105</v>
      </c>
      <c r="C87" s="8">
        <v>25</v>
      </c>
      <c r="D87" s="8">
        <v>42.442748091603058</v>
      </c>
    </row>
    <row r="88" spans="1:4" ht="14.4" x14ac:dyDescent="0.3">
      <c r="A88" s="5">
        <v>21103</v>
      </c>
      <c r="B88" s="6" t="s">
        <v>106</v>
      </c>
      <c r="C88" s="8">
        <v>50</v>
      </c>
      <c r="D88" s="8">
        <v>57.142857142857139</v>
      </c>
    </row>
    <row r="89" spans="1:4" ht="14.4" x14ac:dyDescent="0.3">
      <c r="A89" s="5">
        <v>21104</v>
      </c>
      <c r="B89" s="6" t="s">
        <v>107</v>
      </c>
      <c r="C89" s="8">
        <v>43.078626799557036</v>
      </c>
      <c r="D89" s="8">
        <v>32.214765100671137</v>
      </c>
    </row>
    <row r="90" spans="1:4" ht="14.4" x14ac:dyDescent="0.3">
      <c r="A90" s="5">
        <v>21105</v>
      </c>
      <c r="B90" s="6" t="s">
        <v>108</v>
      </c>
      <c r="C90" s="8">
        <v>36.553030303030305</v>
      </c>
      <c r="D90" s="8">
        <v>44.120247568523432</v>
      </c>
    </row>
    <row r="91" spans="1:4" ht="14.4" x14ac:dyDescent="0.3">
      <c r="A91" s="5">
        <v>21201</v>
      </c>
      <c r="B91" s="6" t="s">
        <v>109</v>
      </c>
      <c r="C91" s="8">
        <v>51.626016260162601</v>
      </c>
      <c r="D91" s="8">
        <v>51.739546760293656</v>
      </c>
    </row>
    <row r="92" spans="1:4" ht="14.4" x14ac:dyDescent="0.3">
      <c r="A92" s="5">
        <v>21202</v>
      </c>
      <c r="B92" s="6" t="s">
        <v>110</v>
      </c>
      <c r="C92" s="8">
        <v>49.080797157423142</v>
      </c>
      <c r="D92" s="8">
        <v>50.993516000836649</v>
      </c>
    </row>
    <row r="93" spans="1:4" ht="14.4" x14ac:dyDescent="0.3">
      <c r="A93" s="5">
        <v>21203</v>
      </c>
      <c r="B93" s="6" t="s">
        <v>111</v>
      </c>
      <c r="C93" s="8">
        <v>0</v>
      </c>
      <c r="D93" s="8">
        <v>52.465413267115999</v>
      </c>
    </row>
    <row r="94" spans="1:4" ht="14.4" x14ac:dyDescent="0.3">
      <c r="A94" s="5">
        <v>21204</v>
      </c>
      <c r="B94" s="6" t="s">
        <v>112</v>
      </c>
      <c r="C94" s="8">
        <v>0</v>
      </c>
      <c r="D94" s="8">
        <v>39.918946301925025</v>
      </c>
    </row>
    <row r="95" spans="1:4" ht="14.4" x14ac:dyDescent="0.3">
      <c r="A95" s="5">
        <v>21301</v>
      </c>
      <c r="B95" s="6" t="s">
        <v>113</v>
      </c>
      <c r="C95" s="8">
        <v>0</v>
      </c>
      <c r="D95" s="8">
        <v>33.146067415730336</v>
      </c>
    </row>
    <row r="96" spans="1:4" ht="14.4" x14ac:dyDescent="0.3">
      <c r="A96" s="5">
        <v>21302</v>
      </c>
      <c r="B96" s="6" t="s">
        <v>114</v>
      </c>
      <c r="C96" s="8">
        <v>0</v>
      </c>
      <c r="D96" s="8">
        <v>0</v>
      </c>
    </row>
    <row r="97" spans="1:4" ht="14.4" x14ac:dyDescent="0.3">
      <c r="A97" s="5">
        <v>21303</v>
      </c>
      <c r="B97" s="6" t="s">
        <v>115</v>
      </c>
      <c r="C97" s="8">
        <v>0</v>
      </c>
      <c r="D97" s="8">
        <v>50</v>
      </c>
    </row>
    <row r="98" spans="1:4" ht="14.4" x14ac:dyDescent="0.3">
      <c r="A98" s="5">
        <v>21304</v>
      </c>
      <c r="B98" s="6" t="s">
        <v>116</v>
      </c>
      <c r="C98" s="8">
        <v>44.162062615101291</v>
      </c>
      <c r="D98" s="8">
        <v>0</v>
      </c>
    </row>
    <row r="99" spans="1:4" ht="14.4" x14ac:dyDescent="0.3">
      <c r="A99" s="5">
        <v>21305</v>
      </c>
      <c r="B99" s="6" t="s">
        <v>117</v>
      </c>
      <c r="C99" s="8">
        <v>0</v>
      </c>
      <c r="D99" s="8">
        <v>0</v>
      </c>
    </row>
    <row r="100" spans="1:4" ht="14.4" x14ac:dyDescent="0.3">
      <c r="A100" s="5">
        <v>21306</v>
      </c>
      <c r="B100" s="6" t="s">
        <v>118</v>
      </c>
      <c r="C100" s="8">
        <v>0</v>
      </c>
      <c r="D100" s="8">
        <v>0</v>
      </c>
    </row>
    <row r="101" spans="1:4" ht="14.4" x14ac:dyDescent="0.3">
      <c r="A101" s="5">
        <v>21307</v>
      </c>
      <c r="B101" s="6" t="s">
        <v>119</v>
      </c>
      <c r="C101" s="8">
        <v>0</v>
      </c>
      <c r="D101" s="8">
        <v>0</v>
      </c>
    </row>
    <row r="102" spans="1:4" ht="14.4" x14ac:dyDescent="0.3">
      <c r="A102" s="5">
        <v>21401</v>
      </c>
      <c r="B102" s="6" t="s">
        <v>120</v>
      </c>
      <c r="C102" s="8">
        <v>48.699763593380609</v>
      </c>
      <c r="D102" s="8">
        <v>47.782258064516128</v>
      </c>
    </row>
    <row r="103" spans="1:4" ht="14.4" x14ac:dyDescent="0.3">
      <c r="A103" s="5">
        <v>21402</v>
      </c>
      <c r="B103" s="6" t="s">
        <v>121</v>
      </c>
      <c r="C103" s="8">
        <v>43.627140139505386</v>
      </c>
      <c r="D103" s="8">
        <v>48.652482269503544</v>
      </c>
    </row>
    <row r="104" spans="1:4" ht="14.4" x14ac:dyDescent="0.3">
      <c r="A104" s="5">
        <v>21501</v>
      </c>
      <c r="B104" s="6" t="s">
        <v>122</v>
      </c>
      <c r="C104" s="8">
        <v>40.350877192982452</v>
      </c>
      <c r="D104" s="8">
        <v>40</v>
      </c>
    </row>
    <row r="105" spans="1:4" ht="14.4" x14ac:dyDescent="0.3">
      <c r="A105" s="5">
        <v>21502</v>
      </c>
      <c r="B105" s="6" t="s">
        <v>123</v>
      </c>
      <c r="C105" s="8">
        <v>39.534883720930232</v>
      </c>
      <c r="D105" s="8">
        <v>0</v>
      </c>
    </row>
    <row r="106" spans="1:4" ht="14.4" x14ac:dyDescent="0.3">
      <c r="A106" s="5">
        <v>21601</v>
      </c>
      <c r="B106" s="6" t="s">
        <v>124</v>
      </c>
      <c r="C106" s="8">
        <v>0</v>
      </c>
      <c r="D106" s="8">
        <v>44.731610337972164</v>
      </c>
    </row>
    <row r="107" spans="1:4" ht="14.4" x14ac:dyDescent="0.3">
      <c r="A107" s="5">
        <v>21602</v>
      </c>
      <c r="B107" s="6" t="s">
        <v>125</v>
      </c>
      <c r="C107" s="8">
        <v>0</v>
      </c>
      <c r="D107" s="8">
        <v>0</v>
      </c>
    </row>
    <row r="108" spans="1:4" ht="14.4" x14ac:dyDescent="0.3">
      <c r="A108" s="5">
        <v>21701</v>
      </c>
      <c r="B108" s="6" t="s">
        <v>126</v>
      </c>
      <c r="C108" s="8">
        <v>0</v>
      </c>
      <c r="D108" s="8">
        <v>48.962728551336149</v>
      </c>
    </row>
    <row r="109" spans="1:4" ht="14.4" x14ac:dyDescent="0.3">
      <c r="A109" s="5">
        <v>21702</v>
      </c>
      <c r="B109" s="6" t="s">
        <v>127</v>
      </c>
      <c r="C109" s="8">
        <v>0</v>
      </c>
      <c r="D109" s="8">
        <v>52.306678383128293</v>
      </c>
    </row>
    <row r="110" spans="1:4" ht="14.4" x14ac:dyDescent="0.3">
      <c r="A110" s="5">
        <v>21703</v>
      </c>
      <c r="B110" s="6" t="s">
        <v>128</v>
      </c>
      <c r="C110" s="8">
        <v>0</v>
      </c>
      <c r="D110" s="8">
        <v>53.038674033149171</v>
      </c>
    </row>
    <row r="111" spans="1:4" ht="14.4" x14ac:dyDescent="0.3">
      <c r="A111" s="5">
        <v>21801</v>
      </c>
      <c r="B111" s="6" t="s">
        <v>129</v>
      </c>
      <c r="C111" s="8">
        <v>0</v>
      </c>
      <c r="D111" s="8">
        <v>0</v>
      </c>
    </row>
    <row r="112" spans="1:4" ht="14.4" x14ac:dyDescent="0.3">
      <c r="A112" s="5">
        <v>21802</v>
      </c>
      <c r="B112" s="6" t="s">
        <v>130</v>
      </c>
      <c r="C112" s="8">
        <v>0</v>
      </c>
      <c r="D112" s="8">
        <v>35.491977575874735</v>
      </c>
    </row>
    <row r="113" spans="1:4" ht="14.4" x14ac:dyDescent="0.3">
      <c r="A113" s="5">
        <v>21803</v>
      </c>
      <c r="B113" s="6" t="s">
        <v>131</v>
      </c>
      <c r="C113" s="8">
        <v>0</v>
      </c>
      <c r="D113" s="8">
        <v>0</v>
      </c>
    </row>
    <row r="114" spans="1:4" ht="14.4" x14ac:dyDescent="0.3">
      <c r="A114" s="5">
        <v>21901</v>
      </c>
      <c r="B114" s="6" t="s">
        <v>132</v>
      </c>
      <c r="C114" s="8">
        <v>0</v>
      </c>
      <c r="D114" s="8">
        <v>66.666666666666657</v>
      </c>
    </row>
    <row r="115" spans="1:4" ht="14.4" x14ac:dyDescent="0.3">
      <c r="A115" s="5">
        <v>21902</v>
      </c>
      <c r="B115" s="6" t="s">
        <v>133</v>
      </c>
      <c r="C115" s="8">
        <v>0</v>
      </c>
      <c r="D115" s="8">
        <v>0</v>
      </c>
    </row>
    <row r="116" spans="1:4" ht="14.4" x14ac:dyDescent="0.3">
      <c r="A116" s="5">
        <v>22001</v>
      </c>
      <c r="B116" s="6" t="s">
        <v>134</v>
      </c>
      <c r="C116" s="8">
        <v>44.613835754350639</v>
      </c>
      <c r="D116" s="8">
        <v>43.01075268817204</v>
      </c>
    </row>
    <row r="117" spans="1:4" ht="14.4" x14ac:dyDescent="0.3">
      <c r="A117" s="5">
        <v>22002</v>
      </c>
      <c r="B117" s="6" t="s">
        <v>135</v>
      </c>
      <c r="C117" s="8">
        <v>42.986425339366519</v>
      </c>
      <c r="D117" s="8">
        <v>36.363636363636367</v>
      </c>
    </row>
    <row r="118" spans="1:4" ht="14.4" x14ac:dyDescent="0.3">
      <c r="A118" s="5">
        <v>30101</v>
      </c>
      <c r="B118" s="6" t="s">
        <v>14</v>
      </c>
      <c r="C118" s="8">
        <v>53.626698963800301</v>
      </c>
      <c r="D118" s="8">
        <v>52.560495216657287</v>
      </c>
    </row>
    <row r="119" spans="1:4" ht="14.4" x14ac:dyDescent="0.3">
      <c r="A119" s="5">
        <v>30201</v>
      </c>
      <c r="B119" s="6" t="s">
        <v>136</v>
      </c>
      <c r="C119" s="8">
        <v>42.122107336287549</v>
      </c>
      <c r="D119" s="8">
        <v>48.275862068965516</v>
      </c>
    </row>
    <row r="120" spans="1:4" ht="14.4" x14ac:dyDescent="0.3">
      <c r="A120" s="5">
        <v>30202</v>
      </c>
      <c r="B120" s="6" t="s">
        <v>137</v>
      </c>
      <c r="C120" s="8">
        <v>48.499515972894478</v>
      </c>
      <c r="D120" s="8">
        <v>33.333333333333329</v>
      </c>
    </row>
    <row r="121" spans="1:4" ht="14.4" x14ac:dyDescent="0.3">
      <c r="A121" s="5">
        <v>30203</v>
      </c>
      <c r="B121" s="6" t="s">
        <v>138</v>
      </c>
      <c r="C121" s="8">
        <v>41.762452107279699</v>
      </c>
      <c r="D121" s="8">
        <v>50</v>
      </c>
    </row>
    <row r="122" spans="1:4" ht="14.4" x14ac:dyDescent="0.3">
      <c r="A122" s="5">
        <v>30301</v>
      </c>
      <c r="B122" s="6" t="s">
        <v>139</v>
      </c>
      <c r="C122" s="8">
        <v>60</v>
      </c>
      <c r="D122" s="8">
        <v>35.7421875</v>
      </c>
    </row>
    <row r="123" spans="1:4" ht="14.4" x14ac:dyDescent="0.3">
      <c r="A123" s="5">
        <v>30302</v>
      </c>
      <c r="B123" s="6" t="s">
        <v>140</v>
      </c>
      <c r="C123" s="8">
        <v>0</v>
      </c>
      <c r="D123" s="8">
        <v>38.558909444985396</v>
      </c>
    </row>
    <row r="124" spans="1:4" ht="14.4" x14ac:dyDescent="0.3">
      <c r="A124" s="5">
        <v>30303</v>
      </c>
      <c r="B124" s="6" t="s">
        <v>141</v>
      </c>
      <c r="C124" s="8">
        <v>0</v>
      </c>
      <c r="D124" s="8">
        <v>0</v>
      </c>
    </row>
    <row r="125" spans="1:4" ht="14.4" x14ac:dyDescent="0.3">
      <c r="A125" s="5">
        <v>30401</v>
      </c>
      <c r="B125" s="6" t="s">
        <v>142</v>
      </c>
      <c r="C125" s="8">
        <v>35.294117647058826</v>
      </c>
      <c r="D125" s="8">
        <v>53.181461115475258</v>
      </c>
    </row>
    <row r="126" spans="1:4" ht="14.4" x14ac:dyDescent="0.3">
      <c r="A126" s="5">
        <v>30402</v>
      </c>
      <c r="B126" s="6" t="s">
        <v>143</v>
      </c>
      <c r="C126" s="8">
        <v>43.801612268973656</v>
      </c>
      <c r="D126" s="8">
        <v>44.859813084112147</v>
      </c>
    </row>
    <row r="127" spans="1:4" ht="14.4" x14ac:dyDescent="0.3">
      <c r="A127" s="5">
        <v>30403</v>
      </c>
      <c r="B127" s="6" t="s">
        <v>144</v>
      </c>
      <c r="C127" s="8">
        <v>51.211072664359861</v>
      </c>
      <c r="D127" s="8">
        <v>55.346153846153847</v>
      </c>
    </row>
    <row r="128" spans="1:4" ht="14.4" x14ac:dyDescent="0.3">
      <c r="A128" s="5">
        <v>30404</v>
      </c>
      <c r="B128" s="6" t="s">
        <v>145</v>
      </c>
      <c r="C128" s="8">
        <v>48.122233328573465</v>
      </c>
      <c r="D128" s="8">
        <v>58.1151832460733</v>
      </c>
    </row>
    <row r="129" spans="1:4" ht="14.4" x14ac:dyDescent="0.3">
      <c r="A129" s="5">
        <v>30501</v>
      </c>
      <c r="B129" s="6" t="s">
        <v>146</v>
      </c>
      <c r="C129" s="8">
        <v>55.386921491474617</v>
      </c>
      <c r="D129" s="8">
        <v>54.320987654320987</v>
      </c>
    </row>
    <row r="130" spans="1:4" ht="14.4" x14ac:dyDescent="0.3">
      <c r="A130" s="5">
        <v>30502</v>
      </c>
      <c r="B130" s="6" t="s">
        <v>147</v>
      </c>
      <c r="C130" s="8">
        <v>0</v>
      </c>
      <c r="D130" s="8">
        <v>49.910394265232974</v>
      </c>
    </row>
    <row r="131" spans="1:4" ht="14.4" x14ac:dyDescent="0.3">
      <c r="A131" s="5">
        <v>30601</v>
      </c>
      <c r="B131" s="6" t="s">
        <v>148</v>
      </c>
      <c r="C131" s="8">
        <v>0</v>
      </c>
      <c r="D131" s="8">
        <v>43.816254416961129</v>
      </c>
    </row>
    <row r="132" spans="1:4" ht="14.4" x14ac:dyDescent="0.3">
      <c r="A132" s="5">
        <v>30602</v>
      </c>
      <c r="B132" s="6" t="s">
        <v>149</v>
      </c>
      <c r="C132" s="8">
        <v>0</v>
      </c>
      <c r="D132" s="8">
        <v>40.842490842490839</v>
      </c>
    </row>
    <row r="133" spans="1:4" ht="14.4" x14ac:dyDescent="0.3">
      <c r="A133" s="5">
        <v>30701</v>
      </c>
      <c r="B133" s="6" t="s">
        <v>150</v>
      </c>
      <c r="C133" s="8">
        <v>46.050995024875625</v>
      </c>
      <c r="D133" s="8">
        <v>49.019607843137251</v>
      </c>
    </row>
    <row r="134" spans="1:4" ht="14.4" x14ac:dyDescent="0.3">
      <c r="A134" s="5">
        <v>30702</v>
      </c>
      <c r="B134" s="6" t="s">
        <v>151</v>
      </c>
      <c r="C134" s="8">
        <v>52.927536231884055</v>
      </c>
      <c r="D134" s="8">
        <v>51.8913676042677</v>
      </c>
    </row>
    <row r="135" spans="1:4" ht="14.4" x14ac:dyDescent="0.3">
      <c r="A135" s="5">
        <v>30703</v>
      </c>
      <c r="B135" s="6" t="s">
        <v>152</v>
      </c>
      <c r="C135" s="8">
        <v>49.147727272727273</v>
      </c>
      <c r="D135" s="8">
        <v>60</v>
      </c>
    </row>
    <row r="136" spans="1:4" ht="14.4" x14ac:dyDescent="0.3">
      <c r="A136" s="5">
        <v>30801</v>
      </c>
      <c r="B136" s="6" t="s">
        <v>153</v>
      </c>
      <c r="C136" s="8">
        <v>50.52531041069723</v>
      </c>
      <c r="D136" s="8">
        <v>51.710654936461388</v>
      </c>
    </row>
    <row r="137" spans="1:4" ht="14.4" x14ac:dyDescent="0.3">
      <c r="A137" s="5">
        <v>30802</v>
      </c>
      <c r="B137" s="6" t="s">
        <v>154</v>
      </c>
      <c r="C137" s="8">
        <v>54.046474358974365</v>
      </c>
      <c r="D137" s="8">
        <v>53.658536585365859</v>
      </c>
    </row>
    <row r="138" spans="1:4" ht="14.4" x14ac:dyDescent="0.3">
      <c r="A138" s="5">
        <v>30803</v>
      </c>
      <c r="B138" s="6" t="s">
        <v>155</v>
      </c>
      <c r="C138" s="8">
        <v>50.925925925925931</v>
      </c>
      <c r="D138" s="8">
        <v>53.469852104664398</v>
      </c>
    </row>
    <row r="139" spans="1:4" ht="14.4" x14ac:dyDescent="0.3">
      <c r="A139" s="5">
        <v>30901</v>
      </c>
      <c r="B139" s="6" t="s">
        <v>156</v>
      </c>
      <c r="C139" s="8">
        <v>52.818717759764191</v>
      </c>
      <c r="D139" s="8">
        <v>50.244798041615667</v>
      </c>
    </row>
    <row r="140" spans="1:4" ht="14.4" x14ac:dyDescent="0.3">
      <c r="A140" s="5">
        <v>30902</v>
      </c>
      <c r="B140" s="6" t="s">
        <v>157</v>
      </c>
      <c r="C140" s="8">
        <v>49.978831498729889</v>
      </c>
      <c r="D140" s="8">
        <v>51.138716356107658</v>
      </c>
    </row>
    <row r="141" spans="1:4" ht="14.4" x14ac:dyDescent="0.3">
      <c r="A141" s="5">
        <v>30903</v>
      </c>
      <c r="B141" s="6" t="s">
        <v>158</v>
      </c>
      <c r="C141" s="8">
        <v>49.047619047619044</v>
      </c>
      <c r="D141" s="8">
        <v>57.142857142857139</v>
      </c>
    </row>
    <row r="142" spans="1:4" ht="14.4" x14ac:dyDescent="0.3">
      <c r="A142" s="5">
        <v>30904</v>
      </c>
      <c r="B142" s="6" t="s">
        <v>159</v>
      </c>
      <c r="C142" s="8">
        <v>49.982578397212549</v>
      </c>
      <c r="D142" s="8">
        <v>49.079754601226995</v>
      </c>
    </row>
    <row r="143" spans="1:4" ht="14.4" x14ac:dyDescent="0.3">
      <c r="A143" s="5">
        <v>30905</v>
      </c>
      <c r="B143" s="6" t="s">
        <v>160</v>
      </c>
      <c r="C143" s="8">
        <v>49.427917620137301</v>
      </c>
      <c r="D143" s="8">
        <v>37.5</v>
      </c>
    </row>
    <row r="144" spans="1:4" ht="14.4" x14ac:dyDescent="0.3">
      <c r="A144" s="5">
        <v>31001</v>
      </c>
      <c r="B144" s="6" t="s">
        <v>161</v>
      </c>
      <c r="C144" s="8">
        <v>51.238257899231421</v>
      </c>
      <c r="D144" s="8">
        <v>49.309423034083316</v>
      </c>
    </row>
    <row r="145" spans="1:4" ht="14.4" x14ac:dyDescent="0.3">
      <c r="A145" s="5">
        <v>31002</v>
      </c>
      <c r="B145" s="6" t="s">
        <v>162</v>
      </c>
      <c r="C145" s="8">
        <v>43.050193050193045</v>
      </c>
      <c r="D145" s="8">
        <v>43.213296398891963</v>
      </c>
    </row>
    <row r="146" spans="1:4" ht="14.4" x14ac:dyDescent="0.3">
      <c r="A146" s="5">
        <v>31003</v>
      </c>
      <c r="B146" s="6" t="s">
        <v>163</v>
      </c>
      <c r="C146" s="8">
        <v>37.750358430725115</v>
      </c>
      <c r="D146" s="8">
        <v>39.371534195933457</v>
      </c>
    </row>
    <row r="147" spans="1:4" ht="14.4" x14ac:dyDescent="0.3">
      <c r="A147" s="5">
        <v>31101</v>
      </c>
      <c r="B147" s="6" t="s">
        <v>164</v>
      </c>
      <c r="C147" s="8">
        <v>42.717391304347821</v>
      </c>
      <c r="D147" s="8">
        <v>20.927152317880797</v>
      </c>
    </row>
    <row r="148" spans="1:4" ht="14.4" x14ac:dyDescent="0.3">
      <c r="A148" s="5">
        <v>31201</v>
      </c>
      <c r="B148" s="6" t="s">
        <v>165</v>
      </c>
      <c r="C148" s="8">
        <v>46.906558328496807</v>
      </c>
      <c r="D148" s="8">
        <v>44.711538461538467</v>
      </c>
    </row>
    <row r="149" spans="1:4" ht="14.4" x14ac:dyDescent="0.3">
      <c r="A149" s="5">
        <v>31202</v>
      </c>
      <c r="B149" s="6" t="s">
        <v>166</v>
      </c>
      <c r="C149" s="8">
        <v>46.088932164881527</v>
      </c>
      <c r="D149" s="8">
        <v>42.535211267605632</v>
      </c>
    </row>
    <row r="150" spans="1:4" ht="14.4" x14ac:dyDescent="0.3">
      <c r="A150" s="5">
        <v>31203</v>
      </c>
      <c r="B150" s="6" t="s">
        <v>167</v>
      </c>
      <c r="C150" s="8">
        <v>48.877229800629593</v>
      </c>
      <c r="D150" s="8">
        <v>47.65625</v>
      </c>
    </row>
    <row r="151" spans="1:4" ht="14.4" x14ac:dyDescent="0.3">
      <c r="A151" s="5">
        <v>31204</v>
      </c>
      <c r="B151" s="6" t="s">
        <v>168</v>
      </c>
      <c r="C151" s="8">
        <v>34.722222222222221</v>
      </c>
      <c r="D151" s="8">
        <v>36.805555555555557</v>
      </c>
    </row>
    <row r="152" spans="1:4" ht="14.4" x14ac:dyDescent="0.3">
      <c r="A152" s="5">
        <v>31205</v>
      </c>
      <c r="B152" s="6" t="s">
        <v>169</v>
      </c>
      <c r="C152" s="8">
        <v>36.332882273342356</v>
      </c>
      <c r="D152" s="8">
        <v>38.502673796791441</v>
      </c>
    </row>
    <row r="153" spans="1:4" ht="14.4" x14ac:dyDescent="0.3">
      <c r="A153" s="5">
        <v>31206</v>
      </c>
      <c r="B153" s="6" t="s">
        <v>170</v>
      </c>
      <c r="C153" s="8">
        <v>36.86548223350254</v>
      </c>
      <c r="D153" s="8">
        <v>37.878787878787875</v>
      </c>
    </row>
    <row r="154" spans="1:4" ht="14.4" x14ac:dyDescent="0.3">
      <c r="A154" s="5">
        <v>31301</v>
      </c>
      <c r="B154" s="6" t="s">
        <v>171</v>
      </c>
      <c r="C154" s="8">
        <v>47.666805961833127</v>
      </c>
      <c r="D154" s="8">
        <v>50.916496945010181</v>
      </c>
    </row>
    <row r="155" spans="1:4" ht="14.4" x14ac:dyDescent="0.3">
      <c r="A155" s="5">
        <v>31302</v>
      </c>
      <c r="B155" s="6" t="s">
        <v>172</v>
      </c>
      <c r="C155" s="8">
        <v>46.831498026179098</v>
      </c>
      <c r="D155" s="8">
        <v>0</v>
      </c>
    </row>
    <row r="156" spans="1:4" ht="14.4" x14ac:dyDescent="0.3">
      <c r="A156" s="5">
        <v>31303</v>
      </c>
      <c r="B156" s="6" t="s">
        <v>173</v>
      </c>
      <c r="C156" s="8">
        <v>0</v>
      </c>
      <c r="D156" s="8">
        <v>0</v>
      </c>
    </row>
    <row r="157" spans="1:4" ht="14.4" x14ac:dyDescent="0.3">
      <c r="A157" s="5">
        <v>31304</v>
      </c>
      <c r="B157" s="6" t="s">
        <v>174</v>
      </c>
      <c r="C157" s="8">
        <v>0</v>
      </c>
      <c r="D157" s="8">
        <v>0</v>
      </c>
    </row>
    <row r="158" spans="1:4" ht="14.4" x14ac:dyDescent="0.3">
      <c r="A158" s="5">
        <v>31401</v>
      </c>
      <c r="B158" s="6" t="s">
        <v>175</v>
      </c>
      <c r="C158" s="8">
        <v>52.691283713392757</v>
      </c>
      <c r="D158" s="8">
        <v>50.13865779256794</v>
      </c>
    </row>
    <row r="159" spans="1:4" ht="14.4" x14ac:dyDescent="0.3">
      <c r="A159" s="5">
        <v>31402</v>
      </c>
      <c r="B159" s="6" t="s">
        <v>176</v>
      </c>
      <c r="C159" s="8">
        <v>54.387656702025076</v>
      </c>
      <c r="D159" s="8">
        <v>50.925925925925931</v>
      </c>
    </row>
    <row r="160" spans="1:4" ht="14.4" x14ac:dyDescent="0.3">
      <c r="A160" s="5">
        <v>31403</v>
      </c>
      <c r="B160" s="6" t="s">
        <v>177</v>
      </c>
      <c r="C160" s="8">
        <v>51.241623965313366</v>
      </c>
      <c r="D160" s="8">
        <v>53.733426378227499</v>
      </c>
    </row>
    <row r="161" spans="1:4" ht="14.4" x14ac:dyDescent="0.3">
      <c r="A161" s="5">
        <v>31404</v>
      </c>
      <c r="B161" s="6" t="s">
        <v>178</v>
      </c>
      <c r="C161" s="8">
        <v>0</v>
      </c>
      <c r="D161" s="8">
        <v>0</v>
      </c>
    </row>
    <row r="162" spans="1:4" ht="14.4" x14ac:dyDescent="0.3">
      <c r="A162" s="5">
        <v>31405</v>
      </c>
      <c r="B162" s="6" t="s">
        <v>179</v>
      </c>
      <c r="C162" s="8">
        <v>0</v>
      </c>
      <c r="D162" s="8">
        <v>0</v>
      </c>
    </row>
    <row r="163" spans="1:4" ht="14.4" x14ac:dyDescent="0.3">
      <c r="A163" s="5">
        <v>31501</v>
      </c>
      <c r="B163" s="6" t="s">
        <v>180</v>
      </c>
      <c r="C163" s="8">
        <v>0</v>
      </c>
      <c r="D163" s="8">
        <v>0</v>
      </c>
    </row>
    <row r="164" spans="1:4" ht="14.4" x14ac:dyDescent="0.3">
      <c r="A164" s="5">
        <v>31601</v>
      </c>
      <c r="B164" s="6" t="s">
        <v>181</v>
      </c>
      <c r="C164" s="8">
        <v>41.251475796930343</v>
      </c>
      <c r="D164" s="8">
        <v>48.808689558514367</v>
      </c>
    </row>
    <row r="165" spans="1:4" ht="14.4" x14ac:dyDescent="0.3">
      <c r="A165" s="5">
        <v>31602</v>
      </c>
      <c r="B165" s="6" t="s">
        <v>182</v>
      </c>
      <c r="C165" s="8">
        <v>34.347826086956523</v>
      </c>
      <c r="D165" s="8">
        <v>30</v>
      </c>
    </row>
    <row r="166" spans="1:4" ht="14.4" x14ac:dyDescent="0.3">
      <c r="A166" s="5">
        <v>40101</v>
      </c>
      <c r="B166" s="6" t="s">
        <v>16</v>
      </c>
      <c r="C166" s="8">
        <v>100</v>
      </c>
      <c r="D166" s="8">
        <v>0</v>
      </c>
    </row>
    <row r="167" spans="1:4" ht="14.4" x14ac:dyDescent="0.3">
      <c r="A167" s="5">
        <v>40102</v>
      </c>
      <c r="B167" s="6" t="s">
        <v>183</v>
      </c>
      <c r="C167" s="8">
        <v>40.139531110570289</v>
      </c>
      <c r="D167" s="8">
        <v>41.114348142753094</v>
      </c>
    </row>
    <row r="168" spans="1:4" ht="14.4" x14ac:dyDescent="0.3">
      <c r="A168" s="5">
        <v>40103</v>
      </c>
      <c r="B168" s="6" t="s">
        <v>184</v>
      </c>
      <c r="C168" s="8">
        <v>25</v>
      </c>
      <c r="D168" s="8">
        <v>0</v>
      </c>
    </row>
    <row r="169" spans="1:4" ht="14.4" x14ac:dyDescent="0.3">
      <c r="A169" s="5">
        <v>40104</v>
      </c>
      <c r="B169" s="6" t="s">
        <v>185</v>
      </c>
      <c r="C169" s="8">
        <v>41.635786130227629</v>
      </c>
      <c r="D169" s="8">
        <v>42.857142857142854</v>
      </c>
    </row>
    <row r="170" spans="1:4" ht="14.4" x14ac:dyDescent="0.3">
      <c r="A170" s="5">
        <v>40201</v>
      </c>
      <c r="B170" s="6" t="s">
        <v>186</v>
      </c>
      <c r="C170" s="8">
        <v>46.649484536082475</v>
      </c>
      <c r="D170" s="8">
        <v>100</v>
      </c>
    </row>
    <row r="171" spans="1:4" ht="14.4" x14ac:dyDescent="0.3">
      <c r="A171" s="5">
        <v>40202</v>
      </c>
      <c r="B171" s="6" t="s">
        <v>187</v>
      </c>
      <c r="C171" s="8">
        <v>33.333333333333329</v>
      </c>
      <c r="D171" s="8">
        <v>0</v>
      </c>
    </row>
    <row r="172" spans="1:4" ht="14.4" x14ac:dyDescent="0.3">
      <c r="A172" s="5">
        <v>40301</v>
      </c>
      <c r="B172" s="6" t="s">
        <v>188</v>
      </c>
      <c r="C172" s="8">
        <v>0</v>
      </c>
      <c r="D172" s="8">
        <v>0</v>
      </c>
    </row>
    <row r="173" spans="1:4" ht="14.4" x14ac:dyDescent="0.3">
      <c r="A173" s="5">
        <v>40302</v>
      </c>
      <c r="B173" s="6" t="s">
        <v>189</v>
      </c>
      <c r="C173" s="8">
        <v>0</v>
      </c>
      <c r="D173" s="8">
        <v>0</v>
      </c>
    </row>
    <row r="174" spans="1:4" ht="14.4" x14ac:dyDescent="0.3">
      <c r="A174" s="5">
        <v>40401</v>
      </c>
      <c r="B174" s="6" t="s">
        <v>190</v>
      </c>
      <c r="C174" s="8">
        <v>0</v>
      </c>
      <c r="D174" s="8">
        <v>0</v>
      </c>
    </row>
    <row r="175" spans="1:4" ht="14.4" x14ac:dyDescent="0.3">
      <c r="A175" s="5">
        <v>40402</v>
      </c>
      <c r="B175" s="6" t="s">
        <v>191</v>
      </c>
      <c r="C175" s="8">
        <v>0</v>
      </c>
      <c r="D175" s="8">
        <v>0</v>
      </c>
    </row>
    <row r="176" spans="1:4" ht="14.4" x14ac:dyDescent="0.3">
      <c r="A176" s="5">
        <v>40501</v>
      </c>
      <c r="B176" s="6" t="s">
        <v>192</v>
      </c>
      <c r="C176" s="8">
        <v>0</v>
      </c>
      <c r="D176" s="8">
        <v>0</v>
      </c>
    </row>
    <row r="177" spans="1:4" ht="14.4" x14ac:dyDescent="0.3">
      <c r="A177" s="5">
        <v>40502</v>
      </c>
      <c r="B177" s="6" t="s">
        <v>193</v>
      </c>
      <c r="C177" s="8">
        <v>0</v>
      </c>
      <c r="D177" s="8">
        <v>0</v>
      </c>
    </row>
    <row r="178" spans="1:4" ht="14.4" x14ac:dyDescent="0.3">
      <c r="A178" s="5">
        <v>40503</v>
      </c>
      <c r="B178" s="6" t="s">
        <v>194</v>
      </c>
      <c r="C178" s="8">
        <v>0</v>
      </c>
      <c r="D178" s="8">
        <v>0</v>
      </c>
    </row>
    <row r="179" spans="1:4" ht="14.4" x14ac:dyDescent="0.3">
      <c r="A179" s="5">
        <v>40504</v>
      </c>
      <c r="B179" s="6" t="s">
        <v>195</v>
      </c>
      <c r="C179" s="8">
        <v>0</v>
      </c>
      <c r="D179" s="8">
        <v>0</v>
      </c>
    </row>
    <row r="180" spans="1:4" ht="14.4" x14ac:dyDescent="0.3">
      <c r="A180" s="5">
        <v>40505</v>
      </c>
      <c r="B180" s="6" t="s">
        <v>196</v>
      </c>
      <c r="C180" s="8">
        <v>0</v>
      </c>
      <c r="D180" s="8">
        <v>0</v>
      </c>
    </row>
    <row r="181" spans="1:4" ht="14.4" x14ac:dyDescent="0.3">
      <c r="A181" s="5">
        <v>40601</v>
      </c>
      <c r="B181" s="6" t="s">
        <v>197</v>
      </c>
      <c r="C181" s="8">
        <v>48.888888888888886</v>
      </c>
      <c r="D181" s="8">
        <v>0</v>
      </c>
    </row>
    <row r="182" spans="1:4" ht="14.4" x14ac:dyDescent="0.3">
      <c r="A182" s="5">
        <v>40602</v>
      </c>
      <c r="B182" s="6" t="s">
        <v>198</v>
      </c>
      <c r="C182" s="8">
        <v>49.21875</v>
      </c>
      <c r="D182" s="8">
        <v>0</v>
      </c>
    </row>
    <row r="183" spans="1:4" ht="14.4" x14ac:dyDescent="0.3">
      <c r="A183" s="5">
        <v>40603</v>
      </c>
      <c r="B183" s="6" t="s">
        <v>199</v>
      </c>
      <c r="C183" s="8">
        <v>0</v>
      </c>
      <c r="D183" s="8">
        <v>0</v>
      </c>
    </row>
    <row r="184" spans="1:4" ht="14.4" x14ac:dyDescent="0.3">
      <c r="A184" s="5">
        <v>40701</v>
      </c>
      <c r="B184" s="6" t="s">
        <v>200</v>
      </c>
      <c r="C184" s="8">
        <v>0</v>
      </c>
      <c r="D184" s="8">
        <v>0</v>
      </c>
    </row>
    <row r="185" spans="1:4" ht="14.4" x14ac:dyDescent="0.3">
      <c r="A185" s="5">
        <v>40702</v>
      </c>
      <c r="B185" s="6" t="s">
        <v>201</v>
      </c>
      <c r="C185" s="8">
        <v>0</v>
      </c>
      <c r="D185" s="8">
        <v>100</v>
      </c>
    </row>
    <row r="186" spans="1:4" ht="14.4" x14ac:dyDescent="0.3">
      <c r="A186" s="5">
        <v>40801</v>
      </c>
      <c r="B186" s="6" t="s">
        <v>202</v>
      </c>
      <c r="C186" s="8">
        <v>0</v>
      </c>
      <c r="D186" s="8">
        <v>0</v>
      </c>
    </row>
    <row r="187" spans="1:4" ht="14.4" x14ac:dyDescent="0.3">
      <c r="A187" s="5">
        <v>40802</v>
      </c>
      <c r="B187" s="6" t="s">
        <v>203</v>
      </c>
      <c r="C187" s="8">
        <v>0</v>
      </c>
      <c r="D187" s="8">
        <v>0</v>
      </c>
    </row>
    <row r="188" spans="1:4" ht="14.4" x14ac:dyDescent="0.3">
      <c r="A188" s="5">
        <v>40901</v>
      </c>
      <c r="B188" s="6" t="s">
        <v>204</v>
      </c>
      <c r="C188" s="8">
        <v>0</v>
      </c>
      <c r="D188" s="8">
        <v>0</v>
      </c>
    </row>
    <row r="189" spans="1:4" ht="14.4" x14ac:dyDescent="0.3">
      <c r="A189" s="5">
        <v>40902</v>
      </c>
      <c r="B189" s="6" t="s">
        <v>205</v>
      </c>
      <c r="C189" s="8">
        <v>0</v>
      </c>
      <c r="D189" s="8">
        <v>0</v>
      </c>
    </row>
    <row r="190" spans="1:4" ht="14.4" x14ac:dyDescent="0.3">
      <c r="A190" s="5">
        <v>40903</v>
      </c>
      <c r="B190" s="6" t="s">
        <v>206</v>
      </c>
      <c r="C190" s="8">
        <v>0</v>
      </c>
      <c r="D190" s="8">
        <v>0</v>
      </c>
    </row>
    <row r="191" spans="1:4" ht="14.4" x14ac:dyDescent="0.3">
      <c r="A191" s="5">
        <v>41001</v>
      </c>
      <c r="B191" s="6" t="s">
        <v>207</v>
      </c>
      <c r="C191" s="8">
        <v>0</v>
      </c>
      <c r="D191" s="8">
        <v>0</v>
      </c>
    </row>
    <row r="192" spans="1:4" ht="14.4" x14ac:dyDescent="0.3">
      <c r="A192" s="5">
        <v>41101</v>
      </c>
      <c r="B192" s="6" t="s">
        <v>208</v>
      </c>
      <c r="C192" s="8">
        <v>50.011695906432749</v>
      </c>
      <c r="D192" s="8">
        <v>23.214285714285715</v>
      </c>
    </row>
    <row r="193" spans="1:4" ht="14.4" x14ac:dyDescent="0.3">
      <c r="A193" s="5">
        <v>41201</v>
      </c>
      <c r="B193" s="6" t="s">
        <v>209</v>
      </c>
      <c r="C193" s="8">
        <v>0</v>
      </c>
      <c r="D193" s="8">
        <v>0</v>
      </c>
    </row>
    <row r="194" spans="1:4" ht="14.4" x14ac:dyDescent="0.3">
      <c r="A194" s="5">
        <v>41202</v>
      </c>
      <c r="B194" s="6" t="s">
        <v>210</v>
      </c>
      <c r="C194" s="8">
        <v>0</v>
      </c>
      <c r="D194" s="8">
        <v>0</v>
      </c>
    </row>
    <row r="195" spans="1:4" ht="14.4" x14ac:dyDescent="0.3">
      <c r="A195" s="5">
        <v>41301</v>
      </c>
      <c r="B195" s="6" t="s">
        <v>165</v>
      </c>
      <c r="C195" s="8">
        <v>55.555555555555557</v>
      </c>
      <c r="D195" s="8">
        <v>0</v>
      </c>
    </row>
    <row r="196" spans="1:4" ht="14.4" x14ac:dyDescent="0.3">
      <c r="A196" s="5">
        <v>41401</v>
      </c>
      <c r="B196" s="6" t="s">
        <v>211</v>
      </c>
      <c r="C196" s="8">
        <v>0</v>
      </c>
      <c r="D196" s="8">
        <v>0</v>
      </c>
    </row>
    <row r="197" spans="1:4" ht="14.4" x14ac:dyDescent="0.3">
      <c r="A197" s="5">
        <v>41501</v>
      </c>
      <c r="B197" s="6" t="s">
        <v>212</v>
      </c>
      <c r="C197" s="8">
        <v>0</v>
      </c>
      <c r="D197" s="8">
        <v>0</v>
      </c>
    </row>
    <row r="198" spans="1:4" ht="14.4" x14ac:dyDescent="0.3">
      <c r="A198" s="5">
        <v>41502</v>
      </c>
      <c r="B198" s="6" t="s">
        <v>213</v>
      </c>
      <c r="C198" s="8">
        <v>0</v>
      </c>
      <c r="D198" s="8">
        <v>0</v>
      </c>
    </row>
    <row r="199" spans="1:4" ht="14.4" x14ac:dyDescent="0.3">
      <c r="A199" s="5">
        <v>41503</v>
      </c>
      <c r="B199" s="6" t="s">
        <v>214</v>
      </c>
      <c r="C199" s="8">
        <v>0</v>
      </c>
      <c r="D199" s="8">
        <v>0</v>
      </c>
    </row>
    <row r="200" spans="1:4" ht="14.4" x14ac:dyDescent="0.3">
      <c r="A200" s="5">
        <v>41601</v>
      </c>
      <c r="B200" s="6" t="s">
        <v>215</v>
      </c>
      <c r="C200" s="8">
        <v>0</v>
      </c>
      <c r="D200" s="8">
        <v>0</v>
      </c>
    </row>
    <row r="201" spans="1:4" ht="14.4" x14ac:dyDescent="0.3">
      <c r="A201" s="5">
        <v>50101</v>
      </c>
      <c r="B201" s="6" t="s">
        <v>18</v>
      </c>
      <c r="C201" s="8">
        <v>42.857142857142854</v>
      </c>
      <c r="D201" s="8">
        <v>40.393013100436683</v>
      </c>
    </row>
    <row r="202" spans="1:4" ht="14.4" x14ac:dyDescent="0.3">
      <c r="A202" s="5">
        <v>50102</v>
      </c>
      <c r="B202" s="6" t="s">
        <v>216</v>
      </c>
      <c r="C202" s="8">
        <v>0</v>
      </c>
      <c r="D202" s="8">
        <v>0</v>
      </c>
    </row>
    <row r="203" spans="1:4" ht="14.4" x14ac:dyDescent="0.3">
      <c r="A203" s="5">
        <v>50103</v>
      </c>
      <c r="B203" s="6" t="s">
        <v>217</v>
      </c>
      <c r="C203" s="8">
        <v>44.444444444444443</v>
      </c>
      <c r="D203" s="8">
        <v>50.204638472032748</v>
      </c>
    </row>
    <row r="204" spans="1:4" ht="14.4" x14ac:dyDescent="0.3">
      <c r="A204" s="5">
        <v>50104</v>
      </c>
      <c r="B204" s="6" t="s">
        <v>218</v>
      </c>
      <c r="C204" s="8">
        <v>0</v>
      </c>
      <c r="D204" s="8">
        <v>0</v>
      </c>
    </row>
    <row r="205" spans="1:4" ht="14.4" x14ac:dyDescent="0.3">
      <c r="A205" s="5">
        <v>50201</v>
      </c>
      <c r="B205" s="6" t="s">
        <v>219</v>
      </c>
      <c r="C205" s="8">
        <v>0</v>
      </c>
      <c r="D205" s="8">
        <v>0</v>
      </c>
    </row>
    <row r="206" spans="1:4" ht="14.4" x14ac:dyDescent="0.3">
      <c r="A206" s="5">
        <v>50202</v>
      </c>
      <c r="B206" s="6" t="s">
        <v>220</v>
      </c>
      <c r="C206" s="8">
        <v>0</v>
      </c>
      <c r="D206" s="8">
        <v>0</v>
      </c>
    </row>
    <row r="207" spans="1:4" ht="14.4" x14ac:dyDescent="0.3">
      <c r="A207" s="5">
        <v>50203</v>
      </c>
      <c r="B207" s="6" t="s">
        <v>221</v>
      </c>
      <c r="C207" s="8">
        <v>0</v>
      </c>
      <c r="D207" s="8">
        <v>0</v>
      </c>
    </row>
    <row r="208" spans="1:4" ht="14.4" x14ac:dyDescent="0.3">
      <c r="A208" s="5">
        <v>50204</v>
      </c>
      <c r="B208" s="6" t="s">
        <v>222</v>
      </c>
      <c r="C208" s="8">
        <v>0</v>
      </c>
      <c r="D208" s="8">
        <v>0</v>
      </c>
    </row>
    <row r="209" spans="1:4" ht="14.4" x14ac:dyDescent="0.3">
      <c r="A209" s="5">
        <v>50301</v>
      </c>
      <c r="B209" s="6" t="s">
        <v>223</v>
      </c>
      <c r="C209" s="8">
        <v>38.297872340425535</v>
      </c>
      <c r="D209" s="8">
        <v>45.620437956204377</v>
      </c>
    </row>
    <row r="210" spans="1:4" ht="14.4" x14ac:dyDescent="0.3">
      <c r="A210" s="5">
        <v>50302</v>
      </c>
      <c r="B210" s="6" t="s">
        <v>224</v>
      </c>
      <c r="C210" s="8">
        <v>0</v>
      </c>
      <c r="D210" s="8">
        <v>0</v>
      </c>
    </row>
    <row r="211" spans="1:4" ht="14.4" x14ac:dyDescent="0.3">
      <c r="A211" s="5">
        <v>50303</v>
      </c>
      <c r="B211" s="6" t="s">
        <v>225</v>
      </c>
      <c r="C211" s="8">
        <v>0</v>
      </c>
      <c r="D211" s="8">
        <v>47.781569965870304</v>
      </c>
    </row>
    <row r="212" spans="1:4" ht="14.4" x14ac:dyDescent="0.3">
      <c r="A212" s="5">
        <v>50401</v>
      </c>
      <c r="B212" s="6" t="s">
        <v>226</v>
      </c>
      <c r="C212" s="8">
        <v>0</v>
      </c>
      <c r="D212" s="8">
        <v>0</v>
      </c>
    </row>
    <row r="213" spans="1:4" ht="14.4" x14ac:dyDescent="0.3">
      <c r="A213" s="5">
        <v>50402</v>
      </c>
      <c r="B213" s="6" t="s">
        <v>227</v>
      </c>
      <c r="C213" s="8">
        <v>45.785876993166283</v>
      </c>
      <c r="D213" s="8">
        <v>40.137614678899084</v>
      </c>
    </row>
    <row r="214" spans="1:4" ht="14.4" x14ac:dyDescent="0.3">
      <c r="A214" s="5">
        <v>50403</v>
      </c>
      <c r="B214" s="6" t="s">
        <v>228</v>
      </c>
      <c r="C214" s="8">
        <v>0</v>
      </c>
      <c r="D214" s="8">
        <v>31.595576619273302</v>
      </c>
    </row>
    <row r="215" spans="1:4" ht="14.4" x14ac:dyDescent="0.3">
      <c r="A215" s="5">
        <v>50404</v>
      </c>
      <c r="B215" s="6" t="s">
        <v>229</v>
      </c>
      <c r="C215" s="8">
        <v>0</v>
      </c>
      <c r="D215" s="8">
        <v>0</v>
      </c>
    </row>
    <row r="216" spans="1:4" ht="14.4" x14ac:dyDescent="0.3">
      <c r="A216" s="5">
        <v>50405</v>
      </c>
      <c r="B216" s="6" t="s">
        <v>230</v>
      </c>
      <c r="C216" s="8">
        <v>0</v>
      </c>
      <c r="D216" s="8">
        <v>29.268292682926827</v>
      </c>
    </row>
    <row r="217" spans="1:4" ht="14.4" x14ac:dyDescent="0.3">
      <c r="A217" s="5">
        <v>50501</v>
      </c>
      <c r="B217" s="6" t="s">
        <v>231</v>
      </c>
      <c r="C217" s="8">
        <v>37.5</v>
      </c>
      <c r="D217" s="8">
        <v>0</v>
      </c>
    </row>
    <row r="218" spans="1:4" ht="14.4" x14ac:dyDescent="0.3">
      <c r="A218" s="5">
        <v>50502</v>
      </c>
      <c r="B218" s="6" t="s">
        <v>232</v>
      </c>
      <c r="C218" s="8">
        <v>39.127045985970383</v>
      </c>
      <c r="D218" s="8">
        <v>52.356020942408378</v>
      </c>
    </row>
    <row r="219" spans="1:4" ht="14.4" x14ac:dyDescent="0.3">
      <c r="A219" s="5">
        <v>50601</v>
      </c>
      <c r="B219" s="6" t="s">
        <v>233</v>
      </c>
      <c r="C219" s="8">
        <v>100</v>
      </c>
      <c r="D219" s="8">
        <v>42.414082145850799</v>
      </c>
    </row>
    <row r="220" spans="1:4" ht="14.4" x14ac:dyDescent="0.3">
      <c r="A220" s="5">
        <v>50602</v>
      </c>
      <c r="B220" s="6" t="s">
        <v>234</v>
      </c>
      <c r="C220" s="8">
        <v>20</v>
      </c>
      <c r="D220" s="8">
        <v>0</v>
      </c>
    </row>
    <row r="221" spans="1:4" ht="14.4" x14ac:dyDescent="0.3">
      <c r="A221" s="5">
        <v>50701</v>
      </c>
      <c r="B221" s="6" t="s">
        <v>235</v>
      </c>
      <c r="C221" s="8">
        <v>34.488888888888894</v>
      </c>
      <c r="D221" s="8">
        <v>0</v>
      </c>
    </row>
    <row r="222" spans="1:4" ht="14.4" x14ac:dyDescent="0.3">
      <c r="A222" s="5">
        <v>50702</v>
      </c>
      <c r="B222" s="6" t="s">
        <v>236</v>
      </c>
      <c r="C222" s="8">
        <v>0</v>
      </c>
      <c r="D222" s="8">
        <v>0</v>
      </c>
    </row>
    <row r="223" spans="1:4" ht="14.4" x14ac:dyDescent="0.3">
      <c r="A223" s="5">
        <v>50801</v>
      </c>
      <c r="B223" s="6" t="s">
        <v>237</v>
      </c>
      <c r="C223" s="8">
        <v>0</v>
      </c>
      <c r="D223" s="8">
        <v>52.238805970149251</v>
      </c>
    </row>
    <row r="224" spans="1:4" ht="14.4" x14ac:dyDescent="0.3">
      <c r="A224" s="5">
        <v>50802</v>
      </c>
      <c r="B224" s="6" t="s">
        <v>238</v>
      </c>
      <c r="C224" s="8">
        <v>0</v>
      </c>
      <c r="D224" s="8">
        <v>0</v>
      </c>
    </row>
    <row r="225" spans="1:4" ht="14.4" x14ac:dyDescent="0.3">
      <c r="A225" s="5">
        <v>50901</v>
      </c>
      <c r="B225" s="6" t="s">
        <v>239</v>
      </c>
      <c r="C225" s="8">
        <v>0</v>
      </c>
      <c r="D225" s="8">
        <v>0</v>
      </c>
    </row>
    <row r="226" spans="1:4" ht="14.4" x14ac:dyDescent="0.3">
      <c r="A226" s="5">
        <v>50902</v>
      </c>
      <c r="B226" s="6" t="s">
        <v>240</v>
      </c>
      <c r="C226" s="8">
        <v>0</v>
      </c>
      <c r="D226" s="8">
        <v>0</v>
      </c>
    </row>
    <row r="227" spans="1:4" ht="14.4" x14ac:dyDescent="0.3">
      <c r="A227" s="5">
        <v>51001</v>
      </c>
      <c r="B227" s="6" t="s">
        <v>241</v>
      </c>
      <c r="C227" s="8">
        <v>0</v>
      </c>
      <c r="D227" s="8">
        <v>0</v>
      </c>
    </row>
    <row r="228" spans="1:4" ht="14.4" x14ac:dyDescent="0.3">
      <c r="A228" s="5">
        <v>51002</v>
      </c>
      <c r="B228" s="6" t="s">
        <v>242</v>
      </c>
      <c r="C228" s="8">
        <v>0</v>
      </c>
      <c r="D228" s="8">
        <v>0</v>
      </c>
    </row>
    <row r="229" spans="1:4" ht="14.4" x14ac:dyDescent="0.3">
      <c r="A229" s="5">
        <v>51003</v>
      </c>
      <c r="B229" s="6" t="s">
        <v>243</v>
      </c>
      <c r="C229" s="8">
        <v>0</v>
      </c>
      <c r="D229" s="8">
        <v>0</v>
      </c>
    </row>
    <row r="230" spans="1:4" ht="14.4" x14ac:dyDescent="0.3">
      <c r="A230" s="5">
        <v>51101</v>
      </c>
      <c r="B230" s="6" t="s">
        <v>244</v>
      </c>
      <c r="C230" s="8">
        <v>0</v>
      </c>
      <c r="D230" s="8">
        <v>52.986217457886674</v>
      </c>
    </row>
    <row r="231" spans="1:4" ht="14.4" x14ac:dyDescent="0.3">
      <c r="A231" s="5">
        <v>51102</v>
      </c>
      <c r="B231" s="6" t="s">
        <v>245</v>
      </c>
      <c r="C231" s="8">
        <v>0</v>
      </c>
      <c r="D231" s="8">
        <v>0</v>
      </c>
    </row>
    <row r="232" spans="1:4" ht="14.4" x14ac:dyDescent="0.3">
      <c r="A232" s="5">
        <v>51103</v>
      </c>
      <c r="B232" s="6" t="s">
        <v>246</v>
      </c>
      <c r="C232" s="8">
        <v>0</v>
      </c>
      <c r="D232" s="8">
        <v>46.316758747697975</v>
      </c>
    </row>
    <row r="233" spans="1:4" ht="14.4" x14ac:dyDescent="0.3">
      <c r="A233" s="5">
        <v>51201</v>
      </c>
      <c r="B233" s="6" t="s">
        <v>247</v>
      </c>
      <c r="C233" s="8">
        <v>100</v>
      </c>
      <c r="D233" s="8">
        <v>0</v>
      </c>
    </row>
    <row r="234" spans="1:4" ht="14.4" x14ac:dyDescent="0.3">
      <c r="A234" s="5">
        <v>51202</v>
      </c>
      <c r="B234" s="6" t="s">
        <v>248</v>
      </c>
      <c r="C234" s="8">
        <v>0</v>
      </c>
      <c r="D234" s="8">
        <v>0</v>
      </c>
    </row>
    <row r="235" spans="1:4" ht="14.4" x14ac:dyDescent="0.3">
      <c r="A235" s="5">
        <v>51203</v>
      </c>
      <c r="B235" s="6" t="s">
        <v>249</v>
      </c>
      <c r="C235" s="8">
        <v>0</v>
      </c>
      <c r="D235" s="8">
        <v>0</v>
      </c>
    </row>
    <row r="236" spans="1:4" ht="14.4" x14ac:dyDescent="0.3">
      <c r="A236" s="5">
        <v>51204</v>
      </c>
      <c r="B236" s="6" t="s">
        <v>250</v>
      </c>
      <c r="C236" s="8">
        <v>0</v>
      </c>
      <c r="D236" s="8">
        <v>0</v>
      </c>
    </row>
    <row r="237" spans="1:4" ht="14.4" x14ac:dyDescent="0.3">
      <c r="A237" s="5">
        <v>51301</v>
      </c>
      <c r="B237" s="6" t="s">
        <v>251</v>
      </c>
      <c r="C237" s="8">
        <v>0</v>
      </c>
      <c r="D237" s="8">
        <v>0</v>
      </c>
    </row>
    <row r="238" spans="1:4" ht="14.4" x14ac:dyDescent="0.3">
      <c r="A238" s="5">
        <v>51302</v>
      </c>
      <c r="B238" s="6" t="s">
        <v>252</v>
      </c>
      <c r="C238" s="8">
        <v>44.128113879003564</v>
      </c>
      <c r="D238" s="8">
        <v>0</v>
      </c>
    </row>
    <row r="239" spans="1:4" ht="14.4" x14ac:dyDescent="0.3">
      <c r="A239" s="5">
        <v>51401</v>
      </c>
      <c r="B239" s="6" t="s">
        <v>253</v>
      </c>
      <c r="C239" s="8">
        <v>0</v>
      </c>
      <c r="D239" s="8">
        <v>0</v>
      </c>
    </row>
    <row r="240" spans="1:4" ht="14.4" x14ac:dyDescent="0.3">
      <c r="A240" s="5">
        <v>51402</v>
      </c>
      <c r="B240" s="6" t="s">
        <v>254</v>
      </c>
      <c r="C240" s="8">
        <v>0</v>
      </c>
      <c r="D240" s="8">
        <v>0</v>
      </c>
    </row>
    <row r="241" spans="1:4" ht="14.4" x14ac:dyDescent="0.3">
      <c r="A241" s="5">
        <v>51501</v>
      </c>
      <c r="B241" s="6" t="s">
        <v>255</v>
      </c>
      <c r="C241" s="8">
        <v>43.710691823899374</v>
      </c>
      <c r="D241" s="8">
        <v>50.877192982456144</v>
      </c>
    </row>
    <row r="242" spans="1:4" ht="14.4" x14ac:dyDescent="0.3">
      <c r="A242" s="5">
        <v>51601</v>
      </c>
      <c r="B242" s="6" t="s">
        <v>256</v>
      </c>
      <c r="C242" s="8">
        <v>0</v>
      </c>
      <c r="D242" s="8">
        <v>0</v>
      </c>
    </row>
    <row r="243" spans="1:4" ht="14.4" x14ac:dyDescent="0.3">
      <c r="A243" s="5">
        <v>60101</v>
      </c>
      <c r="B243" s="6" t="s">
        <v>20</v>
      </c>
      <c r="C243" s="8">
        <v>44.962406015037594</v>
      </c>
      <c r="D243" s="8">
        <v>49.165673420738976</v>
      </c>
    </row>
    <row r="244" spans="1:4" ht="14.4" x14ac:dyDescent="0.3">
      <c r="A244" s="5">
        <v>60201</v>
      </c>
      <c r="B244" s="6" t="s">
        <v>257</v>
      </c>
      <c r="C244" s="8">
        <v>47.5</v>
      </c>
      <c r="D244" s="8">
        <v>47.803347280334727</v>
      </c>
    </row>
    <row r="245" spans="1:4" ht="14.4" x14ac:dyDescent="0.3">
      <c r="A245" s="5">
        <v>60202</v>
      </c>
      <c r="B245" s="6" t="s">
        <v>258</v>
      </c>
      <c r="C245" s="8">
        <v>6.4327485380116958</v>
      </c>
      <c r="D245" s="8">
        <v>56.140350877192979</v>
      </c>
    </row>
    <row r="246" spans="1:4" ht="14.4" x14ac:dyDescent="0.3">
      <c r="A246" s="5">
        <v>60301</v>
      </c>
      <c r="B246" s="6" t="s">
        <v>259</v>
      </c>
      <c r="C246" s="8">
        <v>39.44337811900192</v>
      </c>
      <c r="D246" s="8">
        <v>47.111111111111107</v>
      </c>
    </row>
    <row r="247" spans="1:4" ht="14.4" x14ac:dyDescent="0.3">
      <c r="A247" s="5">
        <v>60302</v>
      </c>
      <c r="B247" s="6" t="s">
        <v>260</v>
      </c>
      <c r="C247" s="8">
        <v>44.827586206896555</v>
      </c>
      <c r="D247" s="8">
        <v>40.579710144927539</v>
      </c>
    </row>
    <row r="248" spans="1:4" ht="14.4" x14ac:dyDescent="0.3">
      <c r="A248" s="5">
        <v>60303</v>
      </c>
      <c r="B248" s="6" t="s">
        <v>261</v>
      </c>
      <c r="C248" s="8">
        <v>42.1875</v>
      </c>
      <c r="D248" s="8">
        <v>39.705882352941174</v>
      </c>
    </row>
    <row r="249" spans="1:4" ht="14.4" x14ac:dyDescent="0.3">
      <c r="A249" s="5">
        <v>60401</v>
      </c>
      <c r="B249" s="6" t="s">
        <v>262</v>
      </c>
      <c r="C249" s="8">
        <v>48.024112525117211</v>
      </c>
      <c r="D249" s="8">
        <v>45.679012345679013</v>
      </c>
    </row>
    <row r="250" spans="1:4" ht="14.4" x14ac:dyDescent="0.3">
      <c r="A250" s="5">
        <v>60402</v>
      </c>
      <c r="B250" s="6" t="s">
        <v>263</v>
      </c>
      <c r="C250" s="8">
        <v>48.805075171634662</v>
      </c>
      <c r="D250" s="8">
        <v>50</v>
      </c>
    </row>
    <row r="251" spans="1:4" ht="14.4" x14ac:dyDescent="0.3">
      <c r="A251" s="5">
        <v>60501</v>
      </c>
      <c r="B251" s="6" t="s">
        <v>264</v>
      </c>
      <c r="C251" s="8">
        <v>48.755117848843646</v>
      </c>
      <c r="D251" s="8">
        <v>51.778795350475512</v>
      </c>
    </row>
    <row r="252" spans="1:4" ht="14.4" x14ac:dyDescent="0.3">
      <c r="A252" s="5">
        <v>60502</v>
      </c>
      <c r="B252" s="6" t="s">
        <v>265</v>
      </c>
      <c r="C252" s="8">
        <v>49.832275378025493</v>
      </c>
      <c r="D252" s="8">
        <v>48.393194706994329</v>
      </c>
    </row>
    <row r="253" spans="1:4" ht="14.4" x14ac:dyDescent="0.3">
      <c r="A253" s="5">
        <v>60601</v>
      </c>
      <c r="B253" s="6" t="s">
        <v>170</v>
      </c>
      <c r="C253" s="8">
        <v>47.758787487907128</v>
      </c>
      <c r="D253" s="8">
        <v>49.090909090909093</v>
      </c>
    </row>
    <row r="254" spans="1:4" ht="14.4" x14ac:dyDescent="0.3">
      <c r="A254" s="5">
        <v>70101</v>
      </c>
      <c r="B254" s="6" t="s">
        <v>266</v>
      </c>
      <c r="C254" s="8">
        <v>48.111888111888113</v>
      </c>
      <c r="D254" s="8">
        <v>42.79475982532751</v>
      </c>
    </row>
    <row r="255" spans="1:4" ht="14.4" x14ac:dyDescent="0.3">
      <c r="A255" s="5">
        <v>70102</v>
      </c>
      <c r="B255" s="6" t="s">
        <v>267</v>
      </c>
      <c r="C255" s="8">
        <v>42.948717948717949</v>
      </c>
      <c r="D255" s="8">
        <v>51.724137931034484</v>
      </c>
    </row>
    <row r="256" spans="1:4" ht="14.4" x14ac:dyDescent="0.3">
      <c r="A256" s="5">
        <v>70103</v>
      </c>
      <c r="B256" s="6" t="s">
        <v>268</v>
      </c>
      <c r="C256" s="8">
        <v>34.832904884318765</v>
      </c>
      <c r="D256" s="8">
        <v>40.506329113924053</v>
      </c>
    </row>
    <row r="257" spans="1:4" ht="14.4" x14ac:dyDescent="0.3">
      <c r="A257" s="5">
        <v>70104</v>
      </c>
      <c r="B257" s="6" t="s">
        <v>269</v>
      </c>
      <c r="C257" s="8">
        <v>34.888653234358429</v>
      </c>
      <c r="D257" s="8">
        <v>45.165094339622641</v>
      </c>
    </row>
    <row r="258" spans="1:4" ht="14.4" x14ac:dyDescent="0.3">
      <c r="A258" s="5">
        <v>70105</v>
      </c>
      <c r="B258" s="6" t="s">
        <v>270</v>
      </c>
      <c r="C258" s="8">
        <v>37.47242357390482</v>
      </c>
      <c r="D258" s="8">
        <v>39.230769230769234</v>
      </c>
    </row>
    <row r="259" spans="1:4" ht="14.4" x14ac:dyDescent="0.3">
      <c r="A259" s="5">
        <v>70201</v>
      </c>
      <c r="B259" s="6" t="s">
        <v>271</v>
      </c>
      <c r="C259" s="8">
        <v>32.743362831858406</v>
      </c>
      <c r="D259" s="8">
        <v>36.231884057971016</v>
      </c>
    </row>
    <row r="260" spans="1:4" ht="14.4" x14ac:dyDescent="0.3">
      <c r="A260" s="5">
        <v>70202</v>
      </c>
      <c r="B260" s="6" t="s">
        <v>272</v>
      </c>
      <c r="C260" s="8">
        <v>36.95299837925446</v>
      </c>
      <c r="D260" s="8">
        <v>29.696969696969699</v>
      </c>
    </row>
    <row r="261" spans="1:4" ht="14.4" x14ac:dyDescent="0.3">
      <c r="A261" s="5">
        <v>70301</v>
      </c>
      <c r="B261" s="6" t="s">
        <v>273</v>
      </c>
      <c r="C261" s="8">
        <v>40</v>
      </c>
      <c r="D261" s="8">
        <v>21.875</v>
      </c>
    </row>
    <row r="262" spans="1:4" ht="14.4" x14ac:dyDescent="0.3">
      <c r="A262" s="5">
        <v>70302</v>
      </c>
      <c r="B262" s="6" t="s">
        <v>274</v>
      </c>
      <c r="C262" s="8">
        <v>38.383838383838381</v>
      </c>
      <c r="D262" s="8">
        <v>46.666666666666664</v>
      </c>
    </row>
    <row r="263" spans="1:4" ht="14.4" x14ac:dyDescent="0.3">
      <c r="A263" s="5">
        <v>70303</v>
      </c>
      <c r="B263" s="6" t="s">
        <v>275</v>
      </c>
      <c r="C263" s="8">
        <v>30.357142857142854</v>
      </c>
      <c r="D263" s="8">
        <v>40</v>
      </c>
    </row>
    <row r="264" spans="1:4" ht="14.4" x14ac:dyDescent="0.3">
      <c r="A264" s="5">
        <v>70401</v>
      </c>
      <c r="B264" s="6" t="s">
        <v>276</v>
      </c>
      <c r="C264" s="8">
        <v>39.120879120879124</v>
      </c>
      <c r="D264" s="8">
        <v>45</v>
      </c>
    </row>
    <row r="265" spans="1:4" ht="14.4" x14ac:dyDescent="0.3">
      <c r="A265" s="5">
        <v>70402</v>
      </c>
      <c r="B265" s="6" t="s">
        <v>277</v>
      </c>
      <c r="C265" s="8">
        <v>41.206457094307567</v>
      </c>
      <c r="D265" s="8">
        <v>37.837837837837839</v>
      </c>
    </row>
    <row r="266" spans="1:4" ht="14.4" x14ac:dyDescent="0.3">
      <c r="A266" s="5">
        <v>70403</v>
      </c>
      <c r="B266" s="6" t="s">
        <v>278</v>
      </c>
      <c r="C266" s="8">
        <v>35.168738898756665</v>
      </c>
      <c r="D266" s="8">
        <v>43.646408839779006</v>
      </c>
    </row>
    <row r="267" spans="1:4" ht="14.4" x14ac:dyDescent="0.3">
      <c r="A267" s="5">
        <v>70404</v>
      </c>
      <c r="B267" s="6" t="s">
        <v>279</v>
      </c>
      <c r="C267" s="8">
        <v>22.474226804123713</v>
      </c>
      <c r="D267" s="8">
        <v>37.254901960784316</v>
      </c>
    </row>
    <row r="268" spans="1:4" ht="14.4" x14ac:dyDescent="0.3">
      <c r="A268" s="5">
        <v>70501</v>
      </c>
      <c r="B268" s="6" t="s">
        <v>280</v>
      </c>
      <c r="C268" s="8">
        <v>42.769230769230774</v>
      </c>
      <c r="D268" s="8">
        <v>50</v>
      </c>
    </row>
    <row r="269" spans="1:4" ht="14.4" x14ac:dyDescent="0.3">
      <c r="A269" s="5">
        <v>70502</v>
      </c>
      <c r="B269" s="6" t="s">
        <v>281</v>
      </c>
      <c r="C269" s="8">
        <v>37.745098039215684</v>
      </c>
      <c r="D269" s="8">
        <v>38.028169014084504</v>
      </c>
    </row>
    <row r="270" spans="1:4" ht="14.4" x14ac:dyDescent="0.3">
      <c r="A270" s="5">
        <v>70503</v>
      </c>
      <c r="B270" s="6" t="s">
        <v>282</v>
      </c>
      <c r="C270" s="8">
        <v>40.217391304347828</v>
      </c>
      <c r="D270" s="8">
        <v>21.875</v>
      </c>
    </row>
    <row r="271" spans="1:4" ht="14.4" x14ac:dyDescent="0.3">
      <c r="A271" s="5">
        <v>70601</v>
      </c>
      <c r="B271" s="6" t="s">
        <v>283</v>
      </c>
      <c r="C271" s="8">
        <v>25.316455696202532</v>
      </c>
      <c r="D271" s="8">
        <v>40.939597315436245</v>
      </c>
    </row>
    <row r="272" spans="1:4" ht="14.4" x14ac:dyDescent="0.3">
      <c r="A272" s="5">
        <v>70602</v>
      </c>
      <c r="B272" s="6" t="s">
        <v>284</v>
      </c>
      <c r="C272" s="8">
        <v>0</v>
      </c>
      <c r="D272" s="8">
        <v>32.824427480916029</v>
      </c>
    </row>
    <row r="273" spans="1:4" ht="14.4" x14ac:dyDescent="0.3">
      <c r="A273" s="5">
        <v>70603</v>
      </c>
      <c r="B273" s="6" t="s">
        <v>285</v>
      </c>
      <c r="C273" s="8">
        <v>62.5</v>
      </c>
      <c r="D273" s="8">
        <v>44.117647058823529</v>
      </c>
    </row>
    <row r="274" spans="1:4" ht="14.4" x14ac:dyDescent="0.3">
      <c r="A274" s="5">
        <v>70701</v>
      </c>
      <c r="B274" s="6" t="s">
        <v>286</v>
      </c>
      <c r="C274" s="8">
        <v>45.18950437317784</v>
      </c>
      <c r="D274" s="8">
        <v>9.0909090909090917</v>
      </c>
    </row>
    <row r="275" spans="1:4" ht="14.4" x14ac:dyDescent="0.3">
      <c r="A275" s="5">
        <v>70702</v>
      </c>
      <c r="B275" s="6" t="s">
        <v>287</v>
      </c>
      <c r="C275" s="8">
        <v>31.555555555555554</v>
      </c>
      <c r="D275" s="8">
        <v>45.161290322580641</v>
      </c>
    </row>
    <row r="276" spans="1:4" ht="14.4" x14ac:dyDescent="0.3">
      <c r="A276" s="5">
        <v>70703</v>
      </c>
      <c r="B276" s="6" t="s">
        <v>288</v>
      </c>
      <c r="C276" s="8">
        <v>32.621082621082621</v>
      </c>
      <c r="D276" s="8">
        <v>51.923076923076927</v>
      </c>
    </row>
    <row r="277" spans="1:4" ht="14.4" x14ac:dyDescent="0.3">
      <c r="A277" s="5">
        <v>70704</v>
      </c>
      <c r="B277" s="6" t="s">
        <v>289</v>
      </c>
      <c r="C277" s="8">
        <v>38.461538461538467</v>
      </c>
      <c r="D277" s="8">
        <v>50</v>
      </c>
    </row>
    <row r="278" spans="1:4" ht="14.4" x14ac:dyDescent="0.3">
      <c r="A278" s="5">
        <v>70705</v>
      </c>
      <c r="B278" s="6" t="s">
        <v>290</v>
      </c>
      <c r="C278" s="8">
        <v>43.046357615894038</v>
      </c>
      <c r="D278" s="8">
        <v>50</v>
      </c>
    </row>
    <row r="279" spans="1:4" ht="14.4" x14ac:dyDescent="0.3">
      <c r="A279" s="5">
        <v>70706</v>
      </c>
      <c r="B279" s="6" t="s">
        <v>291</v>
      </c>
      <c r="C279" s="8">
        <v>51.388888888888886</v>
      </c>
      <c r="D279" s="8">
        <v>33.333333333333329</v>
      </c>
    </row>
    <row r="280" spans="1:4" ht="14.4" x14ac:dyDescent="0.3">
      <c r="A280" s="5">
        <v>70707</v>
      </c>
      <c r="B280" s="6" t="s">
        <v>292</v>
      </c>
      <c r="C280" s="8">
        <v>27.500000000000004</v>
      </c>
      <c r="D280" s="8">
        <v>0</v>
      </c>
    </row>
    <row r="281" spans="1:4" ht="14.4" x14ac:dyDescent="0.3">
      <c r="A281" s="5">
        <v>70801</v>
      </c>
      <c r="B281" s="6" t="s">
        <v>293</v>
      </c>
      <c r="C281" s="8">
        <v>45.629370629370634</v>
      </c>
      <c r="D281" s="8">
        <v>34.482758620689658</v>
      </c>
    </row>
    <row r="282" spans="1:4" ht="14.4" x14ac:dyDescent="0.3">
      <c r="A282" s="5">
        <v>70802</v>
      </c>
      <c r="B282" s="6" t="s">
        <v>294</v>
      </c>
      <c r="C282" s="8">
        <v>48.192771084337352</v>
      </c>
      <c r="D282" s="8">
        <v>20</v>
      </c>
    </row>
    <row r="283" spans="1:4" ht="14.4" x14ac:dyDescent="0.3">
      <c r="A283" s="5">
        <v>70803</v>
      </c>
      <c r="B283" s="6" t="s">
        <v>295</v>
      </c>
      <c r="C283" s="8">
        <v>47.387226440375166</v>
      </c>
      <c r="D283" s="8">
        <v>25</v>
      </c>
    </row>
    <row r="284" spans="1:4" ht="14.4" x14ac:dyDescent="0.3">
      <c r="A284" s="5">
        <v>70804</v>
      </c>
      <c r="B284" s="6" t="s">
        <v>296</v>
      </c>
      <c r="C284" s="8">
        <v>40</v>
      </c>
      <c r="D284" s="8">
        <v>0</v>
      </c>
    </row>
    <row r="285" spans="1:4" ht="14.4" x14ac:dyDescent="0.3">
      <c r="A285" s="5">
        <v>70805</v>
      </c>
      <c r="B285" s="6" t="s">
        <v>297</v>
      </c>
      <c r="C285" s="8">
        <v>0</v>
      </c>
      <c r="D285" s="8">
        <v>0</v>
      </c>
    </row>
    <row r="286" spans="1:4" ht="14.4" x14ac:dyDescent="0.3">
      <c r="A286" s="5">
        <v>70901</v>
      </c>
      <c r="B286" s="6" t="s">
        <v>298</v>
      </c>
      <c r="C286" s="8">
        <v>45.473546701502286</v>
      </c>
      <c r="D286" s="8">
        <v>50</v>
      </c>
    </row>
    <row r="287" spans="1:4" ht="14.4" x14ac:dyDescent="0.3">
      <c r="A287" s="5">
        <v>70902</v>
      </c>
      <c r="B287" s="6" t="s">
        <v>299</v>
      </c>
      <c r="C287" s="8">
        <v>48.302709436312675</v>
      </c>
      <c r="D287" s="8">
        <v>33.333333333333329</v>
      </c>
    </row>
    <row r="288" spans="1:4" ht="14.4" x14ac:dyDescent="0.3">
      <c r="A288" s="5">
        <v>70903</v>
      </c>
      <c r="B288" s="6" t="s">
        <v>300</v>
      </c>
      <c r="C288" s="8">
        <v>44.706660785178649</v>
      </c>
      <c r="D288" s="8">
        <v>33.076923076923073</v>
      </c>
    </row>
    <row r="289" spans="1:4" ht="14.4" x14ac:dyDescent="0.3">
      <c r="A289" s="5">
        <v>70904</v>
      </c>
      <c r="B289" s="6" t="s">
        <v>301</v>
      </c>
      <c r="C289" s="8">
        <v>46.164021164021165</v>
      </c>
      <c r="D289" s="8">
        <v>33.333333333333329</v>
      </c>
    </row>
    <row r="290" spans="1:4" ht="14.4" x14ac:dyDescent="0.3">
      <c r="A290" s="5">
        <v>71001</v>
      </c>
      <c r="B290" s="6" t="s">
        <v>302</v>
      </c>
      <c r="C290" s="8">
        <v>33.783783783783782</v>
      </c>
      <c r="D290" s="8">
        <v>49.324324324324323</v>
      </c>
    </row>
    <row r="291" spans="1:4" ht="14.4" x14ac:dyDescent="0.3">
      <c r="A291" s="5">
        <v>71002</v>
      </c>
      <c r="B291" s="6" t="s">
        <v>303</v>
      </c>
      <c r="C291" s="8">
        <v>25.2</v>
      </c>
      <c r="D291" s="8">
        <v>37.5</v>
      </c>
    </row>
    <row r="292" spans="1:4" ht="14.4" x14ac:dyDescent="0.3">
      <c r="A292" s="5">
        <v>71003</v>
      </c>
      <c r="B292" s="6" t="s">
        <v>304</v>
      </c>
      <c r="C292" s="8">
        <v>26.190476190476193</v>
      </c>
      <c r="D292" s="8">
        <v>39.805825242718448</v>
      </c>
    </row>
    <row r="293" spans="1:4" ht="14.4" x14ac:dyDescent="0.3">
      <c r="A293" s="5">
        <v>71004</v>
      </c>
      <c r="B293" s="6" t="s">
        <v>305</v>
      </c>
      <c r="C293" s="8">
        <v>29.542097488921716</v>
      </c>
      <c r="D293" s="8">
        <v>20.37037037037037</v>
      </c>
    </row>
    <row r="294" spans="1:4" ht="14.4" x14ac:dyDescent="0.3">
      <c r="A294" s="5">
        <v>71005</v>
      </c>
      <c r="B294" s="6" t="s">
        <v>231</v>
      </c>
      <c r="C294" s="8">
        <v>36.942675159235669</v>
      </c>
      <c r="D294" s="8">
        <v>36.363636363636367</v>
      </c>
    </row>
    <row r="295" spans="1:4" ht="14.4" x14ac:dyDescent="0.3">
      <c r="A295" s="5">
        <v>71101</v>
      </c>
      <c r="B295" s="6" t="s">
        <v>306</v>
      </c>
      <c r="C295" s="8">
        <v>27.397260273972602</v>
      </c>
      <c r="D295" s="8">
        <v>35.897435897435898</v>
      </c>
    </row>
    <row r="296" spans="1:4" ht="14.4" x14ac:dyDescent="0.3">
      <c r="A296" s="5">
        <v>71102</v>
      </c>
      <c r="B296" s="6" t="s">
        <v>307</v>
      </c>
      <c r="C296" s="8">
        <v>24.844720496894411</v>
      </c>
      <c r="D296" s="8">
        <v>26.923076923076923</v>
      </c>
    </row>
    <row r="297" spans="1:4" ht="14.4" x14ac:dyDescent="0.3">
      <c r="A297" s="5">
        <v>71103</v>
      </c>
      <c r="B297" s="6" t="s">
        <v>308</v>
      </c>
      <c r="C297" s="8">
        <v>17.1875</v>
      </c>
      <c r="D297" s="8">
        <v>0</v>
      </c>
    </row>
    <row r="298" spans="1:4" ht="14.4" x14ac:dyDescent="0.3">
      <c r="A298" s="5">
        <v>71104</v>
      </c>
      <c r="B298" s="6" t="s">
        <v>309</v>
      </c>
      <c r="C298" s="8">
        <v>22.950819672131146</v>
      </c>
      <c r="D298" s="8">
        <v>27.142857142857142</v>
      </c>
    </row>
    <row r="299" spans="1:4" ht="14.4" x14ac:dyDescent="0.3">
      <c r="A299" s="5">
        <v>71105</v>
      </c>
      <c r="B299" s="6" t="s">
        <v>310</v>
      </c>
      <c r="C299" s="8">
        <v>0</v>
      </c>
      <c r="D299" s="8">
        <v>0</v>
      </c>
    </row>
    <row r="300" spans="1:4" ht="14.4" x14ac:dyDescent="0.3">
      <c r="A300" s="5">
        <v>71106</v>
      </c>
      <c r="B300" s="6" t="s">
        <v>311</v>
      </c>
      <c r="C300" s="8">
        <v>28.113879003558718</v>
      </c>
      <c r="D300" s="8">
        <v>33.333333333333329</v>
      </c>
    </row>
    <row r="301" spans="1:4" ht="14.4" x14ac:dyDescent="0.3">
      <c r="A301" s="5">
        <v>71201</v>
      </c>
      <c r="B301" s="6" t="s">
        <v>312</v>
      </c>
      <c r="C301" s="8">
        <v>44.444444444444443</v>
      </c>
      <c r="D301" s="8">
        <v>43.478260869565219</v>
      </c>
    </row>
    <row r="302" spans="1:4" ht="14.4" x14ac:dyDescent="0.3">
      <c r="A302" s="5">
        <v>71301</v>
      </c>
      <c r="B302" s="6" t="s">
        <v>313</v>
      </c>
      <c r="C302" s="8">
        <v>46.579575783115608</v>
      </c>
      <c r="D302" s="8">
        <v>36.363636363636367</v>
      </c>
    </row>
    <row r="303" spans="1:4" ht="14.4" x14ac:dyDescent="0.3">
      <c r="A303" s="5">
        <v>71302</v>
      </c>
      <c r="B303" s="6" t="s">
        <v>314</v>
      </c>
      <c r="C303" s="8">
        <v>44.0771349862259</v>
      </c>
      <c r="D303" s="8">
        <v>0</v>
      </c>
    </row>
    <row r="304" spans="1:4" ht="14.4" x14ac:dyDescent="0.3">
      <c r="A304" s="5">
        <v>71401</v>
      </c>
      <c r="B304" s="6" t="s">
        <v>315</v>
      </c>
      <c r="C304" s="8">
        <v>18.75</v>
      </c>
      <c r="D304" s="8">
        <v>20</v>
      </c>
    </row>
    <row r="305" spans="1:4" ht="14.4" x14ac:dyDescent="0.3">
      <c r="A305" s="5">
        <v>71402</v>
      </c>
      <c r="B305" s="6" t="s">
        <v>316</v>
      </c>
      <c r="C305" s="8">
        <v>33.333333333333329</v>
      </c>
      <c r="D305" s="8">
        <v>25</v>
      </c>
    </row>
    <row r="306" spans="1:4" ht="14.4" x14ac:dyDescent="0.3">
      <c r="A306" s="5">
        <v>71403</v>
      </c>
      <c r="B306" s="6" t="s">
        <v>317</v>
      </c>
      <c r="C306" s="8">
        <v>29.411764705882355</v>
      </c>
      <c r="D306" s="8">
        <v>42.105263157894733</v>
      </c>
    </row>
    <row r="307" spans="1:4" ht="14.4" x14ac:dyDescent="0.3">
      <c r="A307" s="5">
        <v>71501</v>
      </c>
      <c r="B307" s="6" t="s">
        <v>318</v>
      </c>
      <c r="C307" s="8">
        <v>33.670033670033675</v>
      </c>
      <c r="D307" s="8">
        <v>16.129032258064516</v>
      </c>
    </row>
    <row r="308" spans="1:4" ht="14.4" x14ac:dyDescent="0.3">
      <c r="A308" s="5">
        <v>71502</v>
      </c>
      <c r="B308" s="6" t="s">
        <v>319</v>
      </c>
      <c r="C308" s="8">
        <v>29.411764705882355</v>
      </c>
      <c r="D308" s="8">
        <v>38.70967741935484</v>
      </c>
    </row>
    <row r="309" spans="1:4" ht="14.4" x14ac:dyDescent="0.3">
      <c r="A309" s="5">
        <v>71503</v>
      </c>
      <c r="B309" s="6" t="s">
        <v>265</v>
      </c>
      <c r="C309" s="8">
        <v>35.531914893617021</v>
      </c>
      <c r="D309" s="8">
        <v>35.646687697160885</v>
      </c>
    </row>
    <row r="310" spans="1:4" ht="14.4" x14ac:dyDescent="0.3">
      <c r="A310" s="5">
        <v>80101</v>
      </c>
      <c r="B310" s="6" t="s">
        <v>320</v>
      </c>
      <c r="C310" s="8">
        <v>0</v>
      </c>
      <c r="D310" s="8">
        <v>48.275862068965516</v>
      </c>
    </row>
    <row r="311" spans="1:4" ht="14.4" x14ac:dyDescent="0.3">
      <c r="A311" s="5">
        <v>80102</v>
      </c>
      <c r="B311" s="6" t="s">
        <v>307</v>
      </c>
      <c r="C311" s="8">
        <v>28.571428571428569</v>
      </c>
      <c r="D311" s="8">
        <v>42.307692307692307</v>
      </c>
    </row>
    <row r="312" spans="1:4" ht="14.4" x14ac:dyDescent="0.3">
      <c r="A312" s="5">
        <v>80201</v>
      </c>
      <c r="B312" s="6" t="s">
        <v>321</v>
      </c>
      <c r="C312" s="8">
        <v>23.684210526315788</v>
      </c>
      <c r="D312" s="8">
        <v>35.294117647058826</v>
      </c>
    </row>
    <row r="313" spans="1:4" ht="14.4" x14ac:dyDescent="0.3">
      <c r="A313" s="5">
        <v>80202</v>
      </c>
      <c r="B313" s="6" t="s">
        <v>322</v>
      </c>
      <c r="C313" s="8">
        <v>28.888888888888886</v>
      </c>
      <c r="D313" s="8">
        <v>34.615384615384613</v>
      </c>
    </row>
    <row r="314" spans="1:4" ht="14.4" x14ac:dyDescent="0.3">
      <c r="A314" s="5">
        <v>80301</v>
      </c>
      <c r="B314" s="6" t="s">
        <v>323</v>
      </c>
      <c r="C314" s="8">
        <v>24.390243902439025</v>
      </c>
      <c r="D314" s="8">
        <v>44.680851063829785</v>
      </c>
    </row>
    <row r="315" spans="1:4" ht="14.4" x14ac:dyDescent="0.3">
      <c r="A315" s="5">
        <v>80302</v>
      </c>
      <c r="B315" s="6" t="s">
        <v>324</v>
      </c>
      <c r="C315" s="8">
        <v>39.707536557930254</v>
      </c>
      <c r="D315" s="8">
        <v>44.303797468354425</v>
      </c>
    </row>
    <row r="316" spans="1:4" ht="14.4" x14ac:dyDescent="0.3">
      <c r="A316" s="5">
        <v>80303</v>
      </c>
      <c r="B316" s="6" t="s">
        <v>284</v>
      </c>
      <c r="C316" s="8">
        <v>30.792138177486599</v>
      </c>
      <c r="D316" s="8">
        <v>38.70967741935484</v>
      </c>
    </row>
    <row r="317" spans="1:4" ht="14.4" x14ac:dyDescent="0.3">
      <c r="A317" s="5">
        <v>80304</v>
      </c>
      <c r="B317" s="6" t="s">
        <v>325</v>
      </c>
      <c r="C317" s="8">
        <v>35.674931129476583</v>
      </c>
      <c r="D317" s="8">
        <v>57.142857142857139</v>
      </c>
    </row>
    <row r="318" spans="1:4" ht="14.4" x14ac:dyDescent="0.3">
      <c r="A318" s="5">
        <v>80401</v>
      </c>
      <c r="B318" s="6" t="s">
        <v>326</v>
      </c>
      <c r="C318" s="8">
        <v>37.931034482758619</v>
      </c>
      <c r="D318" s="8">
        <v>43.18181818181818</v>
      </c>
    </row>
    <row r="319" spans="1:4" ht="14.4" x14ac:dyDescent="0.3">
      <c r="A319" s="5">
        <v>80402</v>
      </c>
      <c r="B319" s="6" t="s">
        <v>327</v>
      </c>
      <c r="C319" s="8">
        <v>27.027027027027028</v>
      </c>
      <c r="D319" s="8">
        <v>33.846153846153847</v>
      </c>
    </row>
    <row r="320" spans="1:4" ht="14.4" x14ac:dyDescent="0.3">
      <c r="A320" s="5">
        <v>80501</v>
      </c>
      <c r="B320" s="6" t="s">
        <v>273</v>
      </c>
      <c r="C320" s="8">
        <v>37.956204379562038</v>
      </c>
      <c r="D320" s="8">
        <v>47.142857142857139</v>
      </c>
    </row>
    <row r="321" spans="1:4" ht="14.4" x14ac:dyDescent="0.3">
      <c r="A321" s="5">
        <v>80601</v>
      </c>
      <c r="B321" s="6" t="s">
        <v>328</v>
      </c>
      <c r="C321" s="8">
        <v>28.571428571428569</v>
      </c>
      <c r="D321" s="8">
        <v>24</v>
      </c>
    </row>
    <row r="322" spans="1:4" ht="14.4" x14ac:dyDescent="0.3">
      <c r="A322" s="5">
        <v>80602</v>
      </c>
      <c r="B322" s="6" t="s">
        <v>329</v>
      </c>
      <c r="C322" s="8">
        <v>36.758893280632407</v>
      </c>
      <c r="D322" s="8">
        <v>49.425287356321839</v>
      </c>
    </row>
    <row r="323" spans="1:4" ht="14.4" x14ac:dyDescent="0.3">
      <c r="A323" s="5">
        <v>80701</v>
      </c>
      <c r="B323" s="6" t="s">
        <v>330</v>
      </c>
      <c r="C323" s="8">
        <v>27.27272727272727</v>
      </c>
      <c r="D323" s="8">
        <v>53.703703703703709</v>
      </c>
    </row>
    <row r="324" spans="1:4" ht="14.4" x14ac:dyDescent="0.3">
      <c r="A324" s="5">
        <v>80702</v>
      </c>
      <c r="B324" s="6" t="s">
        <v>308</v>
      </c>
      <c r="C324" s="8">
        <v>0</v>
      </c>
      <c r="D324" s="8">
        <v>42.857142857142854</v>
      </c>
    </row>
    <row r="325" spans="1:4" ht="14.4" x14ac:dyDescent="0.3">
      <c r="A325" s="5">
        <v>80703</v>
      </c>
      <c r="B325" s="6" t="s">
        <v>331</v>
      </c>
      <c r="C325" s="8">
        <v>50</v>
      </c>
      <c r="D325" s="8">
        <v>14.285714285714285</v>
      </c>
    </row>
    <row r="326" spans="1:4" ht="14.4" x14ac:dyDescent="0.3">
      <c r="A326" s="5">
        <v>80801</v>
      </c>
      <c r="B326" s="6" t="s">
        <v>332</v>
      </c>
      <c r="C326" s="8">
        <v>41.025641025641022</v>
      </c>
      <c r="D326" s="8">
        <v>47.169811320754718</v>
      </c>
    </row>
    <row r="327" spans="1:4" ht="14.4" x14ac:dyDescent="0.3">
      <c r="A327" s="5">
        <v>80802</v>
      </c>
      <c r="B327" s="6" t="s">
        <v>333</v>
      </c>
      <c r="C327" s="8">
        <v>20</v>
      </c>
      <c r="D327" s="8">
        <v>33.333333333333329</v>
      </c>
    </row>
    <row r="328" spans="1:4" ht="14.4" x14ac:dyDescent="0.3">
      <c r="A328" s="5">
        <v>80803</v>
      </c>
      <c r="B328" s="6" t="s">
        <v>334</v>
      </c>
      <c r="C328" s="8">
        <v>12.5</v>
      </c>
      <c r="D328" s="8">
        <v>28.846153846153843</v>
      </c>
    </row>
    <row r="329" spans="1:4" ht="14.4" x14ac:dyDescent="0.3">
      <c r="A329" s="5">
        <v>80901</v>
      </c>
      <c r="B329" s="6" t="s">
        <v>335</v>
      </c>
      <c r="C329" s="8">
        <v>0</v>
      </c>
      <c r="D329" s="8">
        <v>0</v>
      </c>
    </row>
    <row r="330" spans="1:4" ht="14.4" x14ac:dyDescent="0.3">
      <c r="A330" s="5">
        <v>90101</v>
      </c>
      <c r="B330" s="6" t="s">
        <v>336</v>
      </c>
      <c r="C330" s="8">
        <v>44.630071599045344</v>
      </c>
      <c r="D330" s="8">
        <v>0</v>
      </c>
    </row>
    <row r="331" spans="1:4" ht="14.4" x14ac:dyDescent="0.3">
      <c r="A331" s="5">
        <v>90102</v>
      </c>
      <c r="B331" s="6" t="s">
        <v>337</v>
      </c>
      <c r="C331" s="8">
        <v>43.243243243243242</v>
      </c>
      <c r="D331" s="8">
        <v>0</v>
      </c>
    </row>
    <row r="332" spans="1:4" ht="14.4" x14ac:dyDescent="0.3">
      <c r="A332" s="5">
        <v>90103</v>
      </c>
      <c r="B332" s="6" t="s">
        <v>338</v>
      </c>
      <c r="C332" s="8">
        <v>44.444444444444443</v>
      </c>
      <c r="D332" s="8">
        <v>0</v>
      </c>
    </row>
    <row r="333" spans="1:4" ht="14.4" x14ac:dyDescent="0.3">
      <c r="A333" s="5">
        <v>90104</v>
      </c>
      <c r="B333" s="6" t="s">
        <v>339</v>
      </c>
      <c r="C333" s="8">
        <v>33.333333333333329</v>
      </c>
      <c r="D333" s="8">
        <v>0</v>
      </c>
    </row>
    <row r="334" spans="1:4" ht="14.4" x14ac:dyDescent="0.3">
      <c r="A334" s="5">
        <v>90201</v>
      </c>
      <c r="B334" s="6" t="s">
        <v>340</v>
      </c>
      <c r="C334" s="8">
        <v>50</v>
      </c>
      <c r="D334" s="8">
        <v>28.571428571428569</v>
      </c>
    </row>
    <row r="335" spans="1:4" ht="14.4" x14ac:dyDescent="0.3">
      <c r="A335" s="5">
        <v>90202</v>
      </c>
      <c r="B335" s="6" t="s">
        <v>231</v>
      </c>
      <c r="C335" s="8">
        <v>42.857142857142854</v>
      </c>
      <c r="D335" s="8">
        <v>0</v>
      </c>
    </row>
    <row r="336" spans="1:4" ht="14.4" x14ac:dyDescent="0.3">
      <c r="A336" s="5">
        <v>90203</v>
      </c>
      <c r="B336" s="6" t="s">
        <v>341</v>
      </c>
      <c r="C336" s="8">
        <v>38.70967741935484</v>
      </c>
      <c r="D336" s="8">
        <v>0</v>
      </c>
    </row>
    <row r="337" spans="1:4" ht="14.4" x14ac:dyDescent="0.3">
      <c r="A337" s="5">
        <v>90301</v>
      </c>
      <c r="B337" s="6" t="s">
        <v>342</v>
      </c>
      <c r="C337" s="8">
        <v>23.52941176470588</v>
      </c>
      <c r="D337" s="8">
        <v>0</v>
      </c>
    </row>
    <row r="338" spans="1:4" ht="14.4" x14ac:dyDescent="0.3">
      <c r="A338" s="5">
        <v>90302</v>
      </c>
      <c r="B338" s="6" t="s">
        <v>264</v>
      </c>
      <c r="C338" s="8">
        <v>0</v>
      </c>
      <c r="D338" s="8">
        <v>0</v>
      </c>
    </row>
    <row r="339" spans="1:4" ht="14.4" x14ac:dyDescent="0.3">
      <c r="A339" s="5">
        <v>90303</v>
      </c>
      <c r="B339" s="6" t="s">
        <v>343</v>
      </c>
      <c r="C339" s="8">
        <v>37.5</v>
      </c>
      <c r="D339" s="8">
        <v>0</v>
      </c>
    </row>
    <row r="340" spans="1:4" ht="14.4" x14ac:dyDescent="0.3">
      <c r="A340" s="5">
        <v>90401</v>
      </c>
      <c r="B340" s="6" t="s">
        <v>284</v>
      </c>
      <c r="C340" s="8">
        <v>20</v>
      </c>
      <c r="D340" s="8">
        <v>0</v>
      </c>
    </row>
    <row r="341" spans="1:4" ht="14.4" x14ac:dyDescent="0.3">
      <c r="A341" s="5">
        <v>90402</v>
      </c>
      <c r="B341" s="6" t="s">
        <v>344</v>
      </c>
      <c r="C341" s="8">
        <v>14.285714285714285</v>
      </c>
      <c r="D341" s="8">
        <v>0</v>
      </c>
    </row>
    <row r="342" spans="1:4" ht="14.4" x14ac:dyDescent="0.3">
      <c r="A342" s="5">
        <v>90501</v>
      </c>
      <c r="B342" s="6" t="s">
        <v>345</v>
      </c>
      <c r="C342" s="8">
        <v>0</v>
      </c>
      <c r="D342" s="8">
        <v>0</v>
      </c>
    </row>
    <row r="343" spans="1:4" ht="14.4" x14ac:dyDescent="0.3">
      <c r="A343" s="5">
        <v>90502</v>
      </c>
      <c r="B343" s="6" t="s">
        <v>346</v>
      </c>
      <c r="C343" s="8">
        <v>0</v>
      </c>
      <c r="D343" s="8">
        <v>0</v>
      </c>
    </row>
    <row r="344" spans="1:4" ht="14.4" x14ac:dyDescent="0.3">
      <c r="A344" s="5">
        <v>90503</v>
      </c>
      <c r="B344" s="6" t="s">
        <v>347</v>
      </c>
      <c r="C344" s="8">
        <v>66.666666666666657</v>
      </c>
      <c r="D344" s="8">
        <v>0</v>
      </c>
    </row>
    <row r="345" spans="1:4" ht="14.4" x14ac:dyDescent="0.3">
      <c r="A345" s="11"/>
      <c r="B345" s="11"/>
    </row>
    <row r="346" spans="1:4" ht="14.4" x14ac:dyDescent="0.3">
      <c r="A346" s="11"/>
      <c r="B346" s="11"/>
      <c r="C346" s="13"/>
    </row>
    <row r="347" spans="1:4" ht="14.4" x14ac:dyDescent="0.3">
      <c r="A347" s="11"/>
      <c r="B347" s="11"/>
    </row>
    <row r="348" spans="1:4" ht="14.4" x14ac:dyDescent="0.3">
      <c r="A348" s="11"/>
      <c r="B348" s="11"/>
      <c r="C348" s="13"/>
    </row>
    <row r="349" spans="1:4" ht="14.4" x14ac:dyDescent="0.3">
      <c r="A349" s="11"/>
      <c r="B349" s="11"/>
      <c r="C349" s="13"/>
    </row>
    <row r="350" spans="1:4" ht="14.4" x14ac:dyDescent="0.3">
      <c r="A350" s="11"/>
      <c r="B350" s="11"/>
    </row>
    <row r="351" spans="1:4" ht="14.4" x14ac:dyDescent="0.3">
      <c r="A351" s="11"/>
      <c r="B351" s="11"/>
    </row>
    <row r="352" spans="1:4" ht="14.4" x14ac:dyDescent="0.3">
      <c r="A352" s="11"/>
      <c r="B352" s="11"/>
    </row>
    <row r="353" spans="1:2" ht="14.4" x14ac:dyDescent="0.3">
      <c r="A353" s="11"/>
      <c r="B353" s="11"/>
    </row>
    <row r="354" spans="1:2" ht="14.4" x14ac:dyDescent="0.3">
      <c r="A354" s="11"/>
      <c r="B354" s="11"/>
    </row>
    <row r="355" spans="1:2" ht="14.4" x14ac:dyDescent="0.3">
      <c r="A355" s="11"/>
      <c r="B355" s="11"/>
    </row>
    <row r="356" spans="1:2" ht="14.4" x14ac:dyDescent="0.3">
      <c r="A356" s="11"/>
      <c r="B356" s="11"/>
    </row>
    <row r="357" spans="1:2" ht="14.4" x14ac:dyDescent="0.3">
      <c r="A357" s="11"/>
      <c r="B357" s="11"/>
    </row>
    <row r="358" spans="1:2" ht="14.4" x14ac:dyDescent="0.3">
      <c r="A358" s="11"/>
      <c r="B358" s="11"/>
    </row>
    <row r="359" spans="1:2" ht="14.4" x14ac:dyDescent="0.3">
      <c r="A359" s="11"/>
      <c r="B359" s="11"/>
    </row>
    <row r="360" spans="1:2" ht="14.4" x14ac:dyDescent="0.3">
      <c r="A360" s="11"/>
      <c r="B360" s="11"/>
    </row>
    <row r="361" spans="1:2" ht="14.4" x14ac:dyDescent="0.3">
      <c r="A361" s="11"/>
      <c r="B361" s="11"/>
    </row>
    <row r="362" spans="1:2" ht="14.4" x14ac:dyDescent="0.3">
      <c r="A362" s="11"/>
      <c r="B362" s="11"/>
    </row>
    <row r="363" spans="1:2" ht="14.4" x14ac:dyDescent="0.3">
      <c r="A363" s="11"/>
      <c r="B363" s="11"/>
    </row>
    <row r="364" spans="1:2" ht="14.4" x14ac:dyDescent="0.3">
      <c r="A364" s="11"/>
      <c r="B364" s="11"/>
    </row>
    <row r="365" spans="1:2" ht="14.4" x14ac:dyDescent="0.3">
      <c r="A365" s="11"/>
      <c r="B365" s="11"/>
    </row>
    <row r="366" spans="1:2" ht="14.4" x14ac:dyDescent="0.3">
      <c r="A366" s="11"/>
      <c r="B366" s="11"/>
    </row>
    <row r="367" spans="1:2" ht="14.4" x14ac:dyDescent="0.3">
      <c r="A367" s="11"/>
      <c r="B367" s="11"/>
    </row>
    <row r="368" spans="1:2" ht="14.4" x14ac:dyDescent="0.3">
      <c r="A368" s="11"/>
      <c r="B368" s="11"/>
    </row>
    <row r="369" spans="1:2" ht="14.4" x14ac:dyDescent="0.3">
      <c r="A369" s="11"/>
      <c r="B369" s="11"/>
    </row>
    <row r="370" spans="1:2" ht="14.4" x14ac:dyDescent="0.3">
      <c r="A370" s="11"/>
      <c r="B370" s="11"/>
    </row>
    <row r="371" spans="1:2" ht="14.4" x14ac:dyDescent="0.3">
      <c r="A371" s="11"/>
      <c r="B371" s="11"/>
    </row>
    <row r="372" spans="1:2" ht="14.4" x14ac:dyDescent="0.3">
      <c r="A372" s="11"/>
      <c r="B372" s="11"/>
    </row>
    <row r="373" spans="1:2" ht="14.4" x14ac:dyDescent="0.3">
      <c r="A373" s="11"/>
      <c r="B373" s="11"/>
    </row>
    <row r="374" spans="1:2" ht="14.4" x14ac:dyDescent="0.3">
      <c r="A374" s="11"/>
      <c r="B374" s="11"/>
    </row>
    <row r="375" spans="1:2" ht="14.4" x14ac:dyDescent="0.3">
      <c r="A375" s="11"/>
      <c r="B375" s="11"/>
    </row>
    <row r="376" spans="1:2" ht="14.4" x14ac:dyDescent="0.3">
      <c r="A376" s="11"/>
      <c r="B376" s="11"/>
    </row>
    <row r="377" spans="1:2" ht="14.4" x14ac:dyDescent="0.3">
      <c r="A377" s="11"/>
      <c r="B377" s="11"/>
    </row>
    <row r="378" spans="1:2" ht="14.4" x14ac:dyDescent="0.3">
      <c r="A378" s="11"/>
      <c r="B378" s="11"/>
    </row>
    <row r="379" spans="1:2" ht="14.4" x14ac:dyDescent="0.3">
      <c r="A379" s="11"/>
      <c r="B379" s="11"/>
    </row>
    <row r="380" spans="1:2" ht="14.4" x14ac:dyDescent="0.3">
      <c r="A380" s="11"/>
      <c r="B380" s="11"/>
    </row>
    <row r="381" spans="1:2" ht="14.4" x14ac:dyDescent="0.3">
      <c r="A381" s="11"/>
      <c r="B381" s="11"/>
    </row>
    <row r="382" spans="1:2" ht="14.4" x14ac:dyDescent="0.3">
      <c r="A382" s="11"/>
      <c r="B382" s="11"/>
    </row>
    <row r="383" spans="1:2" ht="14.4" x14ac:dyDescent="0.3">
      <c r="A383" s="11"/>
      <c r="B383" s="11"/>
    </row>
    <row r="384" spans="1:2" ht="14.4" x14ac:dyDescent="0.3">
      <c r="A384" s="11"/>
      <c r="B384" s="11"/>
    </row>
    <row r="385" spans="1:2" ht="14.4" x14ac:dyDescent="0.3">
      <c r="A385" s="11"/>
      <c r="B385" s="11"/>
    </row>
    <row r="386" spans="1:2" ht="14.4" x14ac:dyDescent="0.3">
      <c r="A386" s="11"/>
      <c r="B386" s="11"/>
    </row>
    <row r="387" spans="1:2" ht="14.4" x14ac:dyDescent="0.3">
      <c r="A387" s="11"/>
      <c r="B387" s="11"/>
    </row>
    <row r="388" spans="1:2" ht="14.4" x14ac:dyDescent="0.3">
      <c r="A388" s="11"/>
      <c r="B388" s="11"/>
    </row>
    <row r="389" spans="1:2" ht="14.4" x14ac:dyDescent="0.3">
      <c r="A389" s="11"/>
      <c r="B389" s="11"/>
    </row>
    <row r="390" spans="1:2" ht="14.4" x14ac:dyDescent="0.3">
      <c r="A390" s="11"/>
      <c r="B390" s="11"/>
    </row>
    <row r="391" spans="1:2" ht="14.4" x14ac:dyDescent="0.3">
      <c r="A391" s="11"/>
      <c r="B391" s="11"/>
    </row>
    <row r="392" spans="1:2" ht="14.4" x14ac:dyDescent="0.3">
      <c r="A392" s="11"/>
      <c r="B392" s="11"/>
    </row>
    <row r="393" spans="1:2" ht="14.4" x14ac:dyDescent="0.3">
      <c r="A393" s="11"/>
      <c r="B393" s="11"/>
    </row>
    <row r="394" spans="1:2" ht="14.4" x14ac:dyDescent="0.3">
      <c r="A394" s="11"/>
      <c r="B394" s="11"/>
    </row>
    <row r="395" spans="1:2" ht="14.4" x14ac:dyDescent="0.3">
      <c r="A395" s="11"/>
      <c r="B395" s="11"/>
    </row>
    <row r="396" spans="1:2" ht="14.4" x14ac:dyDescent="0.3">
      <c r="A396" s="11"/>
      <c r="B396" s="11"/>
    </row>
    <row r="397" spans="1:2" ht="14.4" x14ac:dyDescent="0.3">
      <c r="A397" s="11"/>
      <c r="B397" s="11"/>
    </row>
    <row r="398" spans="1:2" ht="14.4" x14ac:dyDescent="0.3">
      <c r="A398" s="11"/>
      <c r="B398" s="11"/>
    </row>
    <row r="399" spans="1:2" ht="14.4" x14ac:dyDescent="0.3">
      <c r="A399" s="11"/>
      <c r="B399" s="11"/>
    </row>
    <row r="400" spans="1:2" ht="14.4" x14ac:dyDescent="0.3">
      <c r="A400" s="11"/>
      <c r="B400" s="11"/>
    </row>
    <row r="401" spans="1:2" ht="14.4" x14ac:dyDescent="0.3">
      <c r="A401" s="11"/>
      <c r="B401" s="11"/>
    </row>
    <row r="402" spans="1:2" ht="14.4" x14ac:dyDescent="0.3">
      <c r="A402" s="11"/>
      <c r="B402" s="11"/>
    </row>
    <row r="403" spans="1:2" ht="14.4" x14ac:dyDescent="0.3">
      <c r="A403" s="11"/>
      <c r="B403" s="11"/>
    </row>
    <row r="404" spans="1:2" ht="14.4" x14ac:dyDescent="0.3">
      <c r="A404" s="11"/>
      <c r="B404" s="11"/>
    </row>
    <row r="405" spans="1:2" ht="14.4" x14ac:dyDescent="0.3">
      <c r="A405" s="11"/>
      <c r="B405" s="11"/>
    </row>
    <row r="406" spans="1:2" ht="14.4" x14ac:dyDescent="0.3">
      <c r="A406" s="11"/>
      <c r="B406" s="11"/>
    </row>
    <row r="407" spans="1:2" ht="14.4" x14ac:dyDescent="0.3">
      <c r="A407" s="11"/>
      <c r="B407" s="11"/>
    </row>
    <row r="408" spans="1:2" ht="14.4" x14ac:dyDescent="0.3">
      <c r="A408" s="11"/>
      <c r="B408" s="11"/>
    </row>
    <row r="409" spans="1:2" ht="14.4" x14ac:dyDescent="0.3">
      <c r="A409" s="11"/>
      <c r="B409" s="11"/>
    </row>
    <row r="410" spans="1:2" ht="14.4" x14ac:dyDescent="0.3">
      <c r="A410" s="11"/>
      <c r="B410" s="11"/>
    </row>
    <row r="411" spans="1:2" ht="14.4" x14ac:dyDescent="0.3">
      <c r="A411" s="11"/>
      <c r="B411" s="11"/>
    </row>
    <row r="412" spans="1:2" ht="14.4" x14ac:dyDescent="0.3">
      <c r="A412" s="11"/>
      <c r="B412" s="11"/>
    </row>
    <row r="413" spans="1:2" ht="14.4" x14ac:dyDescent="0.3">
      <c r="A413" s="11"/>
      <c r="B413" s="11"/>
    </row>
    <row r="414" spans="1:2" ht="14.4" x14ac:dyDescent="0.3">
      <c r="A414" s="11"/>
      <c r="B414" s="11"/>
    </row>
    <row r="415" spans="1:2" ht="14.4" x14ac:dyDescent="0.3">
      <c r="A415" s="11"/>
      <c r="B415" s="11"/>
    </row>
    <row r="416" spans="1:2" ht="14.4" x14ac:dyDescent="0.3">
      <c r="A416" s="11"/>
      <c r="B416" s="11"/>
    </row>
    <row r="417" spans="1:2" ht="14.4" x14ac:dyDescent="0.3">
      <c r="A417" s="11"/>
      <c r="B417" s="11"/>
    </row>
    <row r="418" spans="1:2" ht="14.4" x14ac:dyDescent="0.3">
      <c r="A418" s="11"/>
      <c r="B418" s="11"/>
    </row>
    <row r="419" spans="1:2" ht="14.4" x14ac:dyDescent="0.3">
      <c r="A419" s="11"/>
      <c r="B419" s="11"/>
    </row>
    <row r="420" spans="1:2" ht="14.4" x14ac:dyDescent="0.3">
      <c r="A420" s="11"/>
      <c r="B420" s="11"/>
    </row>
    <row r="421" spans="1:2" ht="14.4" x14ac:dyDescent="0.3">
      <c r="A421" s="11"/>
      <c r="B421" s="11"/>
    </row>
    <row r="422" spans="1:2" ht="14.4" x14ac:dyDescent="0.3">
      <c r="A422" s="11"/>
      <c r="B422" s="11"/>
    </row>
    <row r="423" spans="1:2" ht="14.4" x14ac:dyDescent="0.3">
      <c r="A423" s="11"/>
      <c r="B423" s="11"/>
    </row>
    <row r="424" spans="1:2" ht="14.4" x14ac:dyDescent="0.3">
      <c r="A424" s="11"/>
      <c r="B424" s="11"/>
    </row>
    <row r="425" spans="1:2" ht="14.4" x14ac:dyDescent="0.3">
      <c r="A425" s="11"/>
      <c r="B425" s="11"/>
    </row>
    <row r="426" spans="1:2" ht="14.4" x14ac:dyDescent="0.3">
      <c r="A426" s="11"/>
      <c r="B426" s="11"/>
    </row>
    <row r="427" spans="1:2" ht="14.4" x14ac:dyDescent="0.3">
      <c r="A427" s="11"/>
      <c r="B427" s="11"/>
    </row>
    <row r="428" spans="1:2" ht="14.4" x14ac:dyDescent="0.3">
      <c r="A428" s="11"/>
      <c r="B428" s="11"/>
    </row>
    <row r="429" spans="1:2" ht="14.4" x14ac:dyDescent="0.3">
      <c r="A429" s="11"/>
      <c r="B429" s="11"/>
    </row>
    <row r="430" spans="1:2" ht="14.4" x14ac:dyDescent="0.3">
      <c r="A430" s="11"/>
      <c r="B430" s="11"/>
    </row>
    <row r="431" spans="1:2" ht="14.4" x14ac:dyDescent="0.3">
      <c r="A431" s="11"/>
      <c r="B431" s="11"/>
    </row>
    <row r="432" spans="1:2" ht="14.4" x14ac:dyDescent="0.3">
      <c r="A432" s="11"/>
      <c r="B432" s="11"/>
    </row>
    <row r="433" spans="1:2" ht="14.4" x14ac:dyDescent="0.3">
      <c r="A433" s="11"/>
      <c r="B433" s="11"/>
    </row>
    <row r="434" spans="1:2" ht="14.4" x14ac:dyDescent="0.3">
      <c r="A434" s="11"/>
      <c r="B434" s="11"/>
    </row>
    <row r="435" spans="1:2" ht="14.4" x14ac:dyDescent="0.3">
      <c r="A435" s="11"/>
      <c r="B435" s="11"/>
    </row>
    <row r="436" spans="1:2" ht="14.4" x14ac:dyDescent="0.3">
      <c r="A436" s="11"/>
      <c r="B436" s="11"/>
    </row>
    <row r="437" spans="1:2" ht="14.4" x14ac:dyDescent="0.3">
      <c r="A437" s="11"/>
      <c r="B437" s="11"/>
    </row>
    <row r="438" spans="1:2" ht="14.4" x14ac:dyDescent="0.3">
      <c r="A438" s="11"/>
      <c r="B438" s="11"/>
    </row>
    <row r="439" spans="1:2" ht="14.4" x14ac:dyDescent="0.3">
      <c r="A439" s="11"/>
      <c r="B439" s="11"/>
    </row>
    <row r="440" spans="1:2" ht="14.4" x14ac:dyDescent="0.3">
      <c r="A440" s="11"/>
      <c r="B440" s="11"/>
    </row>
    <row r="441" spans="1:2" ht="14.4" x14ac:dyDescent="0.3">
      <c r="A441" s="11"/>
      <c r="B441" s="11"/>
    </row>
    <row r="442" spans="1:2" ht="14.4" x14ac:dyDescent="0.3">
      <c r="A442" s="11"/>
      <c r="B442" s="11"/>
    </row>
    <row r="443" spans="1:2" ht="14.4" x14ac:dyDescent="0.3">
      <c r="A443" s="11"/>
      <c r="B443" s="11"/>
    </row>
    <row r="444" spans="1:2" ht="14.4" x14ac:dyDescent="0.3">
      <c r="A444" s="11"/>
      <c r="B444" s="11"/>
    </row>
    <row r="445" spans="1:2" ht="14.4" x14ac:dyDescent="0.3">
      <c r="A445" s="11"/>
      <c r="B445" s="11"/>
    </row>
    <row r="446" spans="1:2" ht="14.4" x14ac:dyDescent="0.3">
      <c r="A446" s="11"/>
      <c r="B446" s="11"/>
    </row>
    <row r="447" spans="1:2" ht="14.4" x14ac:dyDescent="0.3">
      <c r="A447" s="11"/>
      <c r="B447" s="11"/>
    </row>
    <row r="448" spans="1:2" ht="14.4" x14ac:dyDescent="0.3">
      <c r="A448" s="11"/>
      <c r="B448" s="11"/>
    </row>
    <row r="449" spans="1:2" ht="14.4" x14ac:dyDescent="0.3">
      <c r="A449" s="11"/>
      <c r="B449" s="11"/>
    </row>
    <row r="450" spans="1:2" ht="14.4" x14ac:dyDescent="0.3">
      <c r="A450" s="11"/>
      <c r="B450" s="11"/>
    </row>
    <row r="451" spans="1:2" ht="14.4" x14ac:dyDescent="0.3">
      <c r="A451" s="11"/>
      <c r="B451" s="11"/>
    </row>
    <row r="452" spans="1:2" ht="14.4" x14ac:dyDescent="0.3">
      <c r="A452" s="11"/>
      <c r="B452" s="11"/>
    </row>
    <row r="453" spans="1:2" ht="14.4" x14ac:dyDescent="0.3">
      <c r="A453" s="11"/>
      <c r="B453" s="11"/>
    </row>
    <row r="454" spans="1:2" ht="14.4" x14ac:dyDescent="0.3">
      <c r="A454" s="11"/>
      <c r="B454" s="11"/>
    </row>
    <row r="455" spans="1:2" ht="14.4" x14ac:dyDescent="0.3">
      <c r="A455" s="11"/>
      <c r="B455" s="11"/>
    </row>
    <row r="456" spans="1:2" ht="14.4" x14ac:dyDescent="0.3">
      <c r="A456" s="11"/>
      <c r="B456" s="11"/>
    </row>
    <row r="457" spans="1:2" ht="14.4" x14ac:dyDescent="0.3">
      <c r="A457" s="11"/>
      <c r="B457" s="11"/>
    </row>
    <row r="458" spans="1:2" ht="14.4" x14ac:dyDescent="0.3">
      <c r="A458" s="11"/>
      <c r="B458" s="11"/>
    </row>
    <row r="459" spans="1:2" ht="14.4" x14ac:dyDescent="0.3">
      <c r="A459" s="11"/>
      <c r="B459" s="11"/>
    </row>
    <row r="460" spans="1:2" ht="14.4" x14ac:dyDescent="0.3">
      <c r="A460" s="11"/>
      <c r="B460" s="11"/>
    </row>
    <row r="461" spans="1:2" ht="14.4" x14ac:dyDescent="0.3">
      <c r="A461" s="11"/>
      <c r="B461" s="11"/>
    </row>
    <row r="462" spans="1:2" ht="14.4" x14ac:dyDescent="0.3">
      <c r="A462" s="11"/>
      <c r="B462" s="11"/>
    </row>
    <row r="463" spans="1:2" ht="14.4" x14ac:dyDescent="0.3">
      <c r="A463" s="11"/>
      <c r="B463" s="11"/>
    </row>
    <row r="464" spans="1:2" ht="14.4" x14ac:dyDescent="0.3">
      <c r="A464" s="11"/>
      <c r="B464" s="11"/>
    </row>
    <row r="465" spans="1:2" ht="14.4" x14ac:dyDescent="0.3">
      <c r="A465" s="11"/>
      <c r="B465" s="11"/>
    </row>
    <row r="466" spans="1:2" ht="14.4" x14ac:dyDescent="0.3">
      <c r="A466" s="11"/>
      <c r="B466" s="11"/>
    </row>
    <row r="467" spans="1:2" ht="14.4" x14ac:dyDescent="0.3">
      <c r="A467" s="11"/>
      <c r="B467" s="11"/>
    </row>
    <row r="468" spans="1:2" ht="14.4" x14ac:dyDescent="0.3">
      <c r="A468" s="11"/>
      <c r="B468" s="11"/>
    </row>
    <row r="469" spans="1:2" ht="14.4" x14ac:dyDescent="0.3">
      <c r="A469" s="11"/>
      <c r="B469" s="11"/>
    </row>
    <row r="470" spans="1:2" ht="14.4" x14ac:dyDescent="0.3">
      <c r="A470" s="11"/>
      <c r="B470" s="11"/>
    </row>
    <row r="471" spans="1:2" ht="14.4" x14ac:dyDescent="0.3">
      <c r="A471" s="11"/>
      <c r="B471" s="11"/>
    </row>
    <row r="472" spans="1:2" ht="14.4" x14ac:dyDescent="0.3">
      <c r="A472" s="11"/>
      <c r="B472" s="11"/>
    </row>
    <row r="473" spans="1:2" ht="14.4" x14ac:dyDescent="0.3">
      <c r="A473" s="11"/>
      <c r="B473" s="11"/>
    </row>
    <row r="474" spans="1:2" ht="14.4" x14ac:dyDescent="0.3">
      <c r="A474" s="11"/>
      <c r="B474" s="11"/>
    </row>
    <row r="475" spans="1:2" ht="14.4" x14ac:dyDescent="0.3">
      <c r="A475" s="11"/>
      <c r="B475" s="11"/>
    </row>
    <row r="476" spans="1:2" ht="14.4" x14ac:dyDescent="0.3">
      <c r="A476" s="11"/>
      <c r="B476" s="11"/>
    </row>
    <row r="477" spans="1:2" ht="14.4" x14ac:dyDescent="0.3">
      <c r="A477" s="11"/>
      <c r="B477" s="11"/>
    </row>
    <row r="478" spans="1:2" ht="14.4" x14ac:dyDescent="0.3">
      <c r="A478" s="11"/>
      <c r="B478" s="11"/>
    </row>
    <row r="479" spans="1:2" ht="14.4" x14ac:dyDescent="0.3">
      <c r="A479" s="11"/>
      <c r="B479" s="11"/>
    </row>
    <row r="480" spans="1:2" ht="14.4" x14ac:dyDescent="0.3">
      <c r="A480" s="11"/>
      <c r="B480" s="11"/>
    </row>
    <row r="481" spans="1:2" ht="14.4" x14ac:dyDescent="0.3">
      <c r="A481" s="11"/>
      <c r="B481" s="11"/>
    </row>
    <row r="482" spans="1:2" ht="14.4" x14ac:dyDescent="0.3">
      <c r="A482" s="11"/>
      <c r="B482" s="11"/>
    </row>
    <row r="483" spans="1:2" ht="14.4" x14ac:dyDescent="0.3">
      <c r="A483" s="11"/>
      <c r="B483" s="11"/>
    </row>
    <row r="484" spans="1:2" ht="14.4" x14ac:dyDescent="0.3">
      <c r="A484" s="11"/>
      <c r="B484" s="11"/>
    </row>
    <row r="485" spans="1:2" ht="14.4" x14ac:dyDescent="0.3">
      <c r="A485" s="11"/>
      <c r="B485" s="11"/>
    </row>
    <row r="486" spans="1:2" ht="14.4" x14ac:dyDescent="0.3">
      <c r="A486" s="11"/>
      <c r="B486" s="11"/>
    </row>
    <row r="487" spans="1:2" ht="14.4" x14ac:dyDescent="0.3">
      <c r="A487" s="11"/>
      <c r="B487" s="11"/>
    </row>
    <row r="488" spans="1:2" ht="14.4" x14ac:dyDescent="0.3">
      <c r="A488" s="11"/>
      <c r="B488" s="11"/>
    </row>
    <row r="489" spans="1:2" ht="14.4" x14ac:dyDescent="0.3">
      <c r="A489" s="11"/>
      <c r="B489" s="11"/>
    </row>
    <row r="490" spans="1:2" ht="14.4" x14ac:dyDescent="0.3">
      <c r="A490" s="11"/>
      <c r="B490" s="11"/>
    </row>
    <row r="491" spans="1:2" ht="14.4" x14ac:dyDescent="0.3">
      <c r="A491" s="11"/>
      <c r="B491" s="11"/>
    </row>
    <row r="492" spans="1:2" ht="14.4" x14ac:dyDescent="0.3">
      <c r="A492" s="11"/>
      <c r="B492" s="11"/>
    </row>
    <row r="493" spans="1:2" ht="14.4" x14ac:dyDescent="0.3">
      <c r="A493" s="11"/>
      <c r="B493" s="11"/>
    </row>
    <row r="494" spans="1:2" ht="14.4" x14ac:dyDescent="0.3">
      <c r="A494" s="11"/>
      <c r="B494" s="11"/>
    </row>
    <row r="495" spans="1:2" ht="14.4" x14ac:dyDescent="0.3">
      <c r="A495" s="11"/>
      <c r="B495" s="11"/>
    </row>
    <row r="496" spans="1:2" ht="14.4" x14ac:dyDescent="0.3">
      <c r="A496" s="11"/>
      <c r="B496" s="11"/>
    </row>
    <row r="497" spans="1:2" ht="14.4" x14ac:dyDescent="0.3">
      <c r="A497" s="11"/>
      <c r="B497" s="11"/>
    </row>
    <row r="498" spans="1:2" ht="14.4" x14ac:dyDescent="0.3">
      <c r="A498" s="11"/>
      <c r="B498" s="11"/>
    </row>
    <row r="499" spans="1:2" ht="14.4" x14ac:dyDescent="0.3">
      <c r="A499" s="11"/>
      <c r="B499" s="11"/>
    </row>
    <row r="500" spans="1:2" ht="14.4" x14ac:dyDescent="0.3">
      <c r="A500" s="11"/>
      <c r="B500" s="11"/>
    </row>
    <row r="501" spans="1:2" ht="14.4" x14ac:dyDescent="0.3">
      <c r="A501" s="11"/>
      <c r="B501" s="11"/>
    </row>
    <row r="502" spans="1:2" ht="14.4" x14ac:dyDescent="0.3">
      <c r="A502" s="11"/>
      <c r="B502" s="11"/>
    </row>
    <row r="503" spans="1:2" ht="14.4" x14ac:dyDescent="0.3">
      <c r="A503" s="11"/>
      <c r="B503" s="11"/>
    </row>
    <row r="504" spans="1:2" ht="14.4" x14ac:dyDescent="0.3">
      <c r="A504" s="11"/>
      <c r="B504" s="11"/>
    </row>
    <row r="505" spans="1:2" ht="14.4" x14ac:dyDescent="0.3">
      <c r="A505" s="11"/>
      <c r="B505" s="11"/>
    </row>
    <row r="506" spans="1:2" ht="14.4" x14ac:dyDescent="0.3">
      <c r="A506" s="11"/>
      <c r="B506" s="11"/>
    </row>
    <row r="507" spans="1:2" ht="14.4" x14ac:dyDescent="0.3">
      <c r="A507" s="11"/>
      <c r="B507" s="11"/>
    </row>
    <row r="508" spans="1:2" ht="14.4" x14ac:dyDescent="0.3">
      <c r="A508" s="11"/>
      <c r="B508" s="11"/>
    </row>
    <row r="509" spans="1:2" ht="14.4" x14ac:dyDescent="0.3">
      <c r="A509" s="11"/>
      <c r="B509" s="11"/>
    </row>
    <row r="510" spans="1:2" ht="14.4" x14ac:dyDescent="0.3">
      <c r="A510" s="11"/>
      <c r="B510" s="11"/>
    </row>
    <row r="511" spans="1:2" ht="14.4" x14ac:dyDescent="0.3">
      <c r="A511" s="11"/>
      <c r="B511" s="11"/>
    </row>
    <row r="512" spans="1:2" ht="14.4" x14ac:dyDescent="0.3">
      <c r="A512" s="11"/>
      <c r="B512" s="11"/>
    </row>
    <row r="513" spans="1:2" ht="14.4" x14ac:dyDescent="0.3">
      <c r="A513" s="11"/>
      <c r="B513" s="11"/>
    </row>
    <row r="514" spans="1:2" ht="14.4" x14ac:dyDescent="0.3">
      <c r="A514" s="11"/>
      <c r="B514" s="11"/>
    </row>
    <row r="515" spans="1:2" ht="14.4" x14ac:dyDescent="0.3">
      <c r="A515" s="11"/>
      <c r="B515" s="11"/>
    </row>
    <row r="516" spans="1:2" ht="14.4" x14ac:dyDescent="0.3">
      <c r="A516" s="11"/>
      <c r="B516" s="11"/>
    </row>
    <row r="517" spans="1:2" ht="14.4" x14ac:dyDescent="0.3">
      <c r="A517" s="11"/>
      <c r="B517" s="11"/>
    </row>
    <row r="518" spans="1:2" ht="14.4" x14ac:dyDescent="0.3">
      <c r="A518" s="11"/>
      <c r="B518" s="11"/>
    </row>
    <row r="519" spans="1:2" ht="14.4" x14ac:dyDescent="0.3">
      <c r="A519" s="11"/>
      <c r="B519" s="11"/>
    </row>
    <row r="520" spans="1:2" ht="14.4" x14ac:dyDescent="0.3">
      <c r="A520" s="11"/>
      <c r="B520" s="11"/>
    </row>
    <row r="521" spans="1:2" ht="14.4" x14ac:dyDescent="0.3">
      <c r="A521" s="11"/>
      <c r="B521" s="11"/>
    </row>
    <row r="522" spans="1:2" ht="14.4" x14ac:dyDescent="0.3">
      <c r="A522" s="11"/>
      <c r="B522" s="11"/>
    </row>
    <row r="523" spans="1:2" ht="14.4" x14ac:dyDescent="0.3">
      <c r="A523" s="11"/>
      <c r="B523" s="11"/>
    </row>
    <row r="524" spans="1:2" ht="14.4" x14ac:dyDescent="0.3">
      <c r="A524" s="11"/>
      <c r="B524" s="11"/>
    </row>
    <row r="525" spans="1:2" ht="14.4" x14ac:dyDescent="0.3">
      <c r="A525" s="11"/>
      <c r="B525" s="11"/>
    </row>
    <row r="526" spans="1:2" ht="14.4" x14ac:dyDescent="0.3">
      <c r="A526" s="11"/>
      <c r="B526" s="11"/>
    </row>
    <row r="527" spans="1:2" ht="14.4" x14ac:dyDescent="0.3">
      <c r="A527" s="11"/>
      <c r="B527" s="11"/>
    </row>
    <row r="528" spans="1:2" ht="14.4" x14ac:dyDescent="0.3">
      <c r="A528" s="11"/>
      <c r="B528" s="11"/>
    </row>
    <row r="529" spans="1:2" ht="14.4" x14ac:dyDescent="0.3">
      <c r="A529" s="11"/>
      <c r="B529" s="11"/>
    </row>
    <row r="530" spans="1:2" ht="14.4" x14ac:dyDescent="0.3">
      <c r="A530" s="11"/>
      <c r="B530" s="11"/>
    </row>
    <row r="531" spans="1:2" ht="14.4" x14ac:dyDescent="0.3">
      <c r="A531" s="11"/>
      <c r="B531" s="11"/>
    </row>
    <row r="532" spans="1:2" ht="14.4" x14ac:dyDescent="0.3">
      <c r="A532" s="11"/>
      <c r="B532" s="11"/>
    </row>
    <row r="533" spans="1:2" ht="14.4" x14ac:dyDescent="0.3">
      <c r="A533" s="11"/>
      <c r="B533" s="11"/>
    </row>
    <row r="534" spans="1:2" ht="14.4" x14ac:dyDescent="0.3">
      <c r="A534" s="11"/>
      <c r="B534" s="11"/>
    </row>
    <row r="535" spans="1:2" ht="14.4" x14ac:dyDescent="0.3">
      <c r="A535" s="11"/>
      <c r="B535" s="11"/>
    </row>
    <row r="536" spans="1:2" ht="14.4" x14ac:dyDescent="0.3">
      <c r="A536" s="11"/>
      <c r="B536" s="11"/>
    </row>
    <row r="537" spans="1:2" ht="14.4" x14ac:dyDescent="0.3">
      <c r="A537" s="11"/>
      <c r="B537" s="11"/>
    </row>
    <row r="538" spans="1:2" ht="14.4" x14ac:dyDescent="0.3">
      <c r="A538" s="11"/>
      <c r="B538" s="11"/>
    </row>
    <row r="539" spans="1:2" ht="14.4" x14ac:dyDescent="0.3">
      <c r="A539" s="11"/>
      <c r="B539" s="11"/>
    </row>
    <row r="540" spans="1:2" ht="14.4" x14ac:dyDescent="0.3">
      <c r="A540" s="11"/>
      <c r="B540" s="11"/>
    </row>
    <row r="541" spans="1:2" ht="14.4" x14ac:dyDescent="0.3">
      <c r="A541" s="11"/>
      <c r="B541" s="11"/>
    </row>
    <row r="542" spans="1:2" ht="14.4" x14ac:dyDescent="0.3">
      <c r="A542" s="11"/>
      <c r="B542" s="11"/>
    </row>
    <row r="543" spans="1:2" ht="14.4" x14ac:dyDescent="0.3">
      <c r="A543" s="11"/>
      <c r="B543" s="11"/>
    </row>
    <row r="544" spans="1:2" ht="14.4" x14ac:dyDescent="0.3">
      <c r="A544" s="11"/>
      <c r="B544" s="11"/>
    </row>
    <row r="545" spans="1:2" ht="14.4" x14ac:dyDescent="0.3">
      <c r="A545" s="11"/>
      <c r="B545" s="11"/>
    </row>
    <row r="546" spans="1:2" ht="14.4" x14ac:dyDescent="0.3">
      <c r="A546" s="11"/>
      <c r="B546" s="11"/>
    </row>
    <row r="547" spans="1:2" ht="14.4" x14ac:dyDescent="0.3">
      <c r="A547" s="11"/>
      <c r="B547" s="11"/>
    </row>
    <row r="548" spans="1:2" ht="14.4" x14ac:dyDescent="0.3">
      <c r="A548" s="11"/>
      <c r="B548" s="11"/>
    </row>
    <row r="549" spans="1:2" ht="14.4" x14ac:dyDescent="0.3">
      <c r="A549" s="11"/>
      <c r="B549" s="11"/>
    </row>
    <row r="550" spans="1:2" ht="14.4" x14ac:dyDescent="0.3">
      <c r="A550" s="11"/>
      <c r="B550" s="11"/>
    </row>
    <row r="551" spans="1:2" ht="14.4" x14ac:dyDescent="0.3">
      <c r="A551" s="11"/>
      <c r="B551" s="11"/>
    </row>
    <row r="552" spans="1:2" ht="14.4" x14ac:dyDescent="0.3">
      <c r="A552" s="11"/>
      <c r="B552" s="11"/>
    </row>
    <row r="553" spans="1:2" ht="14.4" x14ac:dyDescent="0.3">
      <c r="A553" s="11"/>
      <c r="B553" s="11"/>
    </row>
    <row r="554" spans="1:2" ht="14.4" x14ac:dyDescent="0.3">
      <c r="A554" s="11"/>
      <c r="B554" s="11"/>
    </row>
    <row r="555" spans="1:2" ht="14.4" x14ac:dyDescent="0.3">
      <c r="A555" s="11"/>
      <c r="B555" s="11"/>
    </row>
    <row r="556" spans="1:2" ht="14.4" x14ac:dyDescent="0.3">
      <c r="A556" s="11"/>
      <c r="B556" s="11"/>
    </row>
    <row r="557" spans="1:2" ht="14.4" x14ac:dyDescent="0.3">
      <c r="A557" s="11"/>
      <c r="B557" s="11"/>
    </row>
    <row r="558" spans="1:2" ht="14.4" x14ac:dyDescent="0.3">
      <c r="A558" s="11"/>
      <c r="B558" s="11"/>
    </row>
    <row r="559" spans="1:2" ht="14.4" x14ac:dyDescent="0.3">
      <c r="A559" s="11"/>
      <c r="B559" s="11"/>
    </row>
    <row r="560" spans="1:2" ht="14.4" x14ac:dyDescent="0.3">
      <c r="A560" s="11"/>
      <c r="B560" s="11"/>
    </row>
    <row r="561" spans="1:2" ht="14.4" x14ac:dyDescent="0.3">
      <c r="A561" s="11"/>
      <c r="B561" s="11"/>
    </row>
    <row r="562" spans="1:2" ht="14.4" x14ac:dyDescent="0.3">
      <c r="A562" s="11"/>
      <c r="B562" s="11"/>
    </row>
    <row r="563" spans="1:2" ht="14.4" x14ac:dyDescent="0.3">
      <c r="A563" s="11"/>
      <c r="B563" s="11"/>
    </row>
    <row r="564" spans="1:2" ht="14.4" x14ac:dyDescent="0.3">
      <c r="A564" s="11"/>
      <c r="B564" s="11"/>
    </row>
    <row r="565" spans="1:2" ht="14.4" x14ac:dyDescent="0.3">
      <c r="A565" s="11"/>
      <c r="B565" s="11"/>
    </row>
    <row r="566" spans="1:2" ht="14.4" x14ac:dyDescent="0.3">
      <c r="A566" s="11"/>
      <c r="B566" s="11"/>
    </row>
    <row r="567" spans="1:2" ht="14.4" x14ac:dyDescent="0.3">
      <c r="A567" s="11"/>
      <c r="B567" s="11"/>
    </row>
    <row r="568" spans="1:2" ht="14.4" x14ac:dyDescent="0.3">
      <c r="A568" s="11"/>
      <c r="B568" s="11"/>
    </row>
    <row r="569" spans="1:2" ht="14.4" x14ac:dyDescent="0.3">
      <c r="A569" s="11"/>
      <c r="B569" s="11"/>
    </row>
    <row r="570" spans="1:2" ht="14.4" x14ac:dyDescent="0.3">
      <c r="A570" s="11"/>
      <c r="B570" s="11"/>
    </row>
    <row r="571" spans="1:2" ht="14.4" x14ac:dyDescent="0.3">
      <c r="A571" s="11"/>
      <c r="B571" s="11"/>
    </row>
    <row r="572" spans="1:2" ht="14.4" x14ac:dyDescent="0.3">
      <c r="A572" s="11"/>
      <c r="B572" s="11"/>
    </row>
    <row r="573" spans="1:2" ht="14.4" x14ac:dyDescent="0.3">
      <c r="A573" s="11"/>
      <c r="B573" s="11"/>
    </row>
    <row r="574" spans="1:2" ht="14.4" x14ac:dyDescent="0.3">
      <c r="A574" s="11"/>
      <c r="B574" s="11"/>
    </row>
    <row r="575" spans="1:2" ht="14.4" x14ac:dyDescent="0.3">
      <c r="A575" s="11"/>
      <c r="B575" s="11"/>
    </row>
    <row r="576" spans="1:2" ht="14.4" x14ac:dyDescent="0.3">
      <c r="A576" s="11"/>
      <c r="B576" s="11"/>
    </row>
    <row r="577" spans="1:2" ht="14.4" x14ac:dyDescent="0.3">
      <c r="A577" s="11"/>
      <c r="B577" s="11"/>
    </row>
    <row r="578" spans="1:2" ht="14.4" x14ac:dyDescent="0.3">
      <c r="A578" s="11"/>
      <c r="B578" s="11"/>
    </row>
    <row r="579" spans="1:2" ht="14.4" x14ac:dyDescent="0.3">
      <c r="A579" s="11"/>
      <c r="B579" s="11"/>
    </row>
    <row r="580" spans="1:2" ht="14.4" x14ac:dyDescent="0.3">
      <c r="A580" s="11"/>
      <c r="B580" s="11"/>
    </row>
    <row r="581" spans="1:2" ht="14.4" x14ac:dyDescent="0.3">
      <c r="A581" s="11"/>
      <c r="B581" s="11"/>
    </row>
    <row r="582" spans="1:2" ht="14.4" x14ac:dyDescent="0.3">
      <c r="A582" s="11"/>
      <c r="B582" s="11"/>
    </row>
    <row r="583" spans="1:2" ht="14.4" x14ac:dyDescent="0.3">
      <c r="A583" s="11"/>
      <c r="B583" s="11"/>
    </row>
    <row r="584" spans="1:2" ht="14.4" x14ac:dyDescent="0.3">
      <c r="A584" s="11"/>
      <c r="B584" s="11"/>
    </row>
    <row r="585" spans="1:2" ht="14.4" x14ac:dyDescent="0.3">
      <c r="A585" s="11"/>
      <c r="B585" s="11"/>
    </row>
    <row r="586" spans="1:2" ht="14.4" x14ac:dyDescent="0.3">
      <c r="A586" s="11"/>
      <c r="B586" s="11"/>
    </row>
    <row r="587" spans="1:2" ht="14.4" x14ac:dyDescent="0.3">
      <c r="A587" s="11"/>
      <c r="B587" s="11"/>
    </row>
    <row r="588" spans="1:2" ht="14.4" x14ac:dyDescent="0.3">
      <c r="A588" s="11"/>
      <c r="B588" s="11"/>
    </row>
    <row r="589" spans="1:2" ht="14.4" x14ac:dyDescent="0.3">
      <c r="A589" s="11"/>
      <c r="B589" s="11"/>
    </row>
    <row r="590" spans="1:2" ht="14.4" x14ac:dyDescent="0.3">
      <c r="A590" s="11"/>
      <c r="B590" s="11"/>
    </row>
    <row r="591" spans="1:2" ht="14.4" x14ac:dyDescent="0.3">
      <c r="A591" s="11"/>
      <c r="B591" s="11"/>
    </row>
    <row r="592" spans="1:2" ht="14.4" x14ac:dyDescent="0.3">
      <c r="A592" s="11"/>
      <c r="B592" s="11"/>
    </row>
    <row r="593" spans="1:2" ht="14.4" x14ac:dyDescent="0.3">
      <c r="A593" s="11"/>
      <c r="B593" s="11"/>
    </row>
    <row r="594" spans="1:2" ht="14.4" x14ac:dyDescent="0.3">
      <c r="A594" s="11"/>
      <c r="B594" s="11"/>
    </row>
    <row r="595" spans="1:2" ht="14.4" x14ac:dyDescent="0.3">
      <c r="A595" s="11"/>
      <c r="B595" s="11"/>
    </row>
    <row r="596" spans="1:2" ht="14.4" x14ac:dyDescent="0.3">
      <c r="A596" s="11"/>
      <c r="B596" s="11"/>
    </row>
    <row r="597" spans="1:2" ht="14.4" x14ac:dyDescent="0.3">
      <c r="A597" s="11"/>
      <c r="B597" s="11"/>
    </row>
    <row r="598" spans="1:2" ht="14.4" x14ac:dyDescent="0.3">
      <c r="A598" s="11"/>
      <c r="B598" s="11"/>
    </row>
    <row r="599" spans="1:2" ht="14.4" x14ac:dyDescent="0.3">
      <c r="A599" s="11"/>
      <c r="B599" s="11"/>
    </row>
    <row r="600" spans="1:2" ht="14.4" x14ac:dyDescent="0.3">
      <c r="A600" s="11"/>
      <c r="B600" s="11"/>
    </row>
    <row r="601" spans="1:2" ht="14.4" x14ac:dyDescent="0.3">
      <c r="A601" s="11"/>
      <c r="B601" s="11"/>
    </row>
    <row r="602" spans="1:2" ht="14.4" x14ac:dyDescent="0.3">
      <c r="A602" s="11"/>
      <c r="B602" s="11"/>
    </row>
    <row r="603" spans="1:2" ht="14.4" x14ac:dyDescent="0.3">
      <c r="A603" s="11"/>
      <c r="B603" s="11"/>
    </row>
    <row r="604" spans="1:2" ht="14.4" x14ac:dyDescent="0.3">
      <c r="A604" s="11"/>
      <c r="B604" s="11"/>
    </row>
    <row r="605" spans="1:2" ht="14.4" x14ac:dyDescent="0.3">
      <c r="A605" s="11"/>
      <c r="B605" s="11"/>
    </row>
    <row r="606" spans="1:2" ht="14.4" x14ac:dyDescent="0.3">
      <c r="A606" s="11"/>
      <c r="B606" s="11"/>
    </row>
    <row r="607" spans="1:2" ht="14.4" x14ac:dyDescent="0.3">
      <c r="A607" s="11"/>
      <c r="B607" s="11"/>
    </row>
    <row r="608" spans="1:2" ht="14.4" x14ac:dyDescent="0.3">
      <c r="A608" s="11"/>
      <c r="B608" s="11"/>
    </row>
    <row r="609" spans="1:2" ht="14.4" x14ac:dyDescent="0.3">
      <c r="A609" s="11"/>
      <c r="B609" s="11"/>
    </row>
    <row r="610" spans="1:2" ht="14.4" x14ac:dyDescent="0.3">
      <c r="A610" s="11"/>
      <c r="B610" s="11"/>
    </row>
    <row r="611" spans="1:2" ht="14.4" x14ac:dyDescent="0.3">
      <c r="A611" s="11"/>
      <c r="B611" s="11"/>
    </row>
    <row r="612" spans="1:2" ht="14.4" x14ac:dyDescent="0.3">
      <c r="A612" s="11"/>
      <c r="B612" s="11"/>
    </row>
    <row r="613" spans="1:2" ht="14.4" x14ac:dyDescent="0.3">
      <c r="A613" s="11"/>
      <c r="B613" s="11"/>
    </row>
    <row r="614" spans="1:2" ht="14.4" x14ac:dyDescent="0.3">
      <c r="A614" s="11"/>
      <c r="B614" s="11"/>
    </row>
    <row r="615" spans="1:2" ht="14.4" x14ac:dyDescent="0.3">
      <c r="A615" s="11"/>
      <c r="B615" s="11"/>
    </row>
    <row r="616" spans="1:2" ht="14.4" x14ac:dyDescent="0.3">
      <c r="A616" s="11"/>
      <c r="B616" s="11"/>
    </row>
    <row r="617" spans="1:2" ht="14.4" x14ac:dyDescent="0.3">
      <c r="A617" s="11"/>
      <c r="B617" s="11"/>
    </row>
    <row r="618" spans="1:2" ht="14.4" x14ac:dyDescent="0.3">
      <c r="A618" s="11"/>
      <c r="B618" s="11"/>
    </row>
    <row r="619" spans="1:2" ht="14.4" x14ac:dyDescent="0.3">
      <c r="A619" s="11"/>
      <c r="B619" s="11"/>
    </row>
    <row r="620" spans="1:2" ht="14.4" x14ac:dyDescent="0.3">
      <c r="A620" s="11"/>
      <c r="B620" s="11"/>
    </row>
    <row r="621" spans="1:2" ht="14.4" x14ac:dyDescent="0.3">
      <c r="A621" s="11"/>
      <c r="B621" s="11"/>
    </row>
    <row r="622" spans="1:2" ht="14.4" x14ac:dyDescent="0.3">
      <c r="A622" s="11"/>
      <c r="B622" s="11"/>
    </row>
    <row r="623" spans="1:2" ht="14.4" x14ac:dyDescent="0.3">
      <c r="A623" s="11"/>
      <c r="B623" s="11"/>
    </row>
    <row r="624" spans="1:2" ht="14.4" x14ac:dyDescent="0.3">
      <c r="A624" s="11"/>
      <c r="B624" s="11"/>
    </row>
    <row r="625" spans="1:2" ht="14.4" x14ac:dyDescent="0.3">
      <c r="A625" s="11"/>
      <c r="B625" s="11"/>
    </row>
    <row r="626" spans="1:2" ht="14.4" x14ac:dyDescent="0.3">
      <c r="A626" s="11"/>
      <c r="B626" s="11"/>
    </row>
    <row r="627" spans="1:2" ht="14.4" x14ac:dyDescent="0.3">
      <c r="A627" s="11"/>
      <c r="B627" s="11"/>
    </row>
    <row r="628" spans="1:2" ht="14.4" x14ac:dyDescent="0.3">
      <c r="A628" s="11"/>
      <c r="B628" s="11"/>
    </row>
    <row r="629" spans="1:2" ht="14.4" x14ac:dyDescent="0.3">
      <c r="A629" s="11"/>
      <c r="B629" s="11"/>
    </row>
    <row r="630" spans="1:2" ht="14.4" x14ac:dyDescent="0.3">
      <c r="A630" s="11"/>
      <c r="B630" s="11"/>
    </row>
    <row r="631" spans="1:2" ht="14.4" x14ac:dyDescent="0.3">
      <c r="A631" s="11"/>
      <c r="B631" s="11"/>
    </row>
    <row r="632" spans="1:2" ht="14.4" x14ac:dyDescent="0.3">
      <c r="A632" s="11"/>
      <c r="B632" s="11"/>
    </row>
    <row r="633" spans="1:2" ht="14.4" x14ac:dyDescent="0.3">
      <c r="A633" s="11"/>
      <c r="B633" s="11"/>
    </row>
    <row r="634" spans="1:2" ht="14.4" x14ac:dyDescent="0.3">
      <c r="A634" s="11"/>
      <c r="B634" s="11"/>
    </row>
    <row r="635" spans="1:2" ht="14.4" x14ac:dyDescent="0.3">
      <c r="A635" s="11"/>
      <c r="B635" s="11"/>
    </row>
    <row r="636" spans="1:2" ht="14.4" x14ac:dyDescent="0.3">
      <c r="A636" s="11"/>
      <c r="B636" s="11"/>
    </row>
    <row r="637" spans="1:2" ht="14.4" x14ac:dyDescent="0.3">
      <c r="A637" s="11"/>
      <c r="B637" s="11"/>
    </row>
    <row r="638" spans="1:2" ht="14.4" x14ac:dyDescent="0.3">
      <c r="A638" s="11"/>
      <c r="B638" s="11"/>
    </row>
    <row r="639" spans="1:2" ht="14.4" x14ac:dyDescent="0.3">
      <c r="A639" s="11"/>
      <c r="B639" s="11"/>
    </row>
    <row r="640" spans="1:2" ht="14.4" x14ac:dyDescent="0.3">
      <c r="A640" s="11"/>
      <c r="B640" s="11"/>
    </row>
    <row r="641" spans="1:2" ht="14.4" x14ac:dyDescent="0.3">
      <c r="A641" s="11"/>
      <c r="B641" s="11"/>
    </row>
    <row r="642" spans="1:2" ht="14.4" x14ac:dyDescent="0.3">
      <c r="A642" s="11"/>
      <c r="B642" s="11"/>
    </row>
    <row r="643" spans="1:2" ht="14.4" x14ac:dyDescent="0.3">
      <c r="A643" s="11"/>
      <c r="B643" s="11"/>
    </row>
    <row r="644" spans="1:2" ht="14.4" x14ac:dyDescent="0.3">
      <c r="A644" s="11"/>
      <c r="B644" s="11"/>
    </row>
    <row r="645" spans="1:2" ht="14.4" x14ac:dyDescent="0.3">
      <c r="A645" s="11"/>
      <c r="B645" s="11"/>
    </row>
    <row r="646" spans="1:2" ht="14.4" x14ac:dyDescent="0.3">
      <c r="A646" s="11"/>
      <c r="B646" s="11"/>
    </row>
    <row r="647" spans="1:2" ht="14.4" x14ac:dyDescent="0.3">
      <c r="A647" s="11"/>
      <c r="B647" s="11"/>
    </row>
    <row r="648" spans="1:2" ht="14.4" x14ac:dyDescent="0.3">
      <c r="A648" s="11"/>
      <c r="B648" s="11"/>
    </row>
    <row r="649" spans="1:2" ht="14.4" x14ac:dyDescent="0.3">
      <c r="A649" s="11"/>
      <c r="B649" s="11"/>
    </row>
    <row r="650" spans="1:2" ht="14.4" x14ac:dyDescent="0.3">
      <c r="A650" s="11"/>
      <c r="B650" s="11"/>
    </row>
    <row r="651" spans="1:2" ht="14.4" x14ac:dyDescent="0.3">
      <c r="A651" s="11"/>
      <c r="B651" s="11"/>
    </row>
    <row r="652" spans="1:2" ht="14.4" x14ac:dyDescent="0.3">
      <c r="A652" s="11"/>
      <c r="B652" s="11"/>
    </row>
    <row r="653" spans="1:2" ht="14.4" x14ac:dyDescent="0.3">
      <c r="A653" s="11"/>
      <c r="B653" s="11"/>
    </row>
    <row r="654" spans="1:2" ht="14.4" x14ac:dyDescent="0.3">
      <c r="A654" s="11"/>
      <c r="B654" s="11"/>
    </row>
    <row r="655" spans="1:2" ht="14.4" x14ac:dyDescent="0.3">
      <c r="A655" s="11"/>
      <c r="B655" s="11"/>
    </row>
    <row r="656" spans="1:2" ht="14.4" x14ac:dyDescent="0.3">
      <c r="A656" s="11"/>
      <c r="B656" s="11"/>
    </row>
    <row r="657" spans="1:2" ht="14.4" x14ac:dyDescent="0.3">
      <c r="A657" s="11"/>
      <c r="B657" s="11"/>
    </row>
    <row r="658" spans="1:2" ht="14.4" x14ac:dyDescent="0.3">
      <c r="A658" s="11"/>
      <c r="B658" s="11"/>
    </row>
    <row r="659" spans="1:2" ht="14.4" x14ac:dyDescent="0.3">
      <c r="A659" s="11"/>
      <c r="B659" s="11"/>
    </row>
    <row r="660" spans="1:2" ht="14.4" x14ac:dyDescent="0.3">
      <c r="A660" s="11"/>
      <c r="B660" s="11"/>
    </row>
    <row r="661" spans="1:2" ht="14.4" x14ac:dyDescent="0.3">
      <c r="A661" s="11"/>
      <c r="B661" s="11"/>
    </row>
    <row r="662" spans="1:2" ht="14.4" x14ac:dyDescent="0.3">
      <c r="A662" s="11"/>
      <c r="B662" s="11"/>
    </row>
    <row r="663" spans="1:2" ht="14.4" x14ac:dyDescent="0.3">
      <c r="A663" s="11"/>
      <c r="B663" s="11"/>
    </row>
    <row r="664" spans="1:2" ht="14.4" x14ac:dyDescent="0.3">
      <c r="A664" s="11"/>
      <c r="B664" s="11"/>
    </row>
    <row r="665" spans="1:2" ht="14.4" x14ac:dyDescent="0.3">
      <c r="A665" s="11"/>
      <c r="B665" s="11"/>
    </row>
    <row r="666" spans="1:2" ht="14.4" x14ac:dyDescent="0.3">
      <c r="A666" s="11"/>
      <c r="B666" s="11"/>
    </row>
    <row r="667" spans="1:2" ht="14.4" x14ac:dyDescent="0.3">
      <c r="A667" s="11"/>
      <c r="B667" s="11"/>
    </row>
    <row r="668" spans="1:2" ht="14.4" x14ac:dyDescent="0.3">
      <c r="A668" s="11"/>
      <c r="B668" s="11"/>
    </row>
    <row r="669" spans="1:2" ht="14.4" x14ac:dyDescent="0.3">
      <c r="A669" s="11"/>
      <c r="B669" s="11"/>
    </row>
    <row r="670" spans="1:2" ht="14.4" x14ac:dyDescent="0.3">
      <c r="A670" s="11"/>
      <c r="B670" s="11"/>
    </row>
    <row r="671" spans="1:2" ht="14.4" x14ac:dyDescent="0.3">
      <c r="A671" s="11"/>
      <c r="B671" s="11"/>
    </row>
    <row r="672" spans="1:2" ht="14.4" x14ac:dyDescent="0.3">
      <c r="A672" s="11"/>
      <c r="B672" s="11"/>
    </row>
    <row r="673" spans="1:2" ht="14.4" x14ac:dyDescent="0.3">
      <c r="A673" s="11"/>
      <c r="B673" s="11"/>
    </row>
    <row r="674" spans="1:2" ht="14.4" x14ac:dyDescent="0.3">
      <c r="A674" s="11"/>
      <c r="B674" s="11"/>
    </row>
    <row r="675" spans="1:2" ht="14.4" x14ac:dyDescent="0.3">
      <c r="A675" s="11"/>
      <c r="B675" s="11"/>
    </row>
    <row r="676" spans="1:2" ht="14.4" x14ac:dyDescent="0.3">
      <c r="A676" s="11"/>
      <c r="B676" s="11"/>
    </row>
    <row r="677" spans="1:2" ht="14.4" x14ac:dyDescent="0.3">
      <c r="A677" s="11"/>
      <c r="B677" s="11"/>
    </row>
    <row r="678" spans="1:2" ht="14.4" x14ac:dyDescent="0.3">
      <c r="A678" s="11"/>
      <c r="B678" s="11"/>
    </row>
    <row r="679" spans="1:2" ht="14.4" x14ac:dyDescent="0.3">
      <c r="A679" s="11"/>
      <c r="B679" s="11"/>
    </row>
    <row r="680" spans="1:2" ht="14.4" x14ac:dyDescent="0.3">
      <c r="A680" s="11"/>
      <c r="B680" s="11"/>
    </row>
    <row r="681" spans="1:2" ht="14.4" x14ac:dyDescent="0.3">
      <c r="A681" s="11"/>
      <c r="B681" s="11"/>
    </row>
    <row r="682" spans="1:2" ht="14.4" x14ac:dyDescent="0.3">
      <c r="A682" s="11"/>
      <c r="B682" s="11"/>
    </row>
    <row r="683" spans="1:2" ht="14.4" x14ac:dyDescent="0.3">
      <c r="A683" s="11"/>
      <c r="B683" s="11"/>
    </row>
    <row r="684" spans="1:2" ht="14.4" x14ac:dyDescent="0.3">
      <c r="A684" s="11"/>
      <c r="B684" s="11"/>
    </row>
    <row r="685" spans="1:2" ht="14.4" x14ac:dyDescent="0.3">
      <c r="A685" s="11"/>
      <c r="B685" s="11"/>
    </row>
    <row r="686" spans="1:2" ht="14.4" x14ac:dyDescent="0.3">
      <c r="A686" s="11"/>
      <c r="B686" s="11"/>
    </row>
    <row r="687" spans="1:2" ht="14.4" x14ac:dyDescent="0.3">
      <c r="A687" s="11"/>
      <c r="B687" s="11"/>
    </row>
    <row r="688" spans="1:2" ht="14.4" x14ac:dyDescent="0.3">
      <c r="A688" s="11"/>
      <c r="B688" s="11"/>
    </row>
    <row r="689" spans="1:2" ht="14.4" x14ac:dyDescent="0.3">
      <c r="A689" s="11"/>
      <c r="B689" s="11"/>
    </row>
    <row r="690" spans="1:2" ht="14.4" x14ac:dyDescent="0.3">
      <c r="A690" s="11"/>
      <c r="B690" s="11"/>
    </row>
    <row r="691" spans="1:2" ht="14.4" x14ac:dyDescent="0.3">
      <c r="A691" s="11"/>
      <c r="B691" s="11"/>
    </row>
    <row r="692" spans="1:2" ht="14.4" x14ac:dyDescent="0.3">
      <c r="A692" s="11"/>
      <c r="B692" s="11"/>
    </row>
    <row r="693" spans="1:2" ht="14.4" x14ac:dyDescent="0.3">
      <c r="A693" s="11"/>
      <c r="B693" s="11"/>
    </row>
    <row r="694" spans="1:2" ht="14.4" x14ac:dyDescent="0.3">
      <c r="A694" s="11"/>
      <c r="B694" s="11"/>
    </row>
    <row r="695" spans="1:2" ht="14.4" x14ac:dyDescent="0.3">
      <c r="A695" s="11"/>
      <c r="B695" s="11"/>
    </row>
    <row r="696" spans="1:2" ht="14.4" x14ac:dyDescent="0.3">
      <c r="A696" s="11"/>
      <c r="B696" s="11"/>
    </row>
    <row r="697" spans="1:2" ht="14.4" x14ac:dyDescent="0.3">
      <c r="A697" s="11"/>
      <c r="B697" s="11"/>
    </row>
    <row r="698" spans="1:2" ht="14.4" x14ac:dyDescent="0.3">
      <c r="A698" s="11"/>
      <c r="B698" s="11"/>
    </row>
    <row r="699" spans="1:2" ht="14.4" x14ac:dyDescent="0.3">
      <c r="A699" s="11"/>
      <c r="B699" s="11"/>
    </row>
    <row r="700" spans="1:2" ht="14.4" x14ac:dyDescent="0.3">
      <c r="A700" s="11"/>
      <c r="B700" s="11"/>
    </row>
    <row r="701" spans="1:2" ht="14.4" x14ac:dyDescent="0.3">
      <c r="A701" s="11"/>
      <c r="B701" s="11"/>
    </row>
    <row r="702" spans="1:2" ht="14.4" x14ac:dyDescent="0.3">
      <c r="A702" s="11"/>
      <c r="B702" s="11"/>
    </row>
    <row r="703" spans="1:2" ht="14.4" x14ac:dyDescent="0.3">
      <c r="A703" s="11"/>
      <c r="B703" s="11"/>
    </row>
    <row r="704" spans="1:2" ht="14.4" x14ac:dyDescent="0.3">
      <c r="A704" s="11"/>
      <c r="B704" s="11"/>
    </row>
    <row r="705" spans="1:2" ht="14.4" x14ac:dyDescent="0.3">
      <c r="A705" s="11"/>
      <c r="B705" s="11"/>
    </row>
    <row r="706" spans="1:2" ht="14.4" x14ac:dyDescent="0.3">
      <c r="A706" s="11"/>
      <c r="B706" s="11"/>
    </row>
    <row r="707" spans="1:2" ht="14.4" x14ac:dyDescent="0.3">
      <c r="A707" s="11"/>
      <c r="B707" s="11"/>
    </row>
    <row r="708" spans="1:2" ht="14.4" x14ac:dyDescent="0.3">
      <c r="A708" s="11"/>
      <c r="B708" s="11"/>
    </row>
    <row r="709" spans="1:2" ht="14.4" x14ac:dyDescent="0.3">
      <c r="A709" s="11"/>
      <c r="B709" s="11"/>
    </row>
    <row r="710" spans="1:2" ht="14.4" x14ac:dyDescent="0.3">
      <c r="A710" s="11"/>
      <c r="B710" s="11"/>
    </row>
    <row r="711" spans="1:2" ht="14.4" x14ac:dyDescent="0.3">
      <c r="A711" s="11"/>
      <c r="B711" s="11"/>
    </row>
    <row r="712" spans="1:2" ht="14.4" x14ac:dyDescent="0.3">
      <c r="A712" s="11"/>
      <c r="B712" s="11"/>
    </row>
    <row r="713" spans="1:2" ht="14.4" x14ac:dyDescent="0.3">
      <c r="A713" s="11"/>
      <c r="B713" s="11"/>
    </row>
    <row r="714" spans="1:2" ht="14.4" x14ac:dyDescent="0.3">
      <c r="A714" s="11"/>
      <c r="B714" s="11"/>
    </row>
    <row r="715" spans="1:2" ht="14.4" x14ac:dyDescent="0.3">
      <c r="A715" s="11"/>
      <c r="B715" s="11"/>
    </row>
    <row r="716" spans="1:2" ht="14.4" x14ac:dyDescent="0.3">
      <c r="A716" s="11"/>
      <c r="B716" s="11"/>
    </row>
    <row r="717" spans="1:2" ht="14.4" x14ac:dyDescent="0.3">
      <c r="A717" s="11"/>
      <c r="B717" s="11"/>
    </row>
    <row r="718" spans="1:2" ht="14.4" x14ac:dyDescent="0.3">
      <c r="A718" s="11"/>
      <c r="B718" s="11"/>
    </row>
    <row r="719" spans="1:2" ht="14.4" x14ac:dyDescent="0.3">
      <c r="A719" s="11"/>
      <c r="B719" s="11"/>
    </row>
    <row r="720" spans="1:2" ht="14.4" x14ac:dyDescent="0.3">
      <c r="A720" s="11"/>
      <c r="B720" s="11"/>
    </row>
    <row r="721" spans="1:2" ht="14.4" x14ac:dyDescent="0.3">
      <c r="A721" s="11"/>
      <c r="B721" s="11"/>
    </row>
    <row r="722" spans="1:2" ht="14.4" x14ac:dyDescent="0.3">
      <c r="A722" s="11"/>
      <c r="B722" s="11"/>
    </row>
    <row r="723" spans="1:2" ht="14.4" x14ac:dyDescent="0.3">
      <c r="A723" s="11"/>
      <c r="B723" s="11"/>
    </row>
    <row r="724" spans="1:2" ht="14.4" x14ac:dyDescent="0.3">
      <c r="A724" s="11"/>
      <c r="B724" s="11"/>
    </row>
    <row r="725" spans="1:2" ht="14.4" x14ac:dyDescent="0.3">
      <c r="A725" s="11"/>
      <c r="B725" s="11"/>
    </row>
    <row r="726" spans="1:2" ht="14.4" x14ac:dyDescent="0.3">
      <c r="A726" s="11"/>
      <c r="B726" s="11"/>
    </row>
    <row r="727" spans="1:2" ht="14.4" x14ac:dyDescent="0.3">
      <c r="A727" s="11"/>
      <c r="B727" s="11"/>
    </row>
    <row r="728" spans="1:2" ht="14.4" x14ac:dyDescent="0.3">
      <c r="A728" s="11"/>
      <c r="B728" s="11"/>
    </row>
    <row r="729" spans="1:2" ht="14.4" x14ac:dyDescent="0.3">
      <c r="A729" s="11"/>
      <c r="B729" s="11"/>
    </row>
    <row r="730" spans="1:2" ht="14.4" x14ac:dyDescent="0.3">
      <c r="A730" s="11"/>
      <c r="B730" s="11"/>
    </row>
    <row r="731" spans="1:2" ht="14.4" x14ac:dyDescent="0.3">
      <c r="A731" s="11"/>
      <c r="B731" s="11"/>
    </row>
    <row r="732" spans="1:2" ht="14.4" x14ac:dyDescent="0.3">
      <c r="A732" s="11"/>
      <c r="B732" s="11"/>
    </row>
    <row r="733" spans="1:2" ht="14.4" x14ac:dyDescent="0.3">
      <c r="A733" s="11"/>
      <c r="B733" s="11"/>
    </row>
    <row r="734" spans="1:2" ht="14.4" x14ac:dyDescent="0.3">
      <c r="A734" s="11"/>
      <c r="B734" s="11"/>
    </row>
    <row r="735" spans="1:2" ht="14.4" x14ac:dyDescent="0.3">
      <c r="A735" s="11"/>
      <c r="B735" s="11"/>
    </row>
    <row r="736" spans="1:2" ht="14.4" x14ac:dyDescent="0.3">
      <c r="A736" s="11"/>
      <c r="B736" s="11"/>
    </row>
    <row r="737" spans="1:2" ht="14.4" x14ac:dyDescent="0.3">
      <c r="A737" s="11"/>
      <c r="B737" s="11"/>
    </row>
    <row r="738" spans="1:2" ht="14.4" x14ac:dyDescent="0.3">
      <c r="A738" s="11"/>
      <c r="B738" s="11"/>
    </row>
    <row r="739" spans="1:2" ht="14.4" x14ac:dyDescent="0.3">
      <c r="A739" s="11"/>
      <c r="B739" s="11"/>
    </row>
    <row r="740" spans="1:2" ht="14.4" x14ac:dyDescent="0.3">
      <c r="A740" s="11"/>
      <c r="B740" s="11"/>
    </row>
    <row r="741" spans="1:2" ht="14.4" x14ac:dyDescent="0.3">
      <c r="A741" s="11"/>
      <c r="B741" s="11"/>
    </row>
    <row r="742" spans="1:2" ht="14.4" x14ac:dyDescent="0.3">
      <c r="A742" s="11"/>
      <c r="B742" s="11"/>
    </row>
    <row r="743" spans="1:2" ht="14.4" x14ac:dyDescent="0.3">
      <c r="A743" s="11"/>
      <c r="B743" s="11"/>
    </row>
    <row r="744" spans="1:2" ht="14.4" x14ac:dyDescent="0.3">
      <c r="A744" s="11"/>
      <c r="B744" s="11"/>
    </row>
    <row r="745" spans="1:2" ht="14.4" x14ac:dyDescent="0.3">
      <c r="A745" s="11"/>
      <c r="B745" s="11"/>
    </row>
    <row r="746" spans="1:2" ht="14.4" x14ac:dyDescent="0.3">
      <c r="A746" s="11"/>
      <c r="B746" s="11"/>
    </row>
    <row r="747" spans="1:2" ht="14.4" x14ac:dyDescent="0.3">
      <c r="A747" s="11"/>
      <c r="B747" s="11"/>
    </row>
    <row r="748" spans="1:2" ht="14.4" x14ac:dyDescent="0.3">
      <c r="A748" s="11"/>
      <c r="B748" s="11"/>
    </row>
    <row r="749" spans="1:2" ht="14.4" x14ac:dyDescent="0.3">
      <c r="A749" s="11"/>
      <c r="B749" s="11"/>
    </row>
    <row r="750" spans="1:2" ht="14.4" x14ac:dyDescent="0.3">
      <c r="A750" s="11"/>
      <c r="B750" s="11"/>
    </row>
    <row r="751" spans="1:2" ht="14.4" x14ac:dyDescent="0.3">
      <c r="A751" s="11"/>
      <c r="B751" s="11"/>
    </row>
    <row r="752" spans="1:2" ht="14.4" x14ac:dyDescent="0.3">
      <c r="A752" s="11"/>
      <c r="B752" s="11"/>
    </row>
    <row r="753" spans="1:2" ht="14.4" x14ac:dyDescent="0.3">
      <c r="A753" s="11"/>
      <c r="B753" s="11"/>
    </row>
    <row r="754" spans="1:2" ht="14.4" x14ac:dyDescent="0.3">
      <c r="A754" s="11"/>
      <c r="B754" s="11"/>
    </row>
    <row r="755" spans="1:2" ht="14.4" x14ac:dyDescent="0.3">
      <c r="A755" s="11"/>
      <c r="B755" s="11"/>
    </row>
    <row r="756" spans="1:2" ht="14.4" x14ac:dyDescent="0.3">
      <c r="A756" s="11"/>
      <c r="B756" s="11"/>
    </row>
    <row r="757" spans="1:2" ht="14.4" x14ac:dyDescent="0.3">
      <c r="A757" s="11"/>
      <c r="B757" s="11"/>
    </row>
    <row r="758" spans="1:2" ht="14.4" x14ac:dyDescent="0.3">
      <c r="A758" s="11"/>
      <c r="B758" s="11"/>
    </row>
    <row r="759" spans="1:2" ht="14.4" x14ac:dyDescent="0.3">
      <c r="A759" s="11"/>
      <c r="B759" s="11"/>
    </row>
    <row r="760" spans="1:2" ht="14.4" x14ac:dyDescent="0.3">
      <c r="A760" s="11"/>
      <c r="B760" s="11"/>
    </row>
    <row r="761" spans="1:2" ht="14.4" x14ac:dyDescent="0.3">
      <c r="A761" s="11"/>
      <c r="B761" s="11"/>
    </row>
    <row r="762" spans="1:2" ht="14.4" x14ac:dyDescent="0.3">
      <c r="A762" s="11"/>
      <c r="B762" s="11"/>
    </row>
    <row r="763" spans="1:2" ht="14.4" x14ac:dyDescent="0.3">
      <c r="A763" s="11"/>
      <c r="B763" s="11"/>
    </row>
    <row r="764" spans="1:2" ht="14.4" x14ac:dyDescent="0.3">
      <c r="A764" s="11"/>
      <c r="B764" s="11"/>
    </row>
    <row r="765" spans="1:2" ht="14.4" x14ac:dyDescent="0.3">
      <c r="A765" s="11"/>
      <c r="B765" s="11"/>
    </row>
    <row r="766" spans="1:2" ht="14.4" x14ac:dyDescent="0.3">
      <c r="A766" s="11"/>
      <c r="B766" s="11"/>
    </row>
    <row r="767" spans="1:2" ht="14.4" x14ac:dyDescent="0.3">
      <c r="A767" s="11"/>
      <c r="B767" s="11"/>
    </row>
    <row r="768" spans="1:2" ht="14.4" x14ac:dyDescent="0.3">
      <c r="A768" s="11"/>
      <c r="B768" s="11"/>
    </row>
    <row r="769" spans="1:2" ht="14.4" x14ac:dyDescent="0.3">
      <c r="A769" s="11"/>
      <c r="B769" s="11"/>
    </row>
    <row r="770" spans="1:2" ht="14.4" x14ac:dyDescent="0.3">
      <c r="A770" s="11"/>
      <c r="B770" s="11"/>
    </row>
    <row r="771" spans="1:2" ht="14.4" x14ac:dyDescent="0.3">
      <c r="A771" s="11"/>
      <c r="B771" s="11"/>
    </row>
    <row r="772" spans="1:2" ht="14.4" x14ac:dyDescent="0.3">
      <c r="A772" s="11"/>
      <c r="B772" s="11"/>
    </row>
    <row r="773" spans="1:2" ht="14.4" x14ac:dyDescent="0.3">
      <c r="A773" s="11"/>
      <c r="B773" s="11"/>
    </row>
    <row r="774" spans="1:2" ht="14.4" x14ac:dyDescent="0.3">
      <c r="A774" s="11"/>
      <c r="B774" s="11"/>
    </row>
    <row r="775" spans="1:2" ht="14.4" x14ac:dyDescent="0.3">
      <c r="A775" s="11"/>
      <c r="B775" s="11"/>
    </row>
    <row r="776" spans="1:2" ht="14.4" x14ac:dyDescent="0.3">
      <c r="A776" s="11"/>
      <c r="B776" s="11"/>
    </row>
    <row r="777" spans="1:2" ht="14.4" x14ac:dyDescent="0.3">
      <c r="A777" s="11"/>
      <c r="B777" s="11"/>
    </row>
    <row r="778" spans="1:2" ht="14.4" x14ac:dyDescent="0.3">
      <c r="A778" s="11"/>
      <c r="B778" s="11"/>
    </row>
    <row r="779" spans="1:2" ht="14.4" x14ac:dyDescent="0.3">
      <c r="A779" s="11"/>
      <c r="B779" s="11"/>
    </row>
    <row r="780" spans="1:2" ht="14.4" x14ac:dyDescent="0.3">
      <c r="A780" s="11"/>
      <c r="B780" s="11"/>
    </row>
    <row r="781" spans="1:2" ht="14.4" x14ac:dyDescent="0.3">
      <c r="A781" s="11"/>
      <c r="B781" s="11"/>
    </row>
    <row r="782" spans="1:2" ht="14.4" x14ac:dyDescent="0.3">
      <c r="A782" s="11"/>
      <c r="B782" s="11"/>
    </row>
    <row r="783" spans="1:2" ht="14.4" x14ac:dyDescent="0.3">
      <c r="A783" s="11"/>
      <c r="B783" s="11"/>
    </row>
    <row r="784" spans="1:2" ht="14.4" x14ac:dyDescent="0.3">
      <c r="A784" s="11"/>
      <c r="B784" s="11"/>
    </row>
    <row r="785" spans="1:2" ht="14.4" x14ac:dyDescent="0.3">
      <c r="A785" s="11"/>
      <c r="B785" s="11"/>
    </row>
    <row r="786" spans="1:2" ht="14.4" x14ac:dyDescent="0.3">
      <c r="A786" s="11"/>
      <c r="B786" s="11"/>
    </row>
    <row r="787" spans="1:2" ht="14.4" x14ac:dyDescent="0.3">
      <c r="A787" s="11"/>
      <c r="B787" s="11"/>
    </row>
    <row r="788" spans="1:2" ht="14.4" x14ac:dyDescent="0.3">
      <c r="A788" s="11"/>
      <c r="B788" s="11"/>
    </row>
    <row r="789" spans="1:2" ht="14.4" x14ac:dyDescent="0.3">
      <c r="A789" s="11"/>
      <c r="B789" s="11"/>
    </row>
    <row r="790" spans="1:2" ht="14.4" x14ac:dyDescent="0.3">
      <c r="A790" s="11"/>
      <c r="B790" s="11"/>
    </row>
    <row r="791" spans="1:2" ht="14.4" x14ac:dyDescent="0.3">
      <c r="A791" s="11"/>
      <c r="B791" s="11"/>
    </row>
    <row r="792" spans="1:2" ht="14.4" x14ac:dyDescent="0.3">
      <c r="A792" s="11"/>
      <c r="B792" s="11"/>
    </row>
    <row r="793" spans="1:2" ht="14.4" x14ac:dyDescent="0.3">
      <c r="A793" s="11"/>
      <c r="B793" s="11"/>
    </row>
    <row r="794" spans="1:2" ht="14.4" x14ac:dyDescent="0.3">
      <c r="A794" s="11"/>
      <c r="B794" s="11"/>
    </row>
    <row r="795" spans="1:2" ht="14.4" x14ac:dyDescent="0.3">
      <c r="A795" s="11"/>
      <c r="B795" s="11"/>
    </row>
    <row r="796" spans="1:2" ht="14.4" x14ac:dyDescent="0.3">
      <c r="A796" s="11"/>
      <c r="B796" s="11"/>
    </row>
    <row r="797" spans="1:2" ht="14.4" x14ac:dyDescent="0.3">
      <c r="A797" s="11"/>
      <c r="B797" s="11"/>
    </row>
    <row r="798" spans="1:2" ht="14.4" x14ac:dyDescent="0.3">
      <c r="A798" s="11"/>
      <c r="B798" s="11"/>
    </row>
    <row r="799" spans="1:2" ht="14.4" x14ac:dyDescent="0.3">
      <c r="A799" s="11"/>
      <c r="B799" s="11"/>
    </row>
    <row r="800" spans="1:2" ht="14.4" x14ac:dyDescent="0.3">
      <c r="A800" s="11"/>
      <c r="B800" s="11"/>
    </row>
    <row r="801" spans="1:2" ht="14.4" x14ac:dyDescent="0.3">
      <c r="A801" s="11"/>
      <c r="B801" s="11"/>
    </row>
    <row r="802" spans="1:2" ht="14.4" x14ac:dyDescent="0.3">
      <c r="A802" s="11"/>
      <c r="B802" s="11"/>
    </row>
    <row r="803" spans="1:2" ht="14.4" x14ac:dyDescent="0.3">
      <c r="A803" s="11"/>
      <c r="B803" s="11"/>
    </row>
    <row r="804" spans="1:2" ht="14.4" x14ac:dyDescent="0.3">
      <c r="A804" s="11"/>
      <c r="B804" s="11"/>
    </row>
    <row r="805" spans="1:2" ht="14.4" x14ac:dyDescent="0.3">
      <c r="A805" s="11"/>
      <c r="B805" s="11"/>
    </row>
    <row r="806" spans="1:2" ht="14.4" x14ac:dyDescent="0.3">
      <c r="A806" s="11"/>
      <c r="B806" s="11"/>
    </row>
    <row r="807" spans="1:2" ht="14.4" x14ac:dyDescent="0.3">
      <c r="A807" s="11"/>
      <c r="B807" s="11"/>
    </row>
    <row r="808" spans="1:2" ht="14.4" x14ac:dyDescent="0.3">
      <c r="A808" s="11"/>
      <c r="B808" s="11"/>
    </row>
    <row r="809" spans="1:2" ht="14.4" x14ac:dyDescent="0.3">
      <c r="A809" s="11"/>
      <c r="B809" s="11"/>
    </row>
    <row r="810" spans="1:2" ht="14.4" x14ac:dyDescent="0.3">
      <c r="A810" s="11"/>
      <c r="B810" s="11"/>
    </row>
    <row r="811" spans="1:2" ht="14.4" x14ac:dyDescent="0.3">
      <c r="A811" s="11"/>
      <c r="B811" s="11"/>
    </row>
    <row r="812" spans="1:2" ht="14.4" x14ac:dyDescent="0.3">
      <c r="A812" s="11"/>
      <c r="B812" s="11"/>
    </row>
    <row r="813" spans="1:2" ht="14.4" x14ac:dyDescent="0.3">
      <c r="A813" s="11"/>
      <c r="B813" s="11"/>
    </row>
    <row r="814" spans="1:2" ht="14.4" x14ac:dyDescent="0.3">
      <c r="A814" s="11"/>
      <c r="B814" s="11"/>
    </row>
    <row r="815" spans="1:2" ht="14.4" x14ac:dyDescent="0.3">
      <c r="A815" s="11"/>
      <c r="B815" s="11"/>
    </row>
    <row r="816" spans="1:2" ht="14.4" x14ac:dyDescent="0.3">
      <c r="A816" s="11"/>
      <c r="B816" s="11"/>
    </row>
    <row r="817" spans="1:2" ht="14.4" x14ac:dyDescent="0.3">
      <c r="A817" s="11"/>
      <c r="B817" s="11"/>
    </row>
    <row r="818" spans="1:2" ht="14.4" x14ac:dyDescent="0.3">
      <c r="A818" s="11"/>
      <c r="B818" s="11"/>
    </row>
    <row r="819" spans="1:2" ht="14.4" x14ac:dyDescent="0.3">
      <c r="A819" s="11"/>
      <c r="B819" s="11"/>
    </row>
    <row r="820" spans="1:2" ht="14.4" x14ac:dyDescent="0.3">
      <c r="A820" s="11"/>
      <c r="B820" s="11"/>
    </row>
    <row r="821" spans="1:2" ht="14.4" x14ac:dyDescent="0.3">
      <c r="A821" s="11"/>
      <c r="B821" s="11"/>
    </row>
    <row r="822" spans="1:2" ht="14.4" x14ac:dyDescent="0.3">
      <c r="A822" s="11"/>
      <c r="B822" s="11"/>
    </row>
    <row r="823" spans="1:2" ht="14.4" x14ac:dyDescent="0.3">
      <c r="A823" s="11"/>
      <c r="B823" s="11"/>
    </row>
    <row r="824" spans="1:2" ht="14.4" x14ac:dyDescent="0.3">
      <c r="A824" s="11"/>
      <c r="B824" s="11"/>
    </row>
    <row r="825" spans="1:2" ht="14.4" x14ac:dyDescent="0.3">
      <c r="A825" s="11"/>
      <c r="B825" s="11"/>
    </row>
    <row r="826" spans="1:2" ht="14.4" x14ac:dyDescent="0.3">
      <c r="A826" s="11"/>
      <c r="B826" s="11"/>
    </row>
    <row r="827" spans="1:2" ht="14.4" x14ac:dyDescent="0.3">
      <c r="A827" s="11"/>
      <c r="B827" s="11"/>
    </row>
    <row r="828" spans="1:2" ht="14.4" x14ac:dyDescent="0.3">
      <c r="A828" s="11"/>
      <c r="B828" s="11"/>
    </row>
    <row r="829" spans="1:2" ht="14.4" x14ac:dyDescent="0.3">
      <c r="A829" s="11"/>
      <c r="B829" s="11"/>
    </row>
    <row r="830" spans="1:2" ht="14.4" x14ac:dyDescent="0.3">
      <c r="A830" s="11"/>
      <c r="B830" s="11"/>
    </row>
    <row r="831" spans="1:2" ht="14.4" x14ac:dyDescent="0.3">
      <c r="A831" s="11"/>
      <c r="B831" s="11"/>
    </row>
    <row r="832" spans="1:2" ht="14.4" x14ac:dyDescent="0.3">
      <c r="A832" s="11"/>
      <c r="B832" s="11"/>
    </row>
    <row r="833" spans="1:2" ht="14.4" x14ac:dyDescent="0.3">
      <c r="A833" s="11"/>
      <c r="B833" s="11"/>
    </row>
    <row r="834" spans="1:2" ht="14.4" x14ac:dyDescent="0.3">
      <c r="A834" s="11"/>
      <c r="B834" s="11"/>
    </row>
    <row r="835" spans="1:2" ht="14.4" x14ac:dyDescent="0.3">
      <c r="A835" s="11"/>
      <c r="B835" s="11"/>
    </row>
    <row r="836" spans="1:2" ht="14.4" x14ac:dyDescent="0.3">
      <c r="A836" s="11"/>
      <c r="B836" s="11"/>
    </row>
    <row r="837" spans="1:2" ht="14.4" x14ac:dyDescent="0.3">
      <c r="A837" s="11"/>
      <c r="B837" s="11"/>
    </row>
    <row r="838" spans="1:2" ht="14.4" x14ac:dyDescent="0.3">
      <c r="A838" s="11"/>
      <c r="B838" s="11"/>
    </row>
    <row r="839" spans="1:2" ht="14.4" x14ac:dyDescent="0.3">
      <c r="A839" s="11"/>
      <c r="B839" s="11"/>
    </row>
    <row r="840" spans="1:2" ht="14.4" x14ac:dyDescent="0.3">
      <c r="A840" s="11"/>
      <c r="B840" s="11"/>
    </row>
    <row r="841" spans="1:2" ht="14.4" x14ac:dyDescent="0.3">
      <c r="A841" s="11"/>
      <c r="B841" s="11"/>
    </row>
    <row r="842" spans="1:2" ht="14.4" x14ac:dyDescent="0.3">
      <c r="A842" s="11"/>
      <c r="B842" s="11"/>
    </row>
    <row r="843" spans="1:2" ht="14.4" x14ac:dyDescent="0.3">
      <c r="A843" s="11"/>
      <c r="B843" s="11"/>
    </row>
    <row r="844" spans="1:2" ht="14.4" x14ac:dyDescent="0.3">
      <c r="A844" s="11"/>
      <c r="B844" s="11"/>
    </row>
    <row r="845" spans="1:2" ht="14.4" x14ac:dyDescent="0.3">
      <c r="A845" s="11"/>
      <c r="B845" s="11"/>
    </row>
    <row r="846" spans="1:2" ht="14.4" x14ac:dyDescent="0.3">
      <c r="A846" s="11"/>
      <c r="B846" s="11"/>
    </row>
    <row r="847" spans="1:2" ht="14.4" x14ac:dyDescent="0.3">
      <c r="A847" s="11"/>
      <c r="B847" s="11"/>
    </row>
    <row r="848" spans="1:2" ht="14.4" x14ac:dyDescent="0.3">
      <c r="A848" s="11"/>
      <c r="B848" s="11"/>
    </row>
    <row r="849" spans="1:2" ht="14.4" x14ac:dyDescent="0.3">
      <c r="A849" s="11"/>
      <c r="B849" s="11"/>
    </row>
    <row r="850" spans="1:2" ht="14.4" x14ac:dyDescent="0.3">
      <c r="A850" s="11"/>
      <c r="B850" s="11"/>
    </row>
    <row r="851" spans="1:2" ht="14.4" x14ac:dyDescent="0.3">
      <c r="A851" s="11"/>
      <c r="B851" s="11"/>
    </row>
    <row r="852" spans="1:2" ht="14.4" x14ac:dyDescent="0.3">
      <c r="A852" s="11"/>
      <c r="B852" s="11"/>
    </row>
    <row r="853" spans="1:2" ht="14.4" x14ac:dyDescent="0.3">
      <c r="A853" s="11"/>
      <c r="B853" s="11"/>
    </row>
    <row r="854" spans="1:2" ht="14.4" x14ac:dyDescent="0.3">
      <c r="A854" s="11"/>
      <c r="B854" s="11"/>
    </row>
    <row r="855" spans="1:2" ht="14.4" x14ac:dyDescent="0.3">
      <c r="A855" s="11"/>
      <c r="B855" s="11"/>
    </row>
    <row r="856" spans="1:2" ht="14.4" x14ac:dyDescent="0.3">
      <c r="A856" s="11"/>
      <c r="B856" s="11"/>
    </row>
    <row r="857" spans="1:2" ht="14.4" x14ac:dyDescent="0.3">
      <c r="A857" s="11"/>
      <c r="B857" s="11"/>
    </row>
    <row r="858" spans="1:2" ht="14.4" x14ac:dyDescent="0.3">
      <c r="A858" s="11"/>
      <c r="B858" s="11"/>
    </row>
    <row r="859" spans="1:2" ht="14.4" x14ac:dyDescent="0.3">
      <c r="A859" s="11"/>
      <c r="B859" s="11"/>
    </row>
    <row r="860" spans="1:2" ht="14.4" x14ac:dyDescent="0.3">
      <c r="A860" s="11"/>
      <c r="B860" s="11"/>
    </row>
    <row r="861" spans="1:2" ht="14.4" x14ac:dyDescent="0.3">
      <c r="A861" s="11"/>
      <c r="B861" s="11"/>
    </row>
    <row r="862" spans="1:2" ht="14.4" x14ac:dyDescent="0.3">
      <c r="A862" s="11"/>
      <c r="B862" s="11"/>
    </row>
    <row r="863" spans="1:2" ht="14.4" x14ac:dyDescent="0.3">
      <c r="A863" s="11"/>
      <c r="B863" s="11"/>
    </row>
    <row r="864" spans="1:2" ht="14.4" x14ac:dyDescent="0.3">
      <c r="A864" s="11"/>
      <c r="B864" s="11"/>
    </row>
    <row r="865" spans="1:2" ht="14.4" x14ac:dyDescent="0.3">
      <c r="A865" s="11"/>
      <c r="B865" s="11"/>
    </row>
    <row r="866" spans="1:2" ht="14.4" x14ac:dyDescent="0.3">
      <c r="A866" s="11"/>
      <c r="B866" s="11"/>
    </row>
    <row r="867" spans="1:2" ht="14.4" x14ac:dyDescent="0.3">
      <c r="A867" s="11"/>
      <c r="B867" s="11"/>
    </row>
    <row r="868" spans="1:2" ht="14.4" x14ac:dyDescent="0.3">
      <c r="A868" s="11"/>
      <c r="B868" s="11"/>
    </row>
    <row r="869" spans="1:2" ht="14.4" x14ac:dyDescent="0.3">
      <c r="A869" s="11"/>
      <c r="B869" s="11"/>
    </row>
    <row r="870" spans="1:2" ht="14.4" x14ac:dyDescent="0.3">
      <c r="A870" s="11"/>
      <c r="B870" s="11"/>
    </row>
    <row r="871" spans="1:2" ht="14.4" x14ac:dyDescent="0.3">
      <c r="A871" s="11"/>
      <c r="B871" s="11"/>
    </row>
    <row r="872" spans="1:2" ht="14.4" x14ac:dyDescent="0.3">
      <c r="A872" s="11"/>
      <c r="B872" s="11"/>
    </row>
    <row r="873" spans="1:2" ht="14.4" x14ac:dyDescent="0.3">
      <c r="A873" s="11"/>
      <c r="B873" s="11"/>
    </row>
    <row r="874" spans="1:2" ht="14.4" x14ac:dyDescent="0.3">
      <c r="A874" s="11"/>
      <c r="B874" s="11"/>
    </row>
    <row r="875" spans="1:2" ht="14.4" x14ac:dyDescent="0.3">
      <c r="A875" s="11"/>
      <c r="B875" s="11"/>
    </row>
    <row r="876" spans="1:2" ht="14.4" x14ac:dyDescent="0.3">
      <c r="A876" s="11"/>
      <c r="B876" s="11"/>
    </row>
    <row r="877" spans="1:2" ht="14.4" x14ac:dyDescent="0.3">
      <c r="A877" s="11"/>
      <c r="B877" s="11"/>
    </row>
    <row r="878" spans="1:2" ht="14.4" x14ac:dyDescent="0.3">
      <c r="A878" s="11"/>
      <c r="B878" s="11"/>
    </row>
    <row r="879" spans="1:2" ht="14.4" x14ac:dyDescent="0.3">
      <c r="A879" s="11"/>
      <c r="B879" s="11"/>
    </row>
    <row r="880" spans="1:2" ht="14.4" x14ac:dyDescent="0.3">
      <c r="A880" s="11"/>
      <c r="B880" s="11"/>
    </row>
    <row r="881" spans="1:2" ht="14.4" x14ac:dyDescent="0.3">
      <c r="A881" s="11"/>
      <c r="B881" s="11"/>
    </row>
    <row r="882" spans="1:2" ht="14.4" x14ac:dyDescent="0.3">
      <c r="A882" s="11"/>
      <c r="B882" s="11"/>
    </row>
    <row r="883" spans="1:2" ht="14.4" x14ac:dyDescent="0.3">
      <c r="A883" s="11"/>
      <c r="B883" s="11"/>
    </row>
    <row r="884" spans="1:2" ht="14.4" x14ac:dyDescent="0.3">
      <c r="A884" s="11"/>
      <c r="B884" s="11"/>
    </row>
    <row r="885" spans="1:2" ht="14.4" x14ac:dyDescent="0.3">
      <c r="A885" s="11"/>
      <c r="B885" s="11"/>
    </row>
    <row r="886" spans="1:2" ht="14.4" x14ac:dyDescent="0.3">
      <c r="A886" s="11"/>
      <c r="B886" s="11"/>
    </row>
    <row r="887" spans="1:2" ht="14.4" x14ac:dyDescent="0.3">
      <c r="A887" s="11"/>
      <c r="B887" s="11"/>
    </row>
    <row r="888" spans="1:2" ht="14.4" x14ac:dyDescent="0.3">
      <c r="A888" s="11"/>
      <c r="B888" s="11"/>
    </row>
    <row r="889" spans="1:2" ht="14.4" x14ac:dyDescent="0.3">
      <c r="A889" s="11"/>
      <c r="B889" s="11"/>
    </row>
    <row r="890" spans="1:2" ht="14.4" x14ac:dyDescent="0.3">
      <c r="A890" s="11"/>
      <c r="B890" s="11"/>
    </row>
    <row r="891" spans="1:2" ht="14.4" x14ac:dyDescent="0.3">
      <c r="A891" s="11"/>
      <c r="B891" s="11"/>
    </row>
    <row r="892" spans="1:2" ht="14.4" x14ac:dyDescent="0.3">
      <c r="A892" s="11"/>
      <c r="B892" s="11"/>
    </row>
    <row r="893" spans="1:2" ht="14.4" x14ac:dyDescent="0.3">
      <c r="A893" s="11"/>
      <c r="B893" s="11"/>
    </row>
    <row r="894" spans="1:2" ht="14.4" x14ac:dyDescent="0.3">
      <c r="A894" s="11"/>
      <c r="B894" s="11"/>
    </row>
    <row r="895" spans="1:2" ht="14.4" x14ac:dyDescent="0.3">
      <c r="A895" s="11"/>
      <c r="B895" s="11"/>
    </row>
    <row r="896" spans="1:2" ht="14.4" x14ac:dyDescent="0.3">
      <c r="A896" s="11"/>
      <c r="B896" s="11"/>
    </row>
    <row r="897" spans="1:2" ht="14.4" x14ac:dyDescent="0.3">
      <c r="A897" s="11"/>
      <c r="B897" s="11"/>
    </row>
    <row r="898" spans="1:2" ht="14.4" x14ac:dyDescent="0.3">
      <c r="A898" s="11"/>
      <c r="B898" s="11"/>
    </row>
    <row r="899" spans="1:2" ht="14.4" x14ac:dyDescent="0.3">
      <c r="A899" s="11"/>
      <c r="B899" s="11"/>
    </row>
    <row r="900" spans="1:2" ht="14.4" x14ac:dyDescent="0.3">
      <c r="A900" s="11"/>
      <c r="B900" s="11"/>
    </row>
    <row r="901" spans="1:2" ht="14.4" x14ac:dyDescent="0.3">
      <c r="A901" s="11"/>
      <c r="B901" s="11"/>
    </row>
    <row r="902" spans="1:2" ht="14.4" x14ac:dyDescent="0.3">
      <c r="A902" s="11"/>
      <c r="B902" s="11"/>
    </row>
    <row r="903" spans="1:2" ht="14.4" x14ac:dyDescent="0.3">
      <c r="A903" s="11"/>
      <c r="B903" s="11"/>
    </row>
    <row r="904" spans="1:2" ht="14.4" x14ac:dyDescent="0.3">
      <c r="A904" s="11"/>
      <c r="B904" s="11"/>
    </row>
    <row r="905" spans="1:2" ht="14.4" x14ac:dyDescent="0.3">
      <c r="A905" s="11"/>
      <c r="B905" s="11"/>
    </row>
    <row r="906" spans="1:2" ht="14.4" x14ac:dyDescent="0.3">
      <c r="A906" s="11"/>
      <c r="B906" s="11"/>
    </row>
    <row r="907" spans="1:2" ht="14.4" x14ac:dyDescent="0.3">
      <c r="A907" s="11"/>
      <c r="B907" s="11"/>
    </row>
    <row r="908" spans="1:2" ht="14.4" x14ac:dyDescent="0.3">
      <c r="A908" s="11"/>
      <c r="B908" s="11"/>
    </row>
    <row r="909" spans="1:2" ht="14.4" x14ac:dyDescent="0.3">
      <c r="A909" s="11"/>
      <c r="B909" s="11"/>
    </row>
    <row r="910" spans="1:2" ht="14.4" x14ac:dyDescent="0.3">
      <c r="A910" s="11"/>
      <c r="B910" s="11"/>
    </row>
    <row r="911" spans="1:2" ht="14.4" x14ac:dyDescent="0.3">
      <c r="A911" s="11"/>
      <c r="B911" s="11"/>
    </row>
    <row r="912" spans="1:2" ht="14.4" x14ac:dyDescent="0.3">
      <c r="A912" s="11"/>
      <c r="B912" s="11"/>
    </row>
    <row r="913" spans="1:2" ht="14.4" x14ac:dyDescent="0.3">
      <c r="A913" s="11"/>
      <c r="B913" s="11"/>
    </row>
    <row r="914" spans="1:2" ht="14.4" x14ac:dyDescent="0.3">
      <c r="A914" s="11"/>
      <c r="B914" s="11"/>
    </row>
    <row r="915" spans="1:2" ht="14.4" x14ac:dyDescent="0.3">
      <c r="A915" s="11"/>
      <c r="B915" s="11"/>
    </row>
    <row r="916" spans="1:2" ht="14.4" x14ac:dyDescent="0.3">
      <c r="A916" s="11"/>
      <c r="B916" s="11"/>
    </row>
    <row r="917" spans="1:2" ht="14.4" x14ac:dyDescent="0.3">
      <c r="A917" s="11"/>
      <c r="B917" s="11"/>
    </row>
    <row r="918" spans="1:2" ht="14.4" x14ac:dyDescent="0.3">
      <c r="A918" s="11"/>
      <c r="B918" s="11"/>
    </row>
    <row r="919" spans="1:2" ht="14.4" x14ac:dyDescent="0.3">
      <c r="A919" s="11"/>
      <c r="B919" s="11"/>
    </row>
    <row r="920" spans="1:2" ht="14.4" x14ac:dyDescent="0.3">
      <c r="A920" s="11"/>
      <c r="B920" s="11"/>
    </row>
    <row r="921" spans="1:2" ht="14.4" x14ac:dyDescent="0.3">
      <c r="A921" s="11"/>
      <c r="B921" s="11"/>
    </row>
    <row r="922" spans="1:2" ht="14.4" x14ac:dyDescent="0.3">
      <c r="A922" s="11"/>
      <c r="B922" s="11"/>
    </row>
    <row r="923" spans="1:2" ht="14.4" x14ac:dyDescent="0.3">
      <c r="A923" s="11"/>
      <c r="B923" s="11"/>
    </row>
    <row r="924" spans="1:2" ht="14.4" x14ac:dyDescent="0.3">
      <c r="A924" s="11"/>
      <c r="B924" s="11"/>
    </row>
    <row r="925" spans="1:2" ht="14.4" x14ac:dyDescent="0.3">
      <c r="A925" s="11"/>
      <c r="B925" s="11"/>
    </row>
    <row r="926" spans="1:2" ht="14.4" x14ac:dyDescent="0.3">
      <c r="A926" s="11"/>
      <c r="B926" s="11"/>
    </row>
    <row r="927" spans="1:2" ht="14.4" x14ac:dyDescent="0.3">
      <c r="A927" s="11"/>
      <c r="B927" s="11"/>
    </row>
    <row r="928" spans="1:2" ht="14.4" x14ac:dyDescent="0.3">
      <c r="A928" s="11"/>
      <c r="B928" s="11"/>
    </row>
    <row r="929" spans="1:2" ht="14.4" x14ac:dyDescent="0.3">
      <c r="A929" s="11"/>
      <c r="B929" s="11"/>
    </row>
    <row r="930" spans="1:2" ht="14.4" x14ac:dyDescent="0.3">
      <c r="A930" s="11"/>
      <c r="B930" s="11"/>
    </row>
    <row r="931" spans="1:2" ht="14.4" x14ac:dyDescent="0.3">
      <c r="A931" s="11"/>
      <c r="B931" s="11"/>
    </row>
    <row r="932" spans="1:2" ht="14.4" x14ac:dyDescent="0.3">
      <c r="A932" s="11"/>
      <c r="B932" s="11"/>
    </row>
    <row r="933" spans="1:2" ht="14.4" x14ac:dyDescent="0.3">
      <c r="A933" s="11"/>
      <c r="B933" s="11"/>
    </row>
    <row r="934" spans="1:2" ht="14.4" x14ac:dyDescent="0.3">
      <c r="A934" s="11"/>
      <c r="B934" s="11"/>
    </row>
    <row r="935" spans="1:2" ht="14.4" x14ac:dyDescent="0.3">
      <c r="A935" s="11"/>
      <c r="B935" s="11"/>
    </row>
    <row r="936" spans="1:2" ht="14.4" x14ac:dyDescent="0.3">
      <c r="A936" s="11"/>
      <c r="B936" s="11"/>
    </row>
    <row r="937" spans="1:2" ht="14.4" x14ac:dyDescent="0.3">
      <c r="A937" s="11"/>
      <c r="B937" s="11"/>
    </row>
    <row r="938" spans="1:2" ht="14.4" x14ac:dyDescent="0.3">
      <c r="A938" s="11"/>
      <c r="B938" s="11"/>
    </row>
    <row r="939" spans="1:2" ht="14.4" x14ac:dyDescent="0.3">
      <c r="A939" s="11"/>
      <c r="B939" s="11"/>
    </row>
    <row r="940" spans="1:2" ht="14.4" x14ac:dyDescent="0.3">
      <c r="A940" s="11"/>
      <c r="B940" s="11"/>
    </row>
    <row r="941" spans="1:2" ht="14.4" x14ac:dyDescent="0.3">
      <c r="A941" s="11"/>
      <c r="B941" s="11"/>
    </row>
    <row r="942" spans="1:2" ht="14.4" x14ac:dyDescent="0.3">
      <c r="A942" s="11"/>
      <c r="B942" s="11"/>
    </row>
    <row r="943" spans="1:2" ht="14.4" x14ac:dyDescent="0.3">
      <c r="A943" s="11"/>
      <c r="B943" s="11"/>
    </row>
    <row r="944" spans="1:2" ht="14.4" x14ac:dyDescent="0.3">
      <c r="A944" s="11"/>
      <c r="B944" s="11"/>
    </row>
    <row r="945" spans="1:2" ht="14.4" x14ac:dyDescent="0.3">
      <c r="A945" s="11"/>
      <c r="B945" s="11"/>
    </row>
    <row r="946" spans="1:2" ht="14.4" x14ac:dyDescent="0.3">
      <c r="A946" s="11"/>
      <c r="B946" s="11"/>
    </row>
    <row r="947" spans="1:2" ht="14.4" x14ac:dyDescent="0.3">
      <c r="A947" s="11"/>
      <c r="B947" s="11"/>
    </row>
    <row r="948" spans="1:2" ht="14.4" x14ac:dyDescent="0.3">
      <c r="A948" s="11"/>
      <c r="B948" s="11"/>
    </row>
    <row r="949" spans="1:2" ht="14.4" x14ac:dyDescent="0.3">
      <c r="A949" s="11"/>
      <c r="B949" s="11"/>
    </row>
    <row r="950" spans="1:2" ht="14.4" x14ac:dyDescent="0.3">
      <c r="A950" s="11"/>
      <c r="B950" s="11"/>
    </row>
    <row r="951" spans="1:2" ht="14.4" x14ac:dyDescent="0.3">
      <c r="A951" s="11"/>
      <c r="B951" s="11"/>
    </row>
    <row r="952" spans="1:2" ht="14.4" x14ac:dyDescent="0.3">
      <c r="A952" s="11"/>
      <c r="B952" s="11"/>
    </row>
    <row r="953" spans="1:2" ht="14.4" x14ac:dyDescent="0.3">
      <c r="A953" s="11"/>
      <c r="B953" s="11"/>
    </row>
    <row r="954" spans="1:2" ht="14.4" x14ac:dyDescent="0.3">
      <c r="A954" s="11"/>
      <c r="B954" s="11"/>
    </row>
    <row r="955" spans="1:2" ht="14.4" x14ac:dyDescent="0.3">
      <c r="A955" s="11"/>
      <c r="B955" s="11"/>
    </row>
    <row r="956" spans="1:2" ht="14.4" x14ac:dyDescent="0.3">
      <c r="A956" s="11"/>
      <c r="B956" s="11"/>
    </row>
    <row r="957" spans="1:2" ht="14.4" x14ac:dyDescent="0.3">
      <c r="A957" s="11"/>
      <c r="B957" s="11"/>
    </row>
    <row r="958" spans="1:2" ht="14.4" x14ac:dyDescent="0.3">
      <c r="A958" s="11"/>
      <c r="B958" s="11"/>
    </row>
    <row r="959" spans="1:2" ht="14.4" x14ac:dyDescent="0.3">
      <c r="A959" s="11"/>
      <c r="B959" s="11"/>
    </row>
    <row r="960" spans="1:2" ht="14.4" x14ac:dyDescent="0.3">
      <c r="A960" s="11"/>
      <c r="B960" s="11"/>
    </row>
    <row r="961" spans="1:2" ht="14.4" x14ac:dyDescent="0.3">
      <c r="A961" s="11"/>
      <c r="B961" s="11"/>
    </row>
    <row r="962" spans="1:2" ht="14.4" x14ac:dyDescent="0.3">
      <c r="A962" s="11"/>
      <c r="B962" s="11"/>
    </row>
    <row r="963" spans="1:2" ht="14.4" x14ac:dyDescent="0.3">
      <c r="A963" s="11"/>
      <c r="B963" s="11"/>
    </row>
    <row r="964" spans="1:2" ht="14.4" x14ac:dyDescent="0.3">
      <c r="A964" s="11"/>
      <c r="B964" s="11"/>
    </row>
    <row r="965" spans="1:2" ht="14.4" x14ac:dyDescent="0.3">
      <c r="A965" s="11"/>
      <c r="B965" s="11"/>
    </row>
    <row r="966" spans="1:2" ht="14.4" x14ac:dyDescent="0.3">
      <c r="A966" s="11"/>
      <c r="B966" s="11"/>
    </row>
    <row r="967" spans="1:2" ht="14.4" x14ac:dyDescent="0.3">
      <c r="A967" s="11"/>
      <c r="B967" s="11"/>
    </row>
    <row r="968" spans="1:2" ht="14.4" x14ac:dyDescent="0.3">
      <c r="A968" s="11"/>
      <c r="B968" s="11"/>
    </row>
    <row r="969" spans="1:2" ht="14.4" x14ac:dyDescent="0.3">
      <c r="A969" s="11"/>
      <c r="B969" s="11"/>
    </row>
    <row r="970" spans="1:2" ht="14.4" x14ac:dyDescent="0.3">
      <c r="A970" s="11"/>
      <c r="B970" s="11"/>
    </row>
    <row r="971" spans="1:2" ht="14.4" x14ac:dyDescent="0.3">
      <c r="A971" s="11"/>
      <c r="B971" s="11"/>
    </row>
    <row r="972" spans="1:2" ht="14.4" x14ac:dyDescent="0.3">
      <c r="A972" s="11"/>
      <c r="B972" s="11"/>
    </row>
    <row r="973" spans="1:2" ht="14.4" x14ac:dyDescent="0.3">
      <c r="A973" s="11"/>
      <c r="B973" s="11"/>
    </row>
    <row r="974" spans="1:2" ht="14.4" x14ac:dyDescent="0.3">
      <c r="A974" s="11"/>
      <c r="B974" s="11"/>
    </row>
    <row r="975" spans="1:2" ht="14.4" x14ac:dyDescent="0.3">
      <c r="A975" s="11"/>
      <c r="B975" s="11"/>
    </row>
    <row r="976" spans="1:2" ht="14.4" x14ac:dyDescent="0.3">
      <c r="A976" s="11"/>
      <c r="B976" s="11"/>
    </row>
    <row r="977" spans="1:2" ht="14.4" x14ac:dyDescent="0.3">
      <c r="A977" s="11"/>
      <c r="B977" s="11"/>
    </row>
    <row r="978" spans="1:2" ht="14.4" x14ac:dyDescent="0.3">
      <c r="A978" s="11"/>
      <c r="B978" s="11"/>
    </row>
    <row r="979" spans="1:2" ht="14.4" x14ac:dyDescent="0.3">
      <c r="A979" s="11"/>
      <c r="B979" s="11"/>
    </row>
    <row r="980" spans="1:2" ht="14.4" x14ac:dyDescent="0.3">
      <c r="A980" s="11"/>
      <c r="B980" s="11"/>
    </row>
    <row r="981" spans="1:2" ht="14.4" x14ac:dyDescent="0.3">
      <c r="A981" s="11"/>
      <c r="B981" s="11"/>
    </row>
    <row r="982" spans="1:2" ht="14.4" x14ac:dyDescent="0.3">
      <c r="A982" s="11"/>
      <c r="B982" s="11"/>
    </row>
    <row r="983" spans="1:2" ht="14.4" x14ac:dyDescent="0.3">
      <c r="A983" s="11"/>
      <c r="B983" s="11"/>
    </row>
    <row r="984" spans="1:2" ht="14.4" x14ac:dyDescent="0.3">
      <c r="A984" s="11"/>
      <c r="B984" s="11"/>
    </row>
    <row r="985" spans="1:2" ht="14.4" x14ac:dyDescent="0.3">
      <c r="A985" s="11"/>
      <c r="B985" s="11"/>
    </row>
    <row r="986" spans="1:2" ht="14.4" x14ac:dyDescent="0.3">
      <c r="A986" s="11"/>
      <c r="B986" s="11"/>
    </row>
    <row r="987" spans="1:2" ht="14.4" x14ac:dyDescent="0.3">
      <c r="A987" s="11"/>
      <c r="B987" s="11"/>
    </row>
    <row r="988" spans="1:2" ht="14.4" x14ac:dyDescent="0.3">
      <c r="A988" s="11"/>
      <c r="B988" s="11"/>
    </row>
    <row r="989" spans="1:2" ht="14.4" x14ac:dyDescent="0.3">
      <c r="A989" s="11"/>
      <c r="B989" s="11"/>
    </row>
    <row r="990" spans="1:2" ht="14.4" x14ac:dyDescent="0.3">
      <c r="A990" s="11"/>
      <c r="B990" s="11"/>
    </row>
    <row r="991" spans="1:2" ht="14.4" x14ac:dyDescent="0.3">
      <c r="A991" s="11"/>
      <c r="B991" s="11"/>
    </row>
    <row r="992" spans="1:2" ht="14.4" x14ac:dyDescent="0.3">
      <c r="A992" s="11"/>
      <c r="B992" s="11"/>
    </row>
    <row r="993" spans="1:2" ht="14.4" x14ac:dyDescent="0.3">
      <c r="A993" s="11"/>
      <c r="B993" s="11"/>
    </row>
    <row r="994" spans="1:2" ht="14.4" x14ac:dyDescent="0.3">
      <c r="A994" s="11"/>
      <c r="B994" s="11"/>
    </row>
    <row r="995" spans="1:2" ht="14.4" x14ac:dyDescent="0.3">
      <c r="A995" s="11"/>
      <c r="B995" s="11"/>
    </row>
    <row r="996" spans="1:2" ht="14.4" x14ac:dyDescent="0.3">
      <c r="A996" s="11"/>
      <c r="B996" s="11"/>
    </row>
    <row r="997" spans="1:2" ht="14.4" x14ac:dyDescent="0.3">
      <c r="A997" s="11"/>
      <c r="B997" s="11"/>
    </row>
    <row r="998" spans="1:2" ht="14.4" x14ac:dyDescent="0.3">
      <c r="A998" s="11"/>
      <c r="B998" s="11"/>
    </row>
    <row r="999" spans="1:2" ht="14.4" x14ac:dyDescent="0.3">
      <c r="A999" s="11"/>
      <c r="B999" s="11"/>
    </row>
    <row r="1000" spans="1:2" ht="14.4" x14ac:dyDescent="0.3">
      <c r="A1000" s="11"/>
      <c r="B1000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  <outlinePr summaryBelow="0" summaryRight="0"/>
  </sheetPr>
  <dimension ref="A1:Z1000"/>
  <sheetViews>
    <sheetView workbookViewId="0"/>
  </sheetViews>
  <sheetFormatPr baseColWidth="10" defaultColWidth="12.6640625" defaultRowHeight="15.75" customHeight="1" x14ac:dyDescent="0.25"/>
  <sheetData>
    <row r="1" spans="1:26" ht="92.4" x14ac:dyDescent="0.25">
      <c r="A1" s="1" t="s">
        <v>0</v>
      </c>
      <c r="B1" s="1" t="s">
        <v>1</v>
      </c>
      <c r="C1" s="2" t="s">
        <v>2</v>
      </c>
      <c r="D1" s="2" t="s">
        <v>5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3">
      <c r="A2" s="5">
        <v>10101</v>
      </c>
      <c r="B2" s="6" t="s">
        <v>9</v>
      </c>
      <c r="C2" s="7">
        <v>9108</v>
      </c>
      <c r="D2" s="7">
        <v>477</v>
      </c>
    </row>
    <row r="3" spans="1:26" ht="15.75" customHeight="1" x14ac:dyDescent="0.3">
      <c r="A3" s="5">
        <v>10102</v>
      </c>
      <c r="B3" s="6" t="s">
        <v>11</v>
      </c>
      <c r="C3" s="7">
        <v>10</v>
      </c>
      <c r="D3" s="7">
        <v>229</v>
      </c>
    </row>
    <row r="4" spans="1:26" ht="15.75" customHeight="1" x14ac:dyDescent="0.3">
      <c r="A4" s="5">
        <v>10103</v>
      </c>
      <c r="B4" s="6" t="s">
        <v>13</v>
      </c>
      <c r="C4" s="7">
        <v>501</v>
      </c>
      <c r="D4" s="7">
        <v>46</v>
      </c>
    </row>
    <row r="5" spans="1:26" ht="15.75" customHeight="1" x14ac:dyDescent="0.3">
      <c r="A5" s="5">
        <v>10201</v>
      </c>
      <c r="B5" s="6" t="s">
        <v>15</v>
      </c>
      <c r="C5" s="7">
        <v>1159</v>
      </c>
      <c r="D5" s="7">
        <v>105</v>
      </c>
    </row>
    <row r="6" spans="1:26" ht="15.75" customHeight="1" x14ac:dyDescent="0.3">
      <c r="A6" s="5">
        <v>10202</v>
      </c>
      <c r="B6" s="6" t="s">
        <v>17</v>
      </c>
      <c r="C6" s="7">
        <v>115</v>
      </c>
      <c r="D6" s="7">
        <v>342</v>
      </c>
    </row>
    <row r="7" spans="1:26" ht="15.75" customHeight="1" x14ac:dyDescent="0.3">
      <c r="A7" s="5">
        <v>10301</v>
      </c>
      <c r="B7" s="6" t="s">
        <v>19</v>
      </c>
      <c r="C7" s="7">
        <v>1201</v>
      </c>
      <c r="D7" s="7">
        <v>7</v>
      </c>
    </row>
    <row r="8" spans="1:26" ht="15.75" customHeight="1" x14ac:dyDescent="0.3">
      <c r="A8" s="5">
        <v>10302</v>
      </c>
      <c r="B8" s="6" t="s">
        <v>21</v>
      </c>
      <c r="C8" s="7">
        <v>1929</v>
      </c>
      <c r="D8" s="7">
        <v>257</v>
      </c>
    </row>
    <row r="9" spans="1:26" ht="15.75" customHeight="1" x14ac:dyDescent="0.3">
      <c r="A9" s="5">
        <v>10303</v>
      </c>
      <c r="B9" s="6" t="s">
        <v>23</v>
      </c>
      <c r="C9" s="7">
        <v>393</v>
      </c>
      <c r="D9" s="7">
        <v>22</v>
      </c>
    </row>
    <row r="10" spans="1:26" ht="15.75" customHeight="1" x14ac:dyDescent="0.3">
      <c r="A10" s="5">
        <v>10304</v>
      </c>
      <c r="B10" s="6" t="s">
        <v>25</v>
      </c>
      <c r="C10" s="7">
        <v>0</v>
      </c>
      <c r="D10" s="7">
        <v>333</v>
      </c>
    </row>
    <row r="11" spans="1:26" ht="15.75" customHeight="1" x14ac:dyDescent="0.3">
      <c r="A11" s="5">
        <v>10401</v>
      </c>
      <c r="B11" s="6" t="s">
        <v>27</v>
      </c>
      <c r="C11" s="7">
        <v>2622</v>
      </c>
      <c r="D11" s="7">
        <v>4</v>
      </c>
    </row>
    <row r="12" spans="1:26" ht="15.75" customHeight="1" x14ac:dyDescent="0.3">
      <c r="A12" s="5">
        <v>10402</v>
      </c>
      <c r="B12" s="6" t="s">
        <v>29</v>
      </c>
      <c r="C12" s="7">
        <v>2653</v>
      </c>
      <c r="D12" s="7">
        <v>0</v>
      </c>
    </row>
    <row r="13" spans="1:26" ht="15.75" customHeight="1" x14ac:dyDescent="0.3">
      <c r="A13" s="5">
        <v>10403</v>
      </c>
      <c r="B13" s="6" t="s">
        <v>31</v>
      </c>
      <c r="C13" s="7">
        <v>1805</v>
      </c>
      <c r="D13" s="7">
        <v>15</v>
      </c>
    </row>
    <row r="14" spans="1:26" ht="15.75" customHeight="1" x14ac:dyDescent="0.3">
      <c r="A14" s="5">
        <v>10404</v>
      </c>
      <c r="B14" s="6" t="s">
        <v>32</v>
      </c>
      <c r="C14" s="7">
        <v>309</v>
      </c>
      <c r="D14" s="7">
        <v>4</v>
      </c>
    </row>
    <row r="15" spans="1:26" ht="15.75" customHeight="1" x14ac:dyDescent="0.3">
      <c r="A15" s="5">
        <v>10405</v>
      </c>
      <c r="B15" s="6" t="s">
        <v>33</v>
      </c>
      <c r="C15" s="7">
        <v>52</v>
      </c>
      <c r="D15" s="7">
        <v>6</v>
      </c>
    </row>
    <row r="16" spans="1:26" ht="15.75" customHeight="1" x14ac:dyDescent="0.3">
      <c r="A16" s="5">
        <v>10501</v>
      </c>
      <c r="B16" s="6" t="s">
        <v>34</v>
      </c>
      <c r="C16" s="7">
        <v>504</v>
      </c>
      <c r="D16" s="7">
        <v>327</v>
      </c>
    </row>
    <row r="17" spans="1:4" ht="15.75" customHeight="1" x14ac:dyDescent="0.3">
      <c r="A17" s="5">
        <v>10502</v>
      </c>
      <c r="B17" s="6" t="s">
        <v>35</v>
      </c>
      <c r="C17" s="7">
        <v>204</v>
      </c>
      <c r="D17" s="7">
        <v>3</v>
      </c>
    </row>
    <row r="18" spans="1:4" ht="15.75" customHeight="1" x14ac:dyDescent="0.3">
      <c r="A18" s="5">
        <v>10601</v>
      </c>
      <c r="B18" s="6" t="s">
        <v>36</v>
      </c>
      <c r="C18" s="7">
        <v>27</v>
      </c>
      <c r="D18" s="7">
        <v>305</v>
      </c>
    </row>
    <row r="19" spans="1:4" ht="15.75" customHeight="1" x14ac:dyDescent="0.3">
      <c r="A19" s="5">
        <v>10602</v>
      </c>
      <c r="B19" s="6" t="s">
        <v>37</v>
      </c>
      <c r="C19" s="7">
        <v>2679</v>
      </c>
      <c r="D19" s="7">
        <v>0</v>
      </c>
    </row>
    <row r="20" spans="1:4" ht="15.75" customHeight="1" x14ac:dyDescent="0.3">
      <c r="A20" s="5">
        <v>10701</v>
      </c>
      <c r="B20" s="6" t="s">
        <v>38</v>
      </c>
      <c r="C20" s="7">
        <v>7127</v>
      </c>
      <c r="D20" s="7">
        <v>37</v>
      </c>
    </row>
    <row r="21" spans="1:4" ht="15.75" customHeight="1" x14ac:dyDescent="0.3">
      <c r="A21" s="5">
        <v>10702</v>
      </c>
      <c r="B21" s="6" t="s">
        <v>39</v>
      </c>
      <c r="C21" s="7">
        <v>7</v>
      </c>
      <c r="D21" s="7">
        <v>135</v>
      </c>
    </row>
    <row r="22" spans="1:4" ht="15.75" customHeight="1" x14ac:dyDescent="0.3">
      <c r="A22" s="5">
        <v>10703</v>
      </c>
      <c r="B22" s="6" t="s">
        <v>40</v>
      </c>
      <c r="C22" s="7">
        <v>433</v>
      </c>
      <c r="D22" s="7">
        <v>59</v>
      </c>
    </row>
    <row r="23" spans="1:4" ht="15.75" customHeight="1" x14ac:dyDescent="0.3">
      <c r="A23" s="5">
        <v>10704</v>
      </c>
      <c r="B23" s="6" t="s">
        <v>41</v>
      </c>
      <c r="C23" s="7">
        <v>0</v>
      </c>
      <c r="D23" s="7">
        <v>165</v>
      </c>
    </row>
    <row r="24" spans="1:4" ht="15.75" customHeight="1" x14ac:dyDescent="0.3">
      <c r="A24" s="5">
        <v>10801</v>
      </c>
      <c r="B24" s="6" t="s">
        <v>42</v>
      </c>
      <c r="C24" s="7">
        <v>4710</v>
      </c>
      <c r="D24" s="7">
        <v>19</v>
      </c>
    </row>
    <row r="25" spans="1:4" ht="15.75" customHeight="1" x14ac:dyDescent="0.3">
      <c r="A25" s="5">
        <v>10901</v>
      </c>
      <c r="B25" s="6" t="s">
        <v>43</v>
      </c>
      <c r="C25" s="7">
        <v>115</v>
      </c>
      <c r="D25" s="7">
        <v>0</v>
      </c>
    </row>
    <row r="26" spans="1:4" ht="15.75" customHeight="1" x14ac:dyDescent="0.3">
      <c r="A26" s="5">
        <v>10902</v>
      </c>
      <c r="B26" s="6" t="s">
        <v>44</v>
      </c>
      <c r="C26" s="7">
        <v>4057</v>
      </c>
      <c r="D26" s="7">
        <v>3</v>
      </c>
    </row>
    <row r="27" spans="1:4" ht="15.75" customHeight="1" x14ac:dyDescent="0.3">
      <c r="A27" s="5">
        <v>10903</v>
      </c>
      <c r="B27" s="6" t="s">
        <v>45</v>
      </c>
      <c r="C27" s="7">
        <v>181</v>
      </c>
      <c r="D27" s="7">
        <v>8</v>
      </c>
    </row>
    <row r="28" spans="1:4" ht="15.75" customHeight="1" x14ac:dyDescent="0.3">
      <c r="A28" s="5">
        <v>11001</v>
      </c>
      <c r="B28" s="6" t="s">
        <v>46</v>
      </c>
      <c r="C28" s="7">
        <v>313</v>
      </c>
      <c r="D28" s="7">
        <v>104</v>
      </c>
    </row>
    <row r="29" spans="1:4" ht="15.75" customHeight="1" x14ac:dyDescent="0.3">
      <c r="A29" s="5">
        <v>11002</v>
      </c>
      <c r="B29" s="6" t="s">
        <v>47</v>
      </c>
      <c r="C29" s="7">
        <v>13</v>
      </c>
      <c r="D29" s="7">
        <v>7</v>
      </c>
    </row>
    <row r="30" spans="1:4" ht="15.75" customHeight="1" x14ac:dyDescent="0.3">
      <c r="A30" s="5">
        <v>11003</v>
      </c>
      <c r="B30" s="6" t="s">
        <v>48</v>
      </c>
      <c r="C30" s="7">
        <v>123</v>
      </c>
      <c r="D30" s="7">
        <v>17</v>
      </c>
    </row>
    <row r="31" spans="1:4" ht="14.4" x14ac:dyDescent="0.3">
      <c r="A31" s="5">
        <v>20101</v>
      </c>
      <c r="B31" s="6" t="s">
        <v>49</v>
      </c>
      <c r="C31" s="7">
        <v>1</v>
      </c>
      <c r="D31" s="7">
        <v>188</v>
      </c>
    </row>
    <row r="32" spans="1:4" ht="14.4" x14ac:dyDescent="0.3">
      <c r="A32" s="5">
        <v>20102</v>
      </c>
      <c r="B32" s="6" t="s">
        <v>50</v>
      </c>
      <c r="C32" s="7">
        <v>0</v>
      </c>
      <c r="D32" s="7">
        <v>6245</v>
      </c>
    </row>
    <row r="33" spans="1:4" ht="14.4" x14ac:dyDescent="0.3">
      <c r="A33" s="5">
        <v>20103</v>
      </c>
      <c r="B33" s="6" t="s">
        <v>51</v>
      </c>
      <c r="C33" s="7">
        <v>2</v>
      </c>
      <c r="D33" s="7">
        <v>4214</v>
      </c>
    </row>
    <row r="34" spans="1:4" ht="14.4" x14ac:dyDescent="0.3">
      <c r="A34" s="5">
        <v>20104</v>
      </c>
      <c r="B34" s="6" t="s">
        <v>52</v>
      </c>
      <c r="C34" s="7">
        <v>0</v>
      </c>
      <c r="D34" s="7">
        <v>8</v>
      </c>
    </row>
    <row r="35" spans="1:4" ht="14.4" x14ac:dyDescent="0.3">
      <c r="A35" s="5">
        <v>20105</v>
      </c>
      <c r="B35" s="6" t="s">
        <v>53</v>
      </c>
      <c r="C35" s="7">
        <v>4</v>
      </c>
      <c r="D35" s="7">
        <v>889</v>
      </c>
    </row>
    <row r="36" spans="1:4" ht="14.4" x14ac:dyDescent="0.3">
      <c r="A36" s="5">
        <v>20201</v>
      </c>
      <c r="B36" s="6" t="s">
        <v>54</v>
      </c>
      <c r="C36" s="7">
        <v>1</v>
      </c>
      <c r="D36" s="7">
        <v>3476</v>
      </c>
    </row>
    <row r="37" spans="1:4" ht="14.4" x14ac:dyDescent="0.3">
      <c r="A37" s="5">
        <v>20202</v>
      </c>
      <c r="B37" s="6" t="s">
        <v>55</v>
      </c>
      <c r="C37" s="7">
        <v>0</v>
      </c>
      <c r="D37" s="7">
        <v>741</v>
      </c>
    </row>
    <row r="38" spans="1:4" ht="14.4" x14ac:dyDescent="0.3">
      <c r="A38" s="5">
        <v>20203</v>
      </c>
      <c r="B38" s="6" t="s">
        <v>56</v>
      </c>
      <c r="C38" s="7">
        <v>0</v>
      </c>
      <c r="D38" s="7">
        <v>178</v>
      </c>
    </row>
    <row r="39" spans="1:4" ht="14.4" x14ac:dyDescent="0.3">
      <c r="A39" s="5">
        <v>20204</v>
      </c>
      <c r="B39" s="6" t="s">
        <v>57</v>
      </c>
      <c r="C39" s="7">
        <v>1</v>
      </c>
      <c r="D39" s="7">
        <v>985</v>
      </c>
    </row>
    <row r="40" spans="1:4" ht="14.4" x14ac:dyDescent="0.3">
      <c r="A40" s="5">
        <v>20205</v>
      </c>
      <c r="B40" s="6" t="s">
        <v>58</v>
      </c>
      <c r="C40" s="7">
        <v>0</v>
      </c>
      <c r="D40" s="7">
        <v>1712</v>
      </c>
    </row>
    <row r="41" spans="1:4" ht="14.4" x14ac:dyDescent="0.3">
      <c r="A41" s="5">
        <v>20206</v>
      </c>
      <c r="B41" s="6" t="s">
        <v>59</v>
      </c>
      <c r="C41" s="7">
        <v>0</v>
      </c>
      <c r="D41" s="7">
        <v>155</v>
      </c>
    </row>
    <row r="42" spans="1:4" ht="14.4" x14ac:dyDescent="0.3">
      <c r="A42" s="5">
        <v>20301</v>
      </c>
      <c r="B42" s="6" t="s">
        <v>60</v>
      </c>
      <c r="C42" s="7">
        <v>0</v>
      </c>
      <c r="D42" s="7">
        <v>189</v>
      </c>
    </row>
    <row r="43" spans="1:4" ht="14.4" x14ac:dyDescent="0.3">
      <c r="A43" s="5">
        <v>20302</v>
      </c>
      <c r="B43" s="6" t="s">
        <v>61</v>
      </c>
      <c r="C43" s="7">
        <v>0</v>
      </c>
      <c r="D43" s="7">
        <v>9</v>
      </c>
    </row>
    <row r="44" spans="1:4" ht="14.4" x14ac:dyDescent="0.3">
      <c r="A44" s="5">
        <v>20303</v>
      </c>
      <c r="B44" s="6" t="s">
        <v>62</v>
      </c>
      <c r="C44" s="7">
        <v>0</v>
      </c>
      <c r="D44" s="7">
        <v>29</v>
      </c>
    </row>
    <row r="45" spans="1:4" ht="14.4" x14ac:dyDescent="0.3">
      <c r="A45" s="5">
        <v>20304</v>
      </c>
      <c r="B45" s="6" t="s">
        <v>63</v>
      </c>
      <c r="C45" s="7">
        <v>0</v>
      </c>
      <c r="D45" s="7">
        <v>295</v>
      </c>
    </row>
    <row r="46" spans="1:4" ht="14.4" x14ac:dyDescent="0.3">
      <c r="A46" s="5">
        <v>20305</v>
      </c>
      <c r="B46" s="6" t="s">
        <v>64</v>
      </c>
      <c r="C46" s="7">
        <v>0</v>
      </c>
      <c r="D46" s="7">
        <v>0</v>
      </c>
    </row>
    <row r="47" spans="1:4" ht="14.4" x14ac:dyDescent="0.3">
      <c r="A47" s="5">
        <v>20306</v>
      </c>
      <c r="B47" s="6" t="s">
        <v>65</v>
      </c>
      <c r="C47" s="7">
        <v>0</v>
      </c>
      <c r="D47" s="7">
        <v>0</v>
      </c>
    </row>
    <row r="48" spans="1:4" ht="14.4" x14ac:dyDescent="0.3">
      <c r="A48" s="5">
        <v>20307</v>
      </c>
      <c r="B48" s="6" t="s">
        <v>66</v>
      </c>
      <c r="C48" s="7">
        <v>0</v>
      </c>
      <c r="D48" s="7">
        <v>0</v>
      </c>
    </row>
    <row r="49" spans="1:4" ht="14.4" x14ac:dyDescent="0.3">
      <c r="A49" s="5">
        <v>20308</v>
      </c>
      <c r="B49" s="6" t="s">
        <v>67</v>
      </c>
      <c r="C49" s="7">
        <v>0</v>
      </c>
      <c r="D49" s="7">
        <v>30</v>
      </c>
    </row>
    <row r="50" spans="1:4" ht="14.4" x14ac:dyDescent="0.3">
      <c r="A50" s="5">
        <v>20401</v>
      </c>
      <c r="B50" s="6" t="s">
        <v>68</v>
      </c>
      <c r="C50" s="7">
        <v>0</v>
      </c>
      <c r="D50" s="7">
        <v>0</v>
      </c>
    </row>
    <row r="51" spans="1:4" ht="14.4" x14ac:dyDescent="0.3">
      <c r="A51" s="5">
        <v>20402</v>
      </c>
      <c r="B51" s="6" t="s">
        <v>69</v>
      </c>
      <c r="C51" s="7">
        <v>0</v>
      </c>
      <c r="D51" s="7">
        <v>1256</v>
      </c>
    </row>
    <row r="52" spans="1:4" ht="14.4" x14ac:dyDescent="0.3">
      <c r="A52" s="5">
        <v>20403</v>
      </c>
      <c r="B52" s="6" t="s">
        <v>70</v>
      </c>
      <c r="C52" s="7">
        <v>0</v>
      </c>
      <c r="D52" s="7">
        <v>3218</v>
      </c>
    </row>
    <row r="53" spans="1:4" ht="14.4" x14ac:dyDescent="0.3">
      <c r="A53" s="5">
        <v>20404</v>
      </c>
      <c r="B53" s="6" t="s">
        <v>71</v>
      </c>
      <c r="C53" s="7">
        <v>0</v>
      </c>
      <c r="D53" s="7">
        <v>42</v>
      </c>
    </row>
    <row r="54" spans="1:4" ht="14.4" x14ac:dyDescent="0.3">
      <c r="A54" s="5">
        <v>20405</v>
      </c>
      <c r="B54" s="6" t="s">
        <v>72</v>
      </c>
      <c r="C54" s="7">
        <v>0</v>
      </c>
      <c r="D54" s="7">
        <v>0</v>
      </c>
    </row>
    <row r="55" spans="1:4" ht="14.4" x14ac:dyDescent="0.3">
      <c r="A55" s="5">
        <v>20501</v>
      </c>
      <c r="B55" s="6" t="s">
        <v>73</v>
      </c>
      <c r="C55" s="7">
        <v>1</v>
      </c>
      <c r="D55" s="7">
        <v>3765</v>
      </c>
    </row>
    <row r="56" spans="1:4" ht="14.4" x14ac:dyDescent="0.3">
      <c r="A56" s="5">
        <v>20502</v>
      </c>
      <c r="B56" s="6" t="s">
        <v>74</v>
      </c>
      <c r="C56" s="7">
        <v>0</v>
      </c>
      <c r="D56" s="7">
        <v>2045</v>
      </c>
    </row>
    <row r="57" spans="1:4" ht="14.4" x14ac:dyDescent="0.3">
      <c r="A57" s="5">
        <v>20503</v>
      </c>
      <c r="B57" s="6" t="s">
        <v>75</v>
      </c>
      <c r="C57" s="7">
        <v>0</v>
      </c>
      <c r="D57" s="7">
        <v>168</v>
      </c>
    </row>
    <row r="58" spans="1:4" ht="14.4" x14ac:dyDescent="0.3">
      <c r="A58" s="5">
        <v>20601</v>
      </c>
      <c r="B58" s="6" t="s">
        <v>76</v>
      </c>
      <c r="C58" s="7">
        <v>12</v>
      </c>
      <c r="D58" s="7">
        <v>4459</v>
      </c>
    </row>
    <row r="59" spans="1:4" ht="14.4" x14ac:dyDescent="0.3">
      <c r="A59" s="5">
        <v>20602</v>
      </c>
      <c r="B59" s="6" t="s">
        <v>77</v>
      </c>
      <c r="C59" s="7">
        <v>1</v>
      </c>
      <c r="D59" s="7">
        <v>0</v>
      </c>
    </row>
    <row r="60" spans="1:4" ht="14.4" x14ac:dyDescent="0.3">
      <c r="A60" s="5">
        <v>20603</v>
      </c>
      <c r="B60" s="6" t="s">
        <v>78</v>
      </c>
      <c r="C60" s="7">
        <v>1</v>
      </c>
      <c r="D60" s="7">
        <v>460</v>
      </c>
    </row>
    <row r="61" spans="1:4" ht="14.4" x14ac:dyDescent="0.3">
      <c r="A61" s="5">
        <v>20604</v>
      </c>
      <c r="B61" s="6" t="s">
        <v>79</v>
      </c>
      <c r="C61" s="7">
        <v>0</v>
      </c>
      <c r="D61" s="7">
        <v>1427</v>
      </c>
    </row>
    <row r="62" spans="1:4" ht="14.4" x14ac:dyDescent="0.3">
      <c r="A62" s="5">
        <v>20605</v>
      </c>
      <c r="B62" s="6" t="s">
        <v>80</v>
      </c>
      <c r="C62" s="7">
        <v>0</v>
      </c>
      <c r="D62" s="7">
        <v>394</v>
      </c>
    </row>
    <row r="63" spans="1:4" ht="14.4" x14ac:dyDescent="0.3">
      <c r="A63" s="5">
        <v>20606</v>
      </c>
      <c r="B63" s="6" t="s">
        <v>81</v>
      </c>
      <c r="C63" s="7">
        <v>0</v>
      </c>
      <c r="D63" s="7">
        <v>0</v>
      </c>
    </row>
    <row r="64" spans="1:4" ht="14.4" x14ac:dyDescent="0.3">
      <c r="A64" s="5">
        <v>20607</v>
      </c>
      <c r="B64" s="6" t="s">
        <v>82</v>
      </c>
      <c r="C64" s="7">
        <v>5</v>
      </c>
      <c r="D64" s="7">
        <v>0</v>
      </c>
    </row>
    <row r="65" spans="1:4" ht="14.4" x14ac:dyDescent="0.3">
      <c r="A65" s="5">
        <v>20608</v>
      </c>
      <c r="B65" s="6" t="s">
        <v>83</v>
      </c>
      <c r="C65" s="7">
        <v>3</v>
      </c>
      <c r="D65" s="7">
        <v>166</v>
      </c>
    </row>
    <row r="66" spans="1:4" ht="14.4" x14ac:dyDescent="0.3">
      <c r="A66" s="5">
        <v>20701</v>
      </c>
      <c r="B66" s="6" t="s">
        <v>84</v>
      </c>
      <c r="C66" s="7">
        <v>0</v>
      </c>
      <c r="D66" s="7">
        <v>1</v>
      </c>
    </row>
    <row r="67" spans="1:4" ht="14.4" x14ac:dyDescent="0.3">
      <c r="A67" s="5">
        <v>20702</v>
      </c>
      <c r="B67" s="6" t="s">
        <v>85</v>
      </c>
      <c r="C67" s="7">
        <v>11</v>
      </c>
      <c r="D67" s="7">
        <v>0</v>
      </c>
    </row>
    <row r="68" spans="1:4" ht="14.4" x14ac:dyDescent="0.3">
      <c r="A68" s="5">
        <v>20801</v>
      </c>
      <c r="B68" s="6" t="s">
        <v>86</v>
      </c>
      <c r="C68" s="7">
        <v>3263</v>
      </c>
      <c r="D68" s="7">
        <v>1665</v>
      </c>
    </row>
    <row r="69" spans="1:4" ht="14.4" x14ac:dyDescent="0.3">
      <c r="A69" s="5">
        <v>20802</v>
      </c>
      <c r="B69" s="6" t="s">
        <v>87</v>
      </c>
      <c r="C69" s="7">
        <v>1016</v>
      </c>
      <c r="D69" s="7">
        <v>2840</v>
      </c>
    </row>
    <row r="70" spans="1:4" ht="14.4" x14ac:dyDescent="0.3">
      <c r="A70" s="5">
        <v>20803</v>
      </c>
      <c r="B70" s="6" t="s">
        <v>88</v>
      </c>
      <c r="C70" s="7">
        <v>3843</v>
      </c>
      <c r="D70" s="7">
        <v>0</v>
      </c>
    </row>
    <row r="71" spans="1:4" ht="14.4" x14ac:dyDescent="0.3">
      <c r="A71" s="5">
        <v>20804</v>
      </c>
      <c r="B71" s="6" t="s">
        <v>89</v>
      </c>
      <c r="C71" s="7">
        <v>0</v>
      </c>
      <c r="D71" s="7">
        <v>1200</v>
      </c>
    </row>
    <row r="72" spans="1:4" ht="14.4" x14ac:dyDescent="0.3">
      <c r="A72" s="5">
        <v>20805</v>
      </c>
      <c r="B72" s="6" t="s">
        <v>90</v>
      </c>
      <c r="C72" s="7">
        <v>1</v>
      </c>
      <c r="D72" s="7">
        <v>5</v>
      </c>
    </row>
    <row r="73" spans="1:4" ht="14.4" x14ac:dyDescent="0.3">
      <c r="A73" s="5">
        <v>20806</v>
      </c>
      <c r="B73" s="6" t="s">
        <v>91</v>
      </c>
      <c r="C73" s="7">
        <v>0</v>
      </c>
      <c r="D73" s="7">
        <v>0</v>
      </c>
    </row>
    <row r="74" spans="1:4" ht="14.4" x14ac:dyDescent="0.3">
      <c r="A74" s="5">
        <v>20807</v>
      </c>
      <c r="B74" s="6" t="s">
        <v>92</v>
      </c>
      <c r="C74" s="7">
        <v>604</v>
      </c>
      <c r="D74" s="7">
        <v>4</v>
      </c>
    </row>
    <row r="75" spans="1:4" ht="14.4" x14ac:dyDescent="0.3">
      <c r="A75" s="5">
        <v>20901</v>
      </c>
      <c r="B75" s="6" t="s">
        <v>93</v>
      </c>
      <c r="C75" s="7">
        <v>3</v>
      </c>
      <c r="D75" s="7">
        <v>265</v>
      </c>
    </row>
    <row r="76" spans="1:4" ht="14.4" x14ac:dyDescent="0.3">
      <c r="A76" s="5">
        <v>20902</v>
      </c>
      <c r="B76" s="6" t="s">
        <v>94</v>
      </c>
      <c r="C76" s="7">
        <v>108</v>
      </c>
      <c r="D76" s="7">
        <v>2628</v>
      </c>
    </row>
    <row r="77" spans="1:4" ht="14.4" x14ac:dyDescent="0.3">
      <c r="A77" s="5">
        <v>20903</v>
      </c>
      <c r="B77" s="6" t="s">
        <v>95</v>
      </c>
      <c r="C77" s="7">
        <v>0</v>
      </c>
      <c r="D77" s="7">
        <v>158</v>
      </c>
    </row>
    <row r="78" spans="1:4" ht="14.4" x14ac:dyDescent="0.3">
      <c r="A78" s="5">
        <v>20904</v>
      </c>
      <c r="B78" s="6" t="s">
        <v>96</v>
      </c>
      <c r="C78" s="7">
        <v>0</v>
      </c>
      <c r="D78" s="7">
        <v>84</v>
      </c>
    </row>
    <row r="79" spans="1:4" ht="14.4" x14ac:dyDescent="0.3">
      <c r="A79" s="5">
        <v>20905</v>
      </c>
      <c r="B79" s="6" t="s">
        <v>97</v>
      </c>
      <c r="C79" s="7">
        <v>0</v>
      </c>
      <c r="D79" s="7">
        <v>1693</v>
      </c>
    </row>
    <row r="80" spans="1:4" ht="14.4" x14ac:dyDescent="0.3">
      <c r="A80" s="5">
        <v>21001</v>
      </c>
      <c r="B80" s="6" t="s">
        <v>98</v>
      </c>
      <c r="C80" s="7">
        <v>0</v>
      </c>
      <c r="D80" s="7">
        <v>1351</v>
      </c>
    </row>
    <row r="81" spans="1:4" ht="14.4" x14ac:dyDescent="0.3">
      <c r="A81" s="5">
        <v>21002</v>
      </c>
      <c r="B81" s="6" t="s">
        <v>99</v>
      </c>
      <c r="C81" s="7">
        <v>30</v>
      </c>
      <c r="D81" s="7">
        <v>31</v>
      </c>
    </row>
    <row r="82" spans="1:4" ht="14.4" x14ac:dyDescent="0.3">
      <c r="A82" s="5">
        <v>21003</v>
      </c>
      <c r="B82" s="6" t="s">
        <v>100</v>
      </c>
      <c r="C82" s="7">
        <v>0</v>
      </c>
      <c r="D82" s="7">
        <v>1466</v>
      </c>
    </row>
    <row r="83" spans="1:4" ht="14.4" x14ac:dyDescent="0.3">
      <c r="A83" s="5">
        <v>21004</v>
      </c>
      <c r="B83" s="6" t="s">
        <v>101</v>
      </c>
      <c r="C83" s="7">
        <v>0</v>
      </c>
      <c r="D83" s="7">
        <v>279</v>
      </c>
    </row>
    <row r="84" spans="1:4" ht="14.4" x14ac:dyDescent="0.3">
      <c r="A84" s="5">
        <v>21005</v>
      </c>
      <c r="B84" s="6" t="s">
        <v>102</v>
      </c>
      <c r="C84" s="7">
        <v>0</v>
      </c>
      <c r="D84" s="7">
        <v>0</v>
      </c>
    </row>
    <row r="85" spans="1:4" ht="14.4" x14ac:dyDescent="0.3">
      <c r="A85" s="5">
        <v>21006</v>
      </c>
      <c r="B85" s="6" t="s">
        <v>103</v>
      </c>
      <c r="C85" s="7">
        <v>0</v>
      </c>
      <c r="D85" s="7">
        <v>322</v>
      </c>
    </row>
    <row r="86" spans="1:4" ht="14.4" x14ac:dyDescent="0.3">
      <c r="A86" s="5">
        <v>21101</v>
      </c>
      <c r="B86" s="6" t="s">
        <v>104</v>
      </c>
      <c r="C86" s="7">
        <v>37</v>
      </c>
      <c r="D86" s="7">
        <v>1118</v>
      </c>
    </row>
    <row r="87" spans="1:4" ht="14.4" x14ac:dyDescent="0.3">
      <c r="A87" s="5">
        <v>21102</v>
      </c>
      <c r="B87" s="6" t="s">
        <v>105</v>
      </c>
      <c r="C87" s="7">
        <v>1</v>
      </c>
      <c r="D87" s="7">
        <v>2224</v>
      </c>
    </row>
    <row r="88" spans="1:4" ht="14.4" x14ac:dyDescent="0.3">
      <c r="A88" s="5">
        <v>21103</v>
      </c>
      <c r="B88" s="6" t="s">
        <v>106</v>
      </c>
      <c r="C88" s="7">
        <v>1</v>
      </c>
      <c r="D88" s="7">
        <v>4</v>
      </c>
    </row>
    <row r="89" spans="1:4" ht="14.4" x14ac:dyDescent="0.3">
      <c r="A89" s="5">
        <v>21104</v>
      </c>
      <c r="B89" s="6" t="s">
        <v>107</v>
      </c>
      <c r="C89" s="7">
        <v>778</v>
      </c>
      <c r="D89" s="7">
        <v>48</v>
      </c>
    </row>
    <row r="90" spans="1:4" ht="14.4" x14ac:dyDescent="0.3">
      <c r="A90" s="5">
        <v>21105</v>
      </c>
      <c r="B90" s="6" t="s">
        <v>108</v>
      </c>
      <c r="C90" s="7">
        <v>193</v>
      </c>
      <c r="D90" s="7">
        <v>1497</v>
      </c>
    </row>
    <row r="91" spans="1:4" ht="14.4" x14ac:dyDescent="0.3">
      <c r="A91" s="5">
        <v>21201</v>
      </c>
      <c r="B91" s="6" t="s">
        <v>109</v>
      </c>
      <c r="C91" s="7">
        <v>3429</v>
      </c>
      <c r="D91" s="7">
        <v>1621</v>
      </c>
    </row>
    <row r="92" spans="1:4" ht="14.4" x14ac:dyDescent="0.3">
      <c r="A92" s="5">
        <v>21202</v>
      </c>
      <c r="B92" s="6" t="s">
        <v>110</v>
      </c>
      <c r="C92" s="7">
        <v>3177</v>
      </c>
      <c r="D92" s="7">
        <v>2438</v>
      </c>
    </row>
    <row r="93" spans="1:4" ht="14.4" x14ac:dyDescent="0.3">
      <c r="A93" s="5">
        <v>21203</v>
      </c>
      <c r="B93" s="6" t="s">
        <v>111</v>
      </c>
      <c r="C93" s="7">
        <v>0</v>
      </c>
      <c r="D93" s="7">
        <v>1479</v>
      </c>
    </row>
    <row r="94" spans="1:4" ht="14.4" x14ac:dyDescent="0.3">
      <c r="A94" s="5">
        <v>21204</v>
      </c>
      <c r="B94" s="6" t="s">
        <v>112</v>
      </c>
      <c r="C94" s="7">
        <v>0</v>
      </c>
      <c r="D94" s="7">
        <v>1182</v>
      </c>
    </row>
    <row r="95" spans="1:4" ht="14.4" x14ac:dyDescent="0.3">
      <c r="A95" s="5">
        <v>21301</v>
      </c>
      <c r="B95" s="6" t="s">
        <v>113</v>
      </c>
      <c r="C95" s="7">
        <v>0</v>
      </c>
      <c r="D95" s="7">
        <v>59</v>
      </c>
    </row>
    <row r="96" spans="1:4" ht="14.4" x14ac:dyDescent="0.3">
      <c r="A96" s="5">
        <v>21302</v>
      </c>
      <c r="B96" s="6" t="s">
        <v>114</v>
      </c>
      <c r="C96" s="7">
        <v>0</v>
      </c>
      <c r="D96" s="7">
        <v>0</v>
      </c>
    </row>
    <row r="97" spans="1:4" ht="14.4" x14ac:dyDescent="0.3">
      <c r="A97" s="5">
        <v>21303</v>
      </c>
      <c r="B97" s="6" t="s">
        <v>115</v>
      </c>
      <c r="C97" s="7">
        <v>0</v>
      </c>
      <c r="D97" s="7">
        <v>24</v>
      </c>
    </row>
    <row r="98" spans="1:4" ht="14.4" x14ac:dyDescent="0.3">
      <c r="A98" s="5">
        <v>21304</v>
      </c>
      <c r="B98" s="6" t="s">
        <v>116</v>
      </c>
      <c r="C98" s="7">
        <v>1199</v>
      </c>
      <c r="D98" s="7">
        <v>0</v>
      </c>
    </row>
    <row r="99" spans="1:4" ht="14.4" x14ac:dyDescent="0.3">
      <c r="A99" s="5">
        <v>21305</v>
      </c>
      <c r="B99" s="6" t="s">
        <v>117</v>
      </c>
      <c r="C99" s="7">
        <v>0</v>
      </c>
      <c r="D99" s="7">
        <v>0</v>
      </c>
    </row>
    <row r="100" spans="1:4" ht="14.4" x14ac:dyDescent="0.3">
      <c r="A100" s="5">
        <v>21306</v>
      </c>
      <c r="B100" s="6" t="s">
        <v>118</v>
      </c>
      <c r="C100" s="7">
        <v>0</v>
      </c>
      <c r="D100" s="7">
        <v>0</v>
      </c>
    </row>
    <row r="101" spans="1:4" ht="14.4" x14ac:dyDescent="0.3">
      <c r="A101" s="5">
        <v>21307</v>
      </c>
      <c r="B101" s="6" t="s">
        <v>119</v>
      </c>
      <c r="C101" s="7">
        <v>0</v>
      </c>
      <c r="D101" s="7">
        <v>0</v>
      </c>
    </row>
    <row r="102" spans="1:4" ht="14.4" x14ac:dyDescent="0.3">
      <c r="A102" s="5">
        <v>21401</v>
      </c>
      <c r="B102" s="6" t="s">
        <v>120</v>
      </c>
      <c r="C102" s="7">
        <v>206</v>
      </c>
      <c r="D102" s="7">
        <v>948</v>
      </c>
    </row>
    <row r="103" spans="1:4" ht="14.4" x14ac:dyDescent="0.3">
      <c r="A103" s="5">
        <v>21402</v>
      </c>
      <c r="B103" s="6" t="s">
        <v>121</v>
      </c>
      <c r="C103" s="7">
        <v>688</v>
      </c>
      <c r="D103" s="7">
        <v>1715</v>
      </c>
    </row>
    <row r="104" spans="1:4" ht="14.4" x14ac:dyDescent="0.3">
      <c r="A104" s="5">
        <v>21501</v>
      </c>
      <c r="B104" s="6" t="s">
        <v>122</v>
      </c>
      <c r="C104" s="7">
        <v>46</v>
      </c>
      <c r="D104" s="7">
        <v>2</v>
      </c>
    </row>
    <row r="105" spans="1:4" ht="14.4" x14ac:dyDescent="0.3">
      <c r="A105" s="5">
        <v>21502</v>
      </c>
      <c r="B105" s="6" t="s">
        <v>123</v>
      </c>
      <c r="C105" s="7">
        <v>17</v>
      </c>
      <c r="D105" s="7">
        <v>0</v>
      </c>
    </row>
    <row r="106" spans="1:4" ht="14.4" x14ac:dyDescent="0.3">
      <c r="A106" s="5">
        <v>21601</v>
      </c>
      <c r="B106" s="6" t="s">
        <v>124</v>
      </c>
      <c r="C106" s="7">
        <v>0</v>
      </c>
      <c r="D106" s="7">
        <v>225</v>
      </c>
    </row>
    <row r="107" spans="1:4" ht="14.4" x14ac:dyDescent="0.3">
      <c r="A107" s="5">
        <v>21602</v>
      </c>
      <c r="B107" s="6" t="s">
        <v>125</v>
      </c>
      <c r="C107" s="7">
        <v>0</v>
      </c>
      <c r="D107" s="7">
        <v>0</v>
      </c>
    </row>
    <row r="108" spans="1:4" ht="14.4" x14ac:dyDescent="0.3">
      <c r="A108" s="5">
        <v>21701</v>
      </c>
      <c r="B108" s="6" t="s">
        <v>126</v>
      </c>
      <c r="C108" s="7">
        <v>0</v>
      </c>
      <c r="D108" s="7">
        <v>2785</v>
      </c>
    </row>
    <row r="109" spans="1:4" ht="14.4" x14ac:dyDescent="0.3">
      <c r="A109" s="5">
        <v>21702</v>
      </c>
      <c r="B109" s="6" t="s">
        <v>127</v>
      </c>
      <c r="C109" s="7">
        <v>0</v>
      </c>
      <c r="D109" s="7">
        <v>2381</v>
      </c>
    </row>
    <row r="110" spans="1:4" ht="14.4" x14ac:dyDescent="0.3">
      <c r="A110" s="5">
        <v>21703</v>
      </c>
      <c r="B110" s="6" t="s">
        <v>128</v>
      </c>
      <c r="C110" s="7">
        <v>0</v>
      </c>
      <c r="D110" s="7">
        <v>192</v>
      </c>
    </row>
    <row r="111" spans="1:4" ht="14.4" x14ac:dyDescent="0.3">
      <c r="A111" s="5">
        <v>21801</v>
      </c>
      <c r="B111" s="6" t="s">
        <v>129</v>
      </c>
      <c r="C111" s="7">
        <v>0</v>
      </c>
      <c r="D111" s="7">
        <v>0</v>
      </c>
    </row>
    <row r="112" spans="1:4" ht="14.4" x14ac:dyDescent="0.3">
      <c r="A112" s="5">
        <v>21802</v>
      </c>
      <c r="B112" s="6" t="s">
        <v>130</v>
      </c>
      <c r="C112" s="7">
        <v>0</v>
      </c>
      <c r="D112" s="7">
        <v>1836</v>
      </c>
    </row>
    <row r="113" spans="1:4" ht="14.4" x14ac:dyDescent="0.3">
      <c r="A113" s="5">
        <v>21803</v>
      </c>
      <c r="B113" s="6" t="s">
        <v>131</v>
      </c>
      <c r="C113" s="7">
        <v>0</v>
      </c>
      <c r="D113" s="7">
        <v>0</v>
      </c>
    </row>
    <row r="114" spans="1:4" ht="14.4" x14ac:dyDescent="0.3">
      <c r="A114" s="5">
        <v>21901</v>
      </c>
      <c r="B114" s="6" t="s">
        <v>132</v>
      </c>
      <c r="C114" s="7">
        <v>0</v>
      </c>
      <c r="D114" s="7">
        <v>2</v>
      </c>
    </row>
    <row r="115" spans="1:4" ht="14.4" x14ac:dyDescent="0.3">
      <c r="A115" s="5">
        <v>21902</v>
      </c>
      <c r="B115" s="6" t="s">
        <v>133</v>
      </c>
      <c r="C115" s="7">
        <v>0</v>
      </c>
      <c r="D115" s="7">
        <v>0</v>
      </c>
    </row>
    <row r="116" spans="1:4" ht="14.4" x14ac:dyDescent="0.3">
      <c r="A116" s="5">
        <v>22001</v>
      </c>
      <c r="B116" s="6" t="s">
        <v>134</v>
      </c>
      <c r="C116" s="7">
        <v>3102</v>
      </c>
      <c r="D116" s="7">
        <v>520</v>
      </c>
    </row>
    <row r="117" spans="1:4" ht="14.4" x14ac:dyDescent="0.3">
      <c r="A117" s="5">
        <v>22002</v>
      </c>
      <c r="B117" s="6" t="s">
        <v>135</v>
      </c>
      <c r="C117" s="7">
        <v>95</v>
      </c>
      <c r="D117" s="7">
        <v>4</v>
      </c>
    </row>
    <row r="118" spans="1:4" ht="14.4" x14ac:dyDescent="0.3">
      <c r="A118" s="5">
        <v>30101</v>
      </c>
      <c r="B118" s="6" t="s">
        <v>14</v>
      </c>
      <c r="C118" s="7">
        <v>3985</v>
      </c>
      <c r="D118" s="7">
        <v>934</v>
      </c>
    </row>
    <row r="119" spans="1:4" ht="14.4" x14ac:dyDescent="0.3">
      <c r="A119" s="5">
        <v>30201</v>
      </c>
      <c r="B119" s="6" t="s">
        <v>136</v>
      </c>
      <c r="C119" s="7">
        <v>1711</v>
      </c>
      <c r="D119" s="7">
        <v>70</v>
      </c>
    </row>
    <row r="120" spans="1:4" ht="14.4" x14ac:dyDescent="0.3">
      <c r="A120" s="5">
        <v>30202</v>
      </c>
      <c r="B120" s="6" t="s">
        <v>137</v>
      </c>
      <c r="C120" s="7">
        <v>501</v>
      </c>
      <c r="D120" s="7">
        <v>4</v>
      </c>
    </row>
    <row r="121" spans="1:4" ht="14.4" x14ac:dyDescent="0.3">
      <c r="A121" s="5">
        <v>30203</v>
      </c>
      <c r="B121" s="6" t="s">
        <v>138</v>
      </c>
      <c r="C121" s="7">
        <v>109</v>
      </c>
      <c r="D121" s="7">
        <v>1</v>
      </c>
    </row>
    <row r="122" spans="1:4" ht="14.4" x14ac:dyDescent="0.3">
      <c r="A122" s="5">
        <v>30301</v>
      </c>
      <c r="B122" s="6" t="s">
        <v>139</v>
      </c>
      <c r="C122" s="7">
        <v>6</v>
      </c>
      <c r="D122" s="7">
        <v>183</v>
      </c>
    </row>
    <row r="123" spans="1:4" ht="14.4" x14ac:dyDescent="0.3">
      <c r="A123" s="5">
        <v>30302</v>
      </c>
      <c r="B123" s="6" t="s">
        <v>140</v>
      </c>
      <c r="C123" s="7">
        <v>0</v>
      </c>
      <c r="D123" s="7">
        <v>792</v>
      </c>
    </row>
    <row r="124" spans="1:4" ht="14.4" x14ac:dyDescent="0.3">
      <c r="A124" s="5">
        <v>30303</v>
      </c>
      <c r="B124" s="6" t="s">
        <v>141</v>
      </c>
      <c r="C124" s="7">
        <v>0</v>
      </c>
      <c r="D124" s="7">
        <v>0</v>
      </c>
    </row>
    <row r="125" spans="1:4" ht="14.4" x14ac:dyDescent="0.3">
      <c r="A125" s="5">
        <v>30401</v>
      </c>
      <c r="B125" s="6" t="s">
        <v>142</v>
      </c>
      <c r="C125" s="7">
        <v>258</v>
      </c>
      <c r="D125" s="7">
        <v>677</v>
      </c>
    </row>
    <row r="126" spans="1:4" ht="14.4" x14ac:dyDescent="0.3">
      <c r="A126" s="5">
        <v>30402</v>
      </c>
      <c r="B126" s="6" t="s">
        <v>143</v>
      </c>
      <c r="C126" s="7">
        <v>8911</v>
      </c>
      <c r="D126" s="7">
        <v>288</v>
      </c>
    </row>
    <row r="127" spans="1:4" ht="14.4" x14ac:dyDescent="0.3">
      <c r="A127" s="5">
        <v>30403</v>
      </c>
      <c r="B127" s="6" t="s">
        <v>144</v>
      </c>
      <c r="C127" s="7">
        <v>296</v>
      </c>
      <c r="D127" s="7">
        <v>1439</v>
      </c>
    </row>
    <row r="128" spans="1:4" ht="14.4" x14ac:dyDescent="0.3">
      <c r="A128" s="5">
        <v>30404</v>
      </c>
      <c r="B128" s="6" t="s">
        <v>145</v>
      </c>
      <c r="C128" s="7">
        <v>3370</v>
      </c>
      <c r="D128" s="7">
        <v>111</v>
      </c>
    </row>
    <row r="129" spans="1:4" ht="14.4" x14ac:dyDescent="0.3">
      <c r="A129" s="5">
        <v>30501</v>
      </c>
      <c r="B129" s="6" t="s">
        <v>146</v>
      </c>
      <c r="C129" s="7">
        <v>2956</v>
      </c>
      <c r="D129" s="7">
        <v>132</v>
      </c>
    </row>
    <row r="130" spans="1:4" ht="14.4" x14ac:dyDescent="0.3">
      <c r="A130" s="5">
        <v>30502</v>
      </c>
      <c r="B130" s="6" t="s">
        <v>147</v>
      </c>
      <c r="C130" s="7">
        <v>0</v>
      </c>
      <c r="D130" s="7">
        <v>2228</v>
      </c>
    </row>
    <row r="131" spans="1:4" ht="14.4" x14ac:dyDescent="0.3">
      <c r="A131" s="5">
        <v>30601</v>
      </c>
      <c r="B131" s="6" t="s">
        <v>148</v>
      </c>
      <c r="C131" s="7">
        <v>0</v>
      </c>
      <c r="D131" s="7">
        <v>248</v>
      </c>
    </row>
    <row r="132" spans="1:4" ht="14.4" x14ac:dyDescent="0.3">
      <c r="A132" s="5">
        <v>30602</v>
      </c>
      <c r="B132" s="6" t="s">
        <v>149</v>
      </c>
      <c r="C132" s="7">
        <v>0</v>
      </c>
      <c r="D132" s="7">
        <v>223</v>
      </c>
    </row>
    <row r="133" spans="1:4" ht="14.4" x14ac:dyDescent="0.3">
      <c r="A133" s="5">
        <v>30701</v>
      </c>
      <c r="B133" s="6" t="s">
        <v>150</v>
      </c>
      <c r="C133" s="7">
        <v>1481</v>
      </c>
      <c r="D133" s="7">
        <v>275</v>
      </c>
    </row>
    <row r="134" spans="1:4" ht="14.4" x14ac:dyDescent="0.3">
      <c r="A134" s="5">
        <v>30702</v>
      </c>
      <c r="B134" s="6" t="s">
        <v>151</v>
      </c>
      <c r="C134" s="7">
        <v>913</v>
      </c>
      <c r="D134" s="7">
        <v>1070</v>
      </c>
    </row>
    <row r="135" spans="1:4" ht="14.4" x14ac:dyDescent="0.3">
      <c r="A135" s="5">
        <v>30703</v>
      </c>
      <c r="B135" s="6" t="s">
        <v>152</v>
      </c>
      <c r="C135" s="7">
        <v>865</v>
      </c>
      <c r="D135" s="7">
        <v>36</v>
      </c>
    </row>
    <row r="136" spans="1:4" ht="14.4" x14ac:dyDescent="0.3">
      <c r="A136" s="5">
        <v>30801</v>
      </c>
      <c r="B136" s="6" t="s">
        <v>153</v>
      </c>
      <c r="C136" s="7">
        <v>1058</v>
      </c>
      <c r="D136" s="7">
        <v>529</v>
      </c>
    </row>
    <row r="137" spans="1:4" ht="14.4" x14ac:dyDescent="0.3">
      <c r="A137" s="5">
        <v>30802</v>
      </c>
      <c r="B137" s="6" t="s">
        <v>154</v>
      </c>
      <c r="C137" s="7">
        <v>1349</v>
      </c>
      <c r="D137" s="7">
        <v>132</v>
      </c>
    </row>
    <row r="138" spans="1:4" ht="14.4" x14ac:dyDescent="0.3">
      <c r="A138" s="5">
        <v>30803</v>
      </c>
      <c r="B138" s="6" t="s">
        <v>155</v>
      </c>
      <c r="C138" s="7">
        <v>55</v>
      </c>
      <c r="D138" s="7">
        <v>470</v>
      </c>
    </row>
    <row r="139" spans="1:4" ht="14.4" x14ac:dyDescent="0.3">
      <c r="A139" s="5">
        <v>30901</v>
      </c>
      <c r="B139" s="6" t="s">
        <v>156</v>
      </c>
      <c r="C139" s="7">
        <v>2867</v>
      </c>
      <c r="D139" s="7">
        <v>821</v>
      </c>
    </row>
    <row r="140" spans="1:4" ht="14.4" x14ac:dyDescent="0.3">
      <c r="A140" s="5">
        <v>30902</v>
      </c>
      <c r="B140" s="6" t="s">
        <v>157</v>
      </c>
      <c r="C140" s="7">
        <v>2361</v>
      </c>
      <c r="D140" s="7">
        <v>988</v>
      </c>
    </row>
    <row r="141" spans="1:4" ht="14.4" x14ac:dyDescent="0.3">
      <c r="A141" s="5">
        <v>30903</v>
      </c>
      <c r="B141" s="6" t="s">
        <v>158</v>
      </c>
      <c r="C141" s="7">
        <v>103</v>
      </c>
      <c r="D141" s="7">
        <v>4</v>
      </c>
    </row>
    <row r="142" spans="1:4" ht="14.4" x14ac:dyDescent="0.3">
      <c r="A142" s="5">
        <v>30904</v>
      </c>
      <c r="B142" s="6" t="s">
        <v>159</v>
      </c>
      <c r="C142" s="7">
        <v>2869</v>
      </c>
      <c r="D142" s="7">
        <v>720</v>
      </c>
    </row>
    <row r="143" spans="1:4" ht="14.4" x14ac:dyDescent="0.3">
      <c r="A143" s="5">
        <v>30905</v>
      </c>
      <c r="B143" s="6" t="s">
        <v>160</v>
      </c>
      <c r="C143" s="7">
        <v>216</v>
      </c>
      <c r="D143" s="7">
        <v>3</v>
      </c>
    </row>
    <row r="144" spans="1:4" ht="14.4" x14ac:dyDescent="0.3">
      <c r="A144" s="5">
        <v>31001</v>
      </c>
      <c r="B144" s="6" t="s">
        <v>161</v>
      </c>
      <c r="C144" s="7">
        <v>5400</v>
      </c>
      <c r="D144" s="7">
        <v>4427</v>
      </c>
    </row>
    <row r="145" spans="1:4" ht="14.4" x14ac:dyDescent="0.3">
      <c r="A145" s="5">
        <v>31002</v>
      </c>
      <c r="B145" s="6" t="s">
        <v>162</v>
      </c>
      <c r="C145" s="7">
        <v>223</v>
      </c>
      <c r="D145" s="7">
        <v>2028</v>
      </c>
    </row>
    <row r="146" spans="1:4" ht="14.4" x14ac:dyDescent="0.3">
      <c r="A146" s="5">
        <v>31003</v>
      </c>
      <c r="B146" s="6" t="s">
        <v>163</v>
      </c>
      <c r="C146" s="7">
        <v>8689</v>
      </c>
      <c r="D146" s="7">
        <v>426</v>
      </c>
    </row>
    <row r="147" spans="1:4" ht="14.4" x14ac:dyDescent="0.3">
      <c r="A147" s="5">
        <v>31101</v>
      </c>
      <c r="B147" s="6" t="s">
        <v>164</v>
      </c>
      <c r="C147" s="7">
        <v>393</v>
      </c>
      <c r="D147" s="7">
        <v>316</v>
      </c>
    </row>
    <row r="148" spans="1:4" ht="14.4" x14ac:dyDescent="0.3">
      <c r="A148" s="5">
        <v>31201</v>
      </c>
      <c r="B148" s="6" t="s">
        <v>165</v>
      </c>
      <c r="C148" s="7">
        <v>4041</v>
      </c>
      <c r="D148" s="7">
        <v>93</v>
      </c>
    </row>
    <row r="149" spans="1:4" ht="14.4" x14ac:dyDescent="0.3">
      <c r="A149" s="5">
        <v>31202</v>
      </c>
      <c r="B149" s="6" t="s">
        <v>166</v>
      </c>
      <c r="C149" s="7">
        <v>1420</v>
      </c>
      <c r="D149" s="7">
        <v>151</v>
      </c>
    </row>
    <row r="150" spans="1:4" ht="14.4" x14ac:dyDescent="0.3">
      <c r="A150" s="5">
        <v>31203</v>
      </c>
      <c r="B150" s="6" t="s">
        <v>167</v>
      </c>
      <c r="C150" s="7">
        <v>6987</v>
      </c>
      <c r="D150" s="7">
        <v>61</v>
      </c>
    </row>
    <row r="151" spans="1:4" ht="14.4" x14ac:dyDescent="0.3">
      <c r="A151" s="5">
        <v>31204</v>
      </c>
      <c r="B151" s="6" t="s">
        <v>168</v>
      </c>
      <c r="C151" s="7">
        <v>450</v>
      </c>
      <c r="D151" s="7">
        <v>106</v>
      </c>
    </row>
    <row r="152" spans="1:4" ht="14.4" x14ac:dyDescent="0.3">
      <c r="A152" s="5">
        <v>31205</v>
      </c>
      <c r="B152" s="6" t="s">
        <v>169</v>
      </c>
      <c r="C152" s="7">
        <v>1611</v>
      </c>
      <c r="D152" s="7">
        <v>72</v>
      </c>
    </row>
    <row r="153" spans="1:4" ht="14.4" x14ac:dyDescent="0.3">
      <c r="A153" s="5">
        <v>31206</v>
      </c>
      <c r="B153" s="6" t="s">
        <v>170</v>
      </c>
      <c r="C153" s="7">
        <v>1162</v>
      </c>
      <c r="D153" s="7">
        <v>25</v>
      </c>
    </row>
    <row r="154" spans="1:4" ht="14.4" x14ac:dyDescent="0.3">
      <c r="A154" s="5">
        <v>31301</v>
      </c>
      <c r="B154" s="6" t="s">
        <v>171</v>
      </c>
      <c r="C154" s="7">
        <v>3422</v>
      </c>
      <c r="D154" s="7">
        <v>250</v>
      </c>
    </row>
    <row r="155" spans="1:4" ht="14.4" x14ac:dyDescent="0.3">
      <c r="A155" s="5">
        <v>31302</v>
      </c>
      <c r="B155" s="6" t="s">
        <v>172</v>
      </c>
      <c r="C155" s="7">
        <v>2254</v>
      </c>
      <c r="D155" s="7">
        <v>0</v>
      </c>
    </row>
    <row r="156" spans="1:4" ht="14.4" x14ac:dyDescent="0.3">
      <c r="A156" s="5">
        <v>31303</v>
      </c>
      <c r="B156" s="6" t="s">
        <v>173</v>
      </c>
      <c r="C156" s="7">
        <v>0</v>
      </c>
      <c r="D156" s="7">
        <v>0</v>
      </c>
    </row>
    <row r="157" spans="1:4" ht="14.4" x14ac:dyDescent="0.3">
      <c r="A157" s="5">
        <v>31304</v>
      </c>
      <c r="B157" s="6" t="s">
        <v>174</v>
      </c>
      <c r="C157" s="7">
        <v>0</v>
      </c>
      <c r="D157" s="7">
        <v>0</v>
      </c>
    </row>
    <row r="158" spans="1:4" ht="14.4" x14ac:dyDescent="0.3">
      <c r="A158" s="5">
        <v>31401</v>
      </c>
      <c r="B158" s="6" t="s">
        <v>175</v>
      </c>
      <c r="C158" s="7">
        <v>4552</v>
      </c>
      <c r="D158" s="7">
        <v>904</v>
      </c>
    </row>
    <row r="159" spans="1:4" ht="14.4" x14ac:dyDescent="0.3">
      <c r="A159" s="5">
        <v>31402</v>
      </c>
      <c r="B159" s="6" t="s">
        <v>176</v>
      </c>
      <c r="C159" s="7">
        <v>564</v>
      </c>
      <c r="D159" s="7">
        <v>550</v>
      </c>
    </row>
    <row r="160" spans="1:4" ht="14.4" x14ac:dyDescent="0.3">
      <c r="A160" s="5">
        <v>31403</v>
      </c>
      <c r="B160" s="6" t="s">
        <v>177</v>
      </c>
      <c r="C160" s="7">
        <v>2600</v>
      </c>
      <c r="D160" s="7">
        <v>770</v>
      </c>
    </row>
    <row r="161" spans="1:4" ht="14.4" x14ac:dyDescent="0.3">
      <c r="A161" s="5">
        <v>31404</v>
      </c>
      <c r="B161" s="6" t="s">
        <v>178</v>
      </c>
      <c r="C161" s="7">
        <v>0</v>
      </c>
      <c r="D161" s="7">
        <v>0</v>
      </c>
    </row>
    <row r="162" spans="1:4" ht="14.4" x14ac:dyDescent="0.3">
      <c r="A162" s="5">
        <v>31405</v>
      </c>
      <c r="B162" s="6" t="s">
        <v>179</v>
      </c>
      <c r="C162" s="7">
        <v>0</v>
      </c>
      <c r="D162" s="7">
        <v>0</v>
      </c>
    </row>
    <row r="163" spans="1:4" ht="14.4" x14ac:dyDescent="0.3">
      <c r="A163" s="5">
        <v>31501</v>
      </c>
      <c r="B163" s="6" t="s">
        <v>180</v>
      </c>
      <c r="C163" s="7">
        <v>0</v>
      </c>
      <c r="D163" s="7">
        <v>0</v>
      </c>
    </row>
    <row r="164" spans="1:4" ht="14.4" x14ac:dyDescent="0.3">
      <c r="A164" s="5">
        <v>31601</v>
      </c>
      <c r="B164" s="6" t="s">
        <v>181</v>
      </c>
      <c r="C164" s="7">
        <v>1747</v>
      </c>
      <c r="D164" s="7">
        <v>1393</v>
      </c>
    </row>
    <row r="165" spans="1:4" ht="14.4" x14ac:dyDescent="0.3">
      <c r="A165" s="5">
        <v>31602</v>
      </c>
      <c r="B165" s="6" t="s">
        <v>182</v>
      </c>
      <c r="C165" s="7">
        <v>79</v>
      </c>
      <c r="D165" s="7">
        <v>33</v>
      </c>
    </row>
    <row r="166" spans="1:4" ht="14.4" x14ac:dyDescent="0.3">
      <c r="A166" s="5">
        <v>40101</v>
      </c>
      <c r="B166" s="6" t="s">
        <v>16</v>
      </c>
      <c r="C166" s="7">
        <v>3</v>
      </c>
      <c r="D166" s="7">
        <v>0</v>
      </c>
    </row>
    <row r="167" spans="1:4" ht="14.4" x14ac:dyDescent="0.3">
      <c r="A167" s="5">
        <v>40102</v>
      </c>
      <c r="B167" s="6" t="s">
        <v>183</v>
      </c>
      <c r="C167" s="7">
        <v>4948</v>
      </c>
      <c r="D167" s="7">
        <v>1129</v>
      </c>
    </row>
    <row r="168" spans="1:4" ht="14.4" x14ac:dyDescent="0.3">
      <c r="A168" s="5">
        <v>40103</v>
      </c>
      <c r="B168" s="6" t="s">
        <v>184</v>
      </c>
      <c r="C168" s="7">
        <v>2</v>
      </c>
      <c r="D168" s="7">
        <v>0</v>
      </c>
    </row>
    <row r="169" spans="1:4" ht="14.4" x14ac:dyDescent="0.3">
      <c r="A169" s="5">
        <v>40104</v>
      </c>
      <c r="B169" s="6" t="s">
        <v>185</v>
      </c>
      <c r="C169" s="7">
        <v>3146</v>
      </c>
      <c r="D169" s="7">
        <v>60</v>
      </c>
    </row>
    <row r="170" spans="1:4" ht="14.4" x14ac:dyDescent="0.3">
      <c r="A170" s="5">
        <v>40201</v>
      </c>
      <c r="B170" s="6" t="s">
        <v>186</v>
      </c>
      <c r="C170" s="7">
        <v>181</v>
      </c>
      <c r="D170" s="7">
        <v>1</v>
      </c>
    </row>
    <row r="171" spans="1:4" ht="14.4" x14ac:dyDescent="0.3">
      <c r="A171" s="5">
        <v>40202</v>
      </c>
      <c r="B171" s="6" t="s">
        <v>187</v>
      </c>
      <c r="C171" s="7">
        <v>2</v>
      </c>
      <c r="D171" s="7">
        <v>0</v>
      </c>
    </row>
    <row r="172" spans="1:4" ht="14.4" x14ac:dyDescent="0.3">
      <c r="A172" s="5">
        <v>40301</v>
      </c>
      <c r="B172" s="6" t="s">
        <v>188</v>
      </c>
      <c r="C172" s="7">
        <v>0</v>
      </c>
      <c r="D172" s="7">
        <v>0</v>
      </c>
    </row>
    <row r="173" spans="1:4" ht="14.4" x14ac:dyDescent="0.3">
      <c r="A173" s="5">
        <v>40302</v>
      </c>
      <c r="B173" s="6" t="s">
        <v>189</v>
      </c>
      <c r="C173" s="7">
        <v>0</v>
      </c>
      <c r="D173" s="7">
        <v>0</v>
      </c>
    </row>
    <row r="174" spans="1:4" ht="14.4" x14ac:dyDescent="0.3">
      <c r="A174" s="5">
        <v>40401</v>
      </c>
      <c r="B174" s="6" t="s">
        <v>190</v>
      </c>
      <c r="C174" s="7">
        <v>0</v>
      </c>
      <c r="D174" s="7">
        <v>0</v>
      </c>
    </row>
    <row r="175" spans="1:4" ht="14.4" x14ac:dyDescent="0.3">
      <c r="A175" s="5">
        <v>40402</v>
      </c>
      <c r="B175" s="6" t="s">
        <v>191</v>
      </c>
      <c r="C175" s="7">
        <v>0</v>
      </c>
      <c r="D175" s="7">
        <v>0</v>
      </c>
    </row>
    <row r="176" spans="1:4" ht="14.4" x14ac:dyDescent="0.3">
      <c r="A176" s="5">
        <v>40501</v>
      </c>
      <c r="B176" s="6" t="s">
        <v>192</v>
      </c>
      <c r="C176" s="7">
        <v>0</v>
      </c>
      <c r="D176" s="7">
        <v>0</v>
      </c>
    </row>
    <row r="177" spans="1:4" ht="14.4" x14ac:dyDescent="0.3">
      <c r="A177" s="5">
        <v>40502</v>
      </c>
      <c r="B177" s="6" t="s">
        <v>193</v>
      </c>
      <c r="C177" s="7">
        <v>0</v>
      </c>
      <c r="D177" s="7">
        <v>0</v>
      </c>
    </row>
    <row r="178" spans="1:4" ht="14.4" x14ac:dyDescent="0.3">
      <c r="A178" s="5">
        <v>40503</v>
      </c>
      <c r="B178" s="6" t="s">
        <v>194</v>
      </c>
      <c r="C178" s="7">
        <v>0</v>
      </c>
      <c r="D178" s="7">
        <v>0</v>
      </c>
    </row>
    <row r="179" spans="1:4" ht="14.4" x14ac:dyDescent="0.3">
      <c r="A179" s="5">
        <v>40504</v>
      </c>
      <c r="B179" s="6" t="s">
        <v>195</v>
      </c>
      <c r="C179" s="7">
        <v>0</v>
      </c>
      <c r="D179" s="7">
        <v>0</v>
      </c>
    </row>
    <row r="180" spans="1:4" ht="14.4" x14ac:dyDescent="0.3">
      <c r="A180" s="5">
        <v>40505</v>
      </c>
      <c r="B180" s="6" t="s">
        <v>196</v>
      </c>
      <c r="C180" s="7">
        <v>0</v>
      </c>
      <c r="D180" s="7">
        <v>0</v>
      </c>
    </row>
    <row r="181" spans="1:4" ht="14.4" x14ac:dyDescent="0.3">
      <c r="A181" s="5">
        <v>40601</v>
      </c>
      <c r="B181" s="6" t="s">
        <v>197</v>
      </c>
      <c r="C181" s="7">
        <v>22</v>
      </c>
      <c r="D181" s="7">
        <v>0</v>
      </c>
    </row>
    <row r="182" spans="1:4" ht="14.4" x14ac:dyDescent="0.3">
      <c r="A182" s="5">
        <v>40602</v>
      </c>
      <c r="B182" s="6" t="s">
        <v>198</v>
      </c>
      <c r="C182" s="7">
        <v>126</v>
      </c>
      <c r="D182" s="7">
        <v>0</v>
      </c>
    </row>
    <row r="183" spans="1:4" ht="14.4" x14ac:dyDescent="0.3">
      <c r="A183" s="5">
        <v>40603</v>
      </c>
      <c r="B183" s="6" t="s">
        <v>199</v>
      </c>
      <c r="C183" s="7">
        <v>0</v>
      </c>
      <c r="D183" s="7">
        <v>0</v>
      </c>
    </row>
    <row r="184" spans="1:4" ht="14.4" x14ac:dyDescent="0.3">
      <c r="A184" s="5">
        <v>40701</v>
      </c>
      <c r="B184" s="6" t="s">
        <v>200</v>
      </c>
      <c r="C184" s="7">
        <v>0</v>
      </c>
      <c r="D184" s="7">
        <v>0</v>
      </c>
    </row>
    <row r="185" spans="1:4" ht="14.4" x14ac:dyDescent="0.3">
      <c r="A185" s="5">
        <v>40702</v>
      </c>
      <c r="B185" s="6" t="s">
        <v>201</v>
      </c>
      <c r="C185" s="7">
        <v>0</v>
      </c>
      <c r="D185" s="7">
        <v>1</v>
      </c>
    </row>
    <row r="186" spans="1:4" ht="14.4" x14ac:dyDescent="0.3">
      <c r="A186" s="5">
        <v>40801</v>
      </c>
      <c r="B186" s="6" t="s">
        <v>202</v>
      </c>
      <c r="C186" s="7">
        <v>0</v>
      </c>
      <c r="D186" s="7">
        <v>0</v>
      </c>
    </row>
    <row r="187" spans="1:4" ht="14.4" x14ac:dyDescent="0.3">
      <c r="A187" s="5">
        <v>40802</v>
      </c>
      <c r="B187" s="6" t="s">
        <v>203</v>
      </c>
      <c r="C187" s="7">
        <v>0</v>
      </c>
      <c r="D187" s="7">
        <v>0</v>
      </c>
    </row>
    <row r="188" spans="1:4" ht="14.4" x14ac:dyDescent="0.3">
      <c r="A188" s="5">
        <v>40901</v>
      </c>
      <c r="B188" s="6" t="s">
        <v>204</v>
      </c>
      <c r="C188" s="7">
        <v>0</v>
      </c>
      <c r="D188" s="7">
        <v>0</v>
      </c>
    </row>
    <row r="189" spans="1:4" ht="14.4" x14ac:dyDescent="0.3">
      <c r="A189" s="5">
        <v>40902</v>
      </c>
      <c r="B189" s="6" t="s">
        <v>205</v>
      </c>
      <c r="C189" s="7">
        <v>0</v>
      </c>
      <c r="D189" s="7">
        <v>0</v>
      </c>
    </row>
    <row r="190" spans="1:4" ht="14.4" x14ac:dyDescent="0.3">
      <c r="A190" s="5">
        <v>40903</v>
      </c>
      <c r="B190" s="6" t="s">
        <v>206</v>
      </c>
      <c r="C190" s="7">
        <v>0</v>
      </c>
      <c r="D190" s="7">
        <v>0</v>
      </c>
    </row>
    <row r="191" spans="1:4" ht="14.4" x14ac:dyDescent="0.3">
      <c r="A191" s="5">
        <v>41001</v>
      </c>
      <c r="B191" s="6" t="s">
        <v>207</v>
      </c>
      <c r="C191" s="7">
        <v>0</v>
      </c>
      <c r="D191" s="7">
        <v>0</v>
      </c>
    </row>
    <row r="192" spans="1:4" ht="14.4" x14ac:dyDescent="0.3">
      <c r="A192" s="5">
        <v>41101</v>
      </c>
      <c r="B192" s="6" t="s">
        <v>208</v>
      </c>
      <c r="C192" s="7">
        <v>2138</v>
      </c>
      <c r="D192" s="7">
        <v>13</v>
      </c>
    </row>
    <row r="193" spans="1:4" ht="14.4" x14ac:dyDescent="0.3">
      <c r="A193" s="5">
        <v>41201</v>
      </c>
      <c r="B193" s="6" t="s">
        <v>209</v>
      </c>
      <c r="C193" s="7">
        <v>0</v>
      </c>
      <c r="D193" s="7">
        <v>0</v>
      </c>
    </row>
    <row r="194" spans="1:4" ht="14.4" x14ac:dyDescent="0.3">
      <c r="A194" s="5">
        <v>41202</v>
      </c>
      <c r="B194" s="6" t="s">
        <v>210</v>
      </c>
      <c r="C194" s="7">
        <v>0</v>
      </c>
      <c r="D194" s="7">
        <v>0</v>
      </c>
    </row>
    <row r="195" spans="1:4" ht="14.4" x14ac:dyDescent="0.3">
      <c r="A195" s="5">
        <v>41301</v>
      </c>
      <c r="B195" s="6" t="s">
        <v>165</v>
      </c>
      <c r="C195" s="7">
        <v>10</v>
      </c>
      <c r="D195" s="7">
        <v>0</v>
      </c>
    </row>
    <row r="196" spans="1:4" ht="14.4" x14ac:dyDescent="0.3">
      <c r="A196" s="5">
        <v>41401</v>
      </c>
      <c r="B196" s="6" t="s">
        <v>211</v>
      </c>
      <c r="C196" s="7">
        <v>0</v>
      </c>
      <c r="D196" s="7">
        <v>0</v>
      </c>
    </row>
    <row r="197" spans="1:4" ht="14.4" x14ac:dyDescent="0.3">
      <c r="A197" s="5">
        <v>41501</v>
      </c>
      <c r="B197" s="6" t="s">
        <v>212</v>
      </c>
      <c r="C197" s="7">
        <v>0</v>
      </c>
      <c r="D197" s="7">
        <v>0</v>
      </c>
    </row>
    <row r="198" spans="1:4" ht="14.4" x14ac:dyDescent="0.3">
      <c r="A198" s="5">
        <v>41502</v>
      </c>
      <c r="B198" s="6" t="s">
        <v>213</v>
      </c>
      <c r="C198" s="7">
        <v>0</v>
      </c>
      <c r="D198" s="7">
        <v>0</v>
      </c>
    </row>
    <row r="199" spans="1:4" ht="14.4" x14ac:dyDescent="0.3">
      <c r="A199" s="5">
        <v>41503</v>
      </c>
      <c r="B199" s="6" t="s">
        <v>214</v>
      </c>
      <c r="C199" s="7">
        <v>0</v>
      </c>
      <c r="D199" s="7">
        <v>0</v>
      </c>
    </row>
    <row r="200" spans="1:4" ht="14.4" x14ac:dyDescent="0.3">
      <c r="A200" s="5">
        <v>41601</v>
      </c>
      <c r="B200" s="6" t="s">
        <v>215</v>
      </c>
      <c r="C200" s="7">
        <v>0</v>
      </c>
      <c r="D200" s="7">
        <v>0</v>
      </c>
    </row>
    <row r="201" spans="1:4" ht="14.4" x14ac:dyDescent="0.3">
      <c r="A201" s="5">
        <v>50101</v>
      </c>
      <c r="B201" s="6" t="s">
        <v>18</v>
      </c>
      <c r="C201" s="7">
        <v>3</v>
      </c>
      <c r="D201" s="7">
        <v>370</v>
      </c>
    </row>
    <row r="202" spans="1:4" ht="14.4" x14ac:dyDescent="0.3">
      <c r="A202" s="5">
        <v>50102</v>
      </c>
      <c r="B202" s="6" t="s">
        <v>216</v>
      </c>
      <c r="C202" s="7">
        <v>0</v>
      </c>
      <c r="D202" s="7">
        <v>0</v>
      </c>
    </row>
    <row r="203" spans="1:4" ht="14.4" x14ac:dyDescent="0.3">
      <c r="A203" s="5">
        <v>50103</v>
      </c>
      <c r="B203" s="6" t="s">
        <v>217</v>
      </c>
      <c r="C203" s="7">
        <v>8</v>
      </c>
      <c r="D203" s="7">
        <v>368</v>
      </c>
    </row>
    <row r="204" spans="1:4" ht="14.4" x14ac:dyDescent="0.3">
      <c r="A204" s="5">
        <v>50104</v>
      </c>
      <c r="B204" s="6" t="s">
        <v>218</v>
      </c>
      <c r="C204" s="7">
        <v>0</v>
      </c>
      <c r="D204" s="7">
        <v>0</v>
      </c>
    </row>
    <row r="205" spans="1:4" ht="14.4" x14ac:dyDescent="0.3">
      <c r="A205" s="5">
        <v>50201</v>
      </c>
      <c r="B205" s="6" t="s">
        <v>219</v>
      </c>
      <c r="C205" s="7">
        <v>0</v>
      </c>
      <c r="D205" s="7">
        <v>0</v>
      </c>
    </row>
    <row r="206" spans="1:4" ht="14.4" x14ac:dyDescent="0.3">
      <c r="A206" s="5">
        <v>50202</v>
      </c>
      <c r="B206" s="6" t="s">
        <v>220</v>
      </c>
      <c r="C206" s="7">
        <v>0</v>
      </c>
      <c r="D206" s="7">
        <v>0</v>
      </c>
    </row>
    <row r="207" spans="1:4" ht="14.4" x14ac:dyDescent="0.3">
      <c r="A207" s="5">
        <v>50203</v>
      </c>
      <c r="B207" s="6" t="s">
        <v>221</v>
      </c>
      <c r="C207" s="7">
        <v>0</v>
      </c>
      <c r="D207" s="7">
        <v>0</v>
      </c>
    </row>
    <row r="208" spans="1:4" ht="14.4" x14ac:dyDescent="0.3">
      <c r="A208" s="5">
        <v>50204</v>
      </c>
      <c r="B208" s="6" t="s">
        <v>222</v>
      </c>
      <c r="C208" s="7">
        <v>0</v>
      </c>
      <c r="D208" s="7">
        <v>0</v>
      </c>
    </row>
    <row r="209" spans="1:4" ht="14.4" x14ac:dyDescent="0.3">
      <c r="A209" s="5">
        <v>50301</v>
      </c>
      <c r="B209" s="6" t="s">
        <v>223</v>
      </c>
      <c r="C209" s="7">
        <v>54</v>
      </c>
      <c r="D209" s="7">
        <v>875</v>
      </c>
    </row>
    <row r="210" spans="1:4" ht="14.4" x14ac:dyDescent="0.3">
      <c r="A210" s="5">
        <v>50302</v>
      </c>
      <c r="B210" s="6" t="s">
        <v>224</v>
      </c>
      <c r="C210" s="7">
        <v>0</v>
      </c>
      <c r="D210" s="7">
        <v>0</v>
      </c>
    </row>
    <row r="211" spans="1:4" ht="14.4" x14ac:dyDescent="0.3">
      <c r="A211" s="5">
        <v>50303</v>
      </c>
      <c r="B211" s="6" t="s">
        <v>225</v>
      </c>
      <c r="C211" s="7">
        <v>0</v>
      </c>
      <c r="D211" s="7">
        <v>280</v>
      </c>
    </row>
    <row r="212" spans="1:4" ht="14.4" x14ac:dyDescent="0.3">
      <c r="A212" s="5">
        <v>50401</v>
      </c>
      <c r="B212" s="6" t="s">
        <v>226</v>
      </c>
      <c r="C212" s="7">
        <v>0</v>
      </c>
      <c r="D212" s="7">
        <v>0</v>
      </c>
    </row>
    <row r="213" spans="1:4" ht="14.4" x14ac:dyDescent="0.3">
      <c r="A213" s="5">
        <v>50402</v>
      </c>
      <c r="B213" s="6" t="s">
        <v>227</v>
      </c>
      <c r="C213" s="7">
        <v>1206</v>
      </c>
      <c r="D213" s="7">
        <v>175</v>
      </c>
    </row>
    <row r="214" spans="1:4" ht="14.4" x14ac:dyDescent="0.3">
      <c r="A214" s="5">
        <v>50403</v>
      </c>
      <c r="B214" s="6" t="s">
        <v>228</v>
      </c>
      <c r="C214" s="7">
        <v>0</v>
      </c>
      <c r="D214" s="7">
        <v>1600</v>
      </c>
    </row>
    <row r="215" spans="1:4" ht="14.4" x14ac:dyDescent="0.3">
      <c r="A215" s="5">
        <v>50404</v>
      </c>
      <c r="B215" s="6" t="s">
        <v>229</v>
      </c>
      <c r="C215" s="7">
        <v>0</v>
      </c>
      <c r="D215" s="7">
        <v>0</v>
      </c>
    </row>
    <row r="216" spans="1:4" ht="14.4" x14ac:dyDescent="0.3">
      <c r="A216" s="5">
        <v>50405</v>
      </c>
      <c r="B216" s="6" t="s">
        <v>230</v>
      </c>
      <c r="C216" s="7">
        <v>0</v>
      </c>
      <c r="D216" s="7">
        <v>12</v>
      </c>
    </row>
    <row r="217" spans="1:4" ht="14.4" x14ac:dyDescent="0.3">
      <c r="A217" s="5">
        <v>50501</v>
      </c>
      <c r="B217" s="6" t="s">
        <v>231</v>
      </c>
      <c r="C217" s="7">
        <v>3</v>
      </c>
      <c r="D217" s="7">
        <v>0</v>
      </c>
    </row>
    <row r="218" spans="1:4" ht="14.4" x14ac:dyDescent="0.3">
      <c r="A218" s="5">
        <v>50502</v>
      </c>
      <c r="B218" s="6" t="s">
        <v>232</v>
      </c>
      <c r="C218" s="7">
        <v>502</v>
      </c>
      <c r="D218" s="7">
        <v>100</v>
      </c>
    </row>
    <row r="219" spans="1:4" ht="14.4" x14ac:dyDescent="0.3">
      <c r="A219" s="5">
        <v>50601</v>
      </c>
      <c r="B219" s="6" t="s">
        <v>233</v>
      </c>
      <c r="C219" s="7">
        <v>2</v>
      </c>
      <c r="D219" s="7">
        <v>506</v>
      </c>
    </row>
    <row r="220" spans="1:4" ht="14.4" x14ac:dyDescent="0.3">
      <c r="A220" s="5">
        <v>50602</v>
      </c>
      <c r="B220" s="6" t="s">
        <v>234</v>
      </c>
      <c r="C220" s="7">
        <v>1</v>
      </c>
      <c r="D220" s="7">
        <v>0</v>
      </c>
    </row>
    <row r="221" spans="1:4" ht="14.4" x14ac:dyDescent="0.3">
      <c r="A221" s="5">
        <v>50701</v>
      </c>
      <c r="B221" s="6" t="s">
        <v>235</v>
      </c>
      <c r="C221" s="7">
        <v>388</v>
      </c>
      <c r="D221" s="7">
        <v>0</v>
      </c>
    </row>
    <row r="222" spans="1:4" ht="14.4" x14ac:dyDescent="0.3">
      <c r="A222" s="5">
        <v>50702</v>
      </c>
      <c r="B222" s="6" t="s">
        <v>236</v>
      </c>
      <c r="C222" s="7">
        <v>0</v>
      </c>
      <c r="D222" s="7">
        <v>0</v>
      </c>
    </row>
    <row r="223" spans="1:4" ht="14.4" x14ac:dyDescent="0.3">
      <c r="A223" s="5">
        <v>50801</v>
      </c>
      <c r="B223" s="6" t="s">
        <v>237</v>
      </c>
      <c r="C223" s="7">
        <v>0</v>
      </c>
      <c r="D223" s="7">
        <v>105</v>
      </c>
    </row>
    <row r="224" spans="1:4" ht="14.4" x14ac:dyDescent="0.3">
      <c r="A224" s="5">
        <v>50802</v>
      </c>
      <c r="B224" s="6" t="s">
        <v>238</v>
      </c>
      <c r="C224" s="7">
        <v>0</v>
      </c>
      <c r="D224" s="7">
        <v>0</v>
      </c>
    </row>
    <row r="225" spans="1:4" ht="14.4" x14ac:dyDescent="0.3">
      <c r="A225" s="5">
        <v>50901</v>
      </c>
      <c r="B225" s="6" t="s">
        <v>239</v>
      </c>
      <c r="C225" s="7">
        <v>0</v>
      </c>
      <c r="D225" s="7">
        <v>0</v>
      </c>
    </row>
    <row r="226" spans="1:4" ht="14.4" x14ac:dyDescent="0.3">
      <c r="A226" s="5">
        <v>50902</v>
      </c>
      <c r="B226" s="6" t="s">
        <v>240</v>
      </c>
      <c r="C226" s="7">
        <v>0</v>
      </c>
      <c r="D226" s="7">
        <v>0</v>
      </c>
    </row>
    <row r="227" spans="1:4" ht="14.4" x14ac:dyDescent="0.3">
      <c r="A227" s="5">
        <v>51001</v>
      </c>
      <c r="B227" s="6" t="s">
        <v>241</v>
      </c>
      <c r="C227" s="7">
        <v>0</v>
      </c>
      <c r="D227" s="7">
        <v>0</v>
      </c>
    </row>
    <row r="228" spans="1:4" ht="14.4" x14ac:dyDescent="0.3">
      <c r="A228" s="5">
        <v>51002</v>
      </c>
      <c r="B228" s="6" t="s">
        <v>242</v>
      </c>
      <c r="C228" s="7">
        <v>0</v>
      </c>
      <c r="D228" s="7">
        <v>0</v>
      </c>
    </row>
    <row r="229" spans="1:4" ht="14.4" x14ac:dyDescent="0.3">
      <c r="A229" s="5">
        <v>51003</v>
      </c>
      <c r="B229" s="6" t="s">
        <v>243</v>
      </c>
      <c r="C229" s="7">
        <v>0</v>
      </c>
      <c r="D229" s="7">
        <v>0</v>
      </c>
    </row>
    <row r="230" spans="1:4" ht="14.4" x14ac:dyDescent="0.3">
      <c r="A230" s="5">
        <v>51101</v>
      </c>
      <c r="B230" s="6" t="s">
        <v>244</v>
      </c>
      <c r="C230" s="7">
        <v>0</v>
      </c>
      <c r="D230" s="7">
        <v>346</v>
      </c>
    </row>
    <row r="231" spans="1:4" ht="14.4" x14ac:dyDescent="0.3">
      <c r="A231" s="5">
        <v>51102</v>
      </c>
      <c r="B231" s="6" t="s">
        <v>245</v>
      </c>
      <c r="C231" s="7">
        <v>0</v>
      </c>
      <c r="D231" s="7">
        <v>0</v>
      </c>
    </row>
    <row r="232" spans="1:4" ht="14.4" x14ac:dyDescent="0.3">
      <c r="A232" s="5">
        <v>51103</v>
      </c>
      <c r="B232" s="6" t="s">
        <v>246</v>
      </c>
      <c r="C232" s="7">
        <v>0</v>
      </c>
      <c r="D232" s="7">
        <v>503</v>
      </c>
    </row>
    <row r="233" spans="1:4" ht="14.4" x14ac:dyDescent="0.3">
      <c r="A233" s="5">
        <v>51201</v>
      </c>
      <c r="B233" s="6" t="s">
        <v>247</v>
      </c>
      <c r="C233" s="7">
        <v>1</v>
      </c>
      <c r="D233" s="7">
        <v>0</v>
      </c>
    </row>
    <row r="234" spans="1:4" ht="14.4" x14ac:dyDescent="0.3">
      <c r="A234" s="5">
        <v>51202</v>
      </c>
      <c r="B234" s="6" t="s">
        <v>248</v>
      </c>
      <c r="C234" s="7">
        <v>0</v>
      </c>
      <c r="D234" s="7">
        <v>0</v>
      </c>
    </row>
    <row r="235" spans="1:4" ht="14.4" x14ac:dyDescent="0.3">
      <c r="A235" s="5">
        <v>51203</v>
      </c>
      <c r="B235" s="6" t="s">
        <v>249</v>
      </c>
      <c r="C235" s="7">
        <v>0</v>
      </c>
      <c r="D235" s="7">
        <v>0</v>
      </c>
    </row>
    <row r="236" spans="1:4" ht="14.4" x14ac:dyDescent="0.3">
      <c r="A236" s="5">
        <v>51204</v>
      </c>
      <c r="B236" s="6" t="s">
        <v>250</v>
      </c>
      <c r="C236" s="7">
        <v>0</v>
      </c>
      <c r="D236" s="7">
        <v>0</v>
      </c>
    </row>
    <row r="237" spans="1:4" ht="14.4" x14ac:dyDescent="0.3">
      <c r="A237" s="5">
        <v>51301</v>
      </c>
      <c r="B237" s="6" t="s">
        <v>251</v>
      </c>
      <c r="C237" s="7">
        <v>0</v>
      </c>
      <c r="D237" s="7">
        <v>0</v>
      </c>
    </row>
    <row r="238" spans="1:4" ht="14.4" x14ac:dyDescent="0.3">
      <c r="A238" s="5">
        <v>51302</v>
      </c>
      <c r="B238" s="6" t="s">
        <v>252</v>
      </c>
      <c r="C238" s="7">
        <v>496</v>
      </c>
      <c r="D238" s="7">
        <v>0</v>
      </c>
    </row>
    <row r="239" spans="1:4" ht="14.4" x14ac:dyDescent="0.3">
      <c r="A239" s="5">
        <v>51401</v>
      </c>
      <c r="B239" s="6" t="s">
        <v>253</v>
      </c>
      <c r="C239" s="7">
        <v>0</v>
      </c>
      <c r="D239" s="7">
        <v>0</v>
      </c>
    </row>
    <row r="240" spans="1:4" ht="14.4" x14ac:dyDescent="0.3">
      <c r="A240" s="5">
        <v>51402</v>
      </c>
      <c r="B240" s="6" t="s">
        <v>254</v>
      </c>
      <c r="C240" s="7">
        <v>0</v>
      </c>
      <c r="D240" s="7">
        <v>0</v>
      </c>
    </row>
    <row r="241" spans="1:4" ht="14.4" x14ac:dyDescent="0.3">
      <c r="A241" s="5">
        <v>51501</v>
      </c>
      <c r="B241" s="6" t="s">
        <v>255</v>
      </c>
      <c r="C241" s="7">
        <v>139</v>
      </c>
      <c r="D241" s="7">
        <v>87</v>
      </c>
    </row>
    <row r="242" spans="1:4" ht="14.4" x14ac:dyDescent="0.3">
      <c r="A242" s="5">
        <v>51601</v>
      </c>
      <c r="B242" s="6" t="s">
        <v>256</v>
      </c>
      <c r="C242" s="7">
        <v>0</v>
      </c>
      <c r="D242" s="7">
        <v>0</v>
      </c>
    </row>
    <row r="243" spans="1:4" ht="14.4" x14ac:dyDescent="0.3">
      <c r="A243" s="5">
        <v>60101</v>
      </c>
      <c r="B243" s="6" t="s">
        <v>20</v>
      </c>
      <c r="C243" s="7">
        <v>299</v>
      </c>
      <c r="D243" s="7">
        <v>825</v>
      </c>
    </row>
    <row r="244" spans="1:4" ht="14.4" x14ac:dyDescent="0.3">
      <c r="A244" s="5">
        <v>60201</v>
      </c>
      <c r="B244" s="6" t="s">
        <v>257</v>
      </c>
      <c r="C244" s="7">
        <v>893</v>
      </c>
      <c r="D244" s="7">
        <v>457</v>
      </c>
    </row>
    <row r="245" spans="1:4" ht="14.4" x14ac:dyDescent="0.3">
      <c r="A245" s="5">
        <v>60202</v>
      </c>
      <c r="B245" s="6" t="s">
        <v>258</v>
      </c>
      <c r="C245" s="7">
        <v>22</v>
      </c>
      <c r="D245" s="7">
        <v>32</v>
      </c>
    </row>
    <row r="246" spans="1:4" ht="14.4" x14ac:dyDescent="0.3">
      <c r="A246" s="5">
        <v>60301</v>
      </c>
      <c r="B246" s="6" t="s">
        <v>259</v>
      </c>
      <c r="C246" s="7">
        <v>411</v>
      </c>
      <c r="D246" s="7">
        <v>106</v>
      </c>
    </row>
    <row r="247" spans="1:4" ht="14.4" x14ac:dyDescent="0.3">
      <c r="A247" s="5">
        <v>60302</v>
      </c>
      <c r="B247" s="6" t="s">
        <v>260</v>
      </c>
      <c r="C247" s="7">
        <v>247</v>
      </c>
      <c r="D247" s="7">
        <v>28</v>
      </c>
    </row>
    <row r="248" spans="1:4" ht="14.4" x14ac:dyDescent="0.3">
      <c r="A248" s="5">
        <v>60303</v>
      </c>
      <c r="B248" s="6" t="s">
        <v>261</v>
      </c>
      <c r="C248" s="7">
        <v>81</v>
      </c>
      <c r="D248" s="7">
        <v>27</v>
      </c>
    </row>
    <row r="249" spans="1:4" ht="14.4" x14ac:dyDescent="0.3">
      <c r="A249" s="5">
        <v>60401</v>
      </c>
      <c r="B249" s="6" t="s">
        <v>262</v>
      </c>
      <c r="C249" s="7">
        <v>717</v>
      </c>
      <c r="D249" s="7">
        <v>222</v>
      </c>
    </row>
    <row r="250" spans="1:4" ht="14.4" x14ac:dyDescent="0.3">
      <c r="A250" s="5">
        <v>60402</v>
      </c>
      <c r="B250" s="6" t="s">
        <v>263</v>
      </c>
      <c r="C250" s="7">
        <v>5616</v>
      </c>
      <c r="D250" s="7">
        <v>1</v>
      </c>
    </row>
    <row r="251" spans="1:4" ht="14.4" x14ac:dyDescent="0.3">
      <c r="A251" s="5">
        <v>60501</v>
      </c>
      <c r="B251" s="6" t="s">
        <v>264</v>
      </c>
      <c r="C251" s="7">
        <v>4406</v>
      </c>
      <c r="D251" s="7">
        <v>1470</v>
      </c>
    </row>
    <row r="252" spans="1:4" ht="14.4" x14ac:dyDescent="0.3">
      <c r="A252" s="5">
        <v>60502</v>
      </c>
      <c r="B252" s="6" t="s">
        <v>265</v>
      </c>
      <c r="C252" s="7">
        <v>9656</v>
      </c>
      <c r="D252" s="7">
        <v>256</v>
      </c>
    </row>
    <row r="253" spans="1:4" ht="14.4" x14ac:dyDescent="0.3">
      <c r="A253" s="5">
        <v>60601</v>
      </c>
      <c r="B253" s="6" t="s">
        <v>170</v>
      </c>
      <c r="C253" s="7">
        <v>1481</v>
      </c>
      <c r="D253" s="7">
        <v>162</v>
      </c>
    </row>
    <row r="254" spans="1:4" ht="14.4" x14ac:dyDescent="0.3">
      <c r="A254" s="5">
        <v>70101</v>
      </c>
      <c r="B254" s="6" t="s">
        <v>266</v>
      </c>
      <c r="C254" s="7">
        <v>344</v>
      </c>
      <c r="D254" s="7">
        <v>98</v>
      </c>
    </row>
    <row r="255" spans="1:4" ht="14.4" x14ac:dyDescent="0.3">
      <c r="A255" s="5">
        <v>70102</v>
      </c>
      <c r="B255" s="6" t="s">
        <v>267</v>
      </c>
      <c r="C255" s="7">
        <v>67</v>
      </c>
      <c r="D255" s="7">
        <v>15</v>
      </c>
    </row>
    <row r="256" spans="1:4" ht="14.4" x14ac:dyDescent="0.3">
      <c r="A256" s="5">
        <v>70103</v>
      </c>
      <c r="B256" s="6" t="s">
        <v>268</v>
      </c>
      <c r="C256" s="7">
        <v>271</v>
      </c>
      <c r="D256" s="7">
        <v>96</v>
      </c>
    </row>
    <row r="257" spans="1:4" ht="14.4" x14ac:dyDescent="0.3">
      <c r="A257" s="5">
        <v>70104</v>
      </c>
      <c r="B257" s="6" t="s">
        <v>269</v>
      </c>
      <c r="C257" s="7">
        <v>329</v>
      </c>
      <c r="D257" s="7">
        <v>383</v>
      </c>
    </row>
    <row r="258" spans="1:4" ht="14.4" x14ac:dyDescent="0.3">
      <c r="A258" s="5">
        <v>70105</v>
      </c>
      <c r="B258" s="6" t="s">
        <v>270</v>
      </c>
      <c r="C258" s="7">
        <v>1189</v>
      </c>
      <c r="D258" s="7">
        <v>51</v>
      </c>
    </row>
    <row r="259" spans="1:4" ht="14.4" x14ac:dyDescent="0.3">
      <c r="A259" s="5">
        <v>70201</v>
      </c>
      <c r="B259" s="6" t="s">
        <v>271</v>
      </c>
      <c r="C259" s="7">
        <v>222</v>
      </c>
      <c r="D259" s="7">
        <v>25</v>
      </c>
    </row>
    <row r="260" spans="1:4" ht="14.4" x14ac:dyDescent="0.3">
      <c r="A260" s="5">
        <v>70202</v>
      </c>
      <c r="B260" s="6" t="s">
        <v>272</v>
      </c>
      <c r="C260" s="7">
        <v>228</v>
      </c>
      <c r="D260" s="7">
        <v>98</v>
      </c>
    </row>
    <row r="261" spans="1:4" ht="14.4" x14ac:dyDescent="0.3">
      <c r="A261" s="5">
        <v>70301</v>
      </c>
      <c r="B261" s="6" t="s">
        <v>273</v>
      </c>
      <c r="C261" s="7">
        <v>86</v>
      </c>
      <c r="D261" s="7">
        <v>7</v>
      </c>
    </row>
    <row r="262" spans="1:4" ht="14.4" x14ac:dyDescent="0.3">
      <c r="A262" s="5">
        <v>70302</v>
      </c>
      <c r="B262" s="6" t="s">
        <v>274</v>
      </c>
      <c r="C262" s="7">
        <v>38</v>
      </c>
      <c r="D262" s="7">
        <v>14</v>
      </c>
    </row>
    <row r="263" spans="1:4" ht="14.4" x14ac:dyDescent="0.3">
      <c r="A263" s="5">
        <v>70303</v>
      </c>
      <c r="B263" s="6" t="s">
        <v>275</v>
      </c>
      <c r="C263" s="7">
        <v>17</v>
      </c>
      <c r="D263" s="7">
        <v>4</v>
      </c>
    </row>
    <row r="264" spans="1:4" ht="14.4" x14ac:dyDescent="0.3">
      <c r="A264" s="5">
        <v>70401</v>
      </c>
      <c r="B264" s="6" t="s">
        <v>276</v>
      </c>
      <c r="C264" s="7">
        <v>534</v>
      </c>
      <c r="D264" s="7">
        <v>18</v>
      </c>
    </row>
    <row r="265" spans="1:4" ht="14.4" x14ac:dyDescent="0.3">
      <c r="A265" s="5">
        <v>70402</v>
      </c>
      <c r="B265" s="6" t="s">
        <v>277</v>
      </c>
      <c r="C265" s="7">
        <v>485</v>
      </c>
      <c r="D265" s="7">
        <v>14</v>
      </c>
    </row>
    <row r="266" spans="1:4" ht="14.4" x14ac:dyDescent="0.3">
      <c r="A266" s="5">
        <v>70403</v>
      </c>
      <c r="B266" s="6" t="s">
        <v>278</v>
      </c>
      <c r="C266" s="7">
        <v>792</v>
      </c>
      <c r="D266" s="7">
        <v>237</v>
      </c>
    </row>
    <row r="267" spans="1:4" ht="14.4" x14ac:dyDescent="0.3">
      <c r="A267" s="5">
        <v>70404</v>
      </c>
      <c r="B267" s="6" t="s">
        <v>279</v>
      </c>
      <c r="C267" s="7">
        <v>218</v>
      </c>
      <c r="D267" s="7">
        <v>19</v>
      </c>
    </row>
    <row r="268" spans="1:4" ht="14.4" x14ac:dyDescent="0.3">
      <c r="A268" s="5">
        <v>70501</v>
      </c>
      <c r="B268" s="6" t="s">
        <v>280</v>
      </c>
      <c r="C268" s="7">
        <v>278</v>
      </c>
      <c r="D268" s="7">
        <v>9</v>
      </c>
    </row>
    <row r="269" spans="1:4" ht="14.4" x14ac:dyDescent="0.3">
      <c r="A269" s="5">
        <v>70502</v>
      </c>
      <c r="B269" s="6" t="s">
        <v>281</v>
      </c>
      <c r="C269" s="7">
        <v>77</v>
      </c>
      <c r="D269" s="7">
        <v>27</v>
      </c>
    </row>
    <row r="270" spans="1:4" ht="14.4" x14ac:dyDescent="0.3">
      <c r="A270" s="5">
        <v>70503</v>
      </c>
      <c r="B270" s="6" t="s">
        <v>282</v>
      </c>
      <c r="C270" s="7">
        <v>74</v>
      </c>
      <c r="D270" s="7">
        <v>7</v>
      </c>
    </row>
    <row r="271" spans="1:4" ht="14.4" x14ac:dyDescent="0.3">
      <c r="A271" s="5">
        <v>70601</v>
      </c>
      <c r="B271" s="6" t="s">
        <v>283</v>
      </c>
      <c r="C271" s="7">
        <v>20</v>
      </c>
      <c r="D271" s="7">
        <v>61</v>
      </c>
    </row>
    <row r="272" spans="1:4" ht="14.4" x14ac:dyDescent="0.3">
      <c r="A272" s="5">
        <v>70602</v>
      </c>
      <c r="B272" s="6" t="s">
        <v>284</v>
      </c>
      <c r="C272" s="7">
        <v>0</v>
      </c>
      <c r="D272" s="7">
        <v>43</v>
      </c>
    </row>
    <row r="273" spans="1:4" ht="14.4" x14ac:dyDescent="0.3">
      <c r="A273" s="5">
        <v>70603</v>
      </c>
      <c r="B273" s="6" t="s">
        <v>285</v>
      </c>
      <c r="C273" s="7">
        <v>10</v>
      </c>
      <c r="D273" s="7">
        <v>30</v>
      </c>
    </row>
    <row r="274" spans="1:4" ht="14.4" x14ac:dyDescent="0.3">
      <c r="A274" s="5">
        <v>70701</v>
      </c>
      <c r="B274" s="6" t="s">
        <v>286</v>
      </c>
      <c r="C274" s="7">
        <v>155</v>
      </c>
      <c r="D274" s="7">
        <v>1</v>
      </c>
    </row>
    <row r="275" spans="1:4" ht="14.4" x14ac:dyDescent="0.3">
      <c r="A275" s="5">
        <v>70702</v>
      </c>
      <c r="B275" s="6" t="s">
        <v>287</v>
      </c>
      <c r="C275" s="7">
        <v>71</v>
      </c>
      <c r="D275" s="7">
        <v>14</v>
      </c>
    </row>
    <row r="276" spans="1:4" ht="14.4" x14ac:dyDescent="0.3">
      <c r="A276" s="5">
        <v>70703</v>
      </c>
      <c r="B276" s="6" t="s">
        <v>288</v>
      </c>
      <c r="C276" s="7">
        <v>229</v>
      </c>
      <c r="D276" s="7">
        <v>27</v>
      </c>
    </row>
    <row r="277" spans="1:4" ht="14.4" x14ac:dyDescent="0.3">
      <c r="A277" s="5">
        <v>70704</v>
      </c>
      <c r="B277" s="6" t="s">
        <v>289</v>
      </c>
      <c r="C277" s="7">
        <v>35</v>
      </c>
      <c r="D277" s="7">
        <v>1</v>
      </c>
    </row>
    <row r="278" spans="1:4" ht="14.4" x14ac:dyDescent="0.3">
      <c r="A278" s="5">
        <v>70705</v>
      </c>
      <c r="B278" s="6" t="s">
        <v>290</v>
      </c>
      <c r="C278" s="7">
        <v>65</v>
      </c>
      <c r="D278" s="7">
        <v>5</v>
      </c>
    </row>
    <row r="279" spans="1:4" ht="14.4" x14ac:dyDescent="0.3">
      <c r="A279" s="5">
        <v>70706</v>
      </c>
      <c r="B279" s="6" t="s">
        <v>291</v>
      </c>
      <c r="C279" s="7">
        <v>37</v>
      </c>
      <c r="D279" s="7">
        <v>2</v>
      </c>
    </row>
    <row r="280" spans="1:4" ht="14.4" x14ac:dyDescent="0.3">
      <c r="A280" s="5">
        <v>70707</v>
      </c>
      <c r="B280" s="6" t="s">
        <v>292</v>
      </c>
      <c r="C280" s="7">
        <v>11</v>
      </c>
      <c r="D280" s="7">
        <v>0</v>
      </c>
    </row>
    <row r="281" spans="1:4" ht="14.4" x14ac:dyDescent="0.3">
      <c r="A281" s="5">
        <v>70801</v>
      </c>
      <c r="B281" s="6" t="s">
        <v>293</v>
      </c>
      <c r="C281" s="7">
        <v>1044</v>
      </c>
      <c r="D281" s="7">
        <v>20</v>
      </c>
    </row>
    <row r="282" spans="1:4" ht="14.4" x14ac:dyDescent="0.3">
      <c r="A282" s="5">
        <v>70802</v>
      </c>
      <c r="B282" s="6" t="s">
        <v>294</v>
      </c>
      <c r="C282" s="7">
        <v>480</v>
      </c>
      <c r="D282" s="7">
        <v>1</v>
      </c>
    </row>
    <row r="283" spans="1:4" ht="14.4" x14ac:dyDescent="0.3">
      <c r="A283" s="5">
        <v>70803</v>
      </c>
      <c r="B283" s="6" t="s">
        <v>295</v>
      </c>
      <c r="C283" s="7">
        <v>1061</v>
      </c>
      <c r="D283" s="7">
        <v>4</v>
      </c>
    </row>
    <row r="284" spans="1:4" ht="14.4" x14ac:dyDescent="0.3">
      <c r="A284" s="5">
        <v>70804</v>
      </c>
      <c r="B284" s="6" t="s">
        <v>296</v>
      </c>
      <c r="C284" s="7">
        <v>8</v>
      </c>
      <c r="D284" s="7">
        <v>0</v>
      </c>
    </row>
    <row r="285" spans="1:4" ht="14.4" x14ac:dyDescent="0.3">
      <c r="A285" s="5">
        <v>70805</v>
      </c>
      <c r="B285" s="6" t="s">
        <v>297</v>
      </c>
      <c r="C285" s="7">
        <v>0</v>
      </c>
      <c r="D285" s="7">
        <v>0</v>
      </c>
    </row>
    <row r="286" spans="1:4" ht="14.4" x14ac:dyDescent="0.3">
      <c r="A286" s="5">
        <v>70901</v>
      </c>
      <c r="B286" s="6" t="s">
        <v>298</v>
      </c>
      <c r="C286" s="7">
        <v>3481</v>
      </c>
      <c r="D286" s="7">
        <v>2</v>
      </c>
    </row>
    <row r="287" spans="1:4" ht="14.4" x14ac:dyDescent="0.3">
      <c r="A287" s="5">
        <v>70902</v>
      </c>
      <c r="B287" s="6" t="s">
        <v>299</v>
      </c>
      <c r="C287" s="7">
        <v>1551</v>
      </c>
      <c r="D287" s="7">
        <v>4</v>
      </c>
    </row>
    <row r="288" spans="1:4" ht="14.4" x14ac:dyDescent="0.3">
      <c r="A288" s="5">
        <v>70903</v>
      </c>
      <c r="B288" s="6" t="s">
        <v>300</v>
      </c>
      <c r="C288" s="7">
        <v>2027</v>
      </c>
      <c r="D288" s="7">
        <v>43</v>
      </c>
    </row>
    <row r="289" spans="1:4" ht="14.4" x14ac:dyDescent="0.3">
      <c r="A289" s="5">
        <v>70904</v>
      </c>
      <c r="B289" s="6" t="s">
        <v>301</v>
      </c>
      <c r="C289" s="7">
        <v>698</v>
      </c>
      <c r="D289" s="7">
        <v>5</v>
      </c>
    </row>
    <row r="290" spans="1:4" ht="14.4" x14ac:dyDescent="0.3">
      <c r="A290" s="5">
        <v>71001</v>
      </c>
      <c r="B290" s="6" t="s">
        <v>302</v>
      </c>
      <c r="C290" s="7">
        <v>25</v>
      </c>
      <c r="D290" s="7">
        <v>73</v>
      </c>
    </row>
    <row r="291" spans="1:4" ht="14.4" x14ac:dyDescent="0.3">
      <c r="A291" s="5">
        <v>71002</v>
      </c>
      <c r="B291" s="6" t="s">
        <v>303</v>
      </c>
      <c r="C291" s="7">
        <v>63</v>
      </c>
      <c r="D291" s="7">
        <v>36</v>
      </c>
    </row>
    <row r="292" spans="1:4" ht="14.4" x14ac:dyDescent="0.3">
      <c r="A292" s="5">
        <v>71003</v>
      </c>
      <c r="B292" s="6" t="s">
        <v>304</v>
      </c>
      <c r="C292" s="7">
        <v>66</v>
      </c>
      <c r="D292" s="7">
        <v>41</v>
      </c>
    </row>
    <row r="293" spans="1:4" ht="14.4" x14ac:dyDescent="0.3">
      <c r="A293" s="5">
        <v>71004</v>
      </c>
      <c r="B293" s="6" t="s">
        <v>305</v>
      </c>
      <c r="C293" s="7">
        <v>200</v>
      </c>
      <c r="D293" s="7">
        <v>11</v>
      </c>
    </row>
    <row r="294" spans="1:4" ht="14.4" x14ac:dyDescent="0.3">
      <c r="A294" s="5">
        <v>71005</v>
      </c>
      <c r="B294" s="6" t="s">
        <v>231</v>
      </c>
      <c r="C294" s="7">
        <v>406</v>
      </c>
      <c r="D294" s="7">
        <v>20</v>
      </c>
    </row>
    <row r="295" spans="1:4" ht="14.4" x14ac:dyDescent="0.3">
      <c r="A295" s="5">
        <v>71101</v>
      </c>
      <c r="B295" s="6" t="s">
        <v>306</v>
      </c>
      <c r="C295" s="7">
        <v>80</v>
      </c>
      <c r="D295" s="7">
        <v>14</v>
      </c>
    </row>
    <row r="296" spans="1:4" ht="14.4" x14ac:dyDescent="0.3">
      <c r="A296" s="5">
        <v>71102</v>
      </c>
      <c r="B296" s="6" t="s">
        <v>307</v>
      </c>
      <c r="C296" s="7">
        <v>40</v>
      </c>
      <c r="D296" s="7">
        <v>7</v>
      </c>
    </row>
    <row r="297" spans="1:4" ht="14.4" x14ac:dyDescent="0.3">
      <c r="A297" s="5">
        <v>71103</v>
      </c>
      <c r="B297" s="6" t="s">
        <v>308</v>
      </c>
      <c r="C297" s="7">
        <v>11</v>
      </c>
      <c r="D297" s="7">
        <v>0</v>
      </c>
    </row>
    <row r="298" spans="1:4" ht="14.4" x14ac:dyDescent="0.3">
      <c r="A298" s="5">
        <v>71104</v>
      </c>
      <c r="B298" s="6" t="s">
        <v>309</v>
      </c>
      <c r="C298" s="7">
        <v>210</v>
      </c>
      <c r="D298" s="7">
        <v>38</v>
      </c>
    </row>
    <row r="299" spans="1:4" ht="14.4" x14ac:dyDescent="0.3">
      <c r="A299" s="5">
        <v>71105</v>
      </c>
      <c r="B299" s="6" t="s">
        <v>310</v>
      </c>
      <c r="C299" s="7">
        <v>0</v>
      </c>
      <c r="D299" s="7">
        <v>0</v>
      </c>
    </row>
    <row r="300" spans="1:4" ht="14.4" x14ac:dyDescent="0.3">
      <c r="A300" s="5">
        <v>71106</v>
      </c>
      <c r="B300" s="6" t="s">
        <v>311</v>
      </c>
      <c r="C300" s="7">
        <v>79</v>
      </c>
      <c r="D300" s="7">
        <v>6</v>
      </c>
    </row>
    <row r="301" spans="1:4" ht="14.4" x14ac:dyDescent="0.3">
      <c r="A301" s="5">
        <v>71201</v>
      </c>
      <c r="B301" s="6" t="s">
        <v>312</v>
      </c>
      <c r="C301" s="7">
        <v>20</v>
      </c>
      <c r="D301" s="7">
        <v>10</v>
      </c>
    </row>
    <row r="302" spans="1:4" ht="14.4" x14ac:dyDescent="0.3">
      <c r="A302" s="5">
        <v>71301</v>
      </c>
      <c r="B302" s="6" t="s">
        <v>313</v>
      </c>
      <c r="C302" s="7">
        <v>3316</v>
      </c>
      <c r="D302" s="7">
        <v>8</v>
      </c>
    </row>
    <row r="303" spans="1:4" ht="14.4" x14ac:dyDescent="0.3">
      <c r="A303" s="5">
        <v>71302</v>
      </c>
      <c r="B303" s="6" t="s">
        <v>314</v>
      </c>
      <c r="C303" s="7">
        <v>160</v>
      </c>
      <c r="D303" s="7">
        <v>0</v>
      </c>
    </row>
    <row r="304" spans="1:4" ht="14.4" x14ac:dyDescent="0.3">
      <c r="A304" s="5">
        <v>71401</v>
      </c>
      <c r="B304" s="6" t="s">
        <v>315</v>
      </c>
      <c r="C304" s="7">
        <v>6</v>
      </c>
      <c r="D304" s="7">
        <v>1</v>
      </c>
    </row>
    <row r="305" spans="1:4" ht="14.4" x14ac:dyDescent="0.3">
      <c r="A305" s="5">
        <v>71402</v>
      </c>
      <c r="B305" s="6" t="s">
        <v>316</v>
      </c>
      <c r="C305" s="7">
        <v>1</v>
      </c>
      <c r="D305" s="7">
        <v>1</v>
      </c>
    </row>
    <row r="306" spans="1:4" ht="14.4" x14ac:dyDescent="0.3">
      <c r="A306" s="5">
        <v>71403</v>
      </c>
      <c r="B306" s="6" t="s">
        <v>317</v>
      </c>
      <c r="C306" s="7">
        <v>5</v>
      </c>
      <c r="D306" s="7">
        <v>8</v>
      </c>
    </row>
    <row r="307" spans="1:4" ht="14.4" x14ac:dyDescent="0.3">
      <c r="A307" s="5">
        <v>71501</v>
      </c>
      <c r="B307" s="6" t="s">
        <v>318</v>
      </c>
      <c r="C307" s="7">
        <v>100</v>
      </c>
      <c r="D307" s="7">
        <v>5</v>
      </c>
    </row>
    <row r="308" spans="1:4" ht="14.4" x14ac:dyDescent="0.3">
      <c r="A308" s="5">
        <v>71502</v>
      </c>
      <c r="B308" s="6" t="s">
        <v>319</v>
      </c>
      <c r="C308" s="7">
        <v>10</v>
      </c>
      <c r="D308" s="7">
        <v>12</v>
      </c>
    </row>
    <row r="309" spans="1:4" ht="14.4" x14ac:dyDescent="0.3">
      <c r="A309" s="5">
        <v>71503</v>
      </c>
      <c r="B309" s="6" t="s">
        <v>265</v>
      </c>
      <c r="C309" s="7">
        <v>334</v>
      </c>
      <c r="D309" s="7">
        <v>113</v>
      </c>
    </row>
    <row r="310" spans="1:4" ht="14.4" x14ac:dyDescent="0.3">
      <c r="A310" s="5">
        <v>80101</v>
      </c>
      <c r="B310" s="6" t="s">
        <v>320</v>
      </c>
      <c r="C310" s="7">
        <v>0</v>
      </c>
      <c r="D310" s="7">
        <v>42</v>
      </c>
    </row>
    <row r="311" spans="1:4" ht="14.4" x14ac:dyDescent="0.3">
      <c r="A311" s="5">
        <v>80102</v>
      </c>
      <c r="B311" s="6" t="s">
        <v>307</v>
      </c>
      <c r="C311" s="7">
        <v>10</v>
      </c>
      <c r="D311" s="7">
        <v>11</v>
      </c>
    </row>
    <row r="312" spans="1:4" ht="14.4" x14ac:dyDescent="0.3">
      <c r="A312" s="5">
        <v>80201</v>
      </c>
      <c r="B312" s="6" t="s">
        <v>321</v>
      </c>
      <c r="C312" s="7">
        <v>27</v>
      </c>
      <c r="D312" s="7">
        <v>18</v>
      </c>
    </row>
    <row r="313" spans="1:4" ht="14.4" x14ac:dyDescent="0.3">
      <c r="A313" s="5">
        <v>80202</v>
      </c>
      <c r="B313" s="6" t="s">
        <v>322</v>
      </c>
      <c r="C313" s="7">
        <v>26</v>
      </c>
      <c r="D313" s="7">
        <v>9</v>
      </c>
    </row>
    <row r="314" spans="1:4" ht="14.4" x14ac:dyDescent="0.3">
      <c r="A314" s="5">
        <v>80301</v>
      </c>
      <c r="B314" s="6" t="s">
        <v>323</v>
      </c>
      <c r="C314" s="7">
        <v>20</v>
      </c>
      <c r="D314" s="7">
        <v>21</v>
      </c>
    </row>
    <row r="315" spans="1:4" ht="14.4" x14ac:dyDescent="0.3">
      <c r="A315" s="5">
        <v>80302</v>
      </c>
      <c r="B315" s="6" t="s">
        <v>324</v>
      </c>
      <c r="C315" s="7">
        <v>706</v>
      </c>
      <c r="D315" s="7">
        <v>35</v>
      </c>
    </row>
    <row r="316" spans="1:4" ht="14.4" x14ac:dyDescent="0.3">
      <c r="A316" s="5">
        <v>80303</v>
      </c>
      <c r="B316" s="6" t="s">
        <v>284</v>
      </c>
      <c r="C316" s="7">
        <v>517</v>
      </c>
      <c r="D316" s="7">
        <v>12</v>
      </c>
    </row>
    <row r="317" spans="1:4" ht="14.4" x14ac:dyDescent="0.3">
      <c r="A317" s="5">
        <v>80304</v>
      </c>
      <c r="B317" s="6" t="s">
        <v>325</v>
      </c>
      <c r="C317" s="7">
        <v>259</v>
      </c>
      <c r="D317" s="7">
        <v>4</v>
      </c>
    </row>
    <row r="318" spans="1:4" ht="14.4" x14ac:dyDescent="0.3">
      <c r="A318" s="5">
        <v>80401</v>
      </c>
      <c r="B318" s="6" t="s">
        <v>326</v>
      </c>
      <c r="C318" s="7">
        <v>11</v>
      </c>
      <c r="D318" s="7">
        <v>38</v>
      </c>
    </row>
    <row r="319" spans="1:4" ht="14.4" x14ac:dyDescent="0.3">
      <c r="A319" s="5">
        <v>80402</v>
      </c>
      <c r="B319" s="6" t="s">
        <v>327</v>
      </c>
      <c r="C319" s="7">
        <v>20</v>
      </c>
      <c r="D319" s="7">
        <v>22</v>
      </c>
    </row>
    <row r="320" spans="1:4" ht="14.4" x14ac:dyDescent="0.3">
      <c r="A320" s="5">
        <v>80501</v>
      </c>
      <c r="B320" s="6" t="s">
        <v>273</v>
      </c>
      <c r="C320" s="7">
        <v>52</v>
      </c>
      <c r="D320" s="7">
        <v>33</v>
      </c>
    </row>
    <row r="321" spans="1:4" ht="14.4" x14ac:dyDescent="0.3">
      <c r="A321" s="5">
        <v>80601</v>
      </c>
      <c r="B321" s="6" t="s">
        <v>328</v>
      </c>
      <c r="C321" s="7">
        <v>2</v>
      </c>
      <c r="D321" s="7">
        <v>6</v>
      </c>
    </row>
    <row r="322" spans="1:4" ht="14.4" x14ac:dyDescent="0.3">
      <c r="A322" s="5">
        <v>80602</v>
      </c>
      <c r="B322" s="6" t="s">
        <v>329</v>
      </c>
      <c r="C322" s="7">
        <v>186</v>
      </c>
      <c r="D322" s="7">
        <v>43</v>
      </c>
    </row>
    <row r="323" spans="1:4" ht="14.4" x14ac:dyDescent="0.3">
      <c r="A323" s="5">
        <v>80701</v>
      </c>
      <c r="B323" s="6" t="s">
        <v>330</v>
      </c>
      <c r="C323" s="7">
        <v>3</v>
      </c>
      <c r="D323" s="7">
        <v>29</v>
      </c>
    </row>
    <row r="324" spans="1:4" ht="14.4" x14ac:dyDescent="0.3">
      <c r="A324" s="5">
        <v>80702</v>
      </c>
      <c r="B324" s="6" t="s">
        <v>308</v>
      </c>
      <c r="C324" s="7">
        <v>0</v>
      </c>
      <c r="D324" s="7">
        <v>9</v>
      </c>
    </row>
    <row r="325" spans="1:4" ht="14.4" x14ac:dyDescent="0.3">
      <c r="A325" s="5">
        <v>80703</v>
      </c>
      <c r="B325" s="6" t="s">
        <v>331</v>
      </c>
      <c r="C325" s="7">
        <v>2</v>
      </c>
      <c r="D325" s="7">
        <v>1</v>
      </c>
    </row>
    <row r="326" spans="1:4" ht="14.4" x14ac:dyDescent="0.3">
      <c r="A326" s="5">
        <v>80801</v>
      </c>
      <c r="B326" s="6" t="s">
        <v>332</v>
      </c>
      <c r="C326" s="7">
        <v>32</v>
      </c>
      <c r="D326" s="7">
        <v>25</v>
      </c>
    </row>
    <row r="327" spans="1:4" ht="14.4" x14ac:dyDescent="0.3">
      <c r="A327" s="5">
        <v>80802</v>
      </c>
      <c r="B327" s="6" t="s">
        <v>333</v>
      </c>
      <c r="C327" s="7">
        <v>1</v>
      </c>
      <c r="D327" s="7">
        <v>10</v>
      </c>
    </row>
    <row r="328" spans="1:4" ht="14.4" x14ac:dyDescent="0.3">
      <c r="A328" s="5">
        <v>80803</v>
      </c>
      <c r="B328" s="6" t="s">
        <v>334</v>
      </c>
      <c r="C328" s="7">
        <v>1</v>
      </c>
      <c r="D328" s="7">
        <v>15</v>
      </c>
    </row>
    <row r="329" spans="1:4" ht="14.4" x14ac:dyDescent="0.3">
      <c r="A329" s="5">
        <v>80901</v>
      </c>
      <c r="B329" s="6" t="s">
        <v>335</v>
      </c>
      <c r="C329" s="7">
        <v>0</v>
      </c>
      <c r="D329" s="7">
        <v>0</v>
      </c>
    </row>
    <row r="330" spans="1:4" ht="14.4" x14ac:dyDescent="0.3">
      <c r="A330" s="5">
        <v>90101</v>
      </c>
      <c r="B330" s="6" t="s">
        <v>336</v>
      </c>
      <c r="C330" s="7">
        <v>187</v>
      </c>
      <c r="D330" s="7">
        <v>0</v>
      </c>
    </row>
    <row r="331" spans="1:4" ht="14.4" x14ac:dyDescent="0.3">
      <c r="A331" s="5">
        <v>90102</v>
      </c>
      <c r="B331" s="6" t="s">
        <v>337</v>
      </c>
      <c r="C331" s="7">
        <v>96</v>
      </c>
      <c r="D331" s="7">
        <v>0</v>
      </c>
    </row>
    <row r="332" spans="1:4" ht="14.4" x14ac:dyDescent="0.3">
      <c r="A332" s="5">
        <v>90103</v>
      </c>
      <c r="B332" s="6" t="s">
        <v>338</v>
      </c>
      <c r="C332" s="7">
        <v>4</v>
      </c>
      <c r="D332" s="7">
        <v>0</v>
      </c>
    </row>
    <row r="333" spans="1:4" ht="14.4" x14ac:dyDescent="0.3">
      <c r="A333" s="5">
        <v>90104</v>
      </c>
      <c r="B333" s="6" t="s">
        <v>339</v>
      </c>
      <c r="C333" s="7">
        <v>2</v>
      </c>
      <c r="D333" s="7">
        <v>0</v>
      </c>
    </row>
    <row r="334" spans="1:4" ht="14.4" x14ac:dyDescent="0.3">
      <c r="A334" s="5">
        <v>90201</v>
      </c>
      <c r="B334" s="6" t="s">
        <v>340</v>
      </c>
      <c r="C334" s="7">
        <v>4</v>
      </c>
      <c r="D334" s="7">
        <v>2</v>
      </c>
    </row>
    <row r="335" spans="1:4" ht="14.4" x14ac:dyDescent="0.3">
      <c r="A335" s="5">
        <v>90202</v>
      </c>
      <c r="B335" s="6" t="s">
        <v>231</v>
      </c>
      <c r="C335" s="7">
        <v>3</v>
      </c>
      <c r="D335" s="7">
        <v>0</v>
      </c>
    </row>
    <row r="336" spans="1:4" ht="14.4" x14ac:dyDescent="0.3">
      <c r="A336" s="5">
        <v>90203</v>
      </c>
      <c r="B336" s="6" t="s">
        <v>341</v>
      </c>
      <c r="C336" s="7">
        <v>12</v>
      </c>
      <c r="D336" s="7">
        <v>0</v>
      </c>
    </row>
    <row r="337" spans="1:4" ht="14.4" x14ac:dyDescent="0.3">
      <c r="A337" s="5">
        <v>90301</v>
      </c>
      <c r="B337" s="6" t="s">
        <v>342</v>
      </c>
      <c r="C337" s="7">
        <v>4</v>
      </c>
      <c r="D337" s="7">
        <v>0</v>
      </c>
    </row>
    <row r="338" spans="1:4" ht="14.4" x14ac:dyDescent="0.3">
      <c r="A338" s="5">
        <v>90302</v>
      </c>
      <c r="B338" s="6" t="s">
        <v>264</v>
      </c>
      <c r="C338" s="7">
        <v>0</v>
      </c>
      <c r="D338" s="7">
        <v>0</v>
      </c>
    </row>
    <row r="339" spans="1:4" ht="14.4" x14ac:dyDescent="0.3">
      <c r="A339" s="5">
        <v>90303</v>
      </c>
      <c r="B339" s="6" t="s">
        <v>343</v>
      </c>
      <c r="C339" s="7">
        <v>12</v>
      </c>
      <c r="D339" s="7">
        <v>0</v>
      </c>
    </row>
    <row r="340" spans="1:4" ht="14.4" x14ac:dyDescent="0.3">
      <c r="A340" s="5">
        <v>90401</v>
      </c>
      <c r="B340" s="6" t="s">
        <v>284</v>
      </c>
      <c r="C340" s="7">
        <v>1</v>
      </c>
      <c r="D340" s="7">
        <v>0</v>
      </c>
    </row>
    <row r="341" spans="1:4" ht="14.4" x14ac:dyDescent="0.3">
      <c r="A341" s="5">
        <v>90402</v>
      </c>
      <c r="B341" s="6" t="s">
        <v>344</v>
      </c>
      <c r="C341" s="7">
        <v>2</v>
      </c>
      <c r="D341" s="7">
        <v>0</v>
      </c>
    </row>
    <row r="342" spans="1:4" ht="14.4" x14ac:dyDescent="0.3">
      <c r="A342" s="5">
        <v>90501</v>
      </c>
      <c r="B342" s="6" t="s">
        <v>345</v>
      </c>
      <c r="C342" s="7">
        <v>0</v>
      </c>
      <c r="D342" s="7">
        <v>0</v>
      </c>
    </row>
    <row r="343" spans="1:4" ht="14.4" x14ac:dyDescent="0.3">
      <c r="A343" s="5">
        <v>90502</v>
      </c>
      <c r="B343" s="6" t="s">
        <v>346</v>
      </c>
      <c r="C343" s="7">
        <v>0</v>
      </c>
      <c r="D343" s="7">
        <v>0</v>
      </c>
    </row>
    <row r="344" spans="1:4" ht="14.4" x14ac:dyDescent="0.3">
      <c r="A344" s="5">
        <v>90503</v>
      </c>
      <c r="B344" s="6" t="s">
        <v>347</v>
      </c>
      <c r="C344" s="7">
        <v>4</v>
      </c>
      <c r="D344" s="7">
        <v>0</v>
      </c>
    </row>
    <row r="345" spans="1:4" ht="14.4" x14ac:dyDescent="0.3">
      <c r="A345" s="11"/>
      <c r="B345" s="11"/>
    </row>
    <row r="346" spans="1:4" ht="14.4" x14ac:dyDescent="0.3">
      <c r="A346" s="11"/>
      <c r="B346" s="11"/>
    </row>
    <row r="347" spans="1:4" ht="14.4" x14ac:dyDescent="0.3">
      <c r="A347" s="11"/>
      <c r="B347" s="11"/>
    </row>
    <row r="348" spans="1:4" ht="14.4" x14ac:dyDescent="0.3">
      <c r="A348" s="11"/>
      <c r="B348" s="11"/>
    </row>
    <row r="349" spans="1:4" ht="14.4" x14ac:dyDescent="0.3">
      <c r="A349" s="11"/>
      <c r="B349" s="11"/>
    </row>
    <row r="350" spans="1:4" ht="14.4" x14ac:dyDescent="0.3">
      <c r="A350" s="11"/>
      <c r="B350" s="11"/>
    </row>
    <row r="351" spans="1:4" ht="14.4" x14ac:dyDescent="0.3">
      <c r="A351" s="11"/>
      <c r="B351" s="11"/>
    </row>
    <row r="352" spans="1:4" ht="14.4" x14ac:dyDescent="0.3">
      <c r="A352" s="11"/>
      <c r="B352" s="11"/>
    </row>
    <row r="353" spans="1:2" ht="14.4" x14ac:dyDescent="0.3">
      <c r="A353" s="11"/>
      <c r="B353" s="11"/>
    </row>
    <row r="354" spans="1:2" ht="14.4" x14ac:dyDescent="0.3">
      <c r="A354" s="11"/>
      <c r="B354" s="11"/>
    </row>
    <row r="355" spans="1:2" ht="14.4" x14ac:dyDescent="0.3">
      <c r="A355" s="11"/>
      <c r="B355" s="11"/>
    </row>
    <row r="356" spans="1:2" ht="14.4" x14ac:dyDescent="0.3">
      <c r="A356" s="11"/>
      <c r="B356" s="11"/>
    </row>
    <row r="357" spans="1:2" ht="14.4" x14ac:dyDescent="0.3">
      <c r="A357" s="11"/>
      <c r="B357" s="11"/>
    </row>
    <row r="358" spans="1:2" ht="14.4" x14ac:dyDescent="0.3">
      <c r="A358" s="11"/>
      <c r="B358" s="11"/>
    </row>
    <row r="359" spans="1:2" ht="14.4" x14ac:dyDescent="0.3">
      <c r="A359" s="11"/>
      <c r="B359" s="11"/>
    </row>
    <row r="360" spans="1:2" ht="14.4" x14ac:dyDescent="0.3">
      <c r="A360" s="11"/>
      <c r="B360" s="11"/>
    </row>
    <row r="361" spans="1:2" ht="14.4" x14ac:dyDescent="0.3">
      <c r="A361" s="11"/>
      <c r="B361" s="11"/>
    </row>
    <row r="362" spans="1:2" ht="14.4" x14ac:dyDescent="0.3">
      <c r="A362" s="11"/>
      <c r="B362" s="11"/>
    </row>
    <row r="363" spans="1:2" ht="14.4" x14ac:dyDescent="0.3">
      <c r="A363" s="11"/>
      <c r="B363" s="11"/>
    </row>
    <row r="364" spans="1:2" ht="14.4" x14ac:dyDescent="0.3">
      <c r="A364" s="11"/>
      <c r="B364" s="11"/>
    </row>
    <row r="365" spans="1:2" ht="14.4" x14ac:dyDescent="0.3">
      <c r="A365" s="11"/>
      <c r="B365" s="11"/>
    </row>
    <row r="366" spans="1:2" ht="14.4" x14ac:dyDescent="0.3">
      <c r="A366" s="11"/>
      <c r="B366" s="11"/>
    </row>
    <row r="367" spans="1:2" ht="14.4" x14ac:dyDescent="0.3">
      <c r="A367" s="11"/>
      <c r="B367" s="11"/>
    </row>
    <row r="368" spans="1:2" ht="14.4" x14ac:dyDescent="0.3">
      <c r="A368" s="11"/>
      <c r="B368" s="11"/>
    </row>
    <row r="369" spans="1:2" ht="14.4" x14ac:dyDescent="0.3">
      <c r="A369" s="11"/>
      <c r="B369" s="11"/>
    </row>
    <row r="370" spans="1:2" ht="14.4" x14ac:dyDescent="0.3">
      <c r="A370" s="11"/>
      <c r="B370" s="11"/>
    </row>
    <row r="371" spans="1:2" ht="14.4" x14ac:dyDescent="0.3">
      <c r="A371" s="11"/>
      <c r="B371" s="11"/>
    </row>
    <row r="372" spans="1:2" ht="14.4" x14ac:dyDescent="0.3">
      <c r="A372" s="11"/>
      <c r="B372" s="11"/>
    </row>
    <row r="373" spans="1:2" ht="14.4" x14ac:dyDescent="0.3">
      <c r="A373" s="11"/>
      <c r="B373" s="11"/>
    </row>
    <row r="374" spans="1:2" ht="14.4" x14ac:dyDescent="0.3">
      <c r="A374" s="11"/>
      <c r="B374" s="11"/>
    </row>
    <row r="375" spans="1:2" ht="14.4" x14ac:dyDescent="0.3">
      <c r="A375" s="11"/>
      <c r="B375" s="11"/>
    </row>
    <row r="376" spans="1:2" ht="14.4" x14ac:dyDescent="0.3">
      <c r="A376" s="11"/>
      <c r="B376" s="11"/>
    </row>
    <row r="377" spans="1:2" ht="14.4" x14ac:dyDescent="0.3">
      <c r="A377" s="11"/>
      <c r="B377" s="11"/>
    </row>
    <row r="378" spans="1:2" ht="14.4" x14ac:dyDescent="0.3">
      <c r="A378" s="11"/>
      <c r="B378" s="11"/>
    </row>
    <row r="379" spans="1:2" ht="14.4" x14ac:dyDescent="0.3">
      <c r="A379" s="11"/>
      <c r="B379" s="11"/>
    </row>
    <row r="380" spans="1:2" ht="14.4" x14ac:dyDescent="0.3">
      <c r="A380" s="11"/>
      <c r="B380" s="11"/>
    </row>
    <row r="381" spans="1:2" ht="14.4" x14ac:dyDescent="0.3">
      <c r="A381" s="11"/>
      <c r="B381" s="11"/>
    </row>
    <row r="382" spans="1:2" ht="14.4" x14ac:dyDescent="0.3">
      <c r="A382" s="11"/>
      <c r="B382" s="11"/>
    </row>
    <row r="383" spans="1:2" ht="14.4" x14ac:dyDescent="0.3">
      <c r="A383" s="11"/>
      <c r="B383" s="11"/>
    </row>
    <row r="384" spans="1:2" ht="14.4" x14ac:dyDescent="0.3">
      <c r="A384" s="11"/>
      <c r="B384" s="11"/>
    </row>
    <row r="385" spans="1:2" ht="14.4" x14ac:dyDescent="0.3">
      <c r="A385" s="11"/>
      <c r="B385" s="11"/>
    </row>
    <row r="386" spans="1:2" ht="14.4" x14ac:dyDescent="0.3">
      <c r="A386" s="11"/>
      <c r="B386" s="11"/>
    </row>
    <row r="387" spans="1:2" ht="14.4" x14ac:dyDescent="0.3">
      <c r="A387" s="11"/>
      <c r="B387" s="11"/>
    </row>
    <row r="388" spans="1:2" ht="14.4" x14ac:dyDescent="0.3">
      <c r="A388" s="11"/>
      <c r="B388" s="11"/>
    </row>
    <row r="389" spans="1:2" ht="14.4" x14ac:dyDescent="0.3">
      <c r="A389" s="11"/>
      <c r="B389" s="11"/>
    </row>
    <row r="390" spans="1:2" ht="14.4" x14ac:dyDescent="0.3">
      <c r="A390" s="11"/>
      <c r="B390" s="11"/>
    </row>
    <row r="391" spans="1:2" ht="14.4" x14ac:dyDescent="0.3">
      <c r="A391" s="11"/>
      <c r="B391" s="11"/>
    </row>
    <row r="392" spans="1:2" ht="14.4" x14ac:dyDescent="0.3">
      <c r="A392" s="11"/>
      <c r="B392" s="11"/>
    </row>
    <row r="393" spans="1:2" ht="14.4" x14ac:dyDescent="0.3">
      <c r="A393" s="11"/>
      <c r="B393" s="11"/>
    </row>
    <row r="394" spans="1:2" ht="14.4" x14ac:dyDescent="0.3">
      <c r="A394" s="11"/>
      <c r="B394" s="11"/>
    </row>
    <row r="395" spans="1:2" ht="14.4" x14ac:dyDescent="0.3">
      <c r="A395" s="11"/>
      <c r="B395" s="11"/>
    </row>
    <row r="396" spans="1:2" ht="14.4" x14ac:dyDescent="0.3">
      <c r="A396" s="11"/>
      <c r="B396" s="11"/>
    </row>
    <row r="397" spans="1:2" ht="14.4" x14ac:dyDescent="0.3">
      <c r="A397" s="11"/>
      <c r="B397" s="11"/>
    </row>
    <row r="398" spans="1:2" ht="14.4" x14ac:dyDescent="0.3">
      <c r="A398" s="11"/>
      <c r="B398" s="11"/>
    </row>
    <row r="399" spans="1:2" ht="14.4" x14ac:dyDescent="0.3">
      <c r="A399" s="11"/>
      <c r="B399" s="11"/>
    </row>
    <row r="400" spans="1:2" ht="14.4" x14ac:dyDescent="0.3">
      <c r="A400" s="11"/>
      <c r="B400" s="11"/>
    </row>
    <row r="401" spans="1:2" ht="14.4" x14ac:dyDescent="0.3">
      <c r="A401" s="11"/>
      <c r="B401" s="11"/>
    </row>
    <row r="402" spans="1:2" ht="14.4" x14ac:dyDescent="0.3">
      <c r="A402" s="11"/>
      <c r="B402" s="11"/>
    </row>
    <row r="403" spans="1:2" ht="14.4" x14ac:dyDescent="0.3">
      <c r="A403" s="11"/>
      <c r="B403" s="11"/>
    </row>
    <row r="404" spans="1:2" ht="14.4" x14ac:dyDescent="0.3">
      <c r="A404" s="11"/>
      <c r="B404" s="11"/>
    </row>
    <row r="405" spans="1:2" ht="14.4" x14ac:dyDescent="0.3">
      <c r="A405" s="11"/>
      <c r="B405" s="11"/>
    </row>
    <row r="406" spans="1:2" ht="14.4" x14ac:dyDescent="0.3">
      <c r="A406" s="11"/>
      <c r="B406" s="11"/>
    </row>
    <row r="407" spans="1:2" ht="14.4" x14ac:dyDescent="0.3">
      <c r="A407" s="11"/>
      <c r="B407" s="11"/>
    </row>
    <row r="408" spans="1:2" ht="14.4" x14ac:dyDescent="0.3">
      <c r="A408" s="11"/>
      <c r="B408" s="11"/>
    </row>
    <row r="409" spans="1:2" ht="14.4" x14ac:dyDescent="0.3">
      <c r="A409" s="11"/>
      <c r="B409" s="11"/>
    </row>
    <row r="410" spans="1:2" ht="14.4" x14ac:dyDescent="0.3">
      <c r="A410" s="11"/>
      <c r="B410" s="11"/>
    </row>
    <row r="411" spans="1:2" ht="14.4" x14ac:dyDescent="0.3">
      <c r="A411" s="11"/>
      <c r="B411" s="11"/>
    </row>
    <row r="412" spans="1:2" ht="14.4" x14ac:dyDescent="0.3">
      <c r="A412" s="11"/>
      <c r="B412" s="11"/>
    </row>
    <row r="413" spans="1:2" ht="14.4" x14ac:dyDescent="0.3">
      <c r="A413" s="11"/>
      <c r="B413" s="11"/>
    </row>
    <row r="414" spans="1:2" ht="14.4" x14ac:dyDescent="0.3">
      <c r="A414" s="11"/>
      <c r="B414" s="11"/>
    </row>
    <row r="415" spans="1:2" ht="14.4" x14ac:dyDescent="0.3">
      <c r="A415" s="11"/>
      <c r="B415" s="11"/>
    </row>
    <row r="416" spans="1:2" ht="14.4" x14ac:dyDescent="0.3">
      <c r="A416" s="11"/>
      <c r="B416" s="11"/>
    </row>
    <row r="417" spans="1:2" ht="14.4" x14ac:dyDescent="0.3">
      <c r="A417" s="11"/>
      <c r="B417" s="11"/>
    </row>
    <row r="418" spans="1:2" ht="14.4" x14ac:dyDescent="0.3">
      <c r="A418" s="11"/>
      <c r="B418" s="11"/>
    </row>
    <row r="419" spans="1:2" ht="14.4" x14ac:dyDescent="0.3">
      <c r="A419" s="11"/>
      <c r="B419" s="11"/>
    </row>
    <row r="420" spans="1:2" ht="14.4" x14ac:dyDescent="0.3">
      <c r="A420" s="11"/>
      <c r="B420" s="11"/>
    </row>
    <row r="421" spans="1:2" ht="14.4" x14ac:dyDescent="0.3">
      <c r="A421" s="11"/>
      <c r="B421" s="11"/>
    </row>
    <row r="422" spans="1:2" ht="14.4" x14ac:dyDescent="0.3">
      <c r="A422" s="11"/>
      <c r="B422" s="11"/>
    </row>
    <row r="423" spans="1:2" ht="14.4" x14ac:dyDescent="0.3">
      <c r="A423" s="11"/>
      <c r="B423" s="11"/>
    </row>
    <row r="424" spans="1:2" ht="14.4" x14ac:dyDescent="0.3">
      <c r="A424" s="11"/>
      <c r="B424" s="11"/>
    </row>
    <row r="425" spans="1:2" ht="14.4" x14ac:dyDescent="0.3">
      <c r="A425" s="11"/>
      <c r="B425" s="11"/>
    </row>
    <row r="426" spans="1:2" ht="14.4" x14ac:dyDescent="0.3">
      <c r="A426" s="11"/>
      <c r="B426" s="11"/>
    </row>
    <row r="427" spans="1:2" ht="14.4" x14ac:dyDescent="0.3">
      <c r="A427" s="11"/>
      <c r="B427" s="11"/>
    </row>
    <row r="428" spans="1:2" ht="14.4" x14ac:dyDescent="0.3">
      <c r="A428" s="11"/>
      <c r="B428" s="11"/>
    </row>
    <row r="429" spans="1:2" ht="14.4" x14ac:dyDescent="0.3">
      <c r="A429" s="11"/>
      <c r="B429" s="11"/>
    </row>
    <row r="430" spans="1:2" ht="14.4" x14ac:dyDescent="0.3">
      <c r="A430" s="11"/>
      <c r="B430" s="11"/>
    </row>
    <row r="431" spans="1:2" ht="14.4" x14ac:dyDescent="0.3">
      <c r="A431" s="11"/>
      <c r="B431" s="11"/>
    </row>
    <row r="432" spans="1:2" ht="14.4" x14ac:dyDescent="0.3">
      <c r="A432" s="11"/>
      <c r="B432" s="11"/>
    </row>
    <row r="433" spans="1:2" ht="14.4" x14ac:dyDescent="0.3">
      <c r="A433" s="11"/>
      <c r="B433" s="11"/>
    </row>
    <row r="434" spans="1:2" ht="14.4" x14ac:dyDescent="0.3">
      <c r="A434" s="11"/>
      <c r="B434" s="11"/>
    </row>
    <row r="435" spans="1:2" ht="14.4" x14ac:dyDescent="0.3">
      <c r="A435" s="11"/>
      <c r="B435" s="11"/>
    </row>
    <row r="436" spans="1:2" ht="14.4" x14ac:dyDescent="0.3">
      <c r="A436" s="11"/>
      <c r="B436" s="11"/>
    </row>
    <row r="437" spans="1:2" ht="14.4" x14ac:dyDescent="0.3">
      <c r="A437" s="11"/>
      <c r="B437" s="11"/>
    </row>
    <row r="438" spans="1:2" ht="14.4" x14ac:dyDescent="0.3">
      <c r="A438" s="11"/>
      <c r="B438" s="11"/>
    </row>
    <row r="439" spans="1:2" ht="14.4" x14ac:dyDescent="0.3">
      <c r="A439" s="11"/>
      <c r="B439" s="11"/>
    </row>
    <row r="440" spans="1:2" ht="14.4" x14ac:dyDescent="0.3">
      <c r="A440" s="11"/>
      <c r="B440" s="11"/>
    </row>
    <row r="441" spans="1:2" ht="14.4" x14ac:dyDescent="0.3">
      <c r="A441" s="11"/>
      <c r="B441" s="11"/>
    </row>
    <row r="442" spans="1:2" ht="14.4" x14ac:dyDescent="0.3">
      <c r="A442" s="11"/>
      <c r="B442" s="11"/>
    </row>
    <row r="443" spans="1:2" ht="14.4" x14ac:dyDescent="0.3">
      <c r="A443" s="11"/>
      <c r="B443" s="11"/>
    </row>
    <row r="444" spans="1:2" ht="14.4" x14ac:dyDescent="0.3">
      <c r="A444" s="11"/>
      <c r="B444" s="11"/>
    </row>
    <row r="445" spans="1:2" ht="14.4" x14ac:dyDescent="0.3">
      <c r="A445" s="11"/>
      <c r="B445" s="11"/>
    </row>
    <row r="446" spans="1:2" ht="14.4" x14ac:dyDescent="0.3">
      <c r="A446" s="11"/>
      <c r="B446" s="11"/>
    </row>
    <row r="447" spans="1:2" ht="14.4" x14ac:dyDescent="0.3">
      <c r="A447" s="11"/>
      <c r="B447" s="11"/>
    </row>
    <row r="448" spans="1:2" ht="14.4" x14ac:dyDescent="0.3">
      <c r="A448" s="11"/>
      <c r="B448" s="11"/>
    </row>
    <row r="449" spans="1:2" ht="14.4" x14ac:dyDescent="0.3">
      <c r="A449" s="11"/>
      <c r="B449" s="11"/>
    </row>
    <row r="450" spans="1:2" ht="14.4" x14ac:dyDescent="0.3">
      <c r="A450" s="11"/>
      <c r="B450" s="11"/>
    </row>
    <row r="451" spans="1:2" ht="14.4" x14ac:dyDescent="0.3">
      <c r="A451" s="11"/>
      <c r="B451" s="11"/>
    </row>
    <row r="452" spans="1:2" ht="14.4" x14ac:dyDescent="0.3">
      <c r="A452" s="11"/>
      <c r="B452" s="11"/>
    </row>
    <row r="453" spans="1:2" ht="14.4" x14ac:dyDescent="0.3">
      <c r="A453" s="11"/>
      <c r="B453" s="11"/>
    </row>
    <row r="454" spans="1:2" ht="14.4" x14ac:dyDescent="0.3">
      <c r="A454" s="11"/>
      <c r="B454" s="11"/>
    </row>
    <row r="455" spans="1:2" ht="14.4" x14ac:dyDescent="0.3">
      <c r="A455" s="11"/>
      <c r="B455" s="11"/>
    </row>
    <row r="456" spans="1:2" ht="14.4" x14ac:dyDescent="0.3">
      <c r="A456" s="11"/>
      <c r="B456" s="11"/>
    </row>
    <row r="457" spans="1:2" ht="14.4" x14ac:dyDescent="0.3">
      <c r="A457" s="11"/>
      <c r="B457" s="11"/>
    </row>
    <row r="458" spans="1:2" ht="14.4" x14ac:dyDescent="0.3">
      <c r="A458" s="11"/>
      <c r="B458" s="11"/>
    </row>
    <row r="459" spans="1:2" ht="14.4" x14ac:dyDescent="0.3">
      <c r="A459" s="11"/>
      <c r="B459" s="11"/>
    </row>
    <row r="460" spans="1:2" ht="14.4" x14ac:dyDescent="0.3">
      <c r="A460" s="11"/>
      <c r="B460" s="11"/>
    </row>
    <row r="461" spans="1:2" ht="14.4" x14ac:dyDescent="0.3">
      <c r="A461" s="11"/>
      <c r="B461" s="11"/>
    </row>
    <row r="462" spans="1:2" ht="14.4" x14ac:dyDescent="0.3">
      <c r="A462" s="11"/>
      <c r="B462" s="11"/>
    </row>
    <row r="463" spans="1:2" ht="14.4" x14ac:dyDescent="0.3">
      <c r="A463" s="11"/>
      <c r="B463" s="11"/>
    </row>
    <row r="464" spans="1:2" ht="14.4" x14ac:dyDescent="0.3">
      <c r="A464" s="11"/>
      <c r="B464" s="11"/>
    </row>
    <row r="465" spans="1:2" ht="14.4" x14ac:dyDescent="0.3">
      <c r="A465" s="11"/>
      <c r="B465" s="11"/>
    </row>
    <row r="466" spans="1:2" ht="14.4" x14ac:dyDescent="0.3">
      <c r="A466" s="11"/>
      <c r="B466" s="11"/>
    </row>
    <row r="467" spans="1:2" ht="14.4" x14ac:dyDescent="0.3">
      <c r="A467" s="11"/>
      <c r="B467" s="11"/>
    </row>
    <row r="468" spans="1:2" ht="14.4" x14ac:dyDescent="0.3">
      <c r="A468" s="11"/>
      <c r="B468" s="11"/>
    </row>
    <row r="469" spans="1:2" ht="14.4" x14ac:dyDescent="0.3">
      <c r="A469" s="11"/>
      <c r="B469" s="11"/>
    </row>
    <row r="470" spans="1:2" ht="14.4" x14ac:dyDescent="0.3">
      <c r="A470" s="11"/>
      <c r="B470" s="11"/>
    </row>
    <row r="471" spans="1:2" ht="14.4" x14ac:dyDescent="0.3">
      <c r="A471" s="11"/>
      <c r="B471" s="11"/>
    </row>
    <row r="472" spans="1:2" ht="14.4" x14ac:dyDescent="0.3">
      <c r="A472" s="11"/>
      <c r="B472" s="11"/>
    </row>
    <row r="473" spans="1:2" ht="14.4" x14ac:dyDescent="0.3">
      <c r="A473" s="11"/>
      <c r="B473" s="11"/>
    </row>
    <row r="474" spans="1:2" ht="14.4" x14ac:dyDescent="0.3">
      <c r="A474" s="11"/>
      <c r="B474" s="11"/>
    </row>
    <row r="475" spans="1:2" ht="14.4" x14ac:dyDescent="0.3">
      <c r="A475" s="11"/>
      <c r="B475" s="11"/>
    </row>
    <row r="476" spans="1:2" ht="14.4" x14ac:dyDescent="0.3">
      <c r="A476" s="11"/>
      <c r="B476" s="11"/>
    </row>
    <row r="477" spans="1:2" ht="14.4" x14ac:dyDescent="0.3">
      <c r="A477" s="11"/>
      <c r="B477" s="11"/>
    </row>
    <row r="478" spans="1:2" ht="14.4" x14ac:dyDescent="0.3">
      <c r="A478" s="11"/>
      <c r="B478" s="11"/>
    </row>
    <row r="479" spans="1:2" ht="14.4" x14ac:dyDescent="0.3">
      <c r="A479" s="11"/>
      <c r="B479" s="11"/>
    </row>
    <row r="480" spans="1:2" ht="14.4" x14ac:dyDescent="0.3">
      <c r="A480" s="11"/>
      <c r="B480" s="11"/>
    </row>
    <row r="481" spans="1:2" ht="14.4" x14ac:dyDescent="0.3">
      <c r="A481" s="11"/>
      <c r="B481" s="11"/>
    </row>
    <row r="482" spans="1:2" ht="14.4" x14ac:dyDescent="0.3">
      <c r="A482" s="11"/>
      <c r="B482" s="11"/>
    </row>
    <row r="483" spans="1:2" ht="14.4" x14ac:dyDescent="0.3">
      <c r="A483" s="11"/>
      <c r="B483" s="11"/>
    </row>
    <row r="484" spans="1:2" ht="14.4" x14ac:dyDescent="0.3">
      <c r="A484" s="11"/>
      <c r="B484" s="11"/>
    </row>
    <row r="485" spans="1:2" ht="14.4" x14ac:dyDescent="0.3">
      <c r="A485" s="11"/>
      <c r="B485" s="11"/>
    </row>
    <row r="486" spans="1:2" ht="14.4" x14ac:dyDescent="0.3">
      <c r="A486" s="11"/>
      <c r="B486" s="11"/>
    </row>
    <row r="487" spans="1:2" ht="14.4" x14ac:dyDescent="0.3">
      <c r="A487" s="11"/>
      <c r="B487" s="11"/>
    </row>
    <row r="488" spans="1:2" ht="14.4" x14ac:dyDescent="0.3">
      <c r="A488" s="11"/>
      <c r="B488" s="11"/>
    </row>
    <row r="489" spans="1:2" ht="14.4" x14ac:dyDescent="0.3">
      <c r="A489" s="11"/>
      <c r="B489" s="11"/>
    </row>
    <row r="490" spans="1:2" ht="14.4" x14ac:dyDescent="0.3">
      <c r="A490" s="11"/>
      <c r="B490" s="11"/>
    </row>
    <row r="491" spans="1:2" ht="14.4" x14ac:dyDescent="0.3">
      <c r="A491" s="11"/>
      <c r="B491" s="11"/>
    </row>
    <row r="492" spans="1:2" ht="14.4" x14ac:dyDescent="0.3">
      <c r="A492" s="11"/>
      <c r="B492" s="11"/>
    </row>
    <row r="493" spans="1:2" ht="14.4" x14ac:dyDescent="0.3">
      <c r="A493" s="11"/>
      <c r="B493" s="11"/>
    </row>
    <row r="494" spans="1:2" ht="14.4" x14ac:dyDescent="0.3">
      <c r="A494" s="11"/>
      <c r="B494" s="11"/>
    </row>
    <row r="495" spans="1:2" ht="14.4" x14ac:dyDescent="0.3">
      <c r="A495" s="11"/>
      <c r="B495" s="11"/>
    </row>
    <row r="496" spans="1:2" ht="14.4" x14ac:dyDescent="0.3">
      <c r="A496" s="11"/>
      <c r="B496" s="11"/>
    </row>
    <row r="497" spans="1:2" ht="14.4" x14ac:dyDescent="0.3">
      <c r="A497" s="11"/>
      <c r="B497" s="11"/>
    </row>
    <row r="498" spans="1:2" ht="14.4" x14ac:dyDescent="0.3">
      <c r="A498" s="11"/>
      <c r="B498" s="11"/>
    </row>
    <row r="499" spans="1:2" ht="14.4" x14ac:dyDescent="0.3">
      <c r="A499" s="11"/>
      <c r="B499" s="11"/>
    </row>
    <row r="500" spans="1:2" ht="14.4" x14ac:dyDescent="0.3">
      <c r="A500" s="11"/>
      <c r="B500" s="11"/>
    </row>
    <row r="501" spans="1:2" ht="14.4" x14ac:dyDescent="0.3">
      <c r="A501" s="11"/>
      <c r="B501" s="11"/>
    </row>
    <row r="502" spans="1:2" ht="14.4" x14ac:dyDescent="0.3">
      <c r="A502" s="11"/>
      <c r="B502" s="11"/>
    </row>
    <row r="503" spans="1:2" ht="14.4" x14ac:dyDescent="0.3">
      <c r="A503" s="11"/>
      <c r="B503" s="11"/>
    </row>
    <row r="504" spans="1:2" ht="14.4" x14ac:dyDescent="0.3">
      <c r="A504" s="11"/>
      <c r="B504" s="11"/>
    </row>
    <row r="505" spans="1:2" ht="14.4" x14ac:dyDescent="0.3">
      <c r="A505" s="11"/>
      <c r="B505" s="11"/>
    </row>
    <row r="506" spans="1:2" ht="14.4" x14ac:dyDescent="0.3">
      <c r="A506" s="11"/>
      <c r="B506" s="11"/>
    </row>
    <row r="507" spans="1:2" ht="14.4" x14ac:dyDescent="0.3">
      <c r="A507" s="11"/>
      <c r="B507" s="11"/>
    </row>
    <row r="508" spans="1:2" ht="14.4" x14ac:dyDescent="0.3">
      <c r="A508" s="11"/>
      <c r="B508" s="11"/>
    </row>
    <row r="509" spans="1:2" ht="14.4" x14ac:dyDescent="0.3">
      <c r="A509" s="11"/>
      <c r="B509" s="11"/>
    </row>
    <row r="510" spans="1:2" ht="14.4" x14ac:dyDescent="0.3">
      <c r="A510" s="11"/>
      <c r="B510" s="11"/>
    </row>
    <row r="511" spans="1:2" ht="14.4" x14ac:dyDescent="0.3">
      <c r="A511" s="11"/>
      <c r="B511" s="11"/>
    </row>
    <row r="512" spans="1:2" ht="14.4" x14ac:dyDescent="0.3">
      <c r="A512" s="11"/>
      <c r="B512" s="11"/>
    </row>
    <row r="513" spans="1:2" ht="14.4" x14ac:dyDescent="0.3">
      <c r="A513" s="11"/>
      <c r="B513" s="11"/>
    </row>
    <row r="514" spans="1:2" ht="14.4" x14ac:dyDescent="0.3">
      <c r="A514" s="11"/>
      <c r="B514" s="11"/>
    </row>
    <row r="515" spans="1:2" ht="14.4" x14ac:dyDescent="0.3">
      <c r="A515" s="11"/>
      <c r="B515" s="11"/>
    </row>
    <row r="516" spans="1:2" ht="14.4" x14ac:dyDescent="0.3">
      <c r="A516" s="11"/>
      <c r="B516" s="11"/>
    </row>
    <row r="517" spans="1:2" ht="14.4" x14ac:dyDescent="0.3">
      <c r="A517" s="11"/>
      <c r="B517" s="11"/>
    </row>
    <row r="518" spans="1:2" ht="14.4" x14ac:dyDescent="0.3">
      <c r="A518" s="11"/>
      <c r="B518" s="11"/>
    </row>
    <row r="519" spans="1:2" ht="14.4" x14ac:dyDescent="0.3">
      <c r="A519" s="11"/>
      <c r="B519" s="11"/>
    </row>
    <row r="520" spans="1:2" ht="14.4" x14ac:dyDescent="0.3">
      <c r="A520" s="11"/>
      <c r="B520" s="11"/>
    </row>
    <row r="521" spans="1:2" ht="14.4" x14ac:dyDescent="0.3">
      <c r="A521" s="11"/>
      <c r="B521" s="11"/>
    </row>
    <row r="522" spans="1:2" ht="14.4" x14ac:dyDescent="0.3">
      <c r="A522" s="11"/>
      <c r="B522" s="11"/>
    </row>
    <row r="523" spans="1:2" ht="14.4" x14ac:dyDescent="0.3">
      <c r="A523" s="11"/>
      <c r="B523" s="11"/>
    </row>
    <row r="524" spans="1:2" ht="14.4" x14ac:dyDescent="0.3">
      <c r="A524" s="11"/>
      <c r="B524" s="11"/>
    </row>
    <row r="525" spans="1:2" ht="14.4" x14ac:dyDescent="0.3">
      <c r="A525" s="11"/>
      <c r="B525" s="11"/>
    </row>
    <row r="526" spans="1:2" ht="14.4" x14ac:dyDescent="0.3">
      <c r="A526" s="11"/>
      <c r="B526" s="11"/>
    </row>
    <row r="527" spans="1:2" ht="14.4" x14ac:dyDescent="0.3">
      <c r="A527" s="11"/>
      <c r="B527" s="11"/>
    </row>
    <row r="528" spans="1:2" ht="14.4" x14ac:dyDescent="0.3">
      <c r="A528" s="11"/>
      <c r="B528" s="11"/>
    </row>
    <row r="529" spans="1:2" ht="14.4" x14ac:dyDescent="0.3">
      <c r="A529" s="11"/>
      <c r="B529" s="11"/>
    </row>
    <row r="530" spans="1:2" ht="14.4" x14ac:dyDescent="0.3">
      <c r="A530" s="11"/>
      <c r="B530" s="11"/>
    </row>
    <row r="531" spans="1:2" ht="14.4" x14ac:dyDescent="0.3">
      <c r="A531" s="11"/>
      <c r="B531" s="11"/>
    </row>
    <row r="532" spans="1:2" ht="14.4" x14ac:dyDescent="0.3">
      <c r="A532" s="11"/>
      <c r="B532" s="11"/>
    </row>
    <row r="533" spans="1:2" ht="14.4" x14ac:dyDescent="0.3">
      <c r="A533" s="11"/>
      <c r="B533" s="11"/>
    </row>
    <row r="534" spans="1:2" ht="14.4" x14ac:dyDescent="0.3">
      <c r="A534" s="11"/>
      <c r="B534" s="11"/>
    </row>
    <row r="535" spans="1:2" ht="14.4" x14ac:dyDescent="0.3">
      <c r="A535" s="11"/>
      <c r="B535" s="11"/>
    </row>
    <row r="536" spans="1:2" ht="14.4" x14ac:dyDescent="0.3">
      <c r="A536" s="11"/>
      <c r="B536" s="11"/>
    </row>
    <row r="537" spans="1:2" ht="14.4" x14ac:dyDescent="0.3">
      <c r="A537" s="11"/>
      <c r="B537" s="11"/>
    </row>
    <row r="538" spans="1:2" ht="14.4" x14ac:dyDescent="0.3">
      <c r="A538" s="11"/>
      <c r="B538" s="11"/>
    </row>
    <row r="539" spans="1:2" ht="14.4" x14ac:dyDescent="0.3">
      <c r="A539" s="11"/>
      <c r="B539" s="11"/>
    </row>
    <row r="540" spans="1:2" ht="14.4" x14ac:dyDescent="0.3">
      <c r="A540" s="11"/>
      <c r="B540" s="11"/>
    </row>
    <row r="541" spans="1:2" ht="14.4" x14ac:dyDescent="0.3">
      <c r="A541" s="11"/>
      <c r="B541" s="11"/>
    </row>
    <row r="542" spans="1:2" ht="14.4" x14ac:dyDescent="0.3">
      <c r="A542" s="11"/>
      <c r="B542" s="11"/>
    </row>
    <row r="543" spans="1:2" ht="14.4" x14ac:dyDescent="0.3">
      <c r="A543" s="11"/>
      <c r="B543" s="11"/>
    </row>
    <row r="544" spans="1:2" ht="14.4" x14ac:dyDescent="0.3">
      <c r="A544" s="11"/>
      <c r="B544" s="11"/>
    </row>
    <row r="545" spans="1:2" ht="14.4" x14ac:dyDescent="0.3">
      <c r="A545" s="11"/>
      <c r="B545" s="11"/>
    </row>
    <row r="546" spans="1:2" ht="14.4" x14ac:dyDescent="0.3">
      <c r="A546" s="11"/>
      <c r="B546" s="11"/>
    </row>
    <row r="547" spans="1:2" ht="14.4" x14ac:dyDescent="0.3">
      <c r="A547" s="11"/>
      <c r="B547" s="11"/>
    </row>
    <row r="548" spans="1:2" ht="14.4" x14ac:dyDescent="0.3">
      <c r="A548" s="11"/>
      <c r="B548" s="11"/>
    </row>
    <row r="549" spans="1:2" ht="14.4" x14ac:dyDescent="0.3">
      <c r="A549" s="11"/>
      <c r="B549" s="11"/>
    </row>
    <row r="550" spans="1:2" ht="14.4" x14ac:dyDescent="0.3">
      <c r="A550" s="11"/>
      <c r="B550" s="11"/>
    </row>
    <row r="551" spans="1:2" ht="14.4" x14ac:dyDescent="0.3">
      <c r="A551" s="11"/>
      <c r="B551" s="11"/>
    </row>
    <row r="552" spans="1:2" ht="14.4" x14ac:dyDescent="0.3">
      <c r="A552" s="11"/>
      <c r="B552" s="11"/>
    </row>
    <row r="553" spans="1:2" ht="14.4" x14ac:dyDescent="0.3">
      <c r="A553" s="11"/>
      <c r="B553" s="11"/>
    </row>
    <row r="554" spans="1:2" ht="14.4" x14ac:dyDescent="0.3">
      <c r="A554" s="11"/>
      <c r="B554" s="11"/>
    </row>
    <row r="555" spans="1:2" ht="14.4" x14ac:dyDescent="0.3">
      <c r="A555" s="11"/>
      <c r="B555" s="11"/>
    </row>
    <row r="556" spans="1:2" ht="14.4" x14ac:dyDescent="0.3">
      <c r="A556" s="11"/>
      <c r="B556" s="11"/>
    </row>
    <row r="557" spans="1:2" ht="14.4" x14ac:dyDescent="0.3">
      <c r="A557" s="11"/>
      <c r="B557" s="11"/>
    </row>
    <row r="558" spans="1:2" ht="14.4" x14ac:dyDescent="0.3">
      <c r="A558" s="11"/>
      <c r="B558" s="11"/>
    </row>
    <row r="559" spans="1:2" ht="14.4" x14ac:dyDescent="0.3">
      <c r="A559" s="11"/>
      <c r="B559" s="11"/>
    </row>
    <row r="560" spans="1:2" ht="14.4" x14ac:dyDescent="0.3">
      <c r="A560" s="11"/>
      <c r="B560" s="11"/>
    </row>
    <row r="561" spans="1:2" ht="14.4" x14ac:dyDescent="0.3">
      <c r="A561" s="11"/>
      <c r="B561" s="11"/>
    </row>
    <row r="562" spans="1:2" ht="14.4" x14ac:dyDescent="0.3">
      <c r="A562" s="11"/>
      <c r="B562" s="11"/>
    </row>
    <row r="563" spans="1:2" ht="14.4" x14ac:dyDescent="0.3">
      <c r="A563" s="11"/>
      <c r="B563" s="11"/>
    </row>
    <row r="564" spans="1:2" ht="14.4" x14ac:dyDescent="0.3">
      <c r="A564" s="11"/>
      <c r="B564" s="11"/>
    </row>
    <row r="565" spans="1:2" ht="14.4" x14ac:dyDescent="0.3">
      <c r="A565" s="11"/>
      <c r="B565" s="11"/>
    </row>
    <row r="566" spans="1:2" ht="14.4" x14ac:dyDescent="0.3">
      <c r="A566" s="11"/>
      <c r="B566" s="11"/>
    </row>
    <row r="567" spans="1:2" ht="14.4" x14ac:dyDescent="0.3">
      <c r="A567" s="11"/>
      <c r="B567" s="11"/>
    </row>
    <row r="568" spans="1:2" ht="14.4" x14ac:dyDescent="0.3">
      <c r="A568" s="11"/>
      <c r="B568" s="11"/>
    </row>
    <row r="569" spans="1:2" ht="14.4" x14ac:dyDescent="0.3">
      <c r="A569" s="11"/>
      <c r="B569" s="11"/>
    </row>
    <row r="570" spans="1:2" ht="14.4" x14ac:dyDescent="0.3">
      <c r="A570" s="11"/>
      <c r="B570" s="11"/>
    </row>
    <row r="571" spans="1:2" ht="14.4" x14ac:dyDescent="0.3">
      <c r="A571" s="11"/>
      <c r="B571" s="11"/>
    </row>
    <row r="572" spans="1:2" ht="14.4" x14ac:dyDescent="0.3">
      <c r="A572" s="11"/>
      <c r="B572" s="11"/>
    </row>
    <row r="573" spans="1:2" ht="14.4" x14ac:dyDescent="0.3">
      <c r="A573" s="11"/>
      <c r="B573" s="11"/>
    </row>
    <row r="574" spans="1:2" ht="14.4" x14ac:dyDescent="0.3">
      <c r="A574" s="11"/>
      <c r="B574" s="11"/>
    </row>
    <row r="575" spans="1:2" ht="14.4" x14ac:dyDescent="0.3">
      <c r="A575" s="11"/>
      <c r="B575" s="11"/>
    </row>
    <row r="576" spans="1:2" ht="14.4" x14ac:dyDescent="0.3">
      <c r="A576" s="11"/>
      <c r="B576" s="11"/>
    </row>
    <row r="577" spans="1:2" ht="14.4" x14ac:dyDescent="0.3">
      <c r="A577" s="11"/>
      <c r="B577" s="11"/>
    </row>
    <row r="578" spans="1:2" ht="14.4" x14ac:dyDescent="0.3">
      <c r="A578" s="11"/>
      <c r="B578" s="11"/>
    </row>
    <row r="579" spans="1:2" ht="14.4" x14ac:dyDescent="0.3">
      <c r="A579" s="11"/>
      <c r="B579" s="11"/>
    </row>
    <row r="580" spans="1:2" ht="14.4" x14ac:dyDescent="0.3">
      <c r="A580" s="11"/>
      <c r="B580" s="11"/>
    </row>
    <row r="581" spans="1:2" ht="14.4" x14ac:dyDescent="0.3">
      <c r="A581" s="11"/>
      <c r="B581" s="11"/>
    </row>
    <row r="582" spans="1:2" ht="14.4" x14ac:dyDescent="0.3">
      <c r="A582" s="11"/>
      <c r="B582" s="11"/>
    </row>
    <row r="583" spans="1:2" ht="14.4" x14ac:dyDescent="0.3">
      <c r="A583" s="11"/>
      <c r="B583" s="11"/>
    </row>
    <row r="584" spans="1:2" ht="14.4" x14ac:dyDescent="0.3">
      <c r="A584" s="11"/>
      <c r="B584" s="11"/>
    </row>
    <row r="585" spans="1:2" ht="14.4" x14ac:dyDescent="0.3">
      <c r="A585" s="11"/>
      <c r="B585" s="11"/>
    </row>
    <row r="586" spans="1:2" ht="14.4" x14ac:dyDescent="0.3">
      <c r="A586" s="11"/>
      <c r="B586" s="11"/>
    </row>
    <row r="587" spans="1:2" ht="14.4" x14ac:dyDescent="0.3">
      <c r="A587" s="11"/>
      <c r="B587" s="11"/>
    </row>
    <row r="588" spans="1:2" ht="14.4" x14ac:dyDescent="0.3">
      <c r="A588" s="11"/>
      <c r="B588" s="11"/>
    </row>
    <row r="589" spans="1:2" ht="14.4" x14ac:dyDescent="0.3">
      <c r="A589" s="11"/>
      <c r="B589" s="11"/>
    </row>
    <row r="590" spans="1:2" ht="14.4" x14ac:dyDescent="0.3">
      <c r="A590" s="11"/>
      <c r="B590" s="11"/>
    </row>
    <row r="591" spans="1:2" ht="14.4" x14ac:dyDescent="0.3">
      <c r="A591" s="11"/>
      <c r="B591" s="11"/>
    </row>
    <row r="592" spans="1:2" ht="14.4" x14ac:dyDescent="0.3">
      <c r="A592" s="11"/>
      <c r="B592" s="11"/>
    </row>
    <row r="593" spans="1:2" ht="14.4" x14ac:dyDescent="0.3">
      <c r="A593" s="11"/>
      <c r="B593" s="11"/>
    </row>
    <row r="594" spans="1:2" ht="14.4" x14ac:dyDescent="0.3">
      <c r="A594" s="11"/>
      <c r="B594" s="11"/>
    </row>
    <row r="595" spans="1:2" ht="14.4" x14ac:dyDescent="0.3">
      <c r="A595" s="11"/>
      <c r="B595" s="11"/>
    </row>
    <row r="596" spans="1:2" ht="14.4" x14ac:dyDescent="0.3">
      <c r="A596" s="11"/>
      <c r="B596" s="11"/>
    </row>
    <row r="597" spans="1:2" ht="14.4" x14ac:dyDescent="0.3">
      <c r="A597" s="11"/>
      <c r="B597" s="11"/>
    </row>
    <row r="598" spans="1:2" ht="14.4" x14ac:dyDescent="0.3">
      <c r="A598" s="11"/>
      <c r="B598" s="11"/>
    </row>
    <row r="599" spans="1:2" ht="14.4" x14ac:dyDescent="0.3">
      <c r="A599" s="11"/>
      <c r="B599" s="11"/>
    </row>
    <row r="600" spans="1:2" ht="14.4" x14ac:dyDescent="0.3">
      <c r="A600" s="11"/>
      <c r="B600" s="11"/>
    </row>
    <row r="601" spans="1:2" ht="14.4" x14ac:dyDescent="0.3">
      <c r="A601" s="11"/>
      <c r="B601" s="11"/>
    </row>
    <row r="602" spans="1:2" ht="14.4" x14ac:dyDescent="0.3">
      <c r="A602" s="11"/>
      <c r="B602" s="11"/>
    </row>
    <row r="603" spans="1:2" ht="14.4" x14ac:dyDescent="0.3">
      <c r="A603" s="11"/>
      <c r="B603" s="11"/>
    </row>
    <row r="604" spans="1:2" ht="14.4" x14ac:dyDescent="0.3">
      <c r="A604" s="11"/>
      <c r="B604" s="11"/>
    </row>
    <row r="605" spans="1:2" ht="14.4" x14ac:dyDescent="0.3">
      <c r="A605" s="11"/>
      <c r="B605" s="11"/>
    </row>
    <row r="606" spans="1:2" ht="14.4" x14ac:dyDescent="0.3">
      <c r="A606" s="11"/>
      <c r="B606" s="11"/>
    </row>
    <row r="607" spans="1:2" ht="14.4" x14ac:dyDescent="0.3">
      <c r="A607" s="11"/>
      <c r="B607" s="11"/>
    </row>
    <row r="608" spans="1:2" ht="14.4" x14ac:dyDescent="0.3">
      <c r="A608" s="11"/>
      <c r="B608" s="11"/>
    </row>
    <row r="609" spans="1:2" ht="14.4" x14ac:dyDescent="0.3">
      <c r="A609" s="11"/>
      <c r="B609" s="11"/>
    </row>
    <row r="610" spans="1:2" ht="14.4" x14ac:dyDescent="0.3">
      <c r="A610" s="11"/>
      <c r="B610" s="11"/>
    </row>
    <row r="611" spans="1:2" ht="14.4" x14ac:dyDescent="0.3">
      <c r="A611" s="11"/>
      <c r="B611" s="11"/>
    </row>
    <row r="612" spans="1:2" ht="14.4" x14ac:dyDescent="0.3">
      <c r="A612" s="11"/>
      <c r="B612" s="11"/>
    </row>
    <row r="613" spans="1:2" ht="14.4" x14ac:dyDescent="0.3">
      <c r="A613" s="11"/>
      <c r="B613" s="11"/>
    </row>
    <row r="614" spans="1:2" ht="14.4" x14ac:dyDescent="0.3">
      <c r="A614" s="11"/>
      <c r="B614" s="11"/>
    </row>
    <row r="615" spans="1:2" ht="14.4" x14ac:dyDescent="0.3">
      <c r="A615" s="11"/>
      <c r="B615" s="11"/>
    </row>
    <row r="616" spans="1:2" ht="14.4" x14ac:dyDescent="0.3">
      <c r="A616" s="11"/>
      <c r="B616" s="11"/>
    </row>
    <row r="617" spans="1:2" ht="14.4" x14ac:dyDescent="0.3">
      <c r="A617" s="11"/>
      <c r="B617" s="11"/>
    </row>
    <row r="618" spans="1:2" ht="14.4" x14ac:dyDescent="0.3">
      <c r="A618" s="11"/>
      <c r="B618" s="11"/>
    </row>
    <row r="619" spans="1:2" ht="14.4" x14ac:dyDescent="0.3">
      <c r="A619" s="11"/>
      <c r="B619" s="11"/>
    </row>
    <row r="620" spans="1:2" ht="14.4" x14ac:dyDescent="0.3">
      <c r="A620" s="11"/>
      <c r="B620" s="11"/>
    </row>
    <row r="621" spans="1:2" ht="14.4" x14ac:dyDescent="0.3">
      <c r="A621" s="11"/>
      <c r="B621" s="11"/>
    </row>
    <row r="622" spans="1:2" ht="14.4" x14ac:dyDescent="0.3">
      <c r="A622" s="11"/>
      <c r="B622" s="11"/>
    </row>
    <row r="623" spans="1:2" ht="14.4" x14ac:dyDescent="0.3">
      <c r="A623" s="11"/>
      <c r="B623" s="11"/>
    </row>
    <row r="624" spans="1:2" ht="14.4" x14ac:dyDescent="0.3">
      <c r="A624" s="11"/>
      <c r="B624" s="11"/>
    </row>
    <row r="625" spans="1:2" ht="14.4" x14ac:dyDescent="0.3">
      <c r="A625" s="11"/>
      <c r="B625" s="11"/>
    </row>
    <row r="626" spans="1:2" ht="14.4" x14ac:dyDescent="0.3">
      <c r="A626" s="11"/>
      <c r="B626" s="11"/>
    </row>
    <row r="627" spans="1:2" ht="14.4" x14ac:dyDescent="0.3">
      <c r="A627" s="11"/>
      <c r="B627" s="11"/>
    </row>
    <row r="628" spans="1:2" ht="14.4" x14ac:dyDescent="0.3">
      <c r="A628" s="11"/>
      <c r="B628" s="11"/>
    </row>
    <row r="629" spans="1:2" ht="14.4" x14ac:dyDescent="0.3">
      <c r="A629" s="11"/>
      <c r="B629" s="11"/>
    </row>
    <row r="630" spans="1:2" ht="14.4" x14ac:dyDescent="0.3">
      <c r="A630" s="11"/>
      <c r="B630" s="11"/>
    </row>
    <row r="631" spans="1:2" ht="14.4" x14ac:dyDescent="0.3">
      <c r="A631" s="11"/>
      <c r="B631" s="11"/>
    </row>
    <row r="632" spans="1:2" ht="14.4" x14ac:dyDescent="0.3">
      <c r="A632" s="11"/>
      <c r="B632" s="11"/>
    </row>
    <row r="633" spans="1:2" ht="14.4" x14ac:dyDescent="0.3">
      <c r="A633" s="11"/>
      <c r="B633" s="11"/>
    </row>
    <row r="634" spans="1:2" ht="14.4" x14ac:dyDescent="0.3">
      <c r="A634" s="11"/>
      <c r="B634" s="11"/>
    </row>
    <row r="635" spans="1:2" ht="14.4" x14ac:dyDescent="0.3">
      <c r="A635" s="11"/>
      <c r="B635" s="11"/>
    </row>
    <row r="636" spans="1:2" ht="14.4" x14ac:dyDescent="0.3">
      <c r="A636" s="11"/>
      <c r="B636" s="11"/>
    </row>
    <row r="637" spans="1:2" ht="14.4" x14ac:dyDescent="0.3">
      <c r="A637" s="11"/>
      <c r="B637" s="11"/>
    </row>
    <row r="638" spans="1:2" ht="14.4" x14ac:dyDescent="0.3">
      <c r="A638" s="11"/>
      <c r="B638" s="11"/>
    </row>
    <row r="639" spans="1:2" ht="14.4" x14ac:dyDescent="0.3">
      <c r="A639" s="11"/>
      <c r="B639" s="11"/>
    </row>
    <row r="640" spans="1:2" ht="14.4" x14ac:dyDescent="0.3">
      <c r="A640" s="11"/>
      <c r="B640" s="11"/>
    </row>
    <row r="641" spans="1:2" ht="14.4" x14ac:dyDescent="0.3">
      <c r="A641" s="11"/>
      <c r="B641" s="11"/>
    </row>
    <row r="642" spans="1:2" ht="14.4" x14ac:dyDescent="0.3">
      <c r="A642" s="11"/>
      <c r="B642" s="11"/>
    </row>
    <row r="643" spans="1:2" ht="14.4" x14ac:dyDescent="0.3">
      <c r="A643" s="11"/>
      <c r="B643" s="11"/>
    </row>
    <row r="644" spans="1:2" ht="14.4" x14ac:dyDescent="0.3">
      <c r="A644" s="11"/>
      <c r="B644" s="11"/>
    </row>
    <row r="645" spans="1:2" ht="14.4" x14ac:dyDescent="0.3">
      <c r="A645" s="11"/>
      <c r="B645" s="11"/>
    </row>
    <row r="646" spans="1:2" ht="14.4" x14ac:dyDescent="0.3">
      <c r="A646" s="11"/>
      <c r="B646" s="11"/>
    </row>
    <row r="647" spans="1:2" ht="14.4" x14ac:dyDescent="0.3">
      <c r="A647" s="11"/>
      <c r="B647" s="11"/>
    </row>
    <row r="648" spans="1:2" ht="14.4" x14ac:dyDescent="0.3">
      <c r="A648" s="11"/>
      <c r="B648" s="11"/>
    </row>
    <row r="649" spans="1:2" ht="14.4" x14ac:dyDescent="0.3">
      <c r="A649" s="11"/>
      <c r="B649" s="11"/>
    </row>
    <row r="650" spans="1:2" ht="14.4" x14ac:dyDescent="0.3">
      <c r="A650" s="11"/>
      <c r="B650" s="11"/>
    </row>
    <row r="651" spans="1:2" ht="14.4" x14ac:dyDescent="0.3">
      <c r="A651" s="11"/>
      <c r="B651" s="11"/>
    </row>
    <row r="652" spans="1:2" ht="14.4" x14ac:dyDescent="0.3">
      <c r="A652" s="11"/>
      <c r="B652" s="11"/>
    </row>
    <row r="653" spans="1:2" ht="14.4" x14ac:dyDescent="0.3">
      <c r="A653" s="11"/>
      <c r="B653" s="11"/>
    </row>
    <row r="654" spans="1:2" ht="14.4" x14ac:dyDescent="0.3">
      <c r="A654" s="11"/>
      <c r="B654" s="11"/>
    </row>
    <row r="655" spans="1:2" ht="14.4" x14ac:dyDescent="0.3">
      <c r="A655" s="11"/>
      <c r="B655" s="11"/>
    </row>
    <row r="656" spans="1:2" ht="14.4" x14ac:dyDescent="0.3">
      <c r="A656" s="11"/>
      <c r="B656" s="11"/>
    </row>
    <row r="657" spans="1:2" ht="14.4" x14ac:dyDescent="0.3">
      <c r="A657" s="11"/>
      <c r="B657" s="11"/>
    </row>
    <row r="658" spans="1:2" ht="14.4" x14ac:dyDescent="0.3">
      <c r="A658" s="11"/>
      <c r="B658" s="11"/>
    </row>
    <row r="659" spans="1:2" ht="14.4" x14ac:dyDescent="0.3">
      <c r="A659" s="11"/>
      <c r="B659" s="11"/>
    </row>
    <row r="660" spans="1:2" ht="14.4" x14ac:dyDescent="0.3">
      <c r="A660" s="11"/>
      <c r="B660" s="11"/>
    </row>
    <row r="661" spans="1:2" ht="14.4" x14ac:dyDescent="0.3">
      <c r="A661" s="11"/>
      <c r="B661" s="11"/>
    </row>
    <row r="662" spans="1:2" ht="14.4" x14ac:dyDescent="0.3">
      <c r="A662" s="11"/>
      <c r="B662" s="11"/>
    </row>
    <row r="663" spans="1:2" ht="14.4" x14ac:dyDescent="0.3">
      <c r="A663" s="11"/>
      <c r="B663" s="11"/>
    </row>
    <row r="664" spans="1:2" ht="14.4" x14ac:dyDescent="0.3">
      <c r="A664" s="11"/>
      <c r="B664" s="11"/>
    </row>
    <row r="665" spans="1:2" ht="14.4" x14ac:dyDescent="0.3">
      <c r="A665" s="11"/>
      <c r="B665" s="11"/>
    </row>
    <row r="666" spans="1:2" ht="14.4" x14ac:dyDescent="0.3">
      <c r="A666" s="11"/>
      <c r="B666" s="11"/>
    </row>
    <row r="667" spans="1:2" ht="14.4" x14ac:dyDescent="0.3">
      <c r="A667" s="11"/>
      <c r="B667" s="11"/>
    </row>
    <row r="668" spans="1:2" ht="14.4" x14ac:dyDescent="0.3">
      <c r="A668" s="11"/>
      <c r="B668" s="11"/>
    </row>
    <row r="669" spans="1:2" ht="14.4" x14ac:dyDescent="0.3">
      <c r="A669" s="11"/>
      <c r="B669" s="11"/>
    </row>
    <row r="670" spans="1:2" ht="14.4" x14ac:dyDescent="0.3">
      <c r="A670" s="11"/>
      <c r="B670" s="11"/>
    </row>
    <row r="671" spans="1:2" ht="14.4" x14ac:dyDescent="0.3">
      <c r="A671" s="11"/>
      <c r="B671" s="11"/>
    </row>
    <row r="672" spans="1:2" ht="14.4" x14ac:dyDescent="0.3">
      <c r="A672" s="11"/>
      <c r="B672" s="11"/>
    </row>
    <row r="673" spans="1:2" ht="14.4" x14ac:dyDescent="0.3">
      <c r="A673" s="11"/>
      <c r="B673" s="11"/>
    </row>
    <row r="674" spans="1:2" ht="14.4" x14ac:dyDescent="0.3">
      <c r="A674" s="11"/>
      <c r="B674" s="11"/>
    </row>
    <row r="675" spans="1:2" ht="14.4" x14ac:dyDescent="0.3">
      <c r="A675" s="11"/>
      <c r="B675" s="11"/>
    </row>
    <row r="676" spans="1:2" ht="14.4" x14ac:dyDescent="0.3">
      <c r="A676" s="11"/>
      <c r="B676" s="11"/>
    </row>
    <row r="677" spans="1:2" ht="14.4" x14ac:dyDescent="0.3">
      <c r="A677" s="11"/>
      <c r="B677" s="11"/>
    </row>
    <row r="678" spans="1:2" ht="14.4" x14ac:dyDescent="0.3">
      <c r="A678" s="11"/>
      <c r="B678" s="11"/>
    </row>
    <row r="679" spans="1:2" ht="14.4" x14ac:dyDescent="0.3">
      <c r="A679" s="11"/>
      <c r="B679" s="11"/>
    </row>
    <row r="680" spans="1:2" ht="14.4" x14ac:dyDescent="0.3">
      <c r="A680" s="11"/>
      <c r="B680" s="11"/>
    </row>
    <row r="681" spans="1:2" ht="14.4" x14ac:dyDescent="0.3">
      <c r="A681" s="11"/>
      <c r="B681" s="11"/>
    </row>
    <row r="682" spans="1:2" ht="14.4" x14ac:dyDescent="0.3">
      <c r="A682" s="11"/>
      <c r="B682" s="11"/>
    </row>
    <row r="683" spans="1:2" ht="14.4" x14ac:dyDescent="0.3">
      <c r="A683" s="11"/>
      <c r="B683" s="11"/>
    </row>
    <row r="684" spans="1:2" ht="14.4" x14ac:dyDescent="0.3">
      <c r="A684" s="11"/>
      <c r="B684" s="11"/>
    </row>
    <row r="685" spans="1:2" ht="14.4" x14ac:dyDescent="0.3">
      <c r="A685" s="11"/>
      <c r="B685" s="11"/>
    </row>
    <row r="686" spans="1:2" ht="14.4" x14ac:dyDescent="0.3">
      <c r="A686" s="11"/>
      <c r="B686" s="11"/>
    </row>
    <row r="687" spans="1:2" ht="14.4" x14ac:dyDescent="0.3">
      <c r="A687" s="11"/>
      <c r="B687" s="11"/>
    </row>
    <row r="688" spans="1:2" ht="14.4" x14ac:dyDescent="0.3">
      <c r="A688" s="11"/>
      <c r="B688" s="11"/>
    </row>
    <row r="689" spans="1:2" ht="14.4" x14ac:dyDescent="0.3">
      <c r="A689" s="11"/>
      <c r="B689" s="11"/>
    </row>
    <row r="690" spans="1:2" ht="14.4" x14ac:dyDescent="0.3">
      <c r="A690" s="11"/>
      <c r="B690" s="11"/>
    </row>
    <row r="691" spans="1:2" ht="14.4" x14ac:dyDescent="0.3">
      <c r="A691" s="11"/>
      <c r="B691" s="11"/>
    </row>
    <row r="692" spans="1:2" ht="14.4" x14ac:dyDescent="0.3">
      <c r="A692" s="11"/>
      <c r="B692" s="11"/>
    </row>
    <row r="693" spans="1:2" ht="14.4" x14ac:dyDescent="0.3">
      <c r="A693" s="11"/>
      <c r="B693" s="11"/>
    </row>
    <row r="694" spans="1:2" ht="14.4" x14ac:dyDescent="0.3">
      <c r="A694" s="11"/>
      <c r="B694" s="11"/>
    </row>
    <row r="695" spans="1:2" ht="14.4" x14ac:dyDescent="0.3">
      <c r="A695" s="11"/>
      <c r="B695" s="11"/>
    </row>
    <row r="696" spans="1:2" ht="14.4" x14ac:dyDescent="0.3">
      <c r="A696" s="11"/>
      <c r="B696" s="11"/>
    </row>
    <row r="697" spans="1:2" ht="14.4" x14ac:dyDescent="0.3">
      <c r="A697" s="11"/>
      <c r="B697" s="11"/>
    </row>
    <row r="698" spans="1:2" ht="14.4" x14ac:dyDescent="0.3">
      <c r="A698" s="11"/>
      <c r="B698" s="11"/>
    </row>
    <row r="699" spans="1:2" ht="14.4" x14ac:dyDescent="0.3">
      <c r="A699" s="11"/>
      <c r="B699" s="11"/>
    </row>
    <row r="700" spans="1:2" ht="14.4" x14ac:dyDescent="0.3">
      <c r="A700" s="11"/>
      <c r="B700" s="11"/>
    </row>
    <row r="701" spans="1:2" ht="14.4" x14ac:dyDescent="0.3">
      <c r="A701" s="11"/>
      <c r="B701" s="11"/>
    </row>
    <row r="702" spans="1:2" ht="14.4" x14ac:dyDescent="0.3">
      <c r="A702" s="11"/>
      <c r="B702" s="11"/>
    </row>
    <row r="703" spans="1:2" ht="14.4" x14ac:dyDescent="0.3">
      <c r="A703" s="11"/>
      <c r="B703" s="11"/>
    </row>
    <row r="704" spans="1:2" ht="14.4" x14ac:dyDescent="0.3">
      <c r="A704" s="11"/>
      <c r="B704" s="11"/>
    </row>
    <row r="705" spans="1:2" ht="14.4" x14ac:dyDescent="0.3">
      <c r="A705" s="11"/>
      <c r="B705" s="11"/>
    </row>
    <row r="706" spans="1:2" ht="14.4" x14ac:dyDescent="0.3">
      <c r="A706" s="11"/>
      <c r="B706" s="11"/>
    </row>
    <row r="707" spans="1:2" ht="14.4" x14ac:dyDescent="0.3">
      <c r="A707" s="11"/>
      <c r="B707" s="11"/>
    </row>
    <row r="708" spans="1:2" ht="14.4" x14ac:dyDescent="0.3">
      <c r="A708" s="11"/>
      <c r="B708" s="11"/>
    </row>
    <row r="709" spans="1:2" ht="14.4" x14ac:dyDescent="0.3">
      <c r="A709" s="11"/>
      <c r="B709" s="11"/>
    </row>
    <row r="710" spans="1:2" ht="14.4" x14ac:dyDescent="0.3">
      <c r="A710" s="11"/>
      <c r="B710" s="11"/>
    </row>
    <row r="711" spans="1:2" ht="14.4" x14ac:dyDescent="0.3">
      <c r="A711" s="11"/>
      <c r="B711" s="11"/>
    </row>
    <row r="712" spans="1:2" ht="14.4" x14ac:dyDescent="0.3">
      <c r="A712" s="11"/>
      <c r="B712" s="11"/>
    </row>
    <row r="713" spans="1:2" ht="14.4" x14ac:dyDescent="0.3">
      <c r="A713" s="11"/>
      <c r="B713" s="11"/>
    </row>
    <row r="714" spans="1:2" ht="14.4" x14ac:dyDescent="0.3">
      <c r="A714" s="11"/>
      <c r="B714" s="11"/>
    </row>
    <row r="715" spans="1:2" ht="14.4" x14ac:dyDescent="0.3">
      <c r="A715" s="11"/>
      <c r="B715" s="11"/>
    </row>
    <row r="716" spans="1:2" ht="14.4" x14ac:dyDescent="0.3">
      <c r="A716" s="11"/>
      <c r="B716" s="11"/>
    </row>
    <row r="717" spans="1:2" ht="14.4" x14ac:dyDescent="0.3">
      <c r="A717" s="11"/>
      <c r="B717" s="11"/>
    </row>
    <row r="718" spans="1:2" ht="14.4" x14ac:dyDescent="0.3">
      <c r="A718" s="11"/>
      <c r="B718" s="11"/>
    </row>
    <row r="719" spans="1:2" ht="14.4" x14ac:dyDescent="0.3">
      <c r="A719" s="11"/>
      <c r="B719" s="11"/>
    </row>
    <row r="720" spans="1:2" ht="14.4" x14ac:dyDescent="0.3">
      <c r="A720" s="11"/>
      <c r="B720" s="11"/>
    </row>
    <row r="721" spans="1:2" ht="14.4" x14ac:dyDescent="0.3">
      <c r="A721" s="11"/>
      <c r="B721" s="11"/>
    </row>
    <row r="722" spans="1:2" ht="14.4" x14ac:dyDescent="0.3">
      <c r="A722" s="11"/>
      <c r="B722" s="11"/>
    </row>
    <row r="723" spans="1:2" ht="14.4" x14ac:dyDescent="0.3">
      <c r="A723" s="11"/>
      <c r="B723" s="11"/>
    </row>
    <row r="724" spans="1:2" ht="14.4" x14ac:dyDescent="0.3">
      <c r="A724" s="11"/>
      <c r="B724" s="11"/>
    </row>
    <row r="725" spans="1:2" ht="14.4" x14ac:dyDescent="0.3">
      <c r="A725" s="11"/>
      <c r="B725" s="11"/>
    </row>
    <row r="726" spans="1:2" ht="14.4" x14ac:dyDescent="0.3">
      <c r="A726" s="11"/>
      <c r="B726" s="11"/>
    </row>
    <row r="727" spans="1:2" ht="14.4" x14ac:dyDescent="0.3">
      <c r="A727" s="11"/>
      <c r="B727" s="11"/>
    </row>
    <row r="728" spans="1:2" ht="14.4" x14ac:dyDescent="0.3">
      <c r="A728" s="11"/>
      <c r="B728" s="11"/>
    </row>
    <row r="729" spans="1:2" ht="14.4" x14ac:dyDescent="0.3">
      <c r="A729" s="11"/>
      <c r="B729" s="11"/>
    </row>
    <row r="730" spans="1:2" ht="14.4" x14ac:dyDescent="0.3">
      <c r="A730" s="11"/>
      <c r="B730" s="11"/>
    </row>
    <row r="731" spans="1:2" ht="14.4" x14ac:dyDescent="0.3">
      <c r="A731" s="11"/>
      <c r="B731" s="11"/>
    </row>
    <row r="732" spans="1:2" ht="14.4" x14ac:dyDescent="0.3">
      <c r="A732" s="11"/>
      <c r="B732" s="11"/>
    </row>
    <row r="733" spans="1:2" ht="14.4" x14ac:dyDescent="0.3">
      <c r="A733" s="11"/>
      <c r="B733" s="11"/>
    </row>
    <row r="734" spans="1:2" ht="14.4" x14ac:dyDescent="0.3">
      <c r="A734" s="11"/>
      <c r="B734" s="11"/>
    </row>
    <row r="735" spans="1:2" ht="14.4" x14ac:dyDescent="0.3">
      <c r="A735" s="11"/>
      <c r="B735" s="11"/>
    </row>
    <row r="736" spans="1:2" ht="14.4" x14ac:dyDescent="0.3">
      <c r="A736" s="11"/>
      <c r="B736" s="11"/>
    </row>
    <row r="737" spans="1:2" ht="14.4" x14ac:dyDescent="0.3">
      <c r="A737" s="11"/>
      <c r="B737" s="11"/>
    </row>
    <row r="738" spans="1:2" ht="14.4" x14ac:dyDescent="0.3">
      <c r="A738" s="11"/>
      <c r="B738" s="11"/>
    </row>
    <row r="739" spans="1:2" ht="14.4" x14ac:dyDescent="0.3">
      <c r="A739" s="11"/>
      <c r="B739" s="11"/>
    </row>
    <row r="740" spans="1:2" ht="14.4" x14ac:dyDescent="0.3">
      <c r="A740" s="11"/>
      <c r="B740" s="11"/>
    </row>
    <row r="741" spans="1:2" ht="14.4" x14ac:dyDescent="0.3">
      <c r="A741" s="11"/>
      <c r="B741" s="11"/>
    </row>
    <row r="742" spans="1:2" ht="14.4" x14ac:dyDescent="0.3">
      <c r="A742" s="11"/>
      <c r="B742" s="11"/>
    </row>
    <row r="743" spans="1:2" ht="14.4" x14ac:dyDescent="0.3">
      <c r="A743" s="11"/>
      <c r="B743" s="11"/>
    </row>
    <row r="744" spans="1:2" ht="14.4" x14ac:dyDescent="0.3">
      <c r="A744" s="11"/>
      <c r="B744" s="11"/>
    </row>
    <row r="745" spans="1:2" ht="14.4" x14ac:dyDescent="0.3">
      <c r="A745" s="11"/>
      <c r="B745" s="11"/>
    </row>
    <row r="746" spans="1:2" ht="14.4" x14ac:dyDescent="0.3">
      <c r="A746" s="11"/>
      <c r="B746" s="11"/>
    </row>
    <row r="747" spans="1:2" ht="14.4" x14ac:dyDescent="0.3">
      <c r="A747" s="11"/>
      <c r="B747" s="11"/>
    </row>
    <row r="748" spans="1:2" ht="14.4" x14ac:dyDescent="0.3">
      <c r="A748" s="11"/>
      <c r="B748" s="11"/>
    </row>
    <row r="749" spans="1:2" ht="14.4" x14ac:dyDescent="0.3">
      <c r="A749" s="11"/>
      <c r="B749" s="11"/>
    </row>
    <row r="750" spans="1:2" ht="14.4" x14ac:dyDescent="0.3">
      <c r="A750" s="11"/>
      <c r="B750" s="11"/>
    </row>
    <row r="751" spans="1:2" ht="14.4" x14ac:dyDescent="0.3">
      <c r="A751" s="11"/>
      <c r="B751" s="11"/>
    </row>
    <row r="752" spans="1:2" ht="14.4" x14ac:dyDescent="0.3">
      <c r="A752" s="11"/>
      <c r="B752" s="11"/>
    </row>
    <row r="753" spans="1:2" ht="14.4" x14ac:dyDescent="0.3">
      <c r="A753" s="11"/>
      <c r="B753" s="11"/>
    </row>
    <row r="754" spans="1:2" ht="14.4" x14ac:dyDescent="0.3">
      <c r="A754" s="11"/>
      <c r="B754" s="11"/>
    </row>
    <row r="755" spans="1:2" ht="14.4" x14ac:dyDescent="0.3">
      <c r="A755" s="11"/>
      <c r="B755" s="11"/>
    </row>
    <row r="756" spans="1:2" ht="14.4" x14ac:dyDescent="0.3">
      <c r="A756" s="11"/>
      <c r="B756" s="11"/>
    </row>
    <row r="757" spans="1:2" ht="14.4" x14ac:dyDescent="0.3">
      <c r="A757" s="11"/>
      <c r="B757" s="11"/>
    </row>
    <row r="758" spans="1:2" ht="14.4" x14ac:dyDescent="0.3">
      <c r="A758" s="11"/>
      <c r="B758" s="11"/>
    </row>
    <row r="759" spans="1:2" ht="14.4" x14ac:dyDescent="0.3">
      <c r="A759" s="11"/>
      <c r="B759" s="11"/>
    </row>
    <row r="760" spans="1:2" ht="14.4" x14ac:dyDescent="0.3">
      <c r="A760" s="11"/>
      <c r="B760" s="11"/>
    </row>
    <row r="761" spans="1:2" ht="14.4" x14ac:dyDescent="0.3">
      <c r="A761" s="11"/>
      <c r="B761" s="11"/>
    </row>
    <row r="762" spans="1:2" ht="14.4" x14ac:dyDescent="0.3">
      <c r="A762" s="11"/>
      <c r="B762" s="11"/>
    </row>
    <row r="763" spans="1:2" ht="14.4" x14ac:dyDescent="0.3">
      <c r="A763" s="11"/>
      <c r="B763" s="11"/>
    </row>
    <row r="764" spans="1:2" ht="14.4" x14ac:dyDescent="0.3">
      <c r="A764" s="11"/>
      <c r="B764" s="11"/>
    </row>
    <row r="765" spans="1:2" ht="14.4" x14ac:dyDescent="0.3">
      <c r="A765" s="11"/>
      <c r="B765" s="11"/>
    </row>
    <row r="766" spans="1:2" ht="14.4" x14ac:dyDescent="0.3">
      <c r="A766" s="11"/>
      <c r="B766" s="11"/>
    </row>
    <row r="767" spans="1:2" ht="14.4" x14ac:dyDescent="0.3">
      <c r="A767" s="11"/>
      <c r="B767" s="11"/>
    </row>
    <row r="768" spans="1:2" ht="14.4" x14ac:dyDescent="0.3">
      <c r="A768" s="11"/>
      <c r="B768" s="11"/>
    </row>
    <row r="769" spans="1:2" ht="14.4" x14ac:dyDescent="0.3">
      <c r="A769" s="11"/>
      <c r="B769" s="11"/>
    </row>
    <row r="770" spans="1:2" ht="14.4" x14ac:dyDescent="0.3">
      <c r="A770" s="11"/>
      <c r="B770" s="11"/>
    </row>
    <row r="771" spans="1:2" ht="14.4" x14ac:dyDescent="0.3">
      <c r="A771" s="11"/>
      <c r="B771" s="11"/>
    </row>
    <row r="772" spans="1:2" ht="14.4" x14ac:dyDescent="0.3">
      <c r="A772" s="11"/>
      <c r="B772" s="11"/>
    </row>
    <row r="773" spans="1:2" ht="14.4" x14ac:dyDescent="0.3">
      <c r="A773" s="11"/>
      <c r="B773" s="11"/>
    </row>
    <row r="774" spans="1:2" ht="14.4" x14ac:dyDescent="0.3">
      <c r="A774" s="11"/>
      <c r="B774" s="11"/>
    </row>
    <row r="775" spans="1:2" ht="14.4" x14ac:dyDescent="0.3">
      <c r="A775" s="11"/>
      <c r="B775" s="11"/>
    </row>
    <row r="776" spans="1:2" ht="14.4" x14ac:dyDescent="0.3">
      <c r="A776" s="11"/>
      <c r="B776" s="11"/>
    </row>
    <row r="777" spans="1:2" ht="14.4" x14ac:dyDescent="0.3">
      <c r="A777" s="11"/>
      <c r="B777" s="11"/>
    </row>
    <row r="778" spans="1:2" ht="14.4" x14ac:dyDescent="0.3">
      <c r="A778" s="11"/>
      <c r="B778" s="11"/>
    </row>
    <row r="779" spans="1:2" ht="14.4" x14ac:dyDescent="0.3">
      <c r="A779" s="11"/>
      <c r="B779" s="11"/>
    </row>
    <row r="780" spans="1:2" ht="14.4" x14ac:dyDescent="0.3">
      <c r="A780" s="11"/>
      <c r="B780" s="11"/>
    </row>
    <row r="781" spans="1:2" ht="14.4" x14ac:dyDescent="0.3">
      <c r="A781" s="11"/>
      <c r="B781" s="11"/>
    </row>
    <row r="782" spans="1:2" ht="14.4" x14ac:dyDescent="0.3">
      <c r="A782" s="11"/>
      <c r="B782" s="11"/>
    </row>
    <row r="783" spans="1:2" ht="14.4" x14ac:dyDescent="0.3">
      <c r="A783" s="11"/>
      <c r="B783" s="11"/>
    </row>
    <row r="784" spans="1:2" ht="14.4" x14ac:dyDescent="0.3">
      <c r="A784" s="11"/>
      <c r="B784" s="11"/>
    </row>
    <row r="785" spans="1:2" ht="14.4" x14ac:dyDescent="0.3">
      <c r="A785" s="11"/>
      <c r="B785" s="11"/>
    </row>
    <row r="786" spans="1:2" ht="14.4" x14ac:dyDescent="0.3">
      <c r="A786" s="11"/>
      <c r="B786" s="11"/>
    </row>
    <row r="787" spans="1:2" ht="14.4" x14ac:dyDescent="0.3">
      <c r="A787" s="11"/>
      <c r="B787" s="11"/>
    </row>
    <row r="788" spans="1:2" ht="14.4" x14ac:dyDescent="0.3">
      <c r="A788" s="11"/>
      <c r="B788" s="11"/>
    </row>
    <row r="789" spans="1:2" ht="14.4" x14ac:dyDescent="0.3">
      <c r="A789" s="11"/>
      <c r="B789" s="11"/>
    </row>
    <row r="790" spans="1:2" ht="14.4" x14ac:dyDescent="0.3">
      <c r="A790" s="11"/>
      <c r="B790" s="11"/>
    </row>
    <row r="791" spans="1:2" ht="14.4" x14ac:dyDescent="0.3">
      <c r="A791" s="11"/>
      <c r="B791" s="11"/>
    </row>
    <row r="792" spans="1:2" ht="14.4" x14ac:dyDescent="0.3">
      <c r="A792" s="11"/>
      <c r="B792" s="11"/>
    </row>
    <row r="793" spans="1:2" ht="14.4" x14ac:dyDescent="0.3">
      <c r="A793" s="11"/>
      <c r="B793" s="11"/>
    </row>
    <row r="794" spans="1:2" ht="14.4" x14ac:dyDescent="0.3">
      <c r="A794" s="11"/>
      <c r="B794" s="11"/>
    </row>
    <row r="795" spans="1:2" ht="14.4" x14ac:dyDescent="0.3">
      <c r="A795" s="11"/>
      <c r="B795" s="11"/>
    </row>
    <row r="796" spans="1:2" ht="14.4" x14ac:dyDescent="0.3">
      <c r="A796" s="11"/>
      <c r="B796" s="11"/>
    </row>
    <row r="797" spans="1:2" ht="14.4" x14ac:dyDescent="0.3">
      <c r="A797" s="11"/>
      <c r="B797" s="11"/>
    </row>
    <row r="798" spans="1:2" ht="14.4" x14ac:dyDescent="0.3">
      <c r="A798" s="11"/>
      <c r="B798" s="11"/>
    </row>
    <row r="799" spans="1:2" ht="14.4" x14ac:dyDescent="0.3">
      <c r="A799" s="11"/>
      <c r="B799" s="11"/>
    </row>
    <row r="800" spans="1:2" ht="14.4" x14ac:dyDescent="0.3">
      <c r="A800" s="11"/>
      <c r="B800" s="11"/>
    </row>
    <row r="801" spans="1:2" ht="14.4" x14ac:dyDescent="0.3">
      <c r="A801" s="11"/>
      <c r="B801" s="11"/>
    </row>
    <row r="802" spans="1:2" ht="14.4" x14ac:dyDescent="0.3">
      <c r="A802" s="11"/>
      <c r="B802" s="11"/>
    </row>
    <row r="803" spans="1:2" ht="14.4" x14ac:dyDescent="0.3">
      <c r="A803" s="11"/>
      <c r="B803" s="11"/>
    </row>
    <row r="804" spans="1:2" ht="14.4" x14ac:dyDescent="0.3">
      <c r="A804" s="11"/>
      <c r="B804" s="11"/>
    </row>
    <row r="805" spans="1:2" ht="14.4" x14ac:dyDescent="0.3">
      <c r="A805" s="11"/>
      <c r="B805" s="11"/>
    </row>
    <row r="806" spans="1:2" ht="14.4" x14ac:dyDescent="0.3">
      <c r="A806" s="11"/>
      <c r="B806" s="11"/>
    </row>
    <row r="807" spans="1:2" ht="14.4" x14ac:dyDescent="0.3">
      <c r="A807" s="11"/>
      <c r="B807" s="11"/>
    </row>
    <row r="808" spans="1:2" ht="14.4" x14ac:dyDescent="0.3">
      <c r="A808" s="11"/>
      <c r="B808" s="11"/>
    </row>
    <row r="809" spans="1:2" ht="14.4" x14ac:dyDescent="0.3">
      <c r="A809" s="11"/>
      <c r="B809" s="11"/>
    </row>
    <row r="810" spans="1:2" ht="14.4" x14ac:dyDescent="0.3">
      <c r="A810" s="11"/>
      <c r="B810" s="11"/>
    </row>
    <row r="811" spans="1:2" ht="14.4" x14ac:dyDescent="0.3">
      <c r="A811" s="11"/>
      <c r="B811" s="11"/>
    </row>
    <row r="812" spans="1:2" ht="14.4" x14ac:dyDescent="0.3">
      <c r="A812" s="11"/>
      <c r="B812" s="11"/>
    </row>
    <row r="813" spans="1:2" ht="14.4" x14ac:dyDescent="0.3">
      <c r="A813" s="11"/>
      <c r="B813" s="11"/>
    </row>
    <row r="814" spans="1:2" ht="14.4" x14ac:dyDescent="0.3">
      <c r="A814" s="11"/>
      <c r="B814" s="11"/>
    </row>
    <row r="815" spans="1:2" ht="14.4" x14ac:dyDescent="0.3">
      <c r="A815" s="11"/>
      <c r="B815" s="11"/>
    </row>
    <row r="816" spans="1:2" ht="14.4" x14ac:dyDescent="0.3">
      <c r="A816" s="11"/>
      <c r="B816" s="11"/>
    </row>
    <row r="817" spans="1:2" ht="14.4" x14ac:dyDescent="0.3">
      <c r="A817" s="11"/>
      <c r="B817" s="11"/>
    </row>
    <row r="818" spans="1:2" ht="14.4" x14ac:dyDescent="0.3">
      <c r="A818" s="11"/>
      <c r="B818" s="11"/>
    </row>
    <row r="819" spans="1:2" ht="14.4" x14ac:dyDescent="0.3">
      <c r="A819" s="11"/>
      <c r="B819" s="11"/>
    </row>
    <row r="820" spans="1:2" ht="14.4" x14ac:dyDescent="0.3">
      <c r="A820" s="11"/>
      <c r="B820" s="11"/>
    </row>
    <row r="821" spans="1:2" ht="14.4" x14ac:dyDescent="0.3">
      <c r="A821" s="11"/>
      <c r="B821" s="11"/>
    </row>
    <row r="822" spans="1:2" ht="14.4" x14ac:dyDescent="0.3">
      <c r="A822" s="11"/>
      <c r="B822" s="11"/>
    </row>
    <row r="823" spans="1:2" ht="14.4" x14ac:dyDescent="0.3">
      <c r="A823" s="11"/>
      <c r="B823" s="11"/>
    </row>
    <row r="824" spans="1:2" ht="14.4" x14ac:dyDescent="0.3">
      <c r="A824" s="11"/>
      <c r="B824" s="11"/>
    </row>
    <row r="825" spans="1:2" ht="14.4" x14ac:dyDescent="0.3">
      <c r="A825" s="11"/>
      <c r="B825" s="11"/>
    </row>
    <row r="826" spans="1:2" ht="14.4" x14ac:dyDescent="0.3">
      <c r="A826" s="11"/>
      <c r="B826" s="11"/>
    </row>
    <row r="827" spans="1:2" ht="14.4" x14ac:dyDescent="0.3">
      <c r="A827" s="11"/>
      <c r="B827" s="11"/>
    </row>
    <row r="828" spans="1:2" ht="14.4" x14ac:dyDescent="0.3">
      <c r="A828" s="11"/>
      <c r="B828" s="11"/>
    </row>
    <row r="829" spans="1:2" ht="14.4" x14ac:dyDescent="0.3">
      <c r="A829" s="11"/>
      <c r="B829" s="11"/>
    </row>
    <row r="830" spans="1:2" ht="14.4" x14ac:dyDescent="0.3">
      <c r="A830" s="11"/>
      <c r="B830" s="11"/>
    </row>
    <row r="831" spans="1:2" ht="14.4" x14ac:dyDescent="0.3">
      <c r="A831" s="11"/>
      <c r="B831" s="11"/>
    </row>
    <row r="832" spans="1:2" ht="14.4" x14ac:dyDescent="0.3">
      <c r="A832" s="11"/>
      <c r="B832" s="11"/>
    </row>
    <row r="833" spans="1:2" ht="14.4" x14ac:dyDescent="0.3">
      <c r="A833" s="11"/>
      <c r="B833" s="11"/>
    </row>
    <row r="834" spans="1:2" ht="14.4" x14ac:dyDescent="0.3">
      <c r="A834" s="11"/>
      <c r="B834" s="11"/>
    </row>
    <row r="835" spans="1:2" ht="14.4" x14ac:dyDescent="0.3">
      <c r="A835" s="11"/>
      <c r="B835" s="11"/>
    </row>
    <row r="836" spans="1:2" ht="14.4" x14ac:dyDescent="0.3">
      <c r="A836" s="11"/>
      <c r="B836" s="11"/>
    </row>
    <row r="837" spans="1:2" ht="14.4" x14ac:dyDescent="0.3">
      <c r="A837" s="11"/>
      <c r="B837" s="11"/>
    </row>
    <row r="838" spans="1:2" ht="14.4" x14ac:dyDescent="0.3">
      <c r="A838" s="11"/>
      <c r="B838" s="11"/>
    </row>
    <row r="839" spans="1:2" ht="14.4" x14ac:dyDescent="0.3">
      <c r="A839" s="11"/>
      <c r="B839" s="11"/>
    </row>
    <row r="840" spans="1:2" ht="14.4" x14ac:dyDescent="0.3">
      <c r="A840" s="11"/>
      <c r="B840" s="11"/>
    </row>
    <row r="841" spans="1:2" ht="14.4" x14ac:dyDescent="0.3">
      <c r="A841" s="11"/>
      <c r="B841" s="11"/>
    </row>
    <row r="842" spans="1:2" ht="14.4" x14ac:dyDescent="0.3">
      <c r="A842" s="11"/>
      <c r="B842" s="11"/>
    </row>
    <row r="843" spans="1:2" ht="14.4" x14ac:dyDescent="0.3">
      <c r="A843" s="11"/>
      <c r="B843" s="11"/>
    </row>
    <row r="844" spans="1:2" ht="14.4" x14ac:dyDescent="0.3">
      <c r="A844" s="11"/>
      <c r="B844" s="11"/>
    </row>
    <row r="845" spans="1:2" ht="14.4" x14ac:dyDescent="0.3">
      <c r="A845" s="11"/>
      <c r="B845" s="11"/>
    </row>
    <row r="846" spans="1:2" ht="14.4" x14ac:dyDescent="0.3">
      <c r="A846" s="11"/>
      <c r="B846" s="11"/>
    </row>
    <row r="847" spans="1:2" ht="14.4" x14ac:dyDescent="0.3">
      <c r="A847" s="11"/>
      <c r="B847" s="11"/>
    </row>
    <row r="848" spans="1:2" ht="14.4" x14ac:dyDescent="0.3">
      <c r="A848" s="11"/>
      <c r="B848" s="11"/>
    </row>
    <row r="849" spans="1:2" ht="14.4" x14ac:dyDescent="0.3">
      <c r="A849" s="11"/>
      <c r="B849" s="11"/>
    </row>
    <row r="850" spans="1:2" ht="14.4" x14ac:dyDescent="0.3">
      <c r="A850" s="11"/>
      <c r="B850" s="11"/>
    </row>
    <row r="851" spans="1:2" ht="14.4" x14ac:dyDescent="0.3">
      <c r="A851" s="11"/>
      <c r="B851" s="11"/>
    </row>
    <row r="852" spans="1:2" ht="14.4" x14ac:dyDescent="0.3">
      <c r="A852" s="11"/>
      <c r="B852" s="11"/>
    </row>
    <row r="853" spans="1:2" ht="14.4" x14ac:dyDescent="0.3">
      <c r="A853" s="11"/>
      <c r="B853" s="11"/>
    </row>
    <row r="854" spans="1:2" ht="14.4" x14ac:dyDescent="0.3">
      <c r="A854" s="11"/>
      <c r="B854" s="11"/>
    </row>
    <row r="855" spans="1:2" ht="14.4" x14ac:dyDescent="0.3">
      <c r="A855" s="11"/>
      <c r="B855" s="11"/>
    </row>
    <row r="856" spans="1:2" ht="14.4" x14ac:dyDescent="0.3">
      <c r="A856" s="11"/>
      <c r="B856" s="11"/>
    </row>
    <row r="857" spans="1:2" ht="14.4" x14ac:dyDescent="0.3">
      <c r="A857" s="11"/>
      <c r="B857" s="11"/>
    </row>
    <row r="858" spans="1:2" ht="14.4" x14ac:dyDescent="0.3">
      <c r="A858" s="11"/>
      <c r="B858" s="11"/>
    </row>
    <row r="859" spans="1:2" ht="14.4" x14ac:dyDescent="0.3">
      <c r="A859" s="11"/>
      <c r="B859" s="11"/>
    </row>
    <row r="860" spans="1:2" ht="14.4" x14ac:dyDescent="0.3">
      <c r="A860" s="11"/>
      <c r="B860" s="11"/>
    </row>
    <row r="861" spans="1:2" ht="14.4" x14ac:dyDescent="0.3">
      <c r="A861" s="11"/>
      <c r="B861" s="11"/>
    </row>
    <row r="862" spans="1:2" ht="14.4" x14ac:dyDescent="0.3">
      <c r="A862" s="11"/>
      <c r="B862" s="11"/>
    </row>
    <row r="863" spans="1:2" ht="14.4" x14ac:dyDescent="0.3">
      <c r="A863" s="11"/>
      <c r="B863" s="11"/>
    </row>
    <row r="864" spans="1:2" ht="14.4" x14ac:dyDescent="0.3">
      <c r="A864" s="11"/>
      <c r="B864" s="11"/>
    </row>
    <row r="865" spans="1:2" ht="14.4" x14ac:dyDescent="0.3">
      <c r="A865" s="11"/>
      <c r="B865" s="11"/>
    </row>
    <row r="866" spans="1:2" ht="14.4" x14ac:dyDescent="0.3">
      <c r="A866" s="11"/>
      <c r="B866" s="11"/>
    </row>
    <row r="867" spans="1:2" ht="14.4" x14ac:dyDescent="0.3">
      <c r="A867" s="11"/>
      <c r="B867" s="11"/>
    </row>
    <row r="868" spans="1:2" ht="14.4" x14ac:dyDescent="0.3">
      <c r="A868" s="11"/>
      <c r="B868" s="11"/>
    </row>
    <row r="869" spans="1:2" ht="14.4" x14ac:dyDescent="0.3">
      <c r="A869" s="11"/>
      <c r="B869" s="11"/>
    </row>
    <row r="870" spans="1:2" ht="14.4" x14ac:dyDescent="0.3">
      <c r="A870" s="11"/>
      <c r="B870" s="11"/>
    </row>
    <row r="871" spans="1:2" ht="14.4" x14ac:dyDescent="0.3">
      <c r="A871" s="11"/>
      <c r="B871" s="11"/>
    </row>
    <row r="872" spans="1:2" ht="14.4" x14ac:dyDescent="0.3">
      <c r="A872" s="11"/>
      <c r="B872" s="11"/>
    </row>
    <row r="873" spans="1:2" ht="14.4" x14ac:dyDescent="0.3">
      <c r="A873" s="11"/>
      <c r="B873" s="11"/>
    </row>
    <row r="874" spans="1:2" ht="14.4" x14ac:dyDescent="0.3">
      <c r="A874" s="11"/>
      <c r="B874" s="11"/>
    </row>
    <row r="875" spans="1:2" ht="14.4" x14ac:dyDescent="0.3">
      <c r="A875" s="11"/>
      <c r="B875" s="11"/>
    </row>
    <row r="876" spans="1:2" ht="14.4" x14ac:dyDescent="0.3">
      <c r="A876" s="11"/>
      <c r="B876" s="11"/>
    </row>
    <row r="877" spans="1:2" ht="14.4" x14ac:dyDescent="0.3">
      <c r="A877" s="11"/>
      <c r="B877" s="11"/>
    </row>
    <row r="878" spans="1:2" ht="14.4" x14ac:dyDescent="0.3">
      <c r="A878" s="11"/>
      <c r="B878" s="11"/>
    </row>
    <row r="879" spans="1:2" ht="14.4" x14ac:dyDescent="0.3">
      <c r="A879" s="11"/>
      <c r="B879" s="11"/>
    </row>
    <row r="880" spans="1:2" ht="14.4" x14ac:dyDescent="0.3">
      <c r="A880" s="11"/>
      <c r="B880" s="11"/>
    </row>
    <row r="881" spans="1:2" ht="14.4" x14ac:dyDescent="0.3">
      <c r="A881" s="11"/>
      <c r="B881" s="11"/>
    </row>
    <row r="882" spans="1:2" ht="14.4" x14ac:dyDescent="0.3">
      <c r="A882" s="11"/>
      <c r="B882" s="11"/>
    </row>
    <row r="883" spans="1:2" ht="14.4" x14ac:dyDescent="0.3">
      <c r="A883" s="11"/>
      <c r="B883" s="11"/>
    </row>
    <row r="884" spans="1:2" ht="14.4" x14ac:dyDescent="0.3">
      <c r="A884" s="11"/>
      <c r="B884" s="11"/>
    </row>
    <row r="885" spans="1:2" ht="14.4" x14ac:dyDescent="0.3">
      <c r="A885" s="11"/>
      <c r="B885" s="11"/>
    </row>
    <row r="886" spans="1:2" ht="14.4" x14ac:dyDescent="0.3">
      <c r="A886" s="11"/>
      <c r="B886" s="11"/>
    </row>
    <row r="887" spans="1:2" ht="14.4" x14ac:dyDescent="0.3">
      <c r="A887" s="11"/>
      <c r="B887" s="11"/>
    </row>
    <row r="888" spans="1:2" ht="14.4" x14ac:dyDescent="0.3">
      <c r="A888" s="11"/>
      <c r="B888" s="11"/>
    </row>
    <row r="889" spans="1:2" ht="14.4" x14ac:dyDescent="0.3">
      <c r="A889" s="11"/>
      <c r="B889" s="11"/>
    </row>
    <row r="890" spans="1:2" ht="14.4" x14ac:dyDescent="0.3">
      <c r="A890" s="11"/>
      <c r="B890" s="11"/>
    </row>
    <row r="891" spans="1:2" ht="14.4" x14ac:dyDescent="0.3">
      <c r="A891" s="11"/>
      <c r="B891" s="11"/>
    </row>
    <row r="892" spans="1:2" ht="14.4" x14ac:dyDescent="0.3">
      <c r="A892" s="11"/>
      <c r="B892" s="11"/>
    </row>
    <row r="893" spans="1:2" ht="14.4" x14ac:dyDescent="0.3">
      <c r="A893" s="11"/>
      <c r="B893" s="11"/>
    </row>
    <row r="894" spans="1:2" ht="14.4" x14ac:dyDescent="0.3">
      <c r="A894" s="11"/>
      <c r="B894" s="11"/>
    </row>
    <row r="895" spans="1:2" ht="14.4" x14ac:dyDescent="0.3">
      <c r="A895" s="11"/>
      <c r="B895" s="11"/>
    </row>
    <row r="896" spans="1:2" ht="14.4" x14ac:dyDescent="0.3">
      <c r="A896" s="11"/>
      <c r="B896" s="11"/>
    </row>
    <row r="897" spans="1:2" ht="14.4" x14ac:dyDescent="0.3">
      <c r="A897" s="11"/>
      <c r="B897" s="11"/>
    </row>
    <row r="898" spans="1:2" ht="14.4" x14ac:dyDescent="0.3">
      <c r="A898" s="11"/>
      <c r="B898" s="11"/>
    </row>
    <row r="899" spans="1:2" ht="14.4" x14ac:dyDescent="0.3">
      <c r="A899" s="11"/>
      <c r="B899" s="11"/>
    </row>
    <row r="900" spans="1:2" ht="14.4" x14ac:dyDescent="0.3">
      <c r="A900" s="11"/>
      <c r="B900" s="11"/>
    </row>
    <row r="901" spans="1:2" ht="14.4" x14ac:dyDescent="0.3">
      <c r="A901" s="11"/>
      <c r="B901" s="11"/>
    </row>
    <row r="902" spans="1:2" ht="14.4" x14ac:dyDescent="0.3">
      <c r="A902" s="11"/>
      <c r="B902" s="11"/>
    </row>
    <row r="903" spans="1:2" ht="14.4" x14ac:dyDescent="0.3">
      <c r="A903" s="11"/>
      <c r="B903" s="11"/>
    </row>
    <row r="904" spans="1:2" ht="14.4" x14ac:dyDescent="0.3">
      <c r="A904" s="11"/>
      <c r="B904" s="11"/>
    </row>
    <row r="905" spans="1:2" ht="14.4" x14ac:dyDescent="0.3">
      <c r="A905" s="11"/>
      <c r="B905" s="11"/>
    </row>
    <row r="906" spans="1:2" ht="14.4" x14ac:dyDescent="0.3">
      <c r="A906" s="11"/>
      <c r="B906" s="11"/>
    </row>
    <row r="907" spans="1:2" ht="14.4" x14ac:dyDescent="0.3">
      <c r="A907" s="11"/>
      <c r="B907" s="11"/>
    </row>
    <row r="908" spans="1:2" ht="14.4" x14ac:dyDescent="0.3">
      <c r="A908" s="11"/>
      <c r="B908" s="11"/>
    </row>
    <row r="909" spans="1:2" ht="14.4" x14ac:dyDescent="0.3">
      <c r="A909" s="11"/>
      <c r="B909" s="11"/>
    </row>
    <row r="910" spans="1:2" ht="14.4" x14ac:dyDescent="0.3">
      <c r="A910" s="11"/>
      <c r="B910" s="11"/>
    </row>
    <row r="911" spans="1:2" ht="14.4" x14ac:dyDescent="0.3">
      <c r="A911" s="11"/>
      <c r="B911" s="11"/>
    </row>
    <row r="912" spans="1:2" ht="14.4" x14ac:dyDescent="0.3">
      <c r="A912" s="11"/>
      <c r="B912" s="11"/>
    </row>
    <row r="913" spans="1:2" ht="14.4" x14ac:dyDescent="0.3">
      <c r="A913" s="11"/>
      <c r="B913" s="11"/>
    </row>
    <row r="914" spans="1:2" ht="14.4" x14ac:dyDescent="0.3">
      <c r="A914" s="11"/>
      <c r="B914" s="11"/>
    </row>
    <row r="915" spans="1:2" ht="14.4" x14ac:dyDescent="0.3">
      <c r="A915" s="11"/>
      <c r="B915" s="11"/>
    </row>
    <row r="916" spans="1:2" ht="14.4" x14ac:dyDescent="0.3">
      <c r="A916" s="11"/>
      <c r="B916" s="11"/>
    </row>
    <row r="917" spans="1:2" ht="14.4" x14ac:dyDescent="0.3">
      <c r="A917" s="11"/>
      <c r="B917" s="11"/>
    </row>
    <row r="918" spans="1:2" ht="14.4" x14ac:dyDescent="0.3">
      <c r="A918" s="11"/>
      <c r="B918" s="11"/>
    </row>
    <row r="919" spans="1:2" ht="14.4" x14ac:dyDescent="0.3">
      <c r="A919" s="11"/>
      <c r="B919" s="11"/>
    </row>
    <row r="920" spans="1:2" ht="14.4" x14ac:dyDescent="0.3">
      <c r="A920" s="11"/>
      <c r="B920" s="11"/>
    </row>
    <row r="921" spans="1:2" ht="14.4" x14ac:dyDescent="0.3">
      <c r="A921" s="11"/>
      <c r="B921" s="11"/>
    </row>
    <row r="922" spans="1:2" ht="14.4" x14ac:dyDescent="0.3">
      <c r="A922" s="11"/>
      <c r="B922" s="11"/>
    </row>
    <row r="923" spans="1:2" ht="14.4" x14ac:dyDescent="0.3">
      <c r="A923" s="11"/>
      <c r="B923" s="11"/>
    </row>
    <row r="924" spans="1:2" ht="14.4" x14ac:dyDescent="0.3">
      <c r="A924" s="11"/>
      <c r="B924" s="11"/>
    </row>
    <row r="925" spans="1:2" ht="14.4" x14ac:dyDescent="0.3">
      <c r="A925" s="11"/>
      <c r="B925" s="11"/>
    </row>
    <row r="926" spans="1:2" ht="14.4" x14ac:dyDescent="0.3">
      <c r="A926" s="11"/>
      <c r="B926" s="11"/>
    </row>
    <row r="927" spans="1:2" ht="14.4" x14ac:dyDescent="0.3">
      <c r="A927" s="11"/>
      <c r="B927" s="11"/>
    </row>
    <row r="928" spans="1:2" ht="14.4" x14ac:dyDescent="0.3">
      <c r="A928" s="11"/>
      <c r="B928" s="11"/>
    </row>
    <row r="929" spans="1:2" ht="14.4" x14ac:dyDescent="0.3">
      <c r="A929" s="11"/>
      <c r="B929" s="11"/>
    </row>
    <row r="930" spans="1:2" ht="14.4" x14ac:dyDescent="0.3">
      <c r="A930" s="11"/>
      <c r="B930" s="11"/>
    </row>
    <row r="931" spans="1:2" ht="14.4" x14ac:dyDescent="0.3">
      <c r="A931" s="11"/>
      <c r="B931" s="11"/>
    </row>
    <row r="932" spans="1:2" ht="14.4" x14ac:dyDescent="0.3">
      <c r="A932" s="11"/>
      <c r="B932" s="11"/>
    </row>
    <row r="933" spans="1:2" ht="14.4" x14ac:dyDescent="0.3">
      <c r="A933" s="11"/>
      <c r="B933" s="11"/>
    </row>
    <row r="934" spans="1:2" ht="14.4" x14ac:dyDescent="0.3">
      <c r="A934" s="11"/>
      <c r="B934" s="11"/>
    </row>
    <row r="935" spans="1:2" ht="14.4" x14ac:dyDescent="0.3">
      <c r="A935" s="11"/>
      <c r="B935" s="11"/>
    </row>
    <row r="936" spans="1:2" ht="14.4" x14ac:dyDescent="0.3">
      <c r="A936" s="11"/>
      <c r="B936" s="11"/>
    </row>
    <row r="937" spans="1:2" ht="14.4" x14ac:dyDescent="0.3">
      <c r="A937" s="11"/>
      <c r="B937" s="11"/>
    </row>
    <row r="938" spans="1:2" ht="14.4" x14ac:dyDescent="0.3">
      <c r="A938" s="11"/>
      <c r="B938" s="11"/>
    </row>
    <row r="939" spans="1:2" ht="14.4" x14ac:dyDescent="0.3">
      <c r="A939" s="11"/>
      <c r="B939" s="11"/>
    </row>
    <row r="940" spans="1:2" ht="14.4" x14ac:dyDescent="0.3">
      <c r="A940" s="11"/>
      <c r="B940" s="11"/>
    </row>
    <row r="941" spans="1:2" ht="14.4" x14ac:dyDescent="0.3">
      <c r="A941" s="11"/>
      <c r="B941" s="11"/>
    </row>
    <row r="942" spans="1:2" ht="14.4" x14ac:dyDescent="0.3">
      <c r="A942" s="11"/>
      <c r="B942" s="11"/>
    </row>
    <row r="943" spans="1:2" ht="14.4" x14ac:dyDescent="0.3">
      <c r="A943" s="11"/>
      <c r="B943" s="11"/>
    </row>
    <row r="944" spans="1:2" ht="14.4" x14ac:dyDescent="0.3">
      <c r="A944" s="11"/>
      <c r="B944" s="11"/>
    </row>
    <row r="945" spans="1:2" ht="14.4" x14ac:dyDescent="0.3">
      <c r="A945" s="11"/>
      <c r="B945" s="11"/>
    </row>
    <row r="946" spans="1:2" ht="14.4" x14ac:dyDescent="0.3">
      <c r="A946" s="11"/>
      <c r="B946" s="11"/>
    </row>
    <row r="947" spans="1:2" ht="14.4" x14ac:dyDescent="0.3">
      <c r="A947" s="11"/>
      <c r="B947" s="11"/>
    </row>
    <row r="948" spans="1:2" ht="14.4" x14ac:dyDescent="0.3">
      <c r="A948" s="11"/>
      <c r="B948" s="11"/>
    </row>
    <row r="949" spans="1:2" ht="14.4" x14ac:dyDescent="0.3">
      <c r="A949" s="11"/>
      <c r="B949" s="11"/>
    </row>
    <row r="950" spans="1:2" ht="14.4" x14ac:dyDescent="0.3">
      <c r="A950" s="11"/>
      <c r="B950" s="11"/>
    </row>
    <row r="951" spans="1:2" ht="14.4" x14ac:dyDescent="0.3">
      <c r="A951" s="11"/>
      <c r="B951" s="11"/>
    </row>
    <row r="952" spans="1:2" ht="14.4" x14ac:dyDescent="0.3">
      <c r="A952" s="11"/>
      <c r="B952" s="11"/>
    </row>
    <row r="953" spans="1:2" ht="14.4" x14ac:dyDescent="0.3">
      <c r="A953" s="11"/>
      <c r="B953" s="11"/>
    </row>
    <row r="954" spans="1:2" ht="14.4" x14ac:dyDescent="0.3">
      <c r="A954" s="11"/>
      <c r="B954" s="11"/>
    </row>
    <row r="955" spans="1:2" ht="14.4" x14ac:dyDescent="0.3">
      <c r="A955" s="11"/>
      <c r="B955" s="11"/>
    </row>
    <row r="956" spans="1:2" ht="14.4" x14ac:dyDescent="0.3">
      <c r="A956" s="11"/>
      <c r="B956" s="11"/>
    </row>
    <row r="957" spans="1:2" ht="14.4" x14ac:dyDescent="0.3">
      <c r="A957" s="11"/>
      <c r="B957" s="11"/>
    </row>
    <row r="958" spans="1:2" ht="14.4" x14ac:dyDescent="0.3">
      <c r="A958" s="11"/>
      <c r="B958" s="11"/>
    </row>
    <row r="959" spans="1:2" ht="14.4" x14ac:dyDescent="0.3">
      <c r="A959" s="11"/>
      <c r="B959" s="11"/>
    </row>
    <row r="960" spans="1:2" ht="14.4" x14ac:dyDescent="0.3">
      <c r="A960" s="11"/>
      <c r="B960" s="11"/>
    </row>
    <row r="961" spans="1:2" ht="14.4" x14ac:dyDescent="0.3">
      <c r="A961" s="11"/>
      <c r="B961" s="11"/>
    </row>
    <row r="962" spans="1:2" ht="14.4" x14ac:dyDescent="0.3">
      <c r="A962" s="11"/>
      <c r="B962" s="11"/>
    </row>
    <row r="963" spans="1:2" ht="14.4" x14ac:dyDescent="0.3">
      <c r="A963" s="11"/>
      <c r="B963" s="11"/>
    </row>
    <row r="964" spans="1:2" ht="14.4" x14ac:dyDescent="0.3">
      <c r="A964" s="11"/>
      <c r="B964" s="11"/>
    </row>
    <row r="965" spans="1:2" ht="14.4" x14ac:dyDescent="0.3">
      <c r="A965" s="11"/>
      <c r="B965" s="11"/>
    </row>
    <row r="966" spans="1:2" ht="14.4" x14ac:dyDescent="0.3">
      <c r="A966" s="11"/>
      <c r="B966" s="11"/>
    </row>
    <row r="967" spans="1:2" ht="14.4" x14ac:dyDescent="0.3">
      <c r="A967" s="11"/>
      <c r="B967" s="11"/>
    </row>
    <row r="968" spans="1:2" ht="14.4" x14ac:dyDescent="0.3">
      <c r="A968" s="11"/>
      <c r="B968" s="11"/>
    </row>
    <row r="969" spans="1:2" ht="14.4" x14ac:dyDescent="0.3">
      <c r="A969" s="11"/>
      <c r="B969" s="11"/>
    </row>
    <row r="970" spans="1:2" ht="14.4" x14ac:dyDescent="0.3">
      <c r="A970" s="11"/>
      <c r="B970" s="11"/>
    </row>
    <row r="971" spans="1:2" ht="14.4" x14ac:dyDescent="0.3">
      <c r="A971" s="11"/>
      <c r="B971" s="11"/>
    </row>
    <row r="972" spans="1:2" ht="14.4" x14ac:dyDescent="0.3">
      <c r="A972" s="11"/>
      <c r="B972" s="11"/>
    </row>
    <row r="973" spans="1:2" ht="14.4" x14ac:dyDescent="0.3">
      <c r="A973" s="11"/>
      <c r="B973" s="11"/>
    </row>
    <row r="974" spans="1:2" ht="14.4" x14ac:dyDescent="0.3">
      <c r="A974" s="11"/>
      <c r="B974" s="11"/>
    </row>
    <row r="975" spans="1:2" ht="14.4" x14ac:dyDescent="0.3">
      <c r="A975" s="11"/>
      <c r="B975" s="11"/>
    </row>
    <row r="976" spans="1:2" ht="14.4" x14ac:dyDescent="0.3">
      <c r="A976" s="11"/>
      <c r="B976" s="11"/>
    </row>
    <row r="977" spans="1:2" ht="14.4" x14ac:dyDescent="0.3">
      <c r="A977" s="11"/>
      <c r="B977" s="11"/>
    </row>
    <row r="978" spans="1:2" ht="14.4" x14ac:dyDescent="0.3">
      <c r="A978" s="11"/>
      <c r="B978" s="11"/>
    </row>
    <row r="979" spans="1:2" ht="14.4" x14ac:dyDescent="0.3">
      <c r="A979" s="11"/>
      <c r="B979" s="11"/>
    </row>
    <row r="980" spans="1:2" ht="14.4" x14ac:dyDescent="0.3">
      <c r="A980" s="11"/>
      <c r="B980" s="11"/>
    </row>
    <row r="981" spans="1:2" ht="14.4" x14ac:dyDescent="0.3">
      <c r="A981" s="11"/>
      <c r="B981" s="11"/>
    </row>
    <row r="982" spans="1:2" ht="14.4" x14ac:dyDescent="0.3">
      <c r="A982" s="11"/>
      <c r="B982" s="11"/>
    </row>
    <row r="983" spans="1:2" ht="14.4" x14ac:dyDescent="0.3">
      <c r="A983" s="11"/>
      <c r="B983" s="11"/>
    </row>
    <row r="984" spans="1:2" ht="14.4" x14ac:dyDescent="0.3">
      <c r="A984" s="11"/>
      <c r="B984" s="11"/>
    </row>
    <row r="985" spans="1:2" ht="14.4" x14ac:dyDescent="0.3">
      <c r="A985" s="11"/>
      <c r="B985" s="11"/>
    </row>
    <row r="986" spans="1:2" ht="14.4" x14ac:dyDescent="0.3">
      <c r="A986" s="11"/>
      <c r="B986" s="11"/>
    </row>
    <row r="987" spans="1:2" ht="14.4" x14ac:dyDescent="0.3">
      <c r="A987" s="11"/>
      <c r="B987" s="11"/>
    </row>
    <row r="988" spans="1:2" ht="14.4" x14ac:dyDescent="0.3">
      <c r="A988" s="11"/>
      <c r="B988" s="11"/>
    </row>
    <row r="989" spans="1:2" ht="14.4" x14ac:dyDescent="0.3">
      <c r="A989" s="11"/>
      <c r="B989" s="11"/>
    </row>
    <row r="990" spans="1:2" ht="14.4" x14ac:dyDescent="0.3">
      <c r="A990" s="11"/>
      <c r="B990" s="11"/>
    </row>
    <row r="991" spans="1:2" ht="14.4" x14ac:dyDescent="0.3">
      <c r="A991" s="11"/>
      <c r="B991" s="11"/>
    </row>
    <row r="992" spans="1:2" ht="14.4" x14ac:dyDescent="0.3">
      <c r="A992" s="11"/>
      <c r="B992" s="11"/>
    </row>
    <row r="993" spans="1:2" ht="14.4" x14ac:dyDescent="0.3">
      <c r="A993" s="11"/>
      <c r="B993" s="11"/>
    </row>
    <row r="994" spans="1:2" ht="14.4" x14ac:dyDescent="0.3">
      <c r="A994" s="11"/>
      <c r="B994" s="11"/>
    </row>
    <row r="995" spans="1:2" ht="14.4" x14ac:dyDescent="0.3">
      <c r="A995" s="11"/>
      <c r="B995" s="11"/>
    </row>
    <row r="996" spans="1:2" ht="14.4" x14ac:dyDescent="0.3">
      <c r="A996" s="11"/>
      <c r="B996" s="11"/>
    </row>
    <row r="997" spans="1:2" ht="14.4" x14ac:dyDescent="0.3">
      <c r="A997" s="11"/>
      <c r="B997" s="11"/>
    </row>
    <row r="998" spans="1:2" ht="14.4" x14ac:dyDescent="0.3">
      <c r="A998" s="11"/>
      <c r="B998" s="11"/>
    </row>
    <row r="999" spans="1:2" ht="14.4" x14ac:dyDescent="0.3">
      <c r="A999" s="11"/>
      <c r="B999" s="11"/>
    </row>
    <row r="1000" spans="1:2" ht="14.4" x14ac:dyDescent="0.3">
      <c r="A1000" s="11"/>
      <c r="B100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  <outlinePr summaryBelow="0" summaryRight="0"/>
  </sheetPr>
  <dimension ref="A1:X12"/>
  <sheetViews>
    <sheetView workbookViewId="0">
      <selection activeCell="E1" sqref="E1:F1048576"/>
    </sheetView>
  </sheetViews>
  <sheetFormatPr baseColWidth="10" defaultColWidth="12.6640625" defaultRowHeight="15.75" customHeight="1" x14ac:dyDescent="0.25"/>
  <sheetData>
    <row r="1" spans="1:24" x14ac:dyDescent="0.25">
      <c r="A1" s="2" t="s">
        <v>0</v>
      </c>
      <c r="B1" s="2" t="s">
        <v>8</v>
      </c>
      <c r="C1" s="2" t="s">
        <v>4</v>
      </c>
      <c r="D1" s="2" t="s">
        <v>7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x14ac:dyDescent="0.25">
      <c r="A2" s="7">
        <v>1</v>
      </c>
      <c r="B2" s="7" t="s">
        <v>10</v>
      </c>
      <c r="C2" s="10">
        <v>44.565812181672769</v>
      </c>
      <c r="D2" s="10">
        <v>46.657445827570307</v>
      </c>
    </row>
    <row r="3" spans="1:24" x14ac:dyDescent="0.25">
      <c r="A3" s="7">
        <v>2</v>
      </c>
      <c r="B3" s="7" t="s">
        <v>12</v>
      </c>
      <c r="C3" s="10">
        <v>46.84322079256674</v>
      </c>
      <c r="D3" s="10">
        <v>46.384865015908503</v>
      </c>
    </row>
    <row r="4" spans="1:24" x14ac:dyDescent="0.25">
      <c r="A4" s="7">
        <v>3</v>
      </c>
      <c r="B4" s="7" t="s">
        <v>14</v>
      </c>
      <c r="C4" s="10">
        <v>46.548693708298494</v>
      </c>
      <c r="D4" s="10">
        <v>47.801562624571474</v>
      </c>
    </row>
    <row r="5" spans="1:24" x14ac:dyDescent="0.25">
      <c r="A5" s="7">
        <v>4</v>
      </c>
      <c r="B5" s="7" t="s">
        <v>16</v>
      </c>
      <c r="C5" s="10">
        <v>42.507534659433396</v>
      </c>
      <c r="D5" s="10">
        <v>40.896739130434781</v>
      </c>
    </row>
    <row r="6" spans="1:24" x14ac:dyDescent="0.25">
      <c r="A6" s="7">
        <v>5</v>
      </c>
      <c r="B6" s="7" t="s">
        <v>18</v>
      </c>
      <c r="C6" s="10">
        <v>42.005095159598383</v>
      </c>
      <c r="D6" s="10">
        <v>40.380533656761678</v>
      </c>
    </row>
    <row r="7" spans="1:24" x14ac:dyDescent="0.25">
      <c r="A7" s="7">
        <v>6</v>
      </c>
      <c r="B7" s="7" t="s">
        <v>20</v>
      </c>
      <c r="C7" s="10">
        <v>48.445727529631817</v>
      </c>
      <c r="D7" s="10">
        <v>49.537228899019205</v>
      </c>
    </row>
    <row r="8" spans="1:24" x14ac:dyDescent="0.25">
      <c r="A8" s="7">
        <v>7</v>
      </c>
      <c r="B8" s="7" t="s">
        <v>22</v>
      </c>
      <c r="C8" s="10">
        <v>41.625750136388433</v>
      </c>
      <c r="D8" s="10">
        <v>39.163747810858148</v>
      </c>
    </row>
    <row r="9" spans="1:24" x14ac:dyDescent="0.25">
      <c r="A9" s="7">
        <v>8</v>
      </c>
      <c r="B9" s="7" t="s">
        <v>24</v>
      </c>
      <c r="C9" s="10">
        <v>34.870745769016182</v>
      </c>
      <c r="D9" s="10">
        <v>42.273730684326708</v>
      </c>
    </row>
    <row r="10" spans="1:24" x14ac:dyDescent="0.25">
      <c r="A10" s="7">
        <v>9</v>
      </c>
      <c r="B10" s="7" t="s">
        <v>26</v>
      </c>
      <c r="C10" s="10">
        <v>42.599742599742605</v>
      </c>
      <c r="D10" s="10">
        <v>28.571428571428569</v>
      </c>
    </row>
    <row r="11" spans="1:24" x14ac:dyDescent="0.25">
      <c r="A11" s="7">
        <v>10</v>
      </c>
      <c r="B11" s="7" t="s">
        <v>28</v>
      </c>
      <c r="C11" s="10">
        <v>41.400560224089631</v>
      </c>
      <c r="D11" s="10">
        <v>44.475138121546962</v>
      </c>
    </row>
    <row r="12" spans="1:24" x14ac:dyDescent="0.25">
      <c r="A12" s="7">
        <v>11</v>
      </c>
      <c r="B12" s="7" t="s">
        <v>30</v>
      </c>
      <c r="C12" s="10">
        <v>45.384114111939759</v>
      </c>
      <c r="D12" s="10">
        <v>46.234536909768806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  <outlinePr summaryBelow="0" summaryRight="0"/>
  </sheetPr>
  <dimension ref="A1:Z12"/>
  <sheetViews>
    <sheetView workbookViewId="0">
      <selection activeCell="G22" sqref="G22"/>
    </sheetView>
  </sheetViews>
  <sheetFormatPr baseColWidth="10" defaultColWidth="12.6640625" defaultRowHeight="15.75" customHeight="1" x14ac:dyDescent="0.25"/>
  <sheetData>
    <row r="1" spans="1:26" x14ac:dyDescent="0.25">
      <c r="A1" s="2" t="s">
        <v>0</v>
      </c>
      <c r="B1" s="2" t="s">
        <v>8</v>
      </c>
      <c r="C1" s="2" t="s">
        <v>2</v>
      </c>
      <c r="D1" s="2" t="s">
        <v>5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7">
        <v>1</v>
      </c>
      <c r="B2" s="7" t="s">
        <v>10</v>
      </c>
      <c r="C2" s="9">
        <v>42350</v>
      </c>
      <c r="D2" s="9">
        <v>3036</v>
      </c>
    </row>
    <row r="3" spans="1:26" x14ac:dyDescent="0.25">
      <c r="A3" s="7">
        <v>2</v>
      </c>
      <c r="B3" s="7" t="s">
        <v>12</v>
      </c>
      <c r="C3" s="9">
        <v>21880</v>
      </c>
      <c r="D3" s="9">
        <v>73039</v>
      </c>
    </row>
    <row r="4" spans="1:26" x14ac:dyDescent="0.25">
      <c r="A4" s="7">
        <v>3</v>
      </c>
      <c r="B4" s="7" t="s">
        <v>14</v>
      </c>
      <c r="C4" s="9">
        <v>81834</v>
      </c>
      <c r="D4" s="9">
        <v>23983</v>
      </c>
    </row>
    <row r="5" spans="1:26" x14ac:dyDescent="0.25">
      <c r="A5" s="7">
        <v>4</v>
      </c>
      <c r="B5" s="7" t="s">
        <v>16</v>
      </c>
      <c r="C5" s="9">
        <v>10578</v>
      </c>
      <c r="D5" s="9">
        <v>1204</v>
      </c>
    </row>
    <row r="6" spans="1:26" x14ac:dyDescent="0.25">
      <c r="A6" s="7">
        <v>5</v>
      </c>
      <c r="B6" s="7" t="s">
        <v>18</v>
      </c>
      <c r="C6" s="9">
        <v>2803</v>
      </c>
      <c r="D6" s="9">
        <v>5327</v>
      </c>
    </row>
    <row r="7" spans="1:26" x14ac:dyDescent="0.25">
      <c r="A7" s="7">
        <v>6</v>
      </c>
      <c r="B7" s="7" t="s">
        <v>20</v>
      </c>
      <c r="C7" s="9">
        <v>23829</v>
      </c>
      <c r="D7" s="9">
        <v>3586</v>
      </c>
    </row>
    <row r="8" spans="1:26" x14ac:dyDescent="0.25">
      <c r="A8" s="7">
        <v>7</v>
      </c>
      <c r="B8" s="7" t="s">
        <v>22</v>
      </c>
      <c r="C8" s="9">
        <v>21364</v>
      </c>
      <c r="D8" s="9">
        <v>1789</v>
      </c>
    </row>
    <row r="9" spans="1:26" x14ac:dyDescent="0.25">
      <c r="A9" s="7">
        <v>8</v>
      </c>
      <c r="B9" s="7" t="s">
        <v>24</v>
      </c>
      <c r="C9" s="9">
        <v>1875</v>
      </c>
      <c r="D9" s="9">
        <v>383</v>
      </c>
    </row>
    <row r="10" spans="1:26" x14ac:dyDescent="0.25">
      <c r="A10" s="7">
        <v>9</v>
      </c>
      <c r="B10" s="7" t="s">
        <v>26</v>
      </c>
      <c r="C10" s="9">
        <v>331</v>
      </c>
      <c r="D10" s="9">
        <v>2</v>
      </c>
    </row>
    <row r="11" spans="1:26" x14ac:dyDescent="0.25">
      <c r="A11" s="7">
        <v>10</v>
      </c>
      <c r="B11" s="7" t="s">
        <v>28</v>
      </c>
      <c r="C11" s="9">
        <v>739</v>
      </c>
      <c r="D11" s="9">
        <v>161</v>
      </c>
    </row>
    <row r="12" spans="1:26" x14ac:dyDescent="0.25">
      <c r="A12" s="7">
        <v>11</v>
      </c>
      <c r="B12" s="7" t="s">
        <v>30</v>
      </c>
      <c r="C12" s="9">
        <v>206844</v>
      </c>
      <c r="D12" s="9">
        <v>112349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2"/>
  <sheetViews>
    <sheetView tabSelected="1" workbookViewId="0">
      <selection activeCell="J15" sqref="J15"/>
    </sheetView>
  </sheetViews>
  <sheetFormatPr baseColWidth="10" defaultColWidth="12.6640625" defaultRowHeight="15.75" customHeight="1" x14ac:dyDescent="0.25"/>
  <sheetData>
    <row r="1" spans="1:10" ht="15.75" customHeight="1" x14ac:dyDescent="0.3">
      <c r="A1" s="14" t="s">
        <v>352</v>
      </c>
      <c r="B1" s="14" t="s">
        <v>353</v>
      </c>
      <c r="C1" s="15" t="s">
        <v>354</v>
      </c>
      <c r="D1" s="15" t="s">
        <v>355</v>
      </c>
      <c r="E1" s="16" t="s">
        <v>356</v>
      </c>
      <c r="F1" s="16" t="s">
        <v>357</v>
      </c>
      <c r="G1" s="17" t="s">
        <v>358</v>
      </c>
      <c r="H1" s="17" t="s">
        <v>359</v>
      </c>
      <c r="I1" s="18" t="s">
        <v>360</v>
      </c>
      <c r="J1" s="18" t="s">
        <v>361</v>
      </c>
    </row>
    <row r="2" spans="1:10" ht="52.8" x14ac:dyDescent="0.25">
      <c r="A2" s="19">
        <v>5</v>
      </c>
      <c r="B2" s="20" t="s">
        <v>362</v>
      </c>
      <c r="C2" s="19">
        <v>100</v>
      </c>
      <c r="D2" s="19">
        <v>50</v>
      </c>
      <c r="E2" s="19">
        <v>50</v>
      </c>
      <c r="F2" s="19">
        <v>25</v>
      </c>
      <c r="G2" s="19">
        <v>25</v>
      </c>
      <c r="H2" s="19">
        <v>5</v>
      </c>
      <c r="I2" s="19">
        <v>5</v>
      </c>
      <c r="J2" s="19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Datos_procesados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Karina</cp:lastModifiedBy>
  <dcterms:modified xsi:type="dcterms:W3CDTF">2026-06-07T06:04:17Z</dcterms:modified>
</cp:coreProperties>
</file>