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6C2D3295-8865-473B-8AEE-9659E13DE14B}" xr6:coauthVersionLast="47" xr6:coauthVersionMax="47" xr10:uidLastSave="{00000000-0000-0000-0000-000000000000}"/>
  <bookViews>
    <workbookView xWindow="-108" yWindow="-108" windowWidth="23256" windowHeight="12456" tabRatio="874" activeTab="5" xr2:uid="{00000000-000D-0000-FFFF-FFFF00000000}"/>
  </bookViews>
  <sheets>
    <sheet name="Datos_procesados" sheetId="10" r:id="rId1"/>
    <sheet name="Indicador_MUN" sheetId="4" r:id="rId2"/>
    <sheet name="Absoluto_MUN" sheetId="5" r:id="rId3"/>
    <sheet name="Indicador_DEP" sheetId="6" r:id="rId4"/>
    <sheet name="Absoluto_DEP" sheetId="7" r:id="rId5"/>
    <sheet name="Umbral" sheetId="8" r:id="rId6"/>
    <sheet name="Mapa" sheetId="9" r:id="rId7"/>
  </sheets>
  <calcPr calcId="191029"/>
</workbook>
</file>

<file path=xl/calcChain.xml><?xml version="1.0" encoding="utf-8"?>
<calcChain xmlns="http://schemas.openxmlformats.org/spreadsheetml/2006/main">
  <c r="F2" i="10" l="1"/>
  <c r="E2" i="10"/>
  <c r="AC12" i="10"/>
  <c r="AB12" i="10"/>
  <c r="AC11" i="10"/>
  <c r="AB11" i="10"/>
  <c r="AC10" i="10"/>
  <c r="AB10" i="10"/>
  <c r="AC9" i="10"/>
  <c r="AB9" i="10"/>
  <c r="AC8" i="10"/>
  <c r="AB8" i="10"/>
  <c r="AC7" i="10"/>
  <c r="AB7" i="10"/>
  <c r="AC6" i="10"/>
  <c r="AB6" i="10"/>
  <c r="AC5" i="10"/>
  <c r="AB5" i="10"/>
  <c r="AC4" i="10"/>
  <c r="AB4" i="10"/>
  <c r="AC3" i="10"/>
  <c r="AB3" i="10"/>
  <c r="AC2" i="10"/>
  <c r="AB2" i="10"/>
  <c r="V12" i="10"/>
  <c r="U12" i="10"/>
  <c r="V11" i="10"/>
  <c r="U11" i="10"/>
  <c r="V10" i="10"/>
  <c r="U10" i="10"/>
  <c r="V9" i="10"/>
  <c r="U9" i="10"/>
  <c r="V8" i="10"/>
  <c r="U8" i="10"/>
  <c r="V7" i="10"/>
  <c r="U7" i="10"/>
  <c r="V6" i="10"/>
  <c r="U6" i="10"/>
  <c r="V5" i="10"/>
  <c r="U5" i="10"/>
  <c r="V4" i="10"/>
  <c r="U4" i="10"/>
  <c r="V3" i="10"/>
  <c r="U3" i="10"/>
  <c r="V2" i="10"/>
  <c r="U2" i="10"/>
  <c r="I6" i="10"/>
  <c r="O330" i="10" s="1"/>
  <c r="F173" i="10" l="1"/>
  <c r="O194" i="10"/>
  <c r="N3" i="10"/>
  <c r="N31" i="10"/>
  <c r="O218" i="10"/>
  <c r="N4" i="10"/>
  <c r="N34" i="10"/>
  <c r="O98" i="10"/>
  <c r="O226" i="10"/>
  <c r="O66" i="10"/>
  <c r="O90" i="10"/>
  <c r="N7" i="10"/>
  <c r="N39" i="10"/>
  <c r="O122" i="10"/>
  <c r="O250" i="10"/>
  <c r="N42" i="10"/>
  <c r="O258" i="10"/>
  <c r="N10" i="10"/>
  <c r="O130" i="10"/>
  <c r="F20" i="10"/>
  <c r="N15" i="10"/>
  <c r="N47" i="10"/>
  <c r="O154" i="10"/>
  <c r="O282" i="10"/>
  <c r="E37" i="10"/>
  <c r="N18" i="10"/>
  <c r="O50" i="10"/>
  <c r="O162" i="10"/>
  <c r="O290" i="10"/>
  <c r="F120" i="10"/>
  <c r="N23" i="10"/>
  <c r="N59" i="10"/>
  <c r="O186" i="10"/>
  <c r="O314" i="10"/>
  <c r="N26" i="10"/>
  <c r="O322" i="10"/>
  <c r="E29" i="10"/>
  <c r="F145" i="10"/>
  <c r="O3" i="10"/>
  <c r="O9" i="10"/>
  <c r="O17" i="10"/>
  <c r="O25" i="10"/>
  <c r="O33" i="10"/>
  <c r="O41" i="10"/>
  <c r="O49" i="10"/>
  <c r="O62" i="10"/>
  <c r="O94" i="10"/>
  <c r="O126" i="10"/>
  <c r="O158" i="10"/>
  <c r="O190" i="10"/>
  <c r="O222" i="10"/>
  <c r="O254" i="10"/>
  <c r="O286" i="10"/>
  <c r="O318" i="10"/>
  <c r="F45" i="10"/>
  <c r="F205" i="10"/>
  <c r="O4" i="10"/>
  <c r="O10" i="10"/>
  <c r="O18" i="10"/>
  <c r="O26" i="10"/>
  <c r="O34" i="10"/>
  <c r="O42" i="10"/>
  <c r="N51" i="10"/>
  <c r="O70" i="10"/>
  <c r="O102" i="10"/>
  <c r="O134" i="10"/>
  <c r="O166" i="10"/>
  <c r="O198" i="10"/>
  <c r="O230" i="10"/>
  <c r="O262" i="10"/>
  <c r="O294" i="10"/>
  <c r="O326" i="10"/>
  <c r="F56" i="10"/>
  <c r="F237" i="10"/>
  <c r="N5" i="10"/>
  <c r="N11" i="10"/>
  <c r="N19" i="10"/>
  <c r="N27" i="10"/>
  <c r="N35" i="10"/>
  <c r="N43" i="10"/>
  <c r="O53" i="10"/>
  <c r="O74" i="10"/>
  <c r="O106" i="10"/>
  <c r="O138" i="10"/>
  <c r="O170" i="10"/>
  <c r="O202" i="10"/>
  <c r="O234" i="10"/>
  <c r="O266" i="10"/>
  <c r="O298" i="10"/>
  <c r="F337" i="10"/>
  <c r="N2" i="10"/>
  <c r="N341" i="10"/>
  <c r="N337" i="10"/>
  <c r="N333" i="10"/>
  <c r="N329" i="10"/>
  <c r="N325" i="10"/>
  <c r="N321" i="10"/>
  <c r="N317" i="10"/>
  <c r="N313" i="10"/>
  <c r="N309" i="10"/>
  <c r="N305" i="10"/>
  <c r="N301" i="10"/>
  <c r="N297" i="10"/>
  <c r="N293" i="10"/>
  <c r="N289" i="10"/>
  <c r="N285" i="10"/>
  <c r="N281" i="10"/>
  <c r="N277" i="10"/>
  <c r="N273" i="10"/>
  <c r="N269" i="10"/>
  <c r="N265" i="10"/>
  <c r="N261" i="10"/>
  <c r="N257" i="10"/>
  <c r="N253" i="10"/>
  <c r="N249" i="10"/>
  <c r="N245" i="10"/>
  <c r="N241" i="10"/>
  <c r="N237" i="10"/>
  <c r="N233" i="10"/>
  <c r="N229" i="10"/>
  <c r="N225" i="10"/>
  <c r="N221" i="10"/>
  <c r="N217" i="10"/>
  <c r="N213" i="10"/>
  <c r="N209" i="10"/>
  <c r="N205" i="10"/>
  <c r="N201" i="10"/>
  <c r="N197" i="10"/>
  <c r="N193" i="10"/>
  <c r="N189" i="10"/>
  <c r="N185" i="10"/>
  <c r="N181" i="10"/>
  <c r="N177" i="10"/>
  <c r="N173" i="10"/>
  <c r="N169" i="10"/>
  <c r="N165" i="10"/>
  <c r="N161" i="10"/>
  <c r="N157" i="10"/>
  <c r="N153" i="10"/>
  <c r="N149" i="10"/>
  <c r="N145" i="10"/>
  <c r="N141" i="10"/>
  <c r="N137" i="10"/>
  <c r="N133" i="10"/>
  <c r="N129" i="10"/>
  <c r="N125" i="10"/>
  <c r="N121" i="10"/>
  <c r="N117" i="10"/>
  <c r="N113" i="10"/>
  <c r="N109" i="10"/>
  <c r="N105" i="10"/>
  <c r="N101" i="10"/>
  <c r="N97" i="10"/>
  <c r="N93" i="10"/>
  <c r="N89" i="10"/>
  <c r="N85" i="10"/>
  <c r="N81" i="10"/>
  <c r="N77" i="10"/>
  <c r="N73" i="10"/>
  <c r="N69" i="10"/>
  <c r="N65" i="10"/>
  <c r="N61" i="10"/>
  <c r="N57" i="10"/>
  <c r="N53" i="10"/>
  <c r="N49" i="10"/>
  <c r="N45" i="10"/>
  <c r="N41" i="10"/>
  <c r="N37" i="10"/>
  <c r="N33" i="10"/>
  <c r="N29" i="10"/>
  <c r="N25" i="10"/>
  <c r="N21" i="10"/>
  <c r="N17" i="10"/>
  <c r="N13" i="10"/>
  <c r="N9" i="10"/>
  <c r="O344" i="10"/>
  <c r="O340" i="10"/>
  <c r="O336" i="10"/>
  <c r="O332" i="10"/>
  <c r="O328" i="10"/>
  <c r="O324" i="10"/>
  <c r="O320" i="10"/>
  <c r="O316" i="10"/>
  <c r="O312" i="10"/>
  <c r="O308" i="10"/>
  <c r="O304" i="10"/>
  <c r="O300" i="10"/>
  <c r="O296" i="10"/>
  <c r="O292" i="10"/>
  <c r="O288" i="10"/>
  <c r="O284" i="10"/>
  <c r="O280" i="10"/>
  <c r="O276" i="10"/>
  <c r="O272" i="10"/>
  <c r="O268" i="10"/>
  <c r="O264" i="10"/>
  <c r="O260" i="10"/>
  <c r="O256" i="10"/>
  <c r="O252" i="10"/>
  <c r="O248" i="10"/>
  <c r="O244" i="10"/>
  <c r="O240" i="10"/>
  <c r="O236" i="10"/>
  <c r="O232" i="10"/>
  <c r="O228" i="10"/>
  <c r="O224" i="10"/>
  <c r="O220" i="10"/>
  <c r="O216" i="10"/>
  <c r="O212" i="10"/>
  <c r="O208" i="10"/>
  <c r="O204" i="10"/>
  <c r="O200" i="10"/>
  <c r="O196" i="10"/>
  <c r="O192" i="10"/>
  <c r="O188" i="10"/>
  <c r="O184" i="10"/>
  <c r="O180" i="10"/>
  <c r="O176" i="10"/>
  <c r="O172" i="10"/>
  <c r="O168" i="10"/>
  <c r="O164" i="10"/>
  <c r="O160" i="10"/>
  <c r="O156" i="10"/>
  <c r="O152" i="10"/>
  <c r="O148" i="10"/>
  <c r="O144" i="10"/>
  <c r="O140" i="10"/>
  <c r="O136" i="10"/>
  <c r="O132" i="10"/>
  <c r="O128" i="10"/>
  <c r="O124" i="10"/>
  <c r="O120" i="10"/>
  <c r="O116" i="10"/>
  <c r="O112" i="10"/>
  <c r="O108" i="10"/>
  <c r="O104" i="10"/>
  <c r="O100" i="10"/>
  <c r="O96" i="10"/>
  <c r="O92" i="10"/>
  <c r="O88" i="10"/>
  <c r="O84" i="10"/>
  <c r="O80" i="10"/>
  <c r="O76" i="10"/>
  <c r="O72" i="10"/>
  <c r="O68" i="10"/>
  <c r="O64" i="10"/>
  <c r="O60" i="10"/>
  <c r="O56" i="10"/>
  <c r="O52" i="10"/>
  <c r="O48" i="10"/>
  <c r="O44" i="10"/>
  <c r="O40" i="10"/>
  <c r="O36" i="10"/>
  <c r="O32" i="10"/>
  <c r="O28" i="10"/>
  <c r="O24" i="10"/>
  <c r="O20" i="10"/>
  <c r="O16" i="10"/>
  <c r="O12" i="10"/>
  <c r="O8" i="10"/>
  <c r="N344" i="10"/>
  <c r="N340" i="10"/>
  <c r="N336" i="10"/>
  <c r="N332" i="10"/>
  <c r="N328" i="10"/>
  <c r="N324" i="10"/>
  <c r="N320" i="10"/>
  <c r="N316" i="10"/>
  <c r="N312" i="10"/>
  <c r="N308" i="10"/>
  <c r="N304" i="10"/>
  <c r="N300" i="10"/>
  <c r="N296" i="10"/>
  <c r="N292" i="10"/>
  <c r="N288" i="10"/>
  <c r="N284" i="10"/>
  <c r="N280" i="10"/>
  <c r="N276" i="10"/>
  <c r="N272" i="10"/>
  <c r="N268" i="10"/>
  <c r="N264" i="10"/>
  <c r="N260" i="10"/>
  <c r="N256" i="10"/>
  <c r="N252" i="10"/>
  <c r="N248" i="10"/>
  <c r="N244" i="10"/>
  <c r="N240" i="10"/>
  <c r="N236" i="10"/>
  <c r="N232" i="10"/>
  <c r="N228" i="10"/>
  <c r="N224" i="10"/>
  <c r="N220" i="10"/>
  <c r="N216" i="10"/>
  <c r="N212" i="10"/>
  <c r="N208" i="10"/>
  <c r="N204" i="10"/>
  <c r="N200" i="10"/>
  <c r="N196" i="10"/>
  <c r="N192" i="10"/>
  <c r="N188" i="10"/>
  <c r="N184" i="10"/>
  <c r="N180" i="10"/>
  <c r="N176" i="10"/>
  <c r="N172" i="10"/>
  <c r="N168" i="10"/>
  <c r="N164" i="10"/>
  <c r="N160" i="10"/>
  <c r="N156" i="10"/>
  <c r="N152" i="10"/>
  <c r="N148" i="10"/>
  <c r="N144" i="10"/>
  <c r="N140" i="10"/>
  <c r="N136" i="10"/>
  <c r="N132" i="10"/>
  <c r="N128" i="10"/>
  <c r="N124" i="10"/>
  <c r="N120" i="10"/>
  <c r="N116" i="10"/>
  <c r="N112" i="10"/>
  <c r="N108" i="10"/>
  <c r="N104" i="10"/>
  <c r="N100" i="10"/>
  <c r="N96" i="10"/>
  <c r="N92" i="10"/>
  <c r="N88" i="10"/>
  <c r="N84" i="10"/>
  <c r="N80" i="10"/>
  <c r="N76" i="10"/>
  <c r="N72" i="10"/>
  <c r="N68" i="10"/>
  <c r="N64" i="10"/>
  <c r="N60" i="10"/>
  <c r="N56" i="10"/>
  <c r="N52" i="10"/>
  <c r="N48" i="10"/>
  <c r="N44" i="10"/>
  <c r="N40" i="10"/>
  <c r="N36" i="10"/>
  <c r="N32" i="10"/>
  <c r="N28" i="10"/>
  <c r="N24" i="10"/>
  <c r="N20" i="10"/>
  <c r="N16" i="10"/>
  <c r="N12" i="10"/>
  <c r="N8" i="10"/>
  <c r="O343" i="10"/>
  <c r="O339" i="10"/>
  <c r="O335" i="10"/>
  <c r="O331" i="10"/>
  <c r="O327" i="10"/>
  <c r="O323" i="10"/>
  <c r="O319" i="10"/>
  <c r="O315" i="10"/>
  <c r="O311" i="10"/>
  <c r="O307" i="10"/>
  <c r="O303" i="10"/>
  <c r="O299" i="10"/>
  <c r="O295" i="10"/>
  <c r="O291" i="10"/>
  <c r="O287" i="10"/>
  <c r="O283" i="10"/>
  <c r="O279" i="10"/>
  <c r="O275" i="10"/>
  <c r="O271" i="10"/>
  <c r="O267" i="10"/>
  <c r="O263" i="10"/>
  <c r="O259" i="10"/>
  <c r="O255" i="10"/>
  <c r="O251" i="10"/>
  <c r="O247" i="10"/>
  <c r="O243" i="10"/>
  <c r="O239" i="10"/>
  <c r="O235" i="10"/>
  <c r="O231" i="10"/>
  <c r="O227" i="10"/>
  <c r="O223" i="10"/>
  <c r="O219" i="10"/>
  <c r="O215" i="10"/>
  <c r="O211" i="10"/>
  <c r="O207" i="10"/>
  <c r="O203" i="10"/>
  <c r="O199" i="10"/>
  <c r="O195" i="10"/>
  <c r="O191" i="10"/>
  <c r="O187" i="10"/>
  <c r="O183" i="10"/>
  <c r="O179" i="10"/>
  <c r="O175" i="10"/>
  <c r="O171" i="10"/>
  <c r="O167" i="10"/>
  <c r="O163" i="10"/>
  <c r="O159" i="10"/>
  <c r="O155" i="10"/>
  <c r="O151" i="10"/>
  <c r="O147" i="10"/>
  <c r="O143" i="10"/>
  <c r="O139" i="10"/>
  <c r="O135" i="10"/>
  <c r="O131" i="10"/>
  <c r="O127" i="10"/>
  <c r="O123" i="10"/>
  <c r="O119" i="10"/>
  <c r="O115" i="10"/>
  <c r="O111" i="10"/>
  <c r="O107" i="10"/>
  <c r="O103" i="10"/>
  <c r="O99" i="10"/>
  <c r="O95" i="10"/>
  <c r="O91" i="10"/>
  <c r="O87" i="10"/>
  <c r="O83" i="10"/>
  <c r="O79" i="10"/>
  <c r="O75" i="10"/>
  <c r="O71" i="10"/>
  <c r="O67" i="10"/>
  <c r="O63" i="10"/>
  <c r="O59" i="10"/>
  <c r="O55" i="10"/>
  <c r="O51" i="10"/>
  <c r="O47" i="10"/>
  <c r="O43" i="10"/>
  <c r="O39" i="10"/>
  <c r="O35" i="10"/>
  <c r="O31" i="10"/>
  <c r="O27" i="10"/>
  <c r="O23" i="10"/>
  <c r="O19" i="10"/>
  <c r="O15" i="10"/>
  <c r="O11" i="10"/>
  <c r="O7" i="10"/>
  <c r="N343" i="10"/>
  <c r="N339" i="10"/>
  <c r="N335" i="10"/>
  <c r="N331" i="10"/>
  <c r="N327" i="10"/>
  <c r="N323" i="10"/>
  <c r="N319" i="10"/>
  <c r="N315" i="10"/>
  <c r="N311" i="10"/>
  <c r="N307" i="10"/>
  <c r="N303" i="10"/>
  <c r="N299" i="10"/>
  <c r="N295" i="10"/>
  <c r="N291" i="10"/>
  <c r="N287" i="10"/>
  <c r="N283" i="10"/>
  <c r="N279" i="10"/>
  <c r="N275" i="10"/>
  <c r="N271" i="10"/>
  <c r="N267" i="10"/>
  <c r="N263" i="10"/>
  <c r="N259" i="10"/>
  <c r="N255" i="10"/>
  <c r="N251" i="10"/>
  <c r="N247" i="10"/>
  <c r="N243" i="10"/>
  <c r="N239" i="10"/>
  <c r="N235" i="10"/>
  <c r="N231" i="10"/>
  <c r="N227" i="10"/>
  <c r="N223" i="10"/>
  <c r="N219" i="10"/>
  <c r="N215" i="10"/>
  <c r="N211" i="10"/>
  <c r="N207" i="10"/>
  <c r="N203" i="10"/>
  <c r="N199" i="10"/>
  <c r="N195" i="10"/>
  <c r="N191" i="10"/>
  <c r="N187" i="10"/>
  <c r="N183" i="10"/>
  <c r="N179" i="10"/>
  <c r="N175" i="10"/>
  <c r="N171" i="10"/>
  <c r="N167" i="10"/>
  <c r="N163" i="10"/>
  <c r="N159" i="10"/>
  <c r="N155" i="10"/>
  <c r="N151" i="10"/>
  <c r="N147" i="10"/>
  <c r="N143" i="10"/>
  <c r="N139" i="10"/>
  <c r="N135" i="10"/>
  <c r="N131" i="10"/>
  <c r="N127" i="10"/>
  <c r="N123" i="10"/>
  <c r="N119" i="10"/>
  <c r="N115" i="10"/>
  <c r="N111" i="10"/>
  <c r="N107" i="10"/>
  <c r="N103" i="10"/>
  <c r="N99" i="10"/>
  <c r="N95" i="10"/>
  <c r="N91" i="10"/>
  <c r="N87" i="10"/>
  <c r="N83" i="10"/>
  <c r="N79" i="10"/>
  <c r="N75" i="10"/>
  <c r="N71" i="10"/>
  <c r="N67" i="10"/>
  <c r="N63" i="10"/>
  <c r="N342" i="10"/>
  <c r="N338" i="10"/>
  <c r="N334" i="10"/>
  <c r="N330" i="10"/>
  <c r="N326" i="10"/>
  <c r="N322" i="10"/>
  <c r="N318" i="10"/>
  <c r="N314" i="10"/>
  <c r="N310" i="10"/>
  <c r="N306" i="10"/>
  <c r="N302" i="10"/>
  <c r="N298" i="10"/>
  <c r="N294" i="10"/>
  <c r="N290" i="10"/>
  <c r="N286" i="10"/>
  <c r="N282" i="10"/>
  <c r="N278" i="10"/>
  <c r="N274" i="10"/>
  <c r="N270" i="10"/>
  <c r="N266" i="10"/>
  <c r="N262" i="10"/>
  <c r="N258" i="10"/>
  <c r="N254" i="10"/>
  <c r="N250" i="10"/>
  <c r="N246" i="10"/>
  <c r="N242" i="10"/>
  <c r="N238" i="10"/>
  <c r="N234" i="10"/>
  <c r="N230" i="10"/>
  <c r="N226" i="10"/>
  <c r="N222" i="10"/>
  <c r="N218" i="10"/>
  <c r="N214" i="10"/>
  <c r="N210" i="10"/>
  <c r="N206" i="10"/>
  <c r="N202" i="10"/>
  <c r="N198" i="10"/>
  <c r="N194" i="10"/>
  <c r="N190" i="10"/>
  <c r="N186" i="10"/>
  <c r="N182" i="10"/>
  <c r="N178" i="10"/>
  <c r="N174" i="10"/>
  <c r="N170" i="10"/>
  <c r="N166" i="10"/>
  <c r="N162" i="10"/>
  <c r="N158" i="10"/>
  <c r="N154" i="10"/>
  <c r="N150" i="10"/>
  <c r="N146" i="10"/>
  <c r="N142" i="10"/>
  <c r="N138" i="10"/>
  <c r="N134" i="10"/>
  <c r="N130" i="10"/>
  <c r="N126" i="10"/>
  <c r="N122" i="10"/>
  <c r="N118" i="10"/>
  <c r="N114" i="10"/>
  <c r="N110" i="10"/>
  <c r="N106" i="10"/>
  <c r="N102" i="10"/>
  <c r="N98" i="10"/>
  <c r="N94" i="10"/>
  <c r="N90" i="10"/>
  <c r="N86" i="10"/>
  <c r="N82" i="10"/>
  <c r="N78" i="10"/>
  <c r="N74" i="10"/>
  <c r="N70" i="10"/>
  <c r="N66" i="10"/>
  <c r="N62" i="10"/>
  <c r="N58" i="10"/>
  <c r="N54" i="10"/>
  <c r="N50" i="10"/>
  <c r="O341" i="10"/>
  <c r="O337" i="10"/>
  <c r="O333" i="10"/>
  <c r="O329" i="10"/>
  <c r="O325" i="10"/>
  <c r="O321" i="10"/>
  <c r="O317" i="10"/>
  <c r="O313" i="10"/>
  <c r="O309" i="10"/>
  <c r="O305" i="10"/>
  <c r="O301" i="10"/>
  <c r="O297" i="10"/>
  <c r="O293" i="10"/>
  <c r="O289" i="10"/>
  <c r="O285" i="10"/>
  <c r="O281" i="10"/>
  <c r="O277" i="10"/>
  <c r="O273" i="10"/>
  <c r="O269" i="10"/>
  <c r="O265" i="10"/>
  <c r="O261" i="10"/>
  <c r="O257" i="10"/>
  <c r="O253" i="10"/>
  <c r="O249" i="10"/>
  <c r="O245" i="10"/>
  <c r="O241" i="10"/>
  <c r="O237" i="10"/>
  <c r="O233" i="10"/>
  <c r="O229" i="10"/>
  <c r="O225" i="10"/>
  <c r="O221" i="10"/>
  <c r="O217" i="10"/>
  <c r="O213" i="10"/>
  <c r="O209" i="10"/>
  <c r="O205" i="10"/>
  <c r="O201" i="10"/>
  <c r="O197" i="10"/>
  <c r="O193" i="10"/>
  <c r="O189" i="10"/>
  <c r="O185" i="10"/>
  <c r="O181" i="10"/>
  <c r="O177" i="10"/>
  <c r="O173" i="10"/>
  <c r="O169" i="10"/>
  <c r="O165" i="10"/>
  <c r="O161" i="10"/>
  <c r="O157" i="10"/>
  <c r="O153" i="10"/>
  <c r="O149" i="10"/>
  <c r="O145" i="10"/>
  <c r="O141" i="10"/>
  <c r="O137" i="10"/>
  <c r="O133" i="10"/>
  <c r="O129" i="10"/>
  <c r="O125" i="10"/>
  <c r="O121" i="10"/>
  <c r="O117" i="10"/>
  <c r="O113" i="10"/>
  <c r="O109" i="10"/>
  <c r="O105" i="10"/>
  <c r="O101" i="10"/>
  <c r="O97" i="10"/>
  <c r="O93" i="10"/>
  <c r="O89" i="10"/>
  <c r="O85" i="10"/>
  <c r="O81" i="10"/>
  <c r="O77" i="10"/>
  <c r="O73" i="10"/>
  <c r="O69" i="10"/>
  <c r="O65" i="10"/>
  <c r="O61" i="10"/>
  <c r="O57" i="10"/>
  <c r="F66" i="10"/>
  <c r="F269" i="10"/>
  <c r="O5" i="10"/>
  <c r="O13" i="10"/>
  <c r="O21" i="10"/>
  <c r="O29" i="10"/>
  <c r="O37" i="10"/>
  <c r="O45" i="10"/>
  <c r="O54" i="10"/>
  <c r="O78" i="10"/>
  <c r="O110" i="10"/>
  <c r="O142" i="10"/>
  <c r="O174" i="10"/>
  <c r="O206" i="10"/>
  <c r="O238" i="10"/>
  <c r="O270" i="10"/>
  <c r="O302" i="10"/>
  <c r="O334" i="10"/>
  <c r="F3" i="10"/>
  <c r="E77" i="10"/>
  <c r="F301" i="10"/>
  <c r="N6" i="10"/>
  <c r="N14" i="10"/>
  <c r="N22" i="10"/>
  <c r="N30" i="10"/>
  <c r="N38" i="10"/>
  <c r="N46" i="10"/>
  <c r="N55" i="10"/>
  <c r="O82" i="10"/>
  <c r="O114" i="10"/>
  <c r="O146" i="10"/>
  <c r="O178" i="10"/>
  <c r="O210" i="10"/>
  <c r="O242" i="10"/>
  <c r="O274" i="10"/>
  <c r="O306" i="10"/>
  <c r="O338" i="10"/>
  <c r="F11" i="10"/>
  <c r="F93" i="10"/>
  <c r="O2" i="10"/>
  <c r="O6" i="10"/>
  <c r="O14" i="10"/>
  <c r="O22" i="10"/>
  <c r="O30" i="10"/>
  <c r="O38" i="10"/>
  <c r="O46" i="10"/>
  <c r="O58" i="10"/>
  <c r="O86" i="10"/>
  <c r="O118" i="10"/>
  <c r="O150" i="10"/>
  <c r="O182" i="10"/>
  <c r="O214" i="10"/>
  <c r="O246" i="10"/>
  <c r="O278" i="10"/>
  <c r="O310" i="10"/>
  <c r="O342" i="10"/>
  <c r="F4" i="10"/>
  <c r="E13" i="10"/>
  <c r="E21" i="10"/>
  <c r="F29" i="10"/>
  <c r="F38" i="10"/>
  <c r="E47" i="10"/>
  <c r="F57" i="10"/>
  <c r="E67" i="10"/>
  <c r="F77" i="10"/>
  <c r="F97" i="10"/>
  <c r="F124" i="10"/>
  <c r="F149" i="10"/>
  <c r="F177" i="10"/>
  <c r="F209" i="10"/>
  <c r="F241" i="10"/>
  <c r="F273" i="10"/>
  <c r="F305" i="10"/>
  <c r="E5" i="10"/>
  <c r="F13" i="10"/>
  <c r="F22" i="10"/>
  <c r="E31" i="10"/>
  <c r="F39" i="10"/>
  <c r="F48" i="10"/>
  <c r="F58" i="10"/>
  <c r="E69" i="10"/>
  <c r="E81" i="10"/>
  <c r="F101" i="10"/>
  <c r="F125" i="10"/>
  <c r="F152" i="10"/>
  <c r="F184" i="10"/>
  <c r="F216" i="10"/>
  <c r="F248" i="10"/>
  <c r="F280" i="10"/>
  <c r="F312" i="10"/>
  <c r="F6" i="10"/>
  <c r="E15" i="10"/>
  <c r="F23" i="10"/>
  <c r="F31" i="10"/>
  <c r="F40" i="10"/>
  <c r="F49" i="10"/>
  <c r="F60" i="10"/>
  <c r="F70" i="10"/>
  <c r="F81" i="10"/>
  <c r="F104" i="10"/>
  <c r="F129" i="10"/>
  <c r="F156" i="10"/>
  <c r="F188" i="10"/>
  <c r="F220" i="10"/>
  <c r="F252" i="10"/>
  <c r="F284" i="10"/>
  <c r="F316" i="10"/>
  <c r="F7" i="10"/>
  <c r="F15" i="10"/>
  <c r="F24" i="10"/>
  <c r="E33" i="10"/>
  <c r="F41" i="10"/>
  <c r="E51" i="10"/>
  <c r="E61" i="10"/>
  <c r="E71" i="10"/>
  <c r="E85" i="10"/>
  <c r="F108" i="10"/>
  <c r="F133" i="10"/>
  <c r="F157" i="10"/>
  <c r="F189" i="10"/>
  <c r="F221" i="10"/>
  <c r="F253" i="10"/>
  <c r="F285" i="10"/>
  <c r="F317" i="10"/>
  <c r="F8" i="10"/>
  <c r="E17" i="10"/>
  <c r="F25" i="10"/>
  <c r="F34" i="10"/>
  <c r="F42" i="10"/>
  <c r="F52" i="10"/>
  <c r="F62" i="10"/>
  <c r="E73" i="10"/>
  <c r="F88" i="10"/>
  <c r="F109" i="10"/>
  <c r="F136" i="10"/>
  <c r="F161" i="10"/>
  <c r="F193" i="10"/>
  <c r="F225" i="10"/>
  <c r="F257" i="10"/>
  <c r="F289" i="10"/>
  <c r="F321" i="10"/>
  <c r="F9" i="10"/>
  <c r="F18" i="10"/>
  <c r="F26" i="10"/>
  <c r="E35" i="10"/>
  <c r="F43" i="10"/>
  <c r="F53" i="10"/>
  <c r="F64" i="10"/>
  <c r="F73" i="10"/>
  <c r="E89" i="10"/>
  <c r="F113" i="10"/>
  <c r="F140" i="10"/>
  <c r="F168" i="10"/>
  <c r="F200" i="10"/>
  <c r="F232" i="10"/>
  <c r="F264" i="10"/>
  <c r="F296" i="10"/>
  <c r="F329" i="10"/>
  <c r="E3" i="10"/>
  <c r="F10" i="10"/>
  <c r="E19" i="10"/>
  <c r="F27" i="10"/>
  <c r="F36" i="10"/>
  <c r="E45" i="10"/>
  <c r="F54" i="10"/>
  <c r="E65" i="10"/>
  <c r="E75" i="10"/>
  <c r="F92" i="10"/>
  <c r="F117" i="10"/>
  <c r="F141" i="10"/>
  <c r="F172" i="10"/>
  <c r="F204" i="10"/>
  <c r="F236" i="10"/>
  <c r="F268" i="10"/>
  <c r="F300" i="10"/>
  <c r="F344" i="10"/>
  <c r="F340" i="10"/>
  <c r="F336" i="10"/>
  <c r="F332" i="10"/>
  <c r="F328" i="10"/>
  <c r="E344" i="10"/>
  <c r="E340" i="10"/>
  <c r="E336" i="10"/>
  <c r="E332" i="10"/>
  <c r="E328" i="10"/>
  <c r="E324" i="10"/>
  <c r="E320" i="10"/>
  <c r="E316" i="10"/>
  <c r="E312" i="10"/>
  <c r="E308" i="10"/>
  <c r="E304" i="10"/>
  <c r="E300" i="10"/>
  <c r="E296" i="10"/>
  <c r="E292" i="10"/>
  <c r="E288" i="10"/>
  <c r="E284" i="10"/>
  <c r="E280" i="10"/>
  <c r="E276" i="10"/>
  <c r="E272" i="10"/>
  <c r="E268" i="10"/>
  <c r="E264" i="10"/>
  <c r="E260" i="10"/>
  <c r="E256" i="10"/>
  <c r="E252" i="10"/>
  <c r="E248" i="10"/>
  <c r="E244" i="10"/>
  <c r="E240" i="10"/>
  <c r="E236" i="10"/>
  <c r="E232" i="10"/>
  <c r="E228" i="10"/>
  <c r="E224" i="10"/>
  <c r="E220" i="10"/>
  <c r="E216" i="10"/>
  <c r="E212" i="10"/>
  <c r="E208" i="10"/>
  <c r="E204" i="10"/>
  <c r="E200" i="10"/>
  <c r="E196" i="10"/>
  <c r="E192" i="10"/>
  <c r="E188" i="10"/>
  <c r="E184" i="10"/>
  <c r="E180" i="10"/>
  <c r="E176" i="10"/>
  <c r="E172" i="10"/>
  <c r="E168" i="10"/>
  <c r="E164" i="10"/>
  <c r="E160" i="10"/>
  <c r="E156" i="10"/>
  <c r="E152" i="10"/>
  <c r="E148" i="10"/>
  <c r="E144" i="10"/>
  <c r="E140" i="10"/>
  <c r="E136" i="10"/>
  <c r="E132" i="10"/>
  <c r="E128" i="10"/>
  <c r="E124" i="10"/>
  <c r="E120" i="10"/>
  <c r="E116" i="10"/>
  <c r="E112" i="10"/>
  <c r="E108" i="10"/>
  <c r="E104" i="10"/>
  <c r="E100" i="10"/>
  <c r="E96" i="10"/>
  <c r="E92" i="10"/>
  <c r="E88" i="10"/>
  <c r="E84" i="10"/>
  <c r="E80" i="10"/>
  <c r="E76" i="10"/>
  <c r="E72" i="10"/>
  <c r="E68" i="10"/>
  <c r="E64" i="10"/>
  <c r="E60" i="10"/>
  <c r="E56" i="10"/>
  <c r="E52" i="10"/>
  <c r="E48" i="10"/>
  <c r="E44" i="10"/>
  <c r="E40" i="10"/>
  <c r="E36" i="10"/>
  <c r="E32" i="10"/>
  <c r="E28" i="10"/>
  <c r="E24" i="10"/>
  <c r="E20" i="10"/>
  <c r="E16" i="10"/>
  <c r="E12" i="10"/>
  <c r="E8" i="10"/>
  <c r="F343" i="10"/>
  <c r="F339" i="10"/>
  <c r="F335" i="10"/>
  <c r="F331" i="10"/>
  <c r="F327" i="10"/>
  <c r="F323" i="10"/>
  <c r="F319" i="10"/>
  <c r="F315" i="10"/>
  <c r="F311" i="10"/>
  <c r="F307" i="10"/>
  <c r="F303" i="10"/>
  <c r="F299" i="10"/>
  <c r="F295" i="10"/>
  <c r="F291" i="10"/>
  <c r="F287" i="10"/>
  <c r="F283" i="10"/>
  <c r="F279" i="10"/>
  <c r="F275" i="10"/>
  <c r="F271" i="10"/>
  <c r="F267" i="10"/>
  <c r="F263" i="10"/>
  <c r="F259" i="10"/>
  <c r="F255" i="10"/>
  <c r="F251" i="10"/>
  <c r="F247" i="10"/>
  <c r="F243" i="10"/>
  <c r="F239" i="10"/>
  <c r="F235" i="10"/>
  <c r="F231" i="10"/>
  <c r="F227" i="10"/>
  <c r="F223" i="10"/>
  <c r="F219" i="10"/>
  <c r="F215" i="10"/>
  <c r="F211" i="10"/>
  <c r="F207" i="10"/>
  <c r="F203" i="10"/>
  <c r="F199" i="10"/>
  <c r="F195" i="10"/>
  <c r="F191" i="10"/>
  <c r="F187" i="10"/>
  <c r="F183" i="10"/>
  <c r="F179" i="10"/>
  <c r="F175" i="10"/>
  <c r="F171" i="10"/>
  <c r="F167" i="10"/>
  <c r="F163" i="10"/>
  <c r="F159" i="10"/>
  <c r="F155" i="10"/>
  <c r="F151" i="10"/>
  <c r="F147" i="10"/>
  <c r="F143" i="10"/>
  <c r="F139" i="10"/>
  <c r="F135" i="10"/>
  <c r="F131" i="10"/>
  <c r="F127" i="10"/>
  <c r="F123" i="10"/>
  <c r="F119" i="10"/>
  <c r="F115" i="10"/>
  <c r="F111" i="10"/>
  <c r="F107" i="10"/>
  <c r="F103" i="10"/>
  <c r="F99" i="10"/>
  <c r="F95" i="10"/>
  <c r="F91" i="10"/>
  <c r="F87" i="10"/>
  <c r="F83" i="10"/>
  <c r="F79" i="10"/>
  <c r="F75" i="10"/>
  <c r="F71" i="10"/>
  <c r="F67" i="10"/>
  <c r="F63" i="10"/>
  <c r="F59" i="10"/>
  <c r="F55" i="10"/>
  <c r="F51" i="10"/>
  <c r="F47" i="10"/>
  <c r="E343" i="10"/>
  <c r="E339" i="10"/>
  <c r="E335" i="10"/>
  <c r="E331" i="10"/>
  <c r="E327" i="10"/>
  <c r="E323" i="10"/>
  <c r="E319" i="10"/>
  <c r="E315" i="10"/>
  <c r="E311" i="10"/>
  <c r="E307" i="10"/>
  <c r="E303" i="10"/>
  <c r="E299" i="10"/>
  <c r="E295" i="10"/>
  <c r="E291" i="10"/>
  <c r="E287" i="10"/>
  <c r="E283" i="10"/>
  <c r="E279" i="10"/>
  <c r="E275" i="10"/>
  <c r="E271" i="10"/>
  <c r="E267" i="10"/>
  <c r="E263" i="10"/>
  <c r="E259" i="10"/>
  <c r="E255" i="10"/>
  <c r="E251" i="10"/>
  <c r="E247" i="10"/>
  <c r="E243" i="10"/>
  <c r="E239" i="10"/>
  <c r="E235" i="10"/>
  <c r="E231" i="10"/>
  <c r="E227" i="10"/>
  <c r="E223" i="10"/>
  <c r="E219" i="10"/>
  <c r="E215" i="10"/>
  <c r="E211" i="10"/>
  <c r="E207" i="10"/>
  <c r="E203" i="10"/>
  <c r="E199" i="10"/>
  <c r="E195" i="10"/>
  <c r="E191" i="10"/>
  <c r="E187" i="10"/>
  <c r="E183" i="10"/>
  <c r="E179" i="10"/>
  <c r="E175" i="10"/>
  <c r="E171" i="10"/>
  <c r="E167" i="10"/>
  <c r="E163" i="10"/>
  <c r="E159" i="10"/>
  <c r="E155" i="10"/>
  <c r="E151" i="10"/>
  <c r="E147" i="10"/>
  <c r="E143" i="10"/>
  <c r="E139" i="10"/>
  <c r="E135" i="10"/>
  <c r="E131" i="10"/>
  <c r="E127" i="10"/>
  <c r="E123" i="10"/>
  <c r="E119" i="10"/>
  <c r="E115" i="10"/>
  <c r="E111" i="10"/>
  <c r="E107" i="10"/>
  <c r="E103" i="10"/>
  <c r="E99" i="10"/>
  <c r="E95" i="10"/>
  <c r="E91" i="10"/>
  <c r="E87" i="10"/>
  <c r="E83" i="10"/>
  <c r="E79" i="10"/>
  <c r="F342" i="10"/>
  <c r="F338" i="10"/>
  <c r="F334" i="10"/>
  <c r="F330" i="10"/>
  <c r="F326" i="10"/>
  <c r="F322" i="10"/>
  <c r="F318" i="10"/>
  <c r="F314" i="10"/>
  <c r="F310" i="10"/>
  <c r="F306" i="10"/>
  <c r="F302" i="10"/>
  <c r="F298" i="10"/>
  <c r="F294" i="10"/>
  <c r="F290" i="10"/>
  <c r="F286" i="10"/>
  <c r="F282" i="10"/>
  <c r="F278" i="10"/>
  <c r="F274" i="10"/>
  <c r="F270" i="10"/>
  <c r="F266" i="10"/>
  <c r="F262" i="10"/>
  <c r="F258" i="10"/>
  <c r="F254" i="10"/>
  <c r="F250" i="10"/>
  <c r="F246" i="10"/>
  <c r="F242" i="10"/>
  <c r="F238" i="10"/>
  <c r="F234" i="10"/>
  <c r="F230" i="10"/>
  <c r="F226" i="10"/>
  <c r="F222" i="10"/>
  <c r="F218" i="10"/>
  <c r="F214" i="10"/>
  <c r="F210" i="10"/>
  <c r="F206" i="10"/>
  <c r="F202" i="10"/>
  <c r="F198" i="10"/>
  <c r="F194" i="10"/>
  <c r="F190" i="10"/>
  <c r="F186" i="10"/>
  <c r="F182" i="10"/>
  <c r="F178" i="10"/>
  <c r="F174" i="10"/>
  <c r="F170" i="10"/>
  <c r="F166" i="10"/>
  <c r="F162" i="10"/>
  <c r="F158" i="10"/>
  <c r="F154" i="10"/>
  <c r="F150" i="10"/>
  <c r="F146" i="10"/>
  <c r="F142" i="10"/>
  <c r="F138" i="10"/>
  <c r="F134" i="10"/>
  <c r="F130" i="10"/>
  <c r="F126" i="10"/>
  <c r="F122" i="10"/>
  <c r="F118" i="10"/>
  <c r="F114" i="10"/>
  <c r="F110" i="10"/>
  <c r="F106" i="10"/>
  <c r="F102" i="10"/>
  <c r="F98" i="10"/>
  <c r="F94" i="10"/>
  <c r="F90" i="10"/>
  <c r="F86" i="10"/>
  <c r="F82" i="10"/>
  <c r="F78" i="10"/>
  <c r="E342" i="10"/>
  <c r="E338" i="10"/>
  <c r="E334" i="10"/>
  <c r="E330" i="10"/>
  <c r="E326" i="10"/>
  <c r="E322" i="10"/>
  <c r="E318" i="10"/>
  <c r="E314" i="10"/>
  <c r="E310" i="10"/>
  <c r="E306" i="10"/>
  <c r="E302" i="10"/>
  <c r="E298" i="10"/>
  <c r="E294" i="10"/>
  <c r="E290" i="10"/>
  <c r="E286" i="10"/>
  <c r="E282" i="10"/>
  <c r="E278" i="10"/>
  <c r="E274" i="10"/>
  <c r="E270" i="10"/>
  <c r="E266" i="10"/>
  <c r="E262" i="10"/>
  <c r="E258" i="10"/>
  <c r="E254" i="10"/>
  <c r="E250" i="10"/>
  <c r="E246" i="10"/>
  <c r="E242" i="10"/>
  <c r="E238" i="10"/>
  <c r="E234" i="10"/>
  <c r="E230" i="10"/>
  <c r="E226" i="10"/>
  <c r="E222" i="10"/>
  <c r="E218" i="10"/>
  <c r="E214" i="10"/>
  <c r="E210" i="10"/>
  <c r="E206" i="10"/>
  <c r="E202" i="10"/>
  <c r="E198" i="10"/>
  <c r="E194" i="10"/>
  <c r="E190" i="10"/>
  <c r="E186" i="10"/>
  <c r="E182" i="10"/>
  <c r="E178" i="10"/>
  <c r="E174" i="10"/>
  <c r="E170" i="10"/>
  <c r="E166" i="10"/>
  <c r="E162" i="10"/>
  <c r="E158" i="10"/>
  <c r="E154" i="10"/>
  <c r="E150" i="10"/>
  <c r="E146" i="10"/>
  <c r="E142" i="10"/>
  <c r="E138" i="10"/>
  <c r="E134" i="10"/>
  <c r="E130" i="10"/>
  <c r="E126" i="10"/>
  <c r="E122" i="10"/>
  <c r="E118" i="10"/>
  <c r="E114" i="10"/>
  <c r="E110" i="10"/>
  <c r="E106" i="10"/>
  <c r="E102" i="10"/>
  <c r="E98" i="10"/>
  <c r="E94" i="10"/>
  <c r="E90" i="10"/>
  <c r="E86" i="10"/>
  <c r="E82" i="10"/>
  <c r="E78" i="10"/>
  <c r="E74" i="10"/>
  <c r="E70" i="10"/>
  <c r="E66" i="10"/>
  <c r="E62" i="10"/>
  <c r="E58" i="10"/>
  <c r="E54" i="10"/>
  <c r="E50" i="10"/>
  <c r="E46" i="10"/>
  <c r="E42" i="10"/>
  <c r="E38" i="10"/>
  <c r="E34" i="10"/>
  <c r="E30" i="10"/>
  <c r="E26" i="10"/>
  <c r="E22" i="10"/>
  <c r="E18" i="10"/>
  <c r="E14" i="10"/>
  <c r="E10" i="10"/>
  <c r="E6" i="10"/>
  <c r="F341" i="10"/>
  <c r="E341" i="10"/>
  <c r="E337" i="10"/>
  <c r="E333" i="10"/>
  <c r="E329" i="10"/>
  <c r="E325" i="10"/>
  <c r="E321" i="10"/>
  <c r="E317" i="10"/>
  <c r="E313" i="10"/>
  <c r="E309" i="10"/>
  <c r="E305" i="10"/>
  <c r="E301" i="10"/>
  <c r="E297" i="10"/>
  <c r="E293" i="10"/>
  <c r="E289" i="10"/>
  <c r="E285" i="10"/>
  <c r="E281" i="10"/>
  <c r="E277" i="10"/>
  <c r="E273" i="10"/>
  <c r="E269" i="10"/>
  <c r="E265" i="10"/>
  <c r="E261" i="10"/>
  <c r="E257" i="10"/>
  <c r="E253" i="10"/>
  <c r="E249" i="10"/>
  <c r="E245" i="10"/>
  <c r="E241" i="10"/>
  <c r="E237" i="10"/>
  <c r="E233" i="10"/>
  <c r="E229" i="10"/>
  <c r="E225" i="10"/>
  <c r="E221" i="10"/>
  <c r="E217" i="10"/>
  <c r="E213" i="10"/>
  <c r="E209" i="10"/>
  <c r="E205" i="10"/>
  <c r="E201" i="10"/>
  <c r="E197" i="10"/>
  <c r="E193" i="10"/>
  <c r="E189" i="10"/>
  <c r="E185" i="10"/>
  <c r="E181" i="10"/>
  <c r="E177" i="10"/>
  <c r="E173" i="10"/>
  <c r="E169" i="10"/>
  <c r="E165" i="10"/>
  <c r="E161" i="10"/>
  <c r="E157" i="10"/>
  <c r="E153" i="10"/>
  <c r="E149" i="10"/>
  <c r="E145" i="10"/>
  <c r="E141" i="10"/>
  <c r="E137" i="10"/>
  <c r="E133" i="10"/>
  <c r="E129" i="10"/>
  <c r="E125" i="10"/>
  <c r="E121" i="10"/>
  <c r="E117" i="10"/>
  <c r="E113" i="10"/>
  <c r="E109" i="10"/>
  <c r="E105" i="10"/>
  <c r="E101" i="10"/>
  <c r="E97" i="10"/>
  <c r="E93" i="10"/>
  <c r="F5" i="10"/>
  <c r="E11" i="10"/>
  <c r="F16" i="10"/>
  <c r="F21" i="10"/>
  <c r="E27" i="10"/>
  <c r="F32" i="10"/>
  <c r="F37" i="10"/>
  <c r="E43" i="10"/>
  <c r="E49" i="10"/>
  <c r="E55" i="10"/>
  <c r="F61" i="10"/>
  <c r="F68" i="10"/>
  <c r="F74" i="10"/>
  <c r="F84" i="10"/>
  <c r="F96" i="10"/>
  <c r="F112" i="10"/>
  <c r="F128" i="10"/>
  <c r="F144" i="10"/>
  <c r="F160" i="10"/>
  <c r="F176" i="10"/>
  <c r="F192" i="10"/>
  <c r="F208" i="10"/>
  <c r="F224" i="10"/>
  <c r="F240" i="10"/>
  <c r="F256" i="10"/>
  <c r="F272" i="10"/>
  <c r="F288" i="10"/>
  <c r="F304" i="10"/>
  <c r="F320" i="10"/>
  <c r="E7" i="10"/>
  <c r="F12" i="10"/>
  <c r="F17" i="10"/>
  <c r="E23" i="10"/>
  <c r="F28" i="10"/>
  <c r="F33" i="10"/>
  <c r="E39" i="10"/>
  <c r="F44" i="10"/>
  <c r="F50" i="10"/>
  <c r="E57" i="10"/>
  <c r="E63" i="10"/>
  <c r="F69" i="10"/>
  <c r="F76" i="10"/>
  <c r="F85" i="10"/>
  <c r="F100" i="10"/>
  <c r="F116" i="10"/>
  <c r="F132" i="10"/>
  <c r="F148" i="10"/>
  <c r="F164" i="10"/>
  <c r="F180" i="10"/>
  <c r="F196" i="10"/>
  <c r="F212" i="10"/>
  <c r="F228" i="10"/>
  <c r="F244" i="10"/>
  <c r="F260" i="10"/>
  <c r="F276" i="10"/>
  <c r="F292" i="10"/>
  <c r="F308" i="10"/>
  <c r="F324" i="10"/>
  <c r="F165" i="10"/>
  <c r="F181" i="10"/>
  <c r="F197" i="10"/>
  <c r="F213" i="10"/>
  <c r="F229" i="10"/>
  <c r="F245" i="10"/>
  <c r="F261" i="10"/>
  <c r="F277" i="10"/>
  <c r="F293" i="10"/>
  <c r="F309" i="10"/>
  <c r="F325" i="10"/>
  <c r="E4" i="10"/>
  <c r="E9" i="10"/>
  <c r="F14" i="10"/>
  <c r="F19" i="10"/>
  <c r="E25" i="10"/>
  <c r="F30" i="10"/>
  <c r="F35" i="10"/>
  <c r="E41" i="10"/>
  <c r="F46" i="10"/>
  <c r="E53" i="10"/>
  <c r="E59" i="10"/>
  <c r="F65" i="10"/>
  <c r="F72" i="10"/>
  <c r="F80" i="10"/>
  <c r="F89" i="10"/>
  <c r="F105" i="10"/>
  <c r="F121" i="10"/>
  <c r="F137" i="10"/>
  <c r="F153" i="10"/>
  <c r="F169" i="10"/>
  <c r="F185" i="10"/>
  <c r="F201" i="10"/>
  <c r="F217" i="10"/>
  <c r="F233" i="10"/>
  <c r="F249" i="10"/>
  <c r="F265" i="10"/>
  <c r="F281" i="10"/>
  <c r="F297" i="10"/>
  <c r="F313" i="10"/>
  <c r="F333" i="10"/>
</calcChain>
</file>

<file path=xl/sharedStrings.xml><?xml version="1.0" encoding="utf-8"?>
<sst xmlns="http://schemas.openxmlformats.org/spreadsheetml/2006/main" count="1471" uniqueCount="372">
  <si>
    <t>Municipio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</si>
  <si>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</si>
  <si>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</si>
  <si>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</si>
  <si>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</si>
  <si>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</si>
  <si>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</si>
  <si>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</si>
  <si>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</si>
  <si>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</si>
  <si>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</si>
  <si>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</si>
  <si>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</si>
  <si>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</si>
  <si>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</si>
  <si>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</si>
  <si>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</si>
  <si>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</si>
  <si>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</si>
  <si>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</si>
  <si>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</si>
  <si>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</si>
  <si>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</si>
  <si>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</si>
  <si>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</si>
  <si>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</si>
  <si>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</si>
  <si>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</si>
  <si>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</si>
  <si>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</si>
  <si>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</si>
  <si>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</si>
  <si>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</si>
  <si>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</si>
  <si>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</si>
  <si>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</si>
  <si>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</si>
  <si>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</si>
  <si>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</si>
  <si>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</si>
  <si>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</si>
  <si>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</si>
  <si>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</si>
  <si>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</si>
  <si>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</si>
  <si>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</si>
  <si>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</si>
  <si>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</si>
  <si>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</si>
  <si>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</si>
  <si>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</si>
  <si>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</si>
  <si>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</si>
  <si>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</si>
  <si>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</si>
  <si>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</si>
  <si>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</si>
  <si>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</si>
  <si>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</si>
  <si>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</si>
  <si>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</si>
  <si>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</si>
  <si>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</si>
  <si>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</si>
  <si>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</si>
  <si>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</si>
  <si>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</si>
  <si>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</si>
  <si>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</si>
  <si>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</si>
  <si>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</si>
  <si>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</si>
  <si>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</si>
  <si>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</si>
  <si>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</si>
  <si>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</si>
  <si>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</si>
  <si>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</si>
  <si>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</si>
  <si>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</si>
  <si>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</si>
  <si>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</si>
  <si>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</si>
  <si>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</si>
  <si>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</si>
  <si>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</si>
  <si>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</si>
  <si>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</si>
  <si>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</si>
  <si>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</si>
  <si>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</si>
  <si>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</si>
  <si>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</si>
  <si>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</si>
  <si>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</si>
  <si>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</si>
  <si>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</si>
  <si>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</si>
  <si>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</si>
  <si>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</si>
  <si>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</si>
  <si>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</si>
  <si>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</si>
  <si>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</si>
  <si>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</si>
  <si>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</si>
  <si>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</si>
  <si>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</si>
  <si>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</si>
  <si>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</si>
  <si>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</si>
  <si>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</si>
  <si>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</si>
  <si>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</si>
  <si>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</si>
  <si>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</si>
  <si>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</si>
  <si>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</si>
  <si>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</si>
  <si>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</si>
  <si>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</si>
  <si>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</si>
  <si>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</si>
  <si>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</si>
  <si>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</si>
  <si>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</si>
  <si>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</si>
  <si>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</si>
  <si>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</si>
  <si>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</si>
  <si>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</si>
  <si>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</si>
  <si>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</si>
  <si>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</si>
  <si>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</si>
  <si>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</si>
  <si>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</si>
  <si>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</si>
  <si>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</si>
  <si>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</si>
  <si>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</si>
  <si>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</si>
  <si>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</si>
  <si>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</si>
  <si>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</si>
  <si>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</si>
  <si>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</si>
  <si>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</si>
  <si>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</si>
  <si>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</si>
  <si>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</si>
  <si>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</si>
  <si>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</si>
  <si>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</si>
  <si>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</si>
  <si>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</si>
  <si>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</si>
  <si>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</si>
  <si>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</si>
  <si>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</si>
  <si>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</si>
  <si>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</si>
  <si>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</si>
  <si>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</si>
  <si>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</si>
  <si>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</si>
  <si>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</si>
  <si>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</si>
  <si>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</si>
  <si>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</si>
  <si>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</si>
  <si>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</si>
  <si>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</si>
  <si>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</si>
  <si>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</si>
  <si>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</si>
  <si>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</si>
  <si>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</si>
  <si>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</si>
  <si>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</si>
  <si>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</si>
  <si>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</si>
  <si>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</si>
  <si>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</si>
  <si>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</si>
  <si>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</si>
  <si>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</si>
  <si>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</si>
  <si>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</si>
  <si>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</si>
  <si>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</si>
  <si>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</si>
  <si>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</si>
  <si>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</si>
  <si>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</si>
  <si>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</si>
  <si>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</si>
  <si>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</si>
  <si>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</si>
  <si>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</si>
  <si>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</si>
  <si>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</si>
  <si>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</si>
  <si>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</si>
  <si>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</si>
  <si>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</si>
  <si>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</si>
  <si>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</si>
  <si>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</si>
  <si>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</si>
  <si>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</si>
  <si>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</si>
  <si>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</si>
  <si>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</si>
  <si>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</si>
  <si>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</si>
  <si>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</si>
  <si>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</si>
  <si>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</si>
  <si>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</si>
  <si>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</si>
  <si>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</si>
  <si>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</si>
  <si>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</si>
  <si>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</si>
  <si>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</si>
  <si>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</si>
  <si>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</si>
  <si>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</si>
  <si>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</si>
  <si>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</si>
  <si>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</si>
  <si>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</si>
  <si>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</si>
  <si>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</si>
  <si>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</si>
  <si>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</si>
  <si>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</si>
  <si>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</si>
  <si>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</si>
  <si>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</si>
  <si>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</si>
  <si>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</si>
  <si>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</si>
  <si>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</si>
  <si>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</si>
  <si>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</si>
  <si>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</si>
  <si>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</si>
  <si>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</si>
  <si>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</si>
  <si>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</si>
  <si>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</si>
  <si>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</si>
  <si>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</si>
  <si>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</si>
  <si>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</si>
  <si>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</si>
  <si>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</si>
  <si>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</si>
  <si>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</si>
  <si>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</si>
  <si>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</si>
  <si>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</si>
  <si>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</si>
  <si>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</si>
  <si>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</si>
  <si>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</si>
  <si>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</si>
  <si>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</si>
  <si>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</si>
  <si>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</si>
  <si>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</si>
  <si>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</si>
  <si>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</si>
  <si>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</si>
  <si>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</si>
  <si>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</si>
  <si>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</si>
  <si>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</si>
  <si>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</si>
  <si>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</si>
  <si>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</si>
  <si>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</si>
  <si>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</si>
  <si>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</si>
  <si>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</si>
  <si>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</si>
  <si>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</si>
  <si>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</si>
  <si>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</si>
  <si>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</si>
  <si>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</si>
  <si>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</si>
  <si>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</si>
  <si>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</si>
  <si>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</si>
  <si>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</si>
  <si>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</si>
  <si>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</si>
  <si>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</si>
  <si>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</si>
  <si>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</si>
  <si>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</si>
  <si>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</si>
  <si>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</si>
  <si>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</si>
  <si>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</si>
  <si>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</si>
  <si>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</si>
  <si>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</si>
  <si>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</si>
  <si>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</si>
  <si>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</si>
  <si>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</si>
  <si>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</si>
  <si>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</si>
  <si>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</si>
  <si>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</si>
  <si>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</si>
  <si>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</si>
  <si>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</si>
  <si>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</si>
  <si>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</si>
  <si>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</si>
  <si>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</si>
  <si>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</si>
  <si>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</si>
  <si>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</si>
  <si>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</si>
  <si>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</si>
  <si>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</si>
  <si>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</si>
  <si>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</si>
  <si>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</si>
  <si>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</si>
  <si>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</si>
  <si>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</si>
  <si>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</si>
  <si>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>id</t>
  </si>
  <si>
    <t>Departamento</t>
  </si>
  <si>
    <t>Chuquisaca</t>
  </si>
  <si>
    <t>Beni</t>
  </si>
  <si>
    <t>Bolivia</t>
  </si>
  <si>
    <t>Cochabamba</t>
  </si>
  <si>
    <t>Gran Chaco</t>
  </si>
  <si>
    <t>Pando</t>
  </si>
  <si>
    <t>Santa Cruz</t>
  </si>
  <si>
    <t>id_departamento</t>
  </si>
  <si>
    <t>consumo per capita 2016</t>
  </si>
  <si>
    <t>consumo per capita 2023</t>
  </si>
  <si>
    <t>consumo kwh anual 2016</t>
  </si>
  <si>
    <t>consumo kwh anual 2023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</si>
  <si>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</si>
  <si>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</si>
  <si>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</si>
  <si>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</si>
  <si>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</si>
  <si>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</si>
  <si>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</si>
  <si>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</si>
  <si>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</si>
  <si>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</si>
  <si>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tCO2e/MWh</t>
  </si>
  <si>
    <t>Fuente</t>
  </si>
  <si>
    <t>https://rise.esmap.org/sites/default/files/library/bolivia/Renewable%20Energy/Bolivia_Gu%C3%ADa%20para%20la%20cuantificaci%C3%B3n%20de%20la%20reducci%C3%B3n%20de%20las%20emisiones%20actuales%20y%20futuras%20de%20la%20inversi%C3%B3n%20en%20energ%C3%ADa%20renovable%20y%20eficiencia%20energ%C3%A9tica%20en%20Bolivia,2019.pdf</t>
  </si>
  <si>
    <t>tCO2e/KWh</t>
  </si>
  <si>
    <t>Emisiones per cápita 2016</t>
  </si>
  <si>
    <t>Emisiones totales 2016</t>
  </si>
  <si>
    <t>Emisiones totales 2023</t>
  </si>
  <si>
    <t>Emisiones de CO₂ per cápita por energía (tCO₂/persona/año)</t>
  </si>
  <si>
    <t>Emisiones per cápita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</si>
</sst>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"/>
    <numFmt numFmtId="165" formatCode="#,##0.0"/>
    <numFmt numFmtId="166" formatCode="0.0"/>
  </numFmts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9"/>
      <color theme="1"/>
      <name val="Play"/>
    </font>
    <font>
      <sz val="11"/>
      <color theme="1"/>
      <name val="Aptos Narrow"/>
      <family val="2"/>
    </font>
    <font>
      <sz val="10"/>
      <color rgb="FF000000"/>
      <name val="Arial"/>
      <family val="2"/>
      <scheme val="minor"/>
    </font>
    <font>
      <sz val="10"/>
      <color rgb="FF21252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0" borderId="0" xfId="0" applyNumberFormat="1" applyFont="1"/>
    <xf numFmtId="0" fontId="1" fillId="0" borderId="0" xfId="0" applyFont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3" fontId="2" fillId="0" borderId="1" xfId="0" applyNumberFormat="1" applyFont="1" applyBorder="1" applyAlignment="1">
      <alignment wrapText="1"/>
    </xf>
    <xf numFmtId="1" fontId="2" fillId="0" borderId="0" xfId="0" applyNumberFormat="1" applyFont="1"/>
    <xf numFmtId="1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49" fontId="2" fillId="0" borderId="1" xfId="0" applyNumberFormat="1" applyFont="1" applyBorder="1"/>
    <xf numFmtId="3" fontId="2" fillId="0" borderId="1" xfId="0" applyNumberFormat="1" applyFont="1" applyBorder="1" applyAlignment="1">
      <alignment horizontal="right" wrapText="1"/>
    </xf>
    <xf numFmtId="49" fontId="1" fillId="0" borderId="0" xfId="0" applyNumberFormat="1" applyFont="1"/>
    <xf numFmtId="49" fontId="2" fillId="0" borderId="0" xfId="0" applyNumberFormat="1" applyFont="1"/>
    <xf numFmtId="1" fontId="4" fillId="0" borderId="0" xfId="0" applyNumberFormat="1" applyFont="1"/>
    <xf numFmtId="3" fontId="4" fillId="0" borderId="0" xfId="0" applyNumberFormat="1" applyFont="1"/>
    <xf numFmtId="49" fontId="4" fillId="0" borderId="0" xfId="0" applyNumberFormat="1" applyFont="1"/>
    <xf numFmtId="49" fontId="2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3" fillId="2" borderId="1" xfId="0" applyFont="1" applyFill="1" applyBorder="1"/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6" fillId="0" borderId="0" xfId="0" applyFont="1"/>
    <xf numFmtId="1" fontId="4" fillId="0" borderId="1" xfId="0" applyNumberFormat="1" applyFont="1" applyBorder="1"/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right" wrapText="1"/>
    </xf>
    <xf numFmtId="0" fontId="7" fillId="7" borderId="0" xfId="0" applyFont="1" applyFill="1"/>
    <xf numFmtId="0" fontId="0" fillId="7" borderId="0" xfId="0" applyFill="1"/>
    <xf numFmtId="165" fontId="2" fillId="0" borderId="0" xfId="0" applyNumberFormat="1" applyFont="1" applyAlignment="1">
      <alignment horizontal="right"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horizontal="right"/>
    </xf>
    <xf numFmtId="166" fontId="4" fillId="0" borderId="0" xfId="0" applyNumberFormat="1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00"/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00"/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Indicador_MUN-style" pivot="0" count="2" xr9:uid="{00000000-0011-0000-FFFF-FFFF00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89736-C22F-4437-8744-3D418205E59A}" name="Tabla1" displayName="Tabla1" ref="A1:D344" totalsRowShown="0" tableBorderDxfId="5">
  <autoFilter ref="A1:D344" xr:uid="{6C889736-C22F-4437-8744-3D418205E59A}"/>
  <sortState xmlns:xlrd2="http://schemas.microsoft.com/office/spreadsheetml/2017/richdata2" ref="A2:D344">
    <sortCondition ref="D1:D344"/>
  </sortState>
  <tableColumns count="4">
    <tableColumn id="1" xr3:uid="{9F19038F-68CE-4464-AB49-5F9DFC31F67D}" name="id" dataDxfId="4"/>
    <tableColumn id="2" xr3:uid="{F8C99BA8-EDCC-4D6B-9310-0E7041BBFCAE}" name="Municipio" dataDxfId="3"/>
    <tableColumn id="5" xr3:uid="{DAA908E5-43B9-46FB-8C01-43EDB336E69F}" name="Emisiones per cápita 2016"/>
    <tableColumn id="6" xr3:uid="{FE919FCE-FF8F-44DA-B49A-5EA8A32E8196}" name="Emisiones per cápita 20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C3788-638A-46F8-9E25-4DA31F5B994D}" name="Tabla2" displayName="Tabla2" ref="A1:D344" totalsRowShown="0" tableBorderDxfId="2">
  <autoFilter ref="A1:D344" xr:uid="{B9AC3788-638A-46F8-9E25-4DA31F5B994D}"/>
  <tableColumns count="4">
    <tableColumn id="1" xr3:uid="{814BB048-3B34-4910-998C-59C9018D88C9}" name="id" dataDxfId="1"/>
    <tableColumn id="2" xr3:uid="{83C190B8-9C60-45B0-8C1B-BB7D176DD1AB}" name="Municipio" dataDxfId="0"/>
    <tableColumn id="5" xr3:uid="{C2FDFDE6-6D09-4773-AAC8-8134F8DBB0D1}" name="Emisiones totales 2016"/>
    <tableColumn id="6" xr3:uid="{30799F08-AE83-4E0A-98B5-B0A01B7EBB25}" name="Emisiones totales 20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237B-CB8A-4C38-BE52-647AC96CF34C}">
  <dimension ref="A1:AC344"/>
  <sheetViews>
    <sheetView workbookViewId="0">
      <selection activeCell="F132" sqref="F132"/>
    </sheetView>
  </sheetViews>
  <sheetFormatPr baseColWidth="10" defaultRowHeight="13.2"/>
  <sheetData>
    <row r="1" spans="1:29" ht="43.2">
      <c r="A1" s="10" t="s">
        <v>339</v>
      </c>
      <c r="B1" s="11" t="s">
        <v>0</v>
      </c>
      <c r="C1" s="6" t="s">
        <v>349</v>
      </c>
      <c r="D1" s="6" t="s">
        <v>350</v>
      </c>
      <c r="E1" s="27" t="s">
        <v>367</v>
      </c>
      <c r="F1" s="27" t="s">
        <v>367</v>
      </c>
      <c r="G1" s="27"/>
      <c r="H1" s="29" t="s">
        <v>363</v>
      </c>
      <c r="I1" s="29">
        <v>0.4</v>
      </c>
      <c r="J1" s="10" t="s">
        <v>339</v>
      </c>
      <c r="K1" s="11" t="s">
        <v>0</v>
      </c>
      <c r="L1" s="6" t="s">
        <v>351</v>
      </c>
      <c r="M1" s="6" t="s">
        <v>352</v>
      </c>
      <c r="N1" s="27" t="s">
        <v>368</v>
      </c>
      <c r="O1" s="27" t="s">
        <v>369</v>
      </c>
      <c r="Q1" s="5" t="s">
        <v>348</v>
      </c>
      <c r="R1" s="11" t="s">
        <v>340</v>
      </c>
      <c r="S1" s="6" t="s">
        <v>349</v>
      </c>
      <c r="T1" s="6" t="s">
        <v>350</v>
      </c>
      <c r="U1" s="27" t="s">
        <v>367</v>
      </c>
      <c r="V1" s="27" t="s">
        <v>367</v>
      </c>
      <c r="X1" t="s">
        <v>348</v>
      </c>
      <c r="Y1" t="s">
        <v>340</v>
      </c>
      <c r="Z1" t="s">
        <v>351</v>
      </c>
      <c r="AA1" t="s">
        <v>352</v>
      </c>
      <c r="AB1" s="27" t="s">
        <v>367</v>
      </c>
      <c r="AC1" s="27" t="s">
        <v>367</v>
      </c>
    </row>
    <row r="2" spans="1:29" ht="14.4">
      <c r="A2" s="4">
        <v>10101</v>
      </c>
      <c r="B2" s="11" t="s">
        <v>1</v>
      </c>
      <c r="C2" s="12">
        <v>319.09710251944205</v>
      </c>
      <c r="D2" s="12">
        <v>342.83982260923483</v>
      </c>
      <c r="E2" s="31">
        <f>C2*$I$6</f>
        <v>0.12763884100777684</v>
      </c>
      <c r="F2" s="31">
        <f>D2*$I$6</f>
        <v>0.13713592904369393</v>
      </c>
      <c r="G2" s="28"/>
      <c r="H2" s="30"/>
      <c r="I2" s="30"/>
      <c r="J2" s="4">
        <v>10101</v>
      </c>
      <c r="K2" s="11" t="s">
        <v>1</v>
      </c>
      <c r="L2" s="3">
        <v>87218811.031639099</v>
      </c>
      <c r="M2" s="3">
        <v>101736346</v>
      </c>
      <c r="N2" s="31">
        <f>L2*$I$6</f>
        <v>34887.524412655643</v>
      </c>
      <c r="O2" s="31">
        <f t="shared" ref="O2:O65" si="0">M2*$I$6</f>
        <v>40694.538400000005</v>
      </c>
      <c r="Q2" s="3">
        <v>1</v>
      </c>
      <c r="R2" s="11" t="s">
        <v>341</v>
      </c>
      <c r="S2" s="3">
        <v>181.50036257754903</v>
      </c>
      <c r="T2" s="3">
        <v>210.60829467994</v>
      </c>
      <c r="U2" s="31">
        <f>S2*$I$6</f>
        <v>7.2600145031019608E-2</v>
      </c>
      <c r="V2" s="31">
        <f t="shared" ref="V2:V12" si="1">T2*$I$6</f>
        <v>8.4243317871976003E-2</v>
      </c>
      <c r="X2">
        <v>1</v>
      </c>
      <c r="Y2" t="s">
        <v>341</v>
      </c>
      <c r="Z2">
        <v>106956167.16296129</v>
      </c>
      <c r="AA2">
        <v>127634313</v>
      </c>
      <c r="AB2" s="31">
        <f>Z2*$I$6</f>
        <v>42782.46686518452</v>
      </c>
      <c r="AC2" s="31">
        <f t="shared" ref="AC2:AC12" si="2">AA2*$I$6</f>
        <v>51053.725200000001</v>
      </c>
    </row>
    <row r="3" spans="1:29" ht="14.4">
      <c r="A3" s="4">
        <v>10102</v>
      </c>
      <c r="B3" s="11" t="s">
        <v>2</v>
      </c>
      <c r="C3" s="12">
        <v>161.2525285538274</v>
      </c>
      <c r="D3" s="12">
        <v>204.07076490924806</v>
      </c>
      <c r="E3" s="31">
        <f t="shared" ref="E3:E66" si="3">C3*$I$6</f>
        <v>6.450101142153096E-2</v>
      </c>
      <c r="F3" s="31">
        <f t="shared" ref="F2:F65" si="4">D3*$I$6</f>
        <v>8.162830596369923E-2</v>
      </c>
      <c r="G3" s="28"/>
      <c r="H3" s="29" t="s">
        <v>364</v>
      </c>
      <c r="I3" s="29"/>
      <c r="J3" s="4">
        <v>10102</v>
      </c>
      <c r="K3" s="11" t="s">
        <v>2</v>
      </c>
      <c r="L3" s="3">
        <v>1514645.0007061008</v>
      </c>
      <c r="M3" s="3">
        <v>1888879</v>
      </c>
      <c r="N3" s="31">
        <f t="shared" ref="N3:N66" si="5">L3*$I$6</f>
        <v>605.85800028244034</v>
      </c>
      <c r="O3" s="31">
        <f t="shared" si="0"/>
        <v>755.55160000000001</v>
      </c>
      <c r="Q3" s="3">
        <v>2</v>
      </c>
      <c r="R3" s="11" t="s">
        <v>30</v>
      </c>
      <c r="S3" s="3">
        <v>275.48900660577056</v>
      </c>
      <c r="T3" s="3">
        <v>291.85698981528401</v>
      </c>
      <c r="U3" s="31">
        <f t="shared" ref="U3:U12" si="6">S3*$I$6</f>
        <v>0.11019560264230822</v>
      </c>
      <c r="V3" s="31">
        <f t="shared" si="1"/>
        <v>0.11674279592611361</v>
      </c>
      <c r="X3">
        <v>2</v>
      </c>
      <c r="Y3" t="s">
        <v>30</v>
      </c>
      <c r="Z3">
        <v>777759553.32296205</v>
      </c>
      <c r="AA3">
        <v>884594311.99997115</v>
      </c>
      <c r="AB3" s="31">
        <f t="shared" ref="AB3:AB12" si="7">Z3*$I$6</f>
        <v>311103.82132918481</v>
      </c>
      <c r="AC3" s="31">
        <f t="shared" si="2"/>
        <v>353837.7247999885</v>
      </c>
    </row>
    <row r="4" spans="1:29" ht="14.4">
      <c r="A4" s="4">
        <v>10103</v>
      </c>
      <c r="B4" s="11" t="s">
        <v>3</v>
      </c>
      <c r="C4" s="12">
        <v>10.535482628782431</v>
      </c>
      <c r="D4" s="12">
        <v>28.206022419224851</v>
      </c>
      <c r="E4" s="31">
        <f t="shared" si="3"/>
        <v>4.2141930515129725E-3</v>
      </c>
      <c r="F4" s="31">
        <f t="shared" si="4"/>
        <v>1.1282408967689941E-2</v>
      </c>
      <c r="G4" s="28"/>
      <c r="H4" s="30" t="s">
        <v>365</v>
      </c>
      <c r="I4" s="30"/>
      <c r="J4" s="4">
        <v>10103</v>
      </c>
      <c r="K4" s="11" t="s">
        <v>3</v>
      </c>
      <c r="L4" s="3">
        <v>164048.00001277123</v>
      </c>
      <c r="M4" s="3">
        <v>384984</v>
      </c>
      <c r="N4" s="31">
        <f t="shared" si="5"/>
        <v>65.619200005108496</v>
      </c>
      <c r="O4" s="31">
        <f t="shared" si="0"/>
        <v>153.99360000000001</v>
      </c>
      <c r="Q4" s="3">
        <v>3</v>
      </c>
      <c r="R4" s="11" t="s">
        <v>344</v>
      </c>
      <c r="S4" s="3">
        <v>281.72226117077878</v>
      </c>
      <c r="T4" s="3">
        <v>268.54420422577516</v>
      </c>
      <c r="U4" s="31">
        <f t="shared" si="6"/>
        <v>0.11268890446831152</v>
      </c>
      <c r="V4" s="31">
        <f t="shared" si="1"/>
        <v>0.10741768169031007</v>
      </c>
      <c r="X4">
        <v>3</v>
      </c>
      <c r="Y4" t="s">
        <v>344</v>
      </c>
      <c r="Z4">
        <v>520423561.00495142</v>
      </c>
      <c r="AA4">
        <v>541480986.00007129</v>
      </c>
      <c r="AB4" s="31">
        <f t="shared" si="7"/>
        <v>208169.42440198056</v>
      </c>
      <c r="AC4" s="31">
        <f t="shared" si="2"/>
        <v>216592.39440002851</v>
      </c>
    </row>
    <row r="5" spans="1:29" ht="14.4">
      <c r="A5" s="4">
        <v>10201</v>
      </c>
      <c r="B5" s="11" t="s">
        <v>4</v>
      </c>
      <c r="C5" s="12">
        <v>34.164235811156061</v>
      </c>
      <c r="D5" s="12">
        <v>54.002277616095157</v>
      </c>
      <c r="E5" s="31">
        <f t="shared" si="3"/>
        <v>1.3665694324462425E-2</v>
      </c>
      <c r="F5" s="31">
        <f t="shared" si="4"/>
        <v>2.1600911046438062E-2</v>
      </c>
      <c r="G5" s="28"/>
      <c r="H5" s="30"/>
      <c r="I5" s="30"/>
      <c r="J5" s="4">
        <v>10201</v>
      </c>
      <c r="K5" s="11" t="s">
        <v>4</v>
      </c>
      <c r="L5" s="3">
        <v>332622.99985741545</v>
      </c>
      <c r="M5" s="3">
        <v>426780</v>
      </c>
      <c r="N5" s="31">
        <f t="shared" si="5"/>
        <v>133.0491999429662</v>
      </c>
      <c r="O5" s="31">
        <f t="shared" si="0"/>
        <v>170.71200000000002</v>
      </c>
      <c r="Q5" s="3">
        <v>4</v>
      </c>
      <c r="R5" s="11" t="s">
        <v>165</v>
      </c>
      <c r="S5" s="3">
        <v>189.82716987514988</v>
      </c>
      <c r="T5" s="3">
        <v>192.96240929128109</v>
      </c>
      <c r="U5" s="31">
        <f t="shared" si="6"/>
        <v>7.593086795005996E-2</v>
      </c>
      <c r="V5" s="31">
        <f t="shared" si="1"/>
        <v>7.7184963716512442E-2</v>
      </c>
      <c r="X5">
        <v>4</v>
      </c>
      <c r="Y5" t="s">
        <v>165</v>
      </c>
      <c r="Z5">
        <v>98751131.003827915</v>
      </c>
      <c r="AA5">
        <v>110272421.00009769</v>
      </c>
      <c r="AB5" s="31">
        <f t="shared" si="7"/>
        <v>39500.452401531169</v>
      </c>
      <c r="AC5" s="31">
        <f t="shared" si="2"/>
        <v>44108.968400039077</v>
      </c>
    </row>
    <row r="6" spans="1:29" ht="14.4">
      <c r="A6" s="4">
        <v>10202</v>
      </c>
      <c r="B6" s="11" t="s">
        <v>5</v>
      </c>
      <c r="C6" s="12">
        <v>24.415194225992636</v>
      </c>
      <c r="D6" s="12">
        <v>29.146086128955506</v>
      </c>
      <c r="E6" s="31">
        <f t="shared" si="3"/>
        <v>9.7660776903970552E-3</v>
      </c>
      <c r="F6" s="31">
        <f t="shared" si="4"/>
        <v>1.1658434451582203E-2</v>
      </c>
      <c r="G6" s="28"/>
      <c r="H6" s="29" t="s">
        <v>366</v>
      </c>
      <c r="I6" s="29">
        <f>I1/1000</f>
        <v>4.0000000000000002E-4</v>
      </c>
      <c r="J6" s="4">
        <v>10202</v>
      </c>
      <c r="K6" s="11" t="s">
        <v>5</v>
      </c>
      <c r="L6" s="3">
        <v>368937.9999489747</v>
      </c>
      <c r="M6" s="3">
        <v>490004</v>
      </c>
      <c r="N6" s="31">
        <f t="shared" si="5"/>
        <v>147.57519997958988</v>
      </c>
      <c r="O6" s="31">
        <f t="shared" si="0"/>
        <v>196.0016</v>
      </c>
      <c r="Q6" s="3">
        <v>5</v>
      </c>
      <c r="R6" s="11" t="s">
        <v>200</v>
      </c>
      <c r="S6" s="3">
        <v>104.97704793544733</v>
      </c>
      <c r="T6" s="3">
        <v>121.36009158334224</v>
      </c>
      <c r="U6" s="31">
        <f t="shared" si="6"/>
        <v>4.1990819174178934E-2</v>
      </c>
      <c r="V6" s="31">
        <f t="shared" si="1"/>
        <v>4.8544036633336896E-2</v>
      </c>
      <c r="X6">
        <v>5</v>
      </c>
      <c r="Y6" t="s">
        <v>200</v>
      </c>
      <c r="Z6">
        <v>88122143.073027775</v>
      </c>
      <c r="AA6">
        <v>104526476</v>
      </c>
      <c r="AB6" s="31">
        <f t="shared" si="7"/>
        <v>35248.857229211113</v>
      </c>
      <c r="AC6" s="31">
        <f t="shared" si="2"/>
        <v>41810.590400000001</v>
      </c>
    </row>
    <row r="7" spans="1:29" ht="14.4">
      <c r="A7" s="4">
        <v>10301</v>
      </c>
      <c r="B7" s="11" t="s">
        <v>6</v>
      </c>
      <c r="C7" s="12">
        <v>45.101738294447365</v>
      </c>
      <c r="D7" s="12"/>
      <c r="E7" s="31">
        <f t="shared" si="3"/>
        <v>1.8040695317778948E-2</v>
      </c>
      <c r="F7" s="31">
        <f t="shared" si="4"/>
        <v>0</v>
      </c>
      <c r="G7" s="28"/>
      <c r="J7" s="4">
        <v>10301</v>
      </c>
      <c r="K7" s="11" t="s">
        <v>6</v>
      </c>
      <c r="L7" s="3">
        <v>547490.00115629658</v>
      </c>
      <c r="M7" s="3"/>
      <c r="N7" s="31">
        <f t="shared" si="5"/>
        <v>218.99600046251865</v>
      </c>
      <c r="O7" s="31">
        <f t="shared" si="0"/>
        <v>0</v>
      </c>
      <c r="Q7" s="3">
        <v>6</v>
      </c>
      <c r="R7" s="11" t="s">
        <v>242</v>
      </c>
      <c r="S7" s="3">
        <v>285.95789298432703</v>
      </c>
      <c r="T7" s="3">
        <v>319.70489695063736</v>
      </c>
      <c r="U7" s="31">
        <f t="shared" si="6"/>
        <v>0.11438315719373082</v>
      </c>
      <c r="V7" s="31">
        <f t="shared" si="1"/>
        <v>0.12788195878025496</v>
      </c>
      <c r="X7">
        <v>6</v>
      </c>
      <c r="Y7" t="s">
        <v>242</v>
      </c>
      <c r="Z7">
        <v>143097904.97564501</v>
      </c>
      <c r="AA7">
        <v>170789553</v>
      </c>
      <c r="AB7" s="31">
        <f t="shared" si="7"/>
        <v>57239.161990258006</v>
      </c>
      <c r="AC7" s="31">
        <f t="shared" si="2"/>
        <v>68315.821200000006</v>
      </c>
    </row>
    <row r="8" spans="1:29" ht="14.4">
      <c r="A8" s="4">
        <v>10302</v>
      </c>
      <c r="B8" s="11" t="s">
        <v>7</v>
      </c>
      <c r="C8" s="12">
        <v>24.234641338338498</v>
      </c>
      <c r="D8" s="12">
        <v>33.79846877741447</v>
      </c>
      <c r="E8" s="31">
        <f t="shared" si="3"/>
        <v>9.6938565353354E-3</v>
      </c>
      <c r="F8" s="31">
        <f t="shared" si="4"/>
        <v>1.351938751096579E-2</v>
      </c>
      <c r="G8" s="28"/>
      <c r="J8" s="4">
        <v>10302</v>
      </c>
      <c r="K8" s="11" t="s">
        <v>7</v>
      </c>
      <c r="L8" s="3">
        <v>301381.99968357757</v>
      </c>
      <c r="M8" s="3">
        <v>423799</v>
      </c>
      <c r="N8" s="31">
        <f t="shared" si="5"/>
        <v>120.55279987343103</v>
      </c>
      <c r="O8" s="31">
        <f t="shared" si="0"/>
        <v>169.5196</v>
      </c>
      <c r="Q8" s="3">
        <v>7</v>
      </c>
      <c r="R8" s="11" t="s">
        <v>347</v>
      </c>
      <c r="S8" s="3">
        <v>483.24169979679937</v>
      </c>
      <c r="T8" s="3">
        <v>508.48745454516342</v>
      </c>
      <c r="U8" s="31">
        <f t="shared" si="6"/>
        <v>0.19329667991871977</v>
      </c>
      <c r="V8" s="31">
        <f t="shared" si="1"/>
        <v>0.20339498181806537</v>
      </c>
      <c r="X8">
        <v>7</v>
      </c>
      <c r="Y8" t="s">
        <v>347</v>
      </c>
      <c r="Z8">
        <v>1359217794.9520559</v>
      </c>
      <c r="AA8">
        <v>1587805468</v>
      </c>
      <c r="AB8" s="31">
        <f t="shared" si="7"/>
        <v>543687.11798082246</v>
      </c>
      <c r="AC8" s="31">
        <f t="shared" si="2"/>
        <v>635122.18720000004</v>
      </c>
    </row>
    <row r="9" spans="1:29" ht="14.4">
      <c r="A9" s="4">
        <v>10303</v>
      </c>
      <c r="B9" s="11" t="s">
        <v>8</v>
      </c>
      <c r="C9" s="12">
        <v>56.826009379618974</v>
      </c>
      <c r="D9" s="12">
        <v>68.201987852015463</v>
      </c>
      <c r="E9" s="31">
        <f t="shared" si="3"/>
        <v>2.2730403751847591E-2</v>
      </c>
      <c r="F9" s="31">
        <f t="shared" si="4"/>
        <v>2.7280795140806186E-2</v>
      </c>
      <c r="G9" s="28"/>
      <c r="J9" s="4">
        <v>10303</v>
      </c>
      <c r="K9" s="11" t="s">
        <v>8</v>
      </c>
      <c r="L9" s="3">
        <v>477168.00076066051</v>
      </c>
      <c r="M9" s="3">
        <v>617569</v>
      </c>
      <c r="N9" s="31">
        <f t="shared" si="5"/>
        <v>190.8672003042642</v>
      </c>
      <c r="O9" s="31">
        <f t="shared" si="0"/>
        <v>247.02760000000001</v>
      </c>
      <c r="Q9" s="3">
        <v>8</v>
      </c>
      <c r="R9" s="11" t="s">
        <v>342</v>
      </c>
      <c r="S9" s="3">
        <v>248.74060597122713</v>
      </c>
      <c r="T9" s="3">
        <v>354.46881784295664</v>
      </c>
      <c r="U9" s="31">
        <f t="shared" si="6"/>
        <v>9.9496242388490849E-2</v>
      </c>
      <c r="V9" s="31">
        <f t="shared" si="1"/>
        <v>0.14178752713718265</v>
      </c>
      <c r="X9">
        <v>8</v>
      </c>
      <c r="Y9" t="s">
        <v>342</v>
      </c>
      <c r="Z9">
        <v>110463879.01405314</v>
      </c>
      <c r="AA9">
        <v>173072945.000002</v>
      </c>
      <c r="AB9" s="31">
        <f t="shared" si="7"/>
        <v>44185.551605621258</v>
      </c>
      <c r="AC9" s="31">
        <f t="shared" si="2"/>
        <v>69229.1780000008</v>
      </c>
    </row>
    <row r="10" spans="1:29" ht="14.4">
      <c r="A10" s="4">
        <v>10304</v>
      </c>
      <c r="B10" s="11" t="s">
        <v>9</v>
      </c>
      <c r="C10" s="12">
        <v>35.514452352059699</v>
      </c>
      <c r="D10" s="12">
        <v>40.994866193336975</v>
      </c>
      <c r="E10" s="31">
        <f t="shared" si="3"/>
        <v>1.420578094082388E-2</v>
      </c>
      <c r="F10" s="31">
        <f t="shared" si="4"/>
        <v>1.639794647733479E-2</v>
      </c>
      <c r="G10" s="28"/>
      <c r="J10" s="4">
        <v>10304</v>
      </c>
      <c r="K10" s="11" t="s">
        <v>9</v>
      </c>
      <c r="L10" s="3">
        <v>292426.00066685956</v>
      </c>
      <c r="M10" s="3">
        <v>375308</v>
      </c>
      <c r="N10" s="31">
        <f t="shared" si="5"/>
        <v>116.97040026674382</v>
      </c>
      <c r="O10" s="31">
        <f t="shared" si="0"/>
        <v>150.1232</v>
      </c>
      <c r="Q10" s="3">
        <v>9</v>
      </c>
      <c r="R10" s="11" t="s">
        <v>346</v>
      </c>
      <c r="S10" s="3">
        <v>241.48311472356215</v>
      </c>
      <c r="T10" s="3">
        <v>299.52224019062925</v>
      </c>
      <c r="U10" s="31">
        <f t="shared" si="6"/>
        <v>9.6593245889424861E-2</v>
      </c>
      <c r="V10" s="31">
        <f t="shared" si="1"/>
        <v>0.11980889607625171</v>
      </c>
      <c r="X10">
        <v>9</v>
      </c>
      <c r="Y10" t="s">
        <v>346</v>
      </c>
      <c r="Z10">
        <v>28580975.526221924</v>
      </c>
      <c r="AA10">
        <v>40194087.5001413</v>
      </c>
      <c r="AB10" s="31">
        <f t="shared" si="7"/>
        <v>11432.390210488769</v>
      </c>
      <c r="AC10" s="31">
        <f t="shared" si="2"/>
        <v>16077.635000056522</v>
      </c>
    </row>
    <row r="11" spans="1:29" ht="14.4">
      <c r="A11" s="4">
        <v>10401</v>
      </c>
      <c r="B11" s="11" t="s">
        <v>10</v>
      </c>
      <c r="C11" s="12">
        <v>108.66603231901824</v>
      </c>
      <c r="D11" s="12">
        <v>149.52284595300262</v>
      </c>
      <c r="E11" s="31">
        <f t="shared" si="3"/>
        <v>4.3466412927607299E-2</v>
      </c>
      <c r="F11" s="31">
        <f t="shared" si="4"/>
        <v>5.9809138381201048E-2</v>
      </c>
      <c r="G11" s="28"/>
      <c r="J11" s="4">
        <v>10401</v>
      </c>
      <c r="K11" s="11" t="s">
        <v>10</v>
      </c>
      <c r="L11" s="3">
        <v>1085138.9987377161</v>
      </c>
      <c r="M11" s="3">
        <v>1374414</v>
      </c>
      <c r="N11" s="31">
        <f t="shared" si="5"/>
        <v>434.05559949508648</v>
      </c>
      <c r="O11" s="31">
        <f t="shared" si="0"/>
        <v>549.76560000000006</v>
      </c>
      <c r="Q11" s="3">
        <v>10</v>
      </c>
      <c r="R11" s="11" t="s">
        <v>345</v>
      </c>
      <c r="S11" s="3">
        <v>303.52847307314499</v>
      </c>
      <c r="T11" s="3">
        <v>352.84002034358048</v>
      </c>
      <c r="U11" s="31">
        <f t="shared" si="6"/>
        <v>0.12141138922925801</v>
      </c>
      <c r="V11" s="31">
        <f t="shared" si="1"/>
        <v>0.14113600813743218</v>
      </c>
      <c r="X11">
        <v>10</v>
      </c>
      <c r="Y11" t="s">
        <v>345</v>
      </c>
      <c r="Z11">
        <v>45956031.994112588</v>
      </c>
      <c r="AA11">
        <v>56194713</v>
      </c>
      <c r="AB11" s="31">
        <f t="shared" si="7"/>
        <v>18382.412797645036</v>
      </c>
      <c r="AC11" s="31">
        <f t="shared" si="2"/>
        <v>22477.885200000001</v>
      </c>
    </row>
    <row r="12" spans="1:29" ht="14.4">
      <c r="A12" s="4">
        <v>10402</v>
      </c>
      <c r="B12" s="11" t="s">
        <v>11</v>
      </c>
      <c r="C12" s="12">
        <v>69.928109120277441</v>
      </c>
      <c r="D12" s="12">
        <v>88.570924903043831</v>
      </c>
      <c r="E12" s="31">
        <f t="shared" si="3"/>
        <v>2.7971243648110978E-2</v>
      </c>
      <c r="F12" s="31">
        <f t="shared" si="4"/>
        <v>3.5428369961217537E-2</v>
      </c>
      <c r="G12" s="28"/>
      <c r="J12" s="4">
        <v>10402</v>
      </c>
      <c r="K12" s="11" t="s">
        <v>11</v>
      </c>
      <c r="L12" s="3">
        <v>594318.99941323791</v>
      </c>
      <c r="M12" s="3">
        <v>753650</v>
      </c>
      <c r="N12" s="31">
        <f t="shared" si="5"/>
        <v>237.72759976529517</v>
      </c>
      <c r="O12" s="31">
        <f t="shared" si="0"/>
        <v>301.46000000000004</v>
      </c>
      <c r="Q12" s="3">
        <v>11</v>
      </c>
      <c r="R12" s="11" t="s">
        <v>343</v>
      </c>
      <c r="S12" s="3">
        <v>309.81295366206922</v>
      </c>
      <c r="T12" s="3">
        <v>350.24212163427154</v>
      </c>
      <c r="U12" s="31">
        <f t="shared" si="6"/>
        <v>0.1239251814648277</v>
      </c>
      <c r="V12" s="31">
        <f t="shared" si="1"/>
        <v>0.14009684865370861</v>
      </c>
      <c r="X12">
        <v>11</v>
      </c>
      <c r="Y12" t="s">
        <v>343</v>
      </c>
      <c r="Z12">
        <v>3251489737</v>
      </c>
      <c r="AA12">
        <v>3980618343</v>
      </c>
      <c r="AB12" s="31">
        <f t="shared" si="7"/>
        <v>1300595.8948000001</v>
      </c>
      <c r="AC12" s="31">
        <f t="shared" si="2"/>
        <v>1592247.3372000002</v>
      </c>
    </row>
    <row r="13" spans="1:29" ht="14.4">
      <c r="A13" s="4">
        <v>10403</v>
      </c>
      <c r="B13" s="11" t="s">
        <v>12</v>
      </c>
      <c r="C13" s="12">
        <v>56.99958261378648</v>
      </c>
      <c r="D13" s="12">
        <v>73.120282339383465</v>
      </c>
      <c r="E13" s="31">
        <f t="shared" si="3"/>
        <v>2.2799833045514594E-2</v>
      </c>
      <c r="F13" s="31">
        <f t="shared" si="4"/>
        <v>2.9248112935753388E-2</v>
      </c>
      <c r="G13" s="28"/>
      <c r="J13" s="4">
        <v>10403</v>
      </c>
      <c r="K13" s="11" t="s">
        <v>12</v>
      </c>
      <c r="L13" s="3">
        <v>409769.99941051099</v>
      </c>
      <c r="M13" s="3">
        <v>507601</v>
      </c>
      <c r="N13" s="31">
        <f t="shared" si="5"/>
        <v>163.90799976420442</v>
      </c>
      <c r="O13" s="31">
        <f t="shared" si="0"/>
        <v>203.04040000000001</v>
      </c>
    </row>
    <row r="14" spans="1:29" ht="14.4">
      <c r="A14" s="4">
        <v>10404</v>
      </c>
      <c r="B14" s="11" t="s">
        <v>13</v>
      </c>
      <c r="C14" s="12">
        <v>53.089964763622255</v>
      </c>
      <c r="D14" s="12">
        <v>87.063959660297243</v>
      </c>
      <c r="E14" s="31">
        <f t="shared" si="3"/>
        <v>2.1235985905448902E-2</v>
      </c>
      <c r="F14" s="31">
        <f t="shared" si="4"/>
        <v>3.4825583864118902E-2</v>
      </c>
      <c r="G14" s="28"/>
      <c r="J14" s="4">
        <v>10404</v>
      </c>
      <c r="K14" s="11" t="s">
        <v>13</v>
      </c>
      <c r="L14" s="3">
        <v>240179.00059062708</v>
      </c>
      <c r="M14" s="3">
        <v>328057</v>
      </c>
      <c r="N14" s="31">
        <f t="shared" si="5"/>
        <v>96.071600236250831</v>
      </c>
      <c r="O14" s="31">
        <f t="shared" si="0"/>
        <v>131.22280000000001</v>
      </c>
    </row>
    <row r="15" spans="1:29" ht="14.4">
      <c r="A15" s="4">
        <v>10405</v>
      </c>
      <c r="B15" s="11" t="s">
        <v>14</v>
      </c>
      <c r="C15" s="12">
        <v>45.426866895982272</v>
      </c>
      <c r="D15" s="12">
        <v>60.448532012734347</v>
      </c>
      <c r="E15" s="31">
        <f t="shared" si="3"/>
        <v>1.8170746758392909E-2</v>
      </c>
      <c r="F15" s="31">
        <f t="shared" si="4"/>
        <v>2.4179412805093739E-2</v>
      </c>
      <c r="G15" s="28"/>
      <c r="J15" s="4">
        <v>10405</v>
      </c>
      <c r="K15" s="11" t="s">
        <v>14</v>
      </c>
      <c r="L15" s="3">
        <v>220819.99998136982</v>
      </c>
      <c r="M15" s="3">
        <v>341776</v>
      </c>
      <c r="N15" s="31">
        <f t="shared" si="5"/>
        <v>88.32799999254793</v>
      </c>
      <c r="O15" s="31">
        <f t="shared" si="0"/>
        <v>136.71039999999999</v>
      </c>
    </row>
    <row r="16" spans="1:29" ht="14.4">
      <c r="A16" s="4">
        <v>10501</v>
      </c>
      <c r="B16" s="11" t="s">
        <v>15</v>
      </c>
      <c r="C16" s="12">
        <v>157.65432258394097</v>
      </c>
      <c r="D16" s="12">
        <v>204.32518536625113</v>
      </c>
      <c r="E16" s="31">
        <f t="shared" si="3"/>
        <v>6.3061729033576389E-2</v>
      </c>
      <c r="F16" s="31">
        <f t="shared" si="4"/>
        <v>8.1730074146500464E-2</v>
      </c>
      <c r="G16" s="28"/>
      <c r="J16" s="4">
        <v>10501</v>
      </c>
      <c r="K16" s="11" t="s">
        <v>15</v>
      </c>
      <c r="L16" s="3">
        <v>3844243.0018868167</v>
      </c>
      <c r="M16" s="3">
        <v>5015366</v>
      </c>
      <c r="N16" s="31">
        <f t="shared" si="5"/>
        <v>1537.6972007547267</v>
      </c>
      <c r="O16" s="31">
        <f t="shared" si="0"/>
        <v>2006.1464000000001</v>
      </c>
    </row>
    <row r="17" spans="1:15" ht="14.4">
      <c r="A17" s="4">
        <v>10502</v>
      </c>
      <c r="B17" s="11" t="s">
        <v>16</v>
      </c>
      <c r="C17" s="12">
        <v>87.396685895488858</v>
      </c>
      <c r="D17" s="12">
        <v>144.40555555555557</v>
      </c>
      <c r="E17" s="31">
        <f t="shared" si="3"/>
        <v>3.4958674358195545E-2</v>
      </c>
      <c r="F17" s="31">
        <f t="shared" si="4"/>
        <v>5.7762222222222229E-2</v>
      </c>
      <c r="G17" s="28"/>
      <c r="J17" s="4">
        <v>10502</v>
      </c>
      <c r="K17" s="11" t="s">
        <v>16</v>
      </c>
      <c r="L17" s="3">
        <v>696201.99984346423</v>
      </c>
      <c r="M17" s="3">
        <v>1039720</v>
      </c>
      <c r="N17" s="31">
        <f t="shared" si="5"/>
        <v>278.48079993738571</v>
      </c>
      <c r="O17" s="31">
        <f t="shared" si="0"/>
        <v>415.88800000000003</v>
      </c>
    </row>
    <row r="18" spans="1:15" ht="14.4">
      <c r="A18" s="4">
        <v>10601</v>
      </c>
      <c r="B18" s="11" t="s">
        <v>17</v>
      </c>
      <c r="C18" s="12">
        <v>42.43470802821524</v>
      </c>
      <c r="D18" s="12">
        <v>60.497785783982586</v>
      </c>
      <c r="E18" s="31">
        <f t="shared" si="3"/>
        <v>1.6973883211286098E-2</v>
      </c>
      <c r="F18" s="31">
        <f t="shared" si="4"/>
        <v>2.4199114313593034E-2</v>
      </c>
      <c r="G18" s="28"/>
      <c r="J18" s="4">
        <v>10601</v>
      </c>
      <c r="K18" s="11" t="s">
        <v>17</v>
      </c>
      <c r="L18" s="3">
        <v>667795.00024002325</v>
      </c>
      <c r="M18" s="3">
        <v>806012</v>
      </c>
      <c r="N18" s="31">
        <f t="shared" si="5"/>
        <v>267.11800009600933</v>
      </c>
      <c r="O18" s="31">
        <f t="shared" si="0"/>
        <v>322.40480000000002</v>
      </c>
    </row>
    <row r="19" spans="1:15" ht="14.4">
      <c r="A19" s="4">
        <v>10602</v>
      </c>
      <c r="B19" s="11" t="s">
        <v>18</v>
      </c>
      <c r="C19" s="12">
        <v>44.837357505067722</v>
      </c>
      <c r="D19" s="12">
        <v>66.013561320754718</v>
      </c>
      <c r="E19" s="31">
        <f t="shared" si="3"/>
        <v>1.7934943002027089E-2</v>
      </c>
      <c r="F19" s="31">
        <f t="shared" si="4"/>
        <v>2.6405424528301889E-2</v>
      </c>
      <c r="G19" s="28"/>
      <c r="J19" s="4">
        <v>10602</v>
      </c>
      <c r="K19" s="11" t="s">
        <v>18</v>
      </c>
      <c r="L19" s="3">
        <v>428958.99925098289</v>
      </c>
      <c r="M19" s="3">
        <v>559795</v>
      </c>
      <c r="N19" s="31">
        <f t="shared" si="5"/>
        <v>171.58359970039317</v>
      </c>
      <c r="O19" s="31">
        <f t="shared" si="0"/>
        <v>223.91800000000001</v>
      </c>
    </row>
    <row r="20" spans="1:15" ht="14.4">
      <c r="A20" s="4">
        <v>10701</v>
      </c>
      <c r="B20" s="11" t="s">
        <v>19</v>
      </c>
      <c r="C20" s="12">
        <v>106.75680374204477</v>
      </c>
      <c r="D20" s="12">
        <v>147.29354992183784</v>
      </c>
      <c r="E20" s="31">
        <f t="shared" si="3"/>
        <v>4.2702721496817905E-2</v>
      </c>
      <c r="F20" s="31">
        <f t="shared" si="4"/>
        <v>5.8917419968735139E-2</v>
      </c>
      <c r="G20" s="28"/>
      <c r="J20" s="4">
        <v>10701</v>
      </c>
      <c r="K20" s="11" t="s">
        <v>19</v>
      </c>
      <c r="L20" s="3">
        <v>1637008.8285805145</v>
      </c>
      <c r="M20" s="3">
        <v>2167130</v>
      </c>
      <c r="N20" s="31">
        <f t="shared" si="5"/>
        <v>654.80353143220589</v>
      </c>
      <c r="O20" s="31">
        <f t="shared" si="0"/>
        <v>866.85200000000009</v>
      </c>
    </row>
    <row r="21" spans="1:15" ht="14.4">
      <c r="A21" s="4">
        <v>10702</v>
      </c>
      <c r="B21" s="11" t="s">
        <v>20</v>
      </c>
      <c r="C21" s="12">
        <v>34.859408253762282</v>
      </c>
      <c r="D21" s="12">
        <v>53.536028448437207</v>
      </c>
      <c r="E21" s="31">
        <f t="shared" si="3"/>
        <v>1.3943763301504914E-2</v>
      </c>
      <c r="F21" s="31">
        <f t="shared" si="4"/>
        <v>2.1414411379374883E-2</v>
      </c>
      <c r="G21" s="28"/>
      <c r="J21" s="4">
        <v>10702</v>
      </c>
      <c r="K21" s="11" t="s">
        <v>20</v>
      </c>
      <c r="L21" s="3">
        <v>1066175.0014413195</v>
      </c>
      <c r="M21" s="3">
        <v>1430215</v>
      </c>
      <c r="N21" s="31">
        <f t="shared" si="5"/>
        <v>426.47000057652781</v>
      </c>
      <c r="O21" s="31">
        <f t="shared" si="0"/>
        <v>572.08600000000001</v>
      </c>
    </row>
    <row r="22" spans="1:15" ht="14.4">
      <c r="A22" s="4">
        <v>10703</v>
      </c>
      <c r="B22" s="11" t="s">
        <v>21</v>
      </c>
      <c r="C22" s="12">
        <v>22.186393460057676</v>
      </c>
      <c r="D22" s="12">
        <v>26.14316913370541</v>
      </c>
      <c r="E22" s="31">
        <f t="shared" si="3"/>
        <v>8.8745573840230702E-3</v>
      </c>
      <c r="F22" s="31">
        <f t="shared" si="4"/>
        <v>1.0457267653482165E-2</v>
      </c>
      <c r="G22" s="28"/>
      <c r="J22" s="4">
        <v>10703</v>
      </c>
      <c r="K22" s="11" t="s">
        <v>21</v>
      </c>
      <c r="L22" s="3">
        <v>315024.60073935892</v>
      </c>
      <c r="M22" s="3">
        <v>430944</v>
      </c>
      <c r="N22" s="31">
        <f t="shared" si="5"/>
        <v>126.00984029574357</v>
      </c>
      <c r="O22" s="31">
        <f t="shared" si="0"/>
        <v>172.3776</v>
      </c>
    </row>
    <row r="23" spans="1:15" ht="14.4">
      <c r="A23" s="4">
        <v>10704</v>
      </c>
      <c r="B23" s="11" t="s">
        <v>22</v>
      </c>
      <c r="C23" s="12">
        <v>30.940189972446639</v>
      </c>
      <c r="D23" s="12">
        <v>47.068477804229097</v>
      </c>
      <c r="E23" s="31">
        <f t="shared" si="3"/>
        <v>1.2376075988978656E-2</v>
      </c>
      <c r="F23" s="31">
        <f t="shared" si="4"/>
        <v>1.8827391121691638E-2</v>
      </c>
      <c r="G23" s="28"/>
      <c r="J23" s="4">
        <v>10704</v>
      </c>
      <c r="K23" s="11" t="s">
        <v>22</v>
      </c>
      <c r="L23" s="3">
        <v>480408.32970217895</v>
      </c>
      <c r="M23" s="3">
        <v>672232</v>
      </c>
      <c r="N23" s="31">
        <f t="shared" si="5"/>
        <v>192.1633318808716</v>
      </c>
      <c r="O23" s="31">
        <f t="shared" si="0"/>
        <v>268.89280000000002</v>
      </c>
    </row>
    <row r="24" spans="1:15" ht="14.4">
      <c r="A24" s="4">
        <v>10801</v>
      </c>
      <c r="B24" s="11" t="s">
        <v>23</v>
      </c>
      <c r="C24" s="12">
        <v>90.923921411621151</v>
      </c>
      <c r="D24" s="12">
        <v>141.46656418139892</v>
      </c>
      <c r="E24" s="31">
        <f t="shared" si="3"/>
        <v>3.6369568564648465E-2</v>
      </c>
      <c r="F24" s="31">
        <f t="shared" si="4"/>
        <v>5.6586625672559572E-2</v>
      </c>
      <c r="G24" s="28"/>
      <c r="J24" s="4">
        <v>10801</v>
      </c>
      <c r="K24" s="11" t="s">
        <v>23</v>
      </c>
      <c r="L24" s="3">
        <v>952519.00070814323</v>
      </c>
      <c r="M24" s="3">
        <v>1288336</v>
      </c>
      <c r="N24" s="31">
        <f t="shared" si="5"/>
        <v>381.00760028325732</v>
      </c>
      <c r="O24" s="31">
        <f t="shared" si="0"/>
        <v>515.33440000000007</v>
      </c>
    </row>
    <row r="25" spans="1:15" ht="14.4">
      <c r="A25" s="4">
        <v>10901</v>
      </c>
      <c r="B25" s="11" t="s">
        <v>24</v>
      </c>
      <c r="C25" s="12">
        <v>54.710329063610011</v>
      </c>
      <c r="D25" s="12">
        <v>61.054883720930235</v>
      </c>
      <c r="E25" s="31">
        <f t="shared" si="3"/>
        <v>2.1884131625444007E-2</v>
      </c>
      <c r="F25" s="31">
        <f t="shared" si="4"/>
        <v>2.4421953488372096E-2</v>
      </c>
      <c r="G25" s="28"/>
      <c r="J25" s="4">
        <v>10901</v>
      </c>
      <c r="K25" s="11" t="s">
        <v>24</v>
      </c>
      <c r="L25" s="3">
        <v>226172.50034896377</v>
      </c>
      <c r="M25" s="3">
        <v>328170</v>
      </c>
      <c r="N25" s="31">
        <f t="shared" si="5"/>
        <v>90.469000139585518</v>
      </c>
      <c r="O25" s="31">
        <f t="shared" si="0"/>
        <v>131.268</v>
      </c>
    </row>
    <row r="26" spans="1:15" ht="14.4">
      <c r="A26" s="4">
        <v>10902</v>
      </c>
      <c r="B26" s="11" t="s">
        <v>25</v>
      </c>
      <c r="C26" s="12">
        <v>46.712723252089773</v>
      </c>
      <c r="D26" s="12">
        <v>69.002155172413794</v>
      </c>
      <c r="E26" s="31">
        <f t="shared" si="3"/>
        <v>1.868508930083591E-2</v>
      </c>
      <c r="F26" s="31">
        <f t="shared" si="4"/>
        <v>2.7600862068965518E-2</v>
      </c>
      <c r="G26" s="28"/>
      <c r="J26" s="4">
        <v>10902</v>
      </c>
      <c r="K26" s="11" t="s">
        <v>25</v>
      </c>
      <c r="L26" s="3">
        <v>783372.36893754546</v>
      </c>
      <c r="M26" s="3">
        <v>1024544</v>
      </c>
      <c r="N26" s="31">
        <f t="shared" si="5"/>
        <v>313.3489475750182</v>
      </c>
      <c r="O26" s="31">
        <f t="shared" si="0"/>
        <v>409.81760000000003</v>
      </c>
    </row>
    <row r="27" spans="1:15" ht="14.4">
      <c r="A27" s="4">
        <v>10903</v>
      </c>
      <c r="B27" s="11" t="s">
        <v>26</v>
      </c>
      <c r="C27" s="12">
        <v>60.267341335733839</v>
      </c>
      <c r="D27" s="12">
        <v>76.500199362041471</v>
      </c>
      <c r="E27" s="31">
        <f t="shared" si="3"/>
        <v>2.4106936534293535E-2</v>
      </c>
      <c r="F27" s="31">
        <f t="shared" si="4"/>
        <v>3.0600079744816589E-2</v>
      </c>
      <c r="G27" s="28"/>
      <c r="J27" s="4">
        <v>10903</v>
      </c>
      <c r="K27" s="11" t="s">
        <v>26</v>
      </c>
      <c r="L27" s="3">
        <v>264995.4998532217</v>
      </c>
      <c r="M27" s="3">
        <v>383725</v>
      </c>
      <c r="N27" s="31">
        <f t="shared" si="5"/>
        <v>105.99819994128869</v>
      </c>
      <c r="O27" s="31">
        <f t="shared" si="0"/>
        <v>153.49</v>
      </c>
    </row>
    <row r="28" spans="1:15" ht="14.4">
      <c r="A28" s="4">
        <v>11001</v>
      </c>
      <c r="B28" s="11" t="s">
        <v>27</v>
      </c>
      <c r="C28" s="12">
        <v>67.088750286650097</v>
      </c>
      <c r="D28" s="12">
        <v>125.90061737690107</v>
      </c>
      <c r="E28" s="31">
        <f t="shared" si="3"/>
        <v>2.683550011466004E-2</v>
      </c>
      <c r="F28" s="31">
        <f t="shared" si="4"/>
        <v>5.0360246950760426E-2</v>
      </c>
      <c r="G28" s="28"/>
      <c r="J28" s="4">
        <v>11001</v>
      </c>
      <c r="K28" s="11" t="s">
        <v>27</v>
      </c>
      <c r="L28" s="3">
        <v>731736.99937649257</v>
      </c>
      <c r="M28" s="3">
        <v>1672212</v>
      </c>
      <c r="N28" s="31">
        <f t="shared" si="5"/>
        <v>292.69479975059704</v>
      </c>
      <c r="O28" s="31">
        <f t="shared" si="0"/>
        <v>668.88480000000004</v>
      </c>
    </row>
    <row r="29" spans="1:15" ht="14.4">
      <c r="A29" s="4">
        <v>11002</v>
      </c>
      <c r="B29" s="11" t="s">
        <v>28</v>
      </c>
      <c r="C29" s="12">
        <v>74.309870298668031</v>
      </c>
      <c r="D29" s="12">
        <v>33.95131527287004</v>
      </c>
      <c r="E29" s="31">
        <f t="shared" si="3"/>
        <v>2.9723948119467214E-2</v>
      </c>
      <c r="F29" s="31">
        <f t="shared" si="4"/>
        <v>1.3580526109148016E-2</v>
      </c>
      <c r="G29" s="28"/>
      <c r="J29" s="4">
        <v>11002</v>
      </c>
      <c r="K29" s="11" t="s">
        <v>28</v>
      </c>
      <c r="L29" s="3">
        <v>188970.00016951282</v>
      </c>
      <c r="M29" s="3">
        <v>86474</v>
      </c>
      <c r="N29" s="31">
        <f t="shared" si="5"/>
        <v>75.588000067805126</v>
      </c>
      <c r="O29" s="31">
        <f t="shared" si="0"/>
        <v>34.589600000000004</v>
      </c>
    </row>
    <row r="30" spans="1:15" ht="14.4">
      <c r="A30" s="4">
        <v>11003</v>
      </c>
      <c r="B30" s="11" t="s">
        <v>29</v>
      </c>
      <c r="C30" s="12">
        <v>122.98858220980131</v>
      </c>
      <c r="D30" s="12">
        <v>149.31181755355908</v>
      </c>
      <c r="E30" s="31">
        <f t="shared" si="3"/>
        <v>4.9195432883920524E-2</v>
      </c>
      <c r="F30" s="31">
        <f t="shared" si="4"/>
        <v>5.9724727021423632E-2</v>
      </c>
      <c r="G30" s="28"/>
      <c r="J30" s="4">
        <v>11003</v>
      </c>
      <c r="K30" s="11" t="s">
        <v>29</v>
      </c>
      <c r="L30" s="3">
        <v>904826.99931750819</v>
      </c>
      <c r="M30" s="3">
        <v>1080271</v>
      </c>
      <c r="N30" s="31">
        <f t="shared" si="5"/>
        <v>361.93079972700332</v>
      </c>
      <c r="O30" s="31">
        <f t="shared" si="0"/>
        <v>432.10840000000002</v>
      </c>
    </row>
    <row r="31" spans="1:15" ht="14.4">
      <c r="A31" s="4">
        <v>20101</v>
      </c>
      <c r="B31" s="11" t="s">
        <v>30</v>
      </c>
      <c r="C31" s="12">
        <v>576.57658897553108</v>
      </c>
      <c r="D31" s="12">
        <v>572.13039867657915</v>
      </c>
      <c r="E31" s="31">
        <f t="shared" si="3"/>
        <v>0.23063063559021243</v>
      </c>
      <c r="F31" s="31">
        <f t="shared" si="4"/>
        <v>0.22885215947063167</v>
      </c>
      <c r="G31" s="28"/>
      <c r="J31" s="4">
        <v>20101</v>
      </c>
      <c r="K31" s="11" t="s">
        <v>30</v>
      </c>
      <c r="L31" s="3">
        <v>440190856.31290305</v>
      </c>
      <c r="M31" s="3">
        <v>433349300</v>
      </c>
      <c r="N31" s="31">
        <f t="shared" si="5"/>
        <v>176076.34252516122</v>
      </c>
      <c r="O31" s="31">
        <f t="shared" si="0"/>
        <v>173339.72</v>
      </c>
    </row>
    <row r="32" spans="1:15" ht="14.4">
      <c r="A32" s="4">
        <v>20102</v>
      </c>
      <c r="B32" s="11" t="s">
        <v>31</v>
      </c>
      <c r="C32" s="12">
        <v>68.97102165009251</v>
      </c>
      <c r="D32" s="12">
        <v>89.465967140687567</v>
      </c>
      <c r="E32" s="31">
        <f t="shared" si="3"/>
        <v>2.7588408660037006E-2</v>
      </c>
      <c r="F32" s="31">
        <f t="shared" si="4"/>
        <v>3.5786386856275026E-2</v>
      </c>
      <c r="G32" s="28"/>
      <c r="J32" s="4">
        <v>20102</v>
      </c>
      <c r="K32" s="11" t="s">
        <v>31</v>
      </c>
      <c r="L32" s="3">
        <v>1263825.0007162951</v>
      </c>
      <c r="M32" s="3">
        <v>1944006</v>
      </c>
      <c r="N32" s="31">
        <f t="shared" si="5"/>
        <v>505.53000028651809</v>
      </c>
      <c r="O32" s="31">
        <f t="shared" si="0"/>
        <v>777.60239999999999</v>
      </c>
    </row>
    <row r="33" spans="1:15" ht="14.4">
      <c r="A33" s="4">
        <v>20103</v>
      </c>
      <c r="B33" s="11" t="s">
        <v>32</v>
      </c>
      <c r="C33" s="12">
        <v>187.75470617760283</v>
      </c>
      <c r="D33" s="12">
        <v>320.92291890834395</v>
      </c>
      <c r="E33" s="31">
        <f t="shared" si="3"/>
        <v>7.5101882471041131E-2</v>
      </c>
      <c r="F33" s="31">
        <f t="shared" si="4"/>
        <v>0.12836916756333758</v>
      </c>
      <c r="G33" s="28"/>
      <c r="J33" s="4">
        <v>20103</v>
      </c>
      <c r="K33" s="11" t="s">
        <v>32</v>
      </c>
      <c r="L33" s="3">
        <v>3261487.0010111388</v>
      </c>
      <c r="M33" s="3">
        <v>6561590</v>
      </c>
      <c r="N33" s="31">
        <f t="shared" si="5"/>
        <v>1304.5948004044556</v>
      </c>
      <c r="O33" s="31">
        <f t="shared" si="0"/>
        <v>2624.636</v>
      </c>
    </row>
    <row r="34" spans="1:15" ht="14.4">
      <c r="A34" s="4">
        <v>20104</v>
      </c>
      <c r="B34" s="11" t="s">
        <v>33</v>
      </c>
      <c r="C34" s="12">
        <v>109.24942356221145</v>
      </c>
      <c r="D34" s="12">
        <v>135.80291417684248</v>
      </c>
      <c r="E34" s="31">
        <f t="shared" si="3"/>
        <v>4.3699769424884578E-2</v>
      </c>
      <c r="F34" s="31">
        <f t="shared" si="4"/>
        <v>5.4321165670736991E-2</v>
      </c>
      <c r="G34" s="28"/>
      <c r="J34" s="4">
        <v>20104</v>
      </c>
      <c r="K34" s="11" t="s">
        <v>33</v>
      </c>
      <c r="L34" s="3">
        <v>3315720.0051131174</v>
      </c>
      <c r="M34" s="3">
        <v>6272465</v>
      </c>
      <c r="N34" s="31">
        <f t="shared" si="5"/>
        <v>1326.2880020452469</v>
      </c>
      <c r="O34" s="31">
        <f t="shared" si="0"/>
        <v>2508.9860000000003</v>
      </c>
    </row>
    <row r="35" spans="1:15" ht="14.4">
      <c r="A35" s="4">
        <v>20105</v>
      </c>
      <c r="B35" s="11" t="s">
        <v>34</v>
      </c>
      <c r="C35" s="12">
        <v>283.707560595156</v>
      </c>
      <c r="D35" s="12">
        <v>339.16323201535295</v>
      </c>
      <c r="E35" s="31">
        <f t="shared" si="3"/>
        <v>0.1134830242380624</v>
      </c>
      <c r="F35" s="31">
        <f t="shared" si="4"/>
        <v>0.13566529280614117</v>
      </c>
      <c r="G35" s="28"/>
      <c r="J35" s="4">
        <v>20105</v>
      </c>
      <c r="K35" s="11" t="s">
        <v>34</v>
      </c>
      <c r="L35" s="3">
        <v>244246675.99197575</v>
      </c>
      <c r="M35" s="3">
        <v>300439270</v>
      </c>
      <c r="N35" s="31">
        <f t="shared" si="5"/>
        <v>97698.670396790301</v>
      </c>
      <c r="O35" s="31">
        <f t="shared" si="0"/>
        <v>120175.708</v>
      </c>
    </row>
    <row r="36" spans="1:15" ht="14.4">
      <c r="A36" s="4">
        <v>20201</v>
      </c>
      <c r="B36" s="11" t="s">
        <v>35</v>
      </c>
      <c r="C36" s="12">
        <v>81.891084399715169</v>
      </c>
      <c r="D36" s="12">
        <v>79.853926402437736</v>
      </c>
      <c r="E36" s="31">
        <f t="shared" si="3"/>
        <v>3.2756433759886072E-2</v>
      </c>
      <c r="F36" s="31">
        <f t="shared" si="4"/>
        <v>3.1941570560975095E-2</v>
      </c>
      <c r="G36" s="28"/>
      <c r="J36" s="4">
        <v>20201</v>
      </c>
      <c r="K36" s="11" t="s">
        <v>35</v>
      </c>
      <c r="L36" s="3">
        <v>3804495.9990419671</v>
      </c>
      <c r="M36" s="3">
        <v>3773657</v>
      </c>
      <c r="N36" s="31">
        <f t="shared" si="5"/>
        <v>1521.7983996167868</v>
      </c>
      <c r="O36" s="31">
        <f t="shared" si="0"/>
        <v>1509.4628</v>
      </c>
    </row>
    <row r="37" spans="1:15" ht="14.4">
      <c r="A37" s="4">
        <v>20202</v>
      </c>
      <c r="B37" s="11" t="s">
        <v>36</v>
      </c>
      <c r="C37" s="12">
        <v>42.060174837814543</v>
      </c>
      <c r="D37" s="12">
        <v>27.941190349790599</v>
      </c>
      <c r="E37" s="31">
        <f t="shared" si="3"/>
        <v>1.6824069935125818E-2</v>
      </c>
      <c r="F37" s="31">
        <f t="shared" si="4"/>
        <v>1.1176476139916239E-2</v>
      </c>
      <c r="G37" s="28"/>
      <c r="J37" s="4">
        <v>20202</v>
      </c>
      <c r="K37" s="11" t="s">
        <v>36</v>
      </c>
      <c r="L37" s="3">
        <v>606002.99906323198</v>
      </c>
      <c r="M37" s="3">
        <v>473687</v>
      </c>
      <c r="N37" s="31">
        <f t="shared" si="5"/>
        <v>242.4011996252928</v>
      </c>
      <c r="O37" s="31">
        <f t="shared" si="0"/>
        <v>189.47480000000002</v>
      </c>
    </row>
    <row r="38" spans="1:15" ht="14.4">
      <c r="A38" s="4">
        <v>20203</v>
      </c>
      <c r="B38" s="11" t="s">
        <v>37</v>
      </c>
      <c r="C38" s="12">
        <v>62.90685932278263</v>
      </c>
      <c r="D38" s="12">
        <v>45.069886520896759</v>
      </c>
      <c r="E38" s="31">
        <f t="shared" si="3"/>
        <v>2.5162743729113052E-2</v>
      </c>
      <c r="F38" s="31">
        <f t="shared" si="4"/>
        <v>1.8027954608358706E-2</v>
      </c>
      <c r="G38" s="28"/>
      <c r="J38" s="4">
        <v>20203</v>
      </c>
      <c r="K38" s="11" t="s">
        <v>37</v>
      </c>
      <c r="L38" s="3">
        <v>361336.99995006341</v>
      </c>
      <c r="M38" s="3">
        <v>325675</v>
      </c>
      <c r="N38" s="31">
        <f t="shared" si="5"/>
        <v>144.53479998002538</v>
      </c>
      <c r="O38" s="31">
        <f t="shared" si="0"/>
        <v>130.27000000000001</v>
      </c>
    </row>
    <row r="39" spans="1:15" ht="14.4">
      <c r="A39" s="4">
        <v>20204</v>
      </c>
      <c r="B39" s="11" t="s">
        <v>38</v>
      </c>
      <c r="C39" s="12">
        <v>62.002929738701368</v>
      </c>
      <c r="D39" s="12">
        <v>59.619195759880171</v>
      </c>
      <c r="E39" s="31">
        <f t="shared" si="3"/>
        <v>2.4801171895480548E-2</v>
      </c>
      <c r="F39" s="31">
        <f t="shared" si="4"/>
        <v>2.3847678303952069E-2</v>
      </c>
      <c r="G39" s="28"/>
      <c r="J39" s="4">
        <v>20204</v>
      </c>
      <c r="K39" s="11" t="s">
        <v>38</v>
      </c>
      <c r="L39" s="3">
        <v>507928.00041944161</v>
      </c>
      <c r="M39" s="3">
        <v>517435</v>
      </c>
      <c r="N39" s="31">
        <f t="shared" si="5"/>
        <v>203.17120016777665</v>
      </c>
      <c r="O39" s="31">
        <f t="shared" si="0"/>
        <v>206.97400000000002</v>
      </c>
    </row>
    <row r="40" spans="1:15" ht="14.4">
      <c r="A40" s="4">
        <v>20205</v>
      </c>
      <c r="B40" s="11" t="s">
        <v>39</v>
      </c>
      <c r="C40" s="12">
        <v>45.031803696645866</v>
      </c>
      <c r="D40" s="12">
        <v>44.864326477872297</v>
      </c>
      <c r="E40" s="31">
        <f t="shared" si="3"/>
        <v>1.8012721478658348E-2</v>
      </c>
      <c r="F40" s="31">
        <f t="shared" si="4"/>
        <v>1.7945730591148918E-2</v>
      </c>
      <c r="G40" s="28"/>
      <c r="J40" s="4">
        <v>20205</v>
      </c>
      <c r="K40" s="11" t="s">
        <v>39</v>
      </c>
      <c r="L40" s="3">
        <v>396459.99974527024</v>
      </c>
      <c r="M40" s="3">
        <v>416655</v>
      </c>
      <c r="N40" s="31">
        <f t="shared" si="5"/>
        <v>158.58399989810809</v>
      </c>
      <c r="O40" s="31">
        <f t="shared" si="0"/>
        <v>166.66200000000001</v>
      </c>
    </row>
    <row r="41" spans="1:15" ht="14.4">
      <c r="A41" s="4">
        <v>20206</v>
      </c>
      <c r="B41" s="11" t="s">
        <v>40</v>
      </c>
      <c r="C41" s="12">
        <v>43.777520770511167</v>
      </c>
      <c r="D41" s="12">
        <v>54.160414224306372</v>
      </c>
      <c r="E41" s="31">
        <f t="shared" si="3"/>
        <v>1.7511008308204467E-2</v>
      </c>
      <c r="F41" s="31">
        <f t="shared" si="4"/>
        <v>2.1664165689722549E-2</v>
      </c>
      <c r="G41" s="28"/>
      <c r="J41" s="4">
        <v>20206</v>
      </c>
      <c r="K41" s="11" t="s">
        <v>40</v>
      </c>
      <c r="L41" s="3">
        <v>189293.9998116903</v>
      </c>
      <c r="M41" s="3">
        <v>277193</v>
      </c>
      <c r="N41" s="31">
        <f t="shared" si="5"/>
        <v>75.717599924676122</v>
      </c>
      <c r="O41" s="31">
        <f t="shared" si="0"/>
        <v>110.8772</v>
      </c>
    </row>
    <row r="42" spans="1:15" ht="14.4">
      <c r="A42" s="4">
        <v>20301</v>
      </c>
      <c r="B42" s="11" t="s">
        <v>41</v>
      </c>
      <c r="C42" s="12">
        <v>50.546448501036956</v>
      </c>
      <c r="D42" s="12">
        <v>43.325806213563574</v>
      </c>
      <c r="E42" s="31">
        <f t="shared" si="3"/>
        <v>2.0218579400414782E-2</v>
      </c>
      <c r="F42" s="31">
        <f t="shared" si="4"/>
        <v>1.7330322485425431E-2</v>
      </c>
      <c r="G42" s="28"/>
      <c r="J42" s="4">
        <v>20301</v>
      </c>
      <c r="K42" s="11" t="s">
        <v>41</v>
      </c>
      <c r="L42" s="3">
        <v>587096.99933954421</v>
      </c>
      <c r="M42" s="3">
        <v>587108</v>
      </c>
      <c r="N42" s="31">
        <f t="shared" si="5"/>
        <v>234.8387997358177</v>
      </c>
      <c r="O42" s="31">
        <f t="shared" si="0"/>
        <v>234.84320000000002</v>
      </c>
    </row>
    <row r="43" spans="1:15" ht="14.4">
      <c r="A43" s="4">
        <v>20302</v>
      </c>
      <c r="B43" s="11" t="s">
        <v>42</v>
      </c>
      <c r="C43" s="12">
        <v>22.5834724270503</v>
      </c>
      <c r="D43" s="12">
        <v>22.088503532434167</v>
      </c>
      <c r="E43" s="31">
        <f t="shared" si="3"/>
        <v>9.0333889708201203E-3</v>
      </c>
      <c r="F43" s="31">
        <f t="shared" si="4"/>
        <v>8.8354014129736671E-3</v>
      </c>
      <c r="G43" s="28"/>
      <c r="J43" s="4">
        <v>20302</v>
      </c>
      <c r="K43" s="11" t="s">
        <v>42</v>
      </c>
      <c r="L43" s="3">
        <v>338323.00042964052</v>
      </c>
      <c r="M43" s="3">
        <v>343918</v>
      </c>
      <c r="N43" s="31">
        <f t="shared" si="5"/>
        <v>135.32920017185623</v>
      </c>
      <c r="O43" s="31">
        <f t="shared" si="0"/>
        <v>137.56720000000001</v>
      </c>
    </row>
    <row r="44" spans="1:15" ht="14.4">
      <c r="A44" s="4">
        <v>20303</v>
      </c>
      <c r="B44" s="11" t="s">
        <v>43</v>
      </c>
      <c r="C44" s="12">
        <v>12.505582147652204</v>
      </c>
      <c r="D44" s="12">
        <v>12.690154677142155</v>
      </c>
      <c r="E44" s="31">
        <f t="shared" si="3"/>
        <v>5.002232859060882E-3</v>
      </c>
      <c r="F44" s="31">
        <f t="shared" si="4"/>
        <v>5.0760618708568621E-3</v>
      </c>
      <c r="G44" s="28"/>
      <c r="J44" s="4">
        <v>20303</v>
      </c>
      <c r="K44" s="11" t="s">
        <v>43</v>
      </c>
      <c r="L44" s="3">
        <v>133297.00011182483</v>
      </c>
      <c r="M44" s="3">
        <v>155061</v>
      </c>
      <c r="N44" s="31">
        <f t="shared" si="5"/>
        <v>53.318800044729933</v>
      </c>
      <c r="O44" s="31">
        <f t="shared" si="0"/>
        <v>62.0244</v>
      </c>
    </row>
    <row r="45" spans="1:15" ht="14.4">
      <c r="A45" s="4">
        <v>20304</v>
      </c>
      <c r="B45" s="11" t="s">
        <v>44</v>
      </c>
      <c r="C45" s="12">
        <v>30.191553127358695</v>
      </c>
      <c r="D45" s="12">
        <v>30.619893088965252</v>
      </c>
      <c r="E45" s="31">
        <f t="shared" si="3"/>
        <v>1.2076621250943479E-2</v>
      </c>
      <c r="F45" s="31">
        <f t="shared" si="4"/>
        <v>1.2247957235586101E-2</v>
      </c>
      <c r="G45" s="28"/>
      <c r="J45" s="4">
        <v>20304</v>
      </c>
      <c r="K45" s="11" t="s">
        <v>44</v>
      </c>
      <c r="L45" s="3">
        <v>130819.99970084522</v>
      </c>
      <c r="M45" s="3">
        <v>160387</v>
      </c>
      <c r="N45" s="31">
        <f t="shared" si="5"/>
        <v>52.327999880338091</v>
      </c>
      <c r="O45" s="31">
        <f t="shared" si="0"/>
        <v>64.154800000000009</v>
      </c>
    </row>
    <row r="46" spans="1:15" ht="14.4">
      <c r="A46" s="4">
        <v>20305</v>
      </c>
      <c r="B46" s="11" t="s">
        <v>45</v>
      </c>
      <c r="C46" s="12">
        <v>32.566227937203543</v>
      </c>
      <c r="D46" s="12"/>
      <c r="E46" s="31">
        <f t="shared" si="3"/>
        <v>1.3026491174881418E-2</v>
      </c>
      <c r="F46" s="31">
        <f t="shared" si="4"/>
        <v>0</v>
      </c>
      <c r="G46" s="28"/>
      <c r="J46" s="4">
        <v>20305</v>
      </c>
      <c r="K46" s="11" t="s">
        <v>45</v>
      </c>
      <c r="L46" s="3">
        <v>116293.99996375386</v>
      </c>
      <c r="M46" s="3"/>
      <c r="N46" s="31">
        <f t="shared" si="5"/>
        <v>46.517599985501548</v>
      </c>
      <c r="O46" s="31">
        <f t="shared" si="0"/>
        <v>0</v>
      </c>
    </row>
    <row r="47" spans="1:15" ht="14.4">
      <c r="A47" s="4">
        <v>20306</v>
      </c>
      <c r="B47" s="11" t="s">
        <v>46</v>
      </c>
      <c r="C47" s="12">
        <v>10.090645960908905</v>
      </c>
      <c r="D47" s="12"/>
      <c r="E47" s="31">
        <f t="shared" si="3"/>
        <v>4.0362583843635618E-3</v>
      </c>
      <c r="F47" s="31">
        <f t="shared" si="4"/>
        <v>0</v>
      </c>
      <c r="G47" s="28"/>
      <c r="J47" s="4">
        <v>20306</v>
      </c>
      <c r="K47" s="11" t="s">
        <v>46</v>
      </c>
      <c r="L47" s="3">
        <v>55771.000225943513</v>
      </c>
      <c r="M47" s="3"/>
      <c r="N47" s="31">
        <f t="shared" si="5"/>
        <v>22.308400090377408</v>
      </c>
      <c r="O47" s="31">
        <f t="shared" si="0"/>
        <v>0</v>
      </c>
    </row>
    <row r="48" spans="1:15" ht="14.4">
      <c r="A48" s="4">
        <v>20307</v>
      </c>
      <c r="B48" s="11" t="s">
        <v>47</v>
      </c>
      <c r="C48" s="12">
        <v>5.8539923835619572</v>
      </c>
      <c r="D48" s="12">
        <v>4.1819990054699154</v>
      </c>
      <c r="E48" s="31">
        <f t="shared" si="3"/>
        <v>2.3415969534247832E-3</v>
      </c>
      <c r="F48" s="31">
        <f t="shared" si="4"/>
        <v>1.6727996021879661E-3</v>
      </c>
      <c r="G48" s="28"/>
      <c r="J48" s="4">
        <v>20307</v>
      </c>
      <c r="K48" s="11" t="s">
        <v>47</v>
      </c>
      <c r="L48" s="3">
        <v>10263.9999772273</v>
      </c>
      <c r="M48" s="3">
        <v>16820</v>
      </c>
      <c r="N48" s="31">
        <f t="shared" si="5"/>
        <v>4.1055999908909202</v>
      </c>
      <c r="O48" s="31">
        <f t="shared" si="0"/>
        <v>6.7280000000000006</v>
      </c>
    </row>
    <row r="49" spans="1:15" ht="14.4">
      <c r="A49" s="4">
        <v>20308</v>
      </c>
      <c r="B49" s="11" t="s">
        <v>48</v>
      </c>
      <c r="C49" s="12">
        <v>12.539135061520598</v>
      </c>
      <c r="D49" s="12">
        <v>12.730745302973746</v>
      </c>
      <c r="E49" s="31">
        <f t="shared" si="3"/>
        <v>5.0156540246082395E-3</v>
      </c>
      <c r="F49" s="31">
        <f t="shared" si="4"/>
        <v>5.0922981211894989E-3</v>
      </c>
      <c r="G49" s="28"/>
      <c r="J49" s="4">
        <v>20308</v>
      </c>
      <c r="K49" s="11" t="s">
        <v>48</v>
      </c>
      <c r="L49" s="3">
        <v>94520.000093742274</v>
      </c>
      <c r="M49" s="3">
        <v>102317</v>
      </c>
      <c r="N49" s="31">
        <f t="shared" si="5"/>
        <v>37.80800003749691</v>
      </c>
      <c r="O49" s="31">
        <f t="shared" si="0"/>
        <v>40.9268</v>
      </c>
    </row>
    <row r="50" spans="1:15" ht="14.4">
      <c r="A50" s="4">
        <v>20401</v>
      </c>
      <c r="B50" s="11" t="s">
        <v>49</v>
      </c>
      <c r="C50" s="12">
        <v>35.953841127555265</v>
      </c>
      <c r="D50" s="12">
        <v>34.366614330573796</v>
      </c>
      <c r="E50" s="31">
        <f t="shared" si="3"/>
        <v>1.4381536451022107E-2</v>
      </c>
      <c r="F50" s="31">
        <f t="shared" si="4"/>
        <v>1.3746645732229518E-2</v>
      </c>
      <c r="G50" s="28"/>
      <c r="J50" s="4">
        <v>20401</v>
      </c>
      <c r="K50" s="11" t="s">
        <v>49</v>
      </c>
      <c r="L50" s="3">
        <v>438529.00023279153</v>
      </c>
      <c r="M50" s="3">
        <v>481545</v>
      </c>
      <c r="N50" s="31">
        <f t="shared" si="5"/>
        <v>175.41160009311662</v>
      </c>
      <c r="O50" s="31">
        <f t="shared" si="0"/>
        <v>192.61800000000002</v>
      </c>
    </row>
    <row r="51" spans="1:15" ht="14.4">
      <c r="A51" s="4">
        <v>20402</v>
      </c>
      <c r="B51" s="11" t="s">
        <v>50</v>
      </c>
      <c r="C51" s="12">
        <v>26.808302828991362</v>
      </c>
      <c r="D51" s="12">
        <v>21.191567009151647</v>
      </c>
      <c r="E51" s="31">
        <f t="shared" si="3"/>
        <v>1.0723321131596545E-2</v>
      </c>
      <c r="F51" s="31">
        <f t="shared" si="4"/>
        <v>8.4766268036606598E-3</v>
      </c>
      <c r="G51" s="28"/>
      <c r="J51" s="4">
        <v>20402</v>
      </c>
      <c r="K51" s="11" t="s">
        <v>50</v>
      </c>
      <c r="L51" s="3">
        <v>439120.00033887848</v>
      </c>
      <c r="M51" s="3">
        <v>377443</v>
      </c>
      <c r="N51" s="31">
        <f t="shared" si="5"/>
        <v>175.6480001355514</v>
      </c>
      <c r="O51" s="31">
        <f t="shared" si="0"/>
        <v>150.97720000000001</v>
      </c>
    </row>
    <row r="52" spans="1:15" ht="14.4">
      <c r="A52" s="4">
        <v>20403</v>
      </c>
      <c r="B52" s="11" t="s">
        <v>51</v>
      </c>
      <c r="C52" s="12">
        <v>40.51989686464929</v>
      </c>
      <c r="D52" s="12">
        <v>36.797011998154133</v>
      </c>
      <c r="E52" s="31">
        <f t="shared" si="3"/>
        <v>1.6207958745859716E-2</v>
      </c>
      <c r="F52" s="31">
        <f t="shared" si="4"/>
        <v>1.4718804799261654E-2</v>
      </c>
      <c r="G52" s="28"/>
      <c r="J52" s="4">
        <v>20403</v>
      </c>
      <c r="K52" s="11" t="s">
        <v>51</v>
      </c>
      <c r="L52" s="3">
        <v>628261.00088638719</v>
      </c>
      <c r="M52" s="3">
        <v>637913</v>
      </c>
      <c r="N52" s="31">
        <f t="shared" si="5"/>
        <v>251.3044003545549</v>
      </c>
      <c r="O52" s="31">
        <f t="shared" si="0"/>
        <v>255.1652</v>
      </c>
    </row>
    <row r="53" spans="1:15" ht="14.4">
      <c r="A53" s="4">
        <v>20404</v>
      </c>
      <c r="B53" s="11" t="s">
        <v>52</v>
      </c>
      <c r="C53" s="12">
        <v>27.529282190090129</v>
      </c>
      <c r="D53" s="12">
        <v>24.089254153411101</v>
      </c>
      <c r="E53" s="31">
        <f t="shared" si="3"/>
        <v>1.1011712876036053E-2</v>
      </c>
      <c r="F53" s="31">
        <f t="shared" si="4"/>
        <v>9.6357016613644406E-3</v>
      </c>
      <c r="G53" s="28"/>
      <c r="J53" s="4">
        <v>20404</v>
      </c>
      <c r="K53" s="11" t="s">
        <v>52</v>
      </c>
      <c r="L53" s="3">
        <v>149952.00008942094</v>
      </c>
      <c r="M53" s="3">
        <v>136297</v>
      </c>
      <c r="N53" s="31">
        <f t="shared" si="5"/>
        <v>59.980800035768375</v>
      </c>
      <c r="O53" s="31">
        <f t="shared" si="0"/>
        <v>54.518800000000006</v>
      </c>
    </row>
    <row r="54" spans="1:15" ht="14.4">
      <c r="A54" s="4">
        <v>20405</v>
      </c>
      <c r="B54" s="11" t="s">
        <v>53</v>
      </c>
      <c r="C54" s="12">
        <v>38.224663933399569</v>
      </c>
      <c r="D54" s="12">
        <v>42.208781260608802</v>
      </c>
      <c r="E54" s="31">
        <f t="shared" si="3"/>
        <v>1.5289865573359828E-2</v>
      </c>
      <c r="F54" s="31">
        <f t="shared" si="4"/>
        <v>1.6883512504243522E-2</v>
      </c>
      <c r="G54" s="28"/>
      <c r="J54" s="4">
        <v>20405</v>
      </c>
      <c r="K54" s="11" t="s">
        <v>53</v>
      </c>
      <c r="L54" s="3">
        <v>295706.00018877909</v>
      </c>
      <c r="M54" s="3">
        <v>372999</v>
      </c>
      <c r="N54" s="31">
        <f t="shared" si="5"/>
        <v>118.28240007551165</v>
      </c>
      <c r="O54" s="31">
        <f t="shared" si="0"/>
        <v>149.1996</v>
      </c>
    </row>
    <row r="55" spans="1:15" ht="14.4">
      <c r="A55" s="4">
        <v>20501</v>
      </c>
      <c r="B55" s="11" t="s">
        <v>54</v>
      </c>
      <c r="C55" s="12">
        <v>31.991612723526757</v>
      </c>
      <c r="D55" s="12">
        <v>30.173864273696019</v>
      </c>
      <c r="E55" s="31">
        <f t="shared" si="3"/>
        <v>1.2796645089410703E-2</v>
      </c>
      <c r="F55" s="31">
        <f t="shared" si="4"/>
        <v>1.2069545709478408E-2</v>
      </c>
      <c r="G55" s="28"/>
      <c r="J55" s="4">
        <v>20501</v>
      </c>
      <c r="K55" s="11" t="s">
        <v>54</v>
      </c>
      <c r="L55" s="3">
        <v>434830.00013817567</v>
      </c>
      <c r="M55" s="3">
        <v>538000</v>
      </c>
      <c r="N55" s="31">
        <f t="shared" si="5"/>
        <v>173.93200005527027</v>
      </c>
      <c r="O55" s="31">
        <f t="shared" si="0"/>
        <v>215.20000000000002</v>
      </c>
    </row>
    <row r="56" spans="1:15" ht="14.4">
      <c r="A56" s="4">
        <v>20502</v>
      </c>
      <c r="B56" s="11" t="s">
        <v>55</v>
      </c>
      <c r="C56" s="12">
        <v>32.600278541716179</v>
      </c>
      <c r="D56" s="12">
        <v>29.325949717576698</v>
      </c>
      <c r="E56" s="31">
        <f t="shared" si="3"/>
        <v>1.3040111416686472E-2</v>
      </c>
      <c r="F56" s="31">
        <f t="shared" si="4"/>
        <v>1.1730379887030681E-2</v>
      </c>
      <c r="G56" s="28"/>
      <c r="J56" s="4">
        <v>20502</v>
      </c>
      <c r="K56" s="11" t="s">
        <v>55</v>
      </c>
      <c r="L56" s="3">
        <v>280883.9999154266</v>
      </c>
      <c r="M56" s="3">
        <v>264784</v>
      </c>
      <c r="N56" s="31">
        <f t="shared" si="5"/>
        <v>112.35359996617065</v>
      </c>
      <c r="O56" s="31">
        <f t="shared" si="0"/>
        <v>105.9136</v>
      </c>
    </row>
    <row r="57" spans="1:15" ht="14.4">
      <c r="A57" s="4">
        <v>20503</v>
      </c>
      <c r="B57" s="11" t="s">
        <v>56</v>
      </c>
      <c r="C57" s="12">
        <v>39.92936993884188</v>
      </c>
      <c r="D57" s="12">
        <v>77.292367207260824</v>
      </c>
      <c r="E57" s="31">
        <f t="shared" si="3"/>
        <v>1.5971747975536753E-2</v>
      </c>
      <c r="F57" s="31">
        <f t="shared" si="4"/>
        <v>3.091694688290433E-2</v>
      </c>
      <c r="G57" s="28"/>
      <c r="J57" s="4">
        <v>20503</v>
      </c>
      <c r="K57" s="11" t="s">
        <v>56</v>
      </c>
      <c r="L57" s="3">
        <v>235743.00011892244</v>
      </c>
      <c r="M57" s="3">
        <v>519482</v>
      </c>
      <c r="N57" s="31">
        <f t="shared" si="5"/>
        <v>94.297200047568978</v>
      </c>
      <c r="O57" s="31">
        <f t="shared" si="0"/>
        <v>207.7928</v>
      </c>
    </row>
    <row r="58" spans="1:15" ht="14.4">
      <c r="A58" s="4">
        <v>20601</v>
      </c>
      <c r="B58" s="11" t="s">
        <v>57</v>
      </c>
      <c r="C58" s="12">
        <v>71.054470515045381</v>
      </c>
      <c r="D58" s="12">
        <v>94.726822457866575</v>
      </c>
      <c r="E58" s="31">
        <f t="shared" si="3"/>
        <v>2.8421788206018154E-2</v>
      </c>
      <c r="F58" s="31">
        <f t="shared" si="4"/>
        <v>3.7890728983146632E-2</v>
      </c>
      <c r="G58" s="28"/>
      <c r="J58" s="4">
        <v>20601</v>
      </c>
      <c r="K58" s="11" t="s">
        <v>57</v>
      </c>
      <c r="L58" s="3">
        <v>1826242.0011776965</v>
      </c>
      <c r="M58" s="3">
        <v>2849667</v>
      </c>
      <c r="N58" s="31">
        <f t="shared" si="5"/>
        <v>730.49680047107859</v>
      </c>
      <c r="O58" s="31">
        <f t="shared" si="0"/>
        <v>1139.8668</v>
      </c>
    </row>
    <row r="59" spans="1:15" ht="14.4">
      <c r="A59" s="4">
        <v>20602</v>
      </c>
      <c r="B59" s="11" t="s">
        <v>58</v>
      </c>
      <c r="C59" s="12">
        <v>173.70674224119455</v>
      </c>
      <c r="D59" s="12">
        <v>308.42664469669228</v>
      </c>
      <c r="E59" s="31">
        <f t="shared" si="3"/>
        <v>6.9482696896477819E-2</v>
      </c>
      <c r="F59" s="31">
        <f t="shared" si="4"/>
        <v>0.12337065787867692</v>
      </c>
      <c r="G59" s="28"/>
      <c r="J59" s="4">
        <v>20602</v>
      </c>
      <c r="K59" s="11" t="s">
        <v>58</v>
      </c>
      <c r="L59" s="3">
        <v>2661360.9978773417</v>
      </c>
      <c r="M59" s="3">
        <v>5053879</v>
      </c>
      <c r="N59" s="31">
        <f t="shared" si="5"/>
        <v>1064.5443991509367</v>
      </c>
      <c r="O59" s="31">
        <f t="shared" si="0"/>
        <v>2021.5516</v>
      </c>
    </row>
    <row r="60" spans="1:15" ht="14.4">
      <c r="A60" s="4">
        <v>20603</v>
      </c>
      <c r="B60" s="11" t="s">
        <v>59</v>
      </c>
      <c r="C60" s="12">
        <v>79.552595497909309</v>
      </c>
      <c r="D60" s="12">
        <v>101.17846532117611</v>
      </c>
      <c r="E60" s="31">
        <f t="shared" si="3"/>
        <v>3.1821038199163723E-2</v>
      </c>
      <c r="F60" s="31">
        <f t="shared" si="4"/>
        <v>4.0471386128470441E-2</v>
      </c>
      <c r="G60" s="28"/>
      <c r="J60" s="4">
        <v>20603</v>
      </c>
      <c r="K60" s="11" t="s">
        <v>59</v>
      </c>
      <c r="L60" s="3">
        <v>692744.00159579422</v>
      </c>
      <c r="M60" s="3">
        <v>987603</v>
      </c>
      <c r="N60" s="31">
        <f t="shared" si="5"/>
        <v>277.09760063831772</v>
      </c>
      <c r="O60" s="31">
        <f t="shared" si="0"/>
        <v>395.0412</v>
      </c>
    </row>
    <row r="61" spans="1:15" ht="14.4">
      <c r="A61" s="4">
        <v>20604</v>
      </c>
      <c r="B61" s="11" t="s">
        <v>60</v>
      </c>
      <c r="C61" s="12">
        <v>52.822646142782929</v>
      </c>
      <c r="D61" s="12">
        <v>49.725378787878789</v>
      </c>
      <c r="E61" s="31">
        <f t="shared" si="3"/>
        <v>2.1129058457113173E-2</v>
      </c>
      <c r="F61" s="31">
        <f t="shared" si="4"/>
        <v>1.9890151515151517E-2</v>
      </c>
      <c r="G61" s="28"/>
      <c r="J61" s="4">
        <v>20604</v>
      </c>
      <c r="K61" s="11" t="s">
        <v>60</v>
      </c>
      <c r="L61" s="3">
        <v>168873.99971847702</v>
      </c>
      <c r="M61" s="3">
        <v>210040</v>
      </c>
      <c r="N61" s="31">
        <f t="shared" si="5"/>
        <v>67.549599887390812</v>
      </c>
      <c r="O61" s="31">
        <f t="shared" si="0"/>
        <v>84.016000000000005</v>
      </c>
    </row>
    <row r="62" spans="1:15" ht="14.4">
      <c r="A62" s="4">
        <v>20605</v>
      </c>
      <c r="B62" s="11" t="s">
        <v>61</v>
      </c>
      <c r="C62" s="12">
        <v>28.596615627235185</v>
      </c>
      <c r="D62" s="12">
        <v>22.897704732218759</v>
      </c>
      <c r="E62" s="31">
        <f t="shared" si="3"/>
        <v>1.1438646250894075E-2</v>
      </c>
      <c r="F62" s="31">
        <f t="shared" si="4"/>
        <v>9.1590818928875047E-3</v>
      </c>
      <c r="G62" s="28"/>
      <c r="J62" s="4">
        <v>20605</v>
      </c>
      <c r="K62" s="11" t="s">
        <v>61</v>
      </c>
      <c r="L62" s="3">
        <v>104777.99965818971</v>
      </c>
      <c r="M62" s="3">
        <v>80806</v>
      </c>
      <c r="N62" s="31">
        <f t="shared" si="5"/>
        <v>41.91119986327589</v>
      </c>
      <c r="O62" s="31">
        <f t="shared" si="0"/>
        <v>32.322400000000002</v>
      </c>
    </row>
    <row r="63" spans="1:15" ht="14.4">
      <c r="A63" s="4">
        <v>20606</v>
      </c>
      <c r="B63" s="11" t="s">
        <v>62</v>
      </c>
      <c r="C63" s="12">
        <v>157.84126136094275</v>
      </c>
      <c r="D63" s="12">
        <v>295.86041990668741</v>
      </c>
      <c r="E63" s="31">
        <f t="shared" si="3"/>
        <v>6.3136504544377109E-2</v>
      </c>
      <c r="F63" s="31">
        <f t="shared" si="4"/>
        <v>0.11834416796267497</v>
      </c>
      <c r="G63" s="28"/>
      <c r="J63" s="4">
        <v>20606</v>
      </c>
      <c r="K63" s="11" t="s">
        <v>62</v>
      </c>
      <c r="L63" s="3">
        <v>1456717.0011001406</v>
      </c>
      <c r="M63" s="3">
        <v>2282859</v>
      </c>
      <c r="N63" s="31">
        <f t="shared" si="5"/>
        <v>582.68680044005623</v>
      </c>
      <c r="O63" s="31">
        <f t="shared" si="0"/>
        <v>913.14359999999999</v>
      </c>
    </row>
    <row r="64" spans="1:15" ht="14.4">
      <c r="A64" s="4">
        <v>20607</v>
      </c>
      <c r="B64" s="11" t="s">
        <v>63</v>
      </c>
      <c r="C64" s="12">
        <v>91.695744270520066</v>
      </c>
      <c r="D64" s="12">
        <v>283.94313967861558</v>
      </c>
      <c r="E64" s="31">
        <f t="shared" si="3"/>
        <v>3.6678297708208026E-2</v>
      </c>
      <c r="F64" s="31">
        <f t="shared" si="4"/>
        <v>0.11357725587144624</v>
      </c>
      <c r="G64" s="28"/>
      <c r="J64" s="4">
        <v>20607</v>
      </c>
      <c r="K64" s="11" t="s">
        <v>63</v>
      </c>
      <c r="L64" s="3">
        <v>1516831.001722943</v>
      </c>
      <c r="M64" s="3">
        <v>6202170</v>
      </c>
      <c r="N64" s="31">
        <f t="shared" si="5"/>
        <v>606.73240068917721</v>
      </c>
      <c r="O64" s="31">
        <f t="shared" si="0"/>
        <v>2480.8679999999999</v>
      </c>
    </row>
    <row r="65" spans="1:15" ht="14.4">
      <c r="A65" s="4">
        <v>20608</v>
      </c>
      <c r="B65" s="11" t="s">
        <v>64</v>
      </c>
      <c r="C65" s="12">
        <v>114.14646452160383</v>
      </c>
      <c r="D65" s="12">
        <v>225.77554376261304</v>
      </c>
      <c r="E65" s="31">
        <f t="shared" si="3"/>
        <v>4.5658585808641537E-2</v>
      </c>
      <c r="F65" s="31">
        <f t="shared" si="4"/>
        <v>9.0310217505045226E-2</v>
      </c>
      <c r="G65" s="28"/>
      <c r="J65" s="4">
        <v>20608</v>
      </c>
      <c r="K65" s="11" t="s">
        <v>64</v>
      </c>
      <c r="L65" s="3">
        <v>1220453.9986649882</v>
      </c>
      <c r="M65" s="3">
        <v>3020651</v>
      </c>
      <c r="N65" s="31">
        <f t="shared" si="5"/>
        <v>488.1815994659953</v>
      </c>
      <c r="O65" s="31">
        <f t="shared" si="0"/>
        <v>1208.2604000000001</v>
      </c>
    </row>
    <row r="66" spans="1:15" ht="14.4">
      <c r="A66" s="4">
        <v>20701</v>
      </c>
      <c r="B66" s="11" t="s">
        <v>65</v>
      </c>
      <c r="C66" s="12">
        <v>53.78162020491871</v>
      </c>
      <c r="D66" s="12">
        <v>136.54578200041763</v>
      </c>
      <c r="E66" s="31">
        <f t="shared" si="3"/>
        <v>2.1512648081967484E-2</v>
      </c>
      <c r="F66" s="31">
        <f t="shared" ref="F66:F129" si="8">D66*$I$6</f>
        <v>5.4618312800167053E-2</v>
      </c>
      <c r="G66" s="28"/>
      <c r="J66" s="4">
        <v>20701</v>
      </c>
      <c r="K66" s="11" t="s">
        <v>65</v>
      </c>
      <c r="L66" s="3">
        <v>1071545.0009628003</v>
      </c>
      <c r="M66" s="3">
        <v>2615671</v>
      </c>
      <c r="N66" s="31">
        <f t="shared" si="5"/>
        <v>428.61800038512018</v>
      </c>
      <c r="O66" s="31">
        <f t="shared" ref="O66:O129" si="9">M66*$I$6</f>
        <v>1046.2684000000002</v>
      </c>
    </row>
    <row r="67" spans="1:15" ht="14.4">
      <c r="A67" s="4">
        <v>20702</v>
      </c>
      <c r="B67" s="11" t="s">
        <v>66</v>
      </c>
      <c r="C67" s="12">
        <v>56.062334135662645</v>
      </c>
      <c r="D67" s="12">
        <v>62.910154525386311</v>
      </c>
      <c r="E67" s="31">
        <f t="shared" ref="E67:E130" si="10">C67*$I$6</f>
        <v>2.242493365426506E-2</v>
      </c>
      <c r="F67" s="31">
        <f t="shared" si="8"/>
        <v>2.5164061810154525E-2</v>
      </c>
      <c r="G67" s="28"/>
      <c r="J67" s="4">
        <v>20702</v>
      </c>
      <c r="K67" s="11" t="s">
        <v>66</v>
      </c>
      <c r="L67" s="3">
        <v>422709.99938289635</v>
      </c>
      <c r="M67" s="3">
        <v>569966</v>
      </c>
      <c r="N67" s="31">
        <f t="shared" ref="N67:N130" si="11">L67*$I$6</f>
        <v>169.08399975315854</v>
      </c>
      <c r="O67" s="31">
        <f t="shared" si="9"/>
        <v>227.9864</v>
      </c>
    </row>
    <row r="68" spans="1:15" ht="14.4">
      <c r="A68" s="4">
        <v>20801</v>
      </c>
      <c r="B68" s="11" t="s">
        <v>67</v>
      </c>
      <c r="C68" s="12">
        <v>168.10077787502169</v>
      </c>
      <c r="D68" s="12">
        <v>198.09431636049808</v>
      </c>
      <c r="E68" s="31">
        <f t="shared" si="10"/>
        <v>6.7240311150008683E-2</v>
      </c>
      <c r="F68" s="31">
        <f t="shared" si="8"/>
        <v>7.9237726544199236E-2</v>
      </c>
      <c r="G68" s="28"/>
      <c r="J68" s="4">
        <v>20801</v>
      </c>
      <c r="K68" s="11" t="s">
        <v>67</v>
      </c>
      <c r="L68" s="3">
        <v>15409294.005469613</v>
      </c>
      <c r="M68" s="3">
        <v>22494402</v>
      </c>
      <c r="N68" s="31">
        <f t="shared" si="11"/>
        <v>6163.7176021878458</v>
      </c>
      <c r="O68" s="31">
        <f t="shared" si="9"/>
        <v>8997.7608</v>
      </c>
    </row>
    <row r="69" spans="1:15" ht="14.4">
      <c r="A69" s="4">
        <v>20802</v>
      </c>
      <c r="B69" s="11" t="s">
        <v>68</v>
      </c>
      <c r="C69" s="12">
        <v>74.990280118112238</v>
      </c>
      <c r="D69" s="12">
        <v>73.510242085661076</v>
      </c>
      <c r="E69" s="31">
        <f t="shared" si="10"/>
        <v>2.9996112047244897E-2</v>
      </c>
      <c r="F69" s="31">
        <f t="shared" si="8"/>
        <v>2.9404096834264433E-2</v>
      </c>
      <c r="G69" s="28"/>
      <c r="J69" s="4">
        <v>20802</v>
      </c>
      <c r="K69" s="11" t="s">
        <v>68</v>
      </c>
      <c r="L69" s="3">
        <v>578625.00139135402</v>
      </c>
      <c r="M69" s="3">
        <v>631600</v>
      </c>
      <c r="N69" s="31">
        <f t="shared" si="11"/>
        <v>231.45000055654162</v>
      </c>
      <c r="O69" s="31">
        <f t="shared" si="9"/>
        <v>252.64000000000001</v>
      </c>
    </row>
    <row r="70" spans="1:15" ht="14.4">
      <c r="A70" s="4">
        <v>20803</v>
      </c>
      <c r="B70" s="11" t="s">
        <v>69</v>
      </c>
      <c r="C70" s="12">
        <v>50.989349143385546</v>
      </c>
      <c r="D70" s="12">
        <v>53.133206330597886</v>
      </c>
      <c r="E70" s="31">
        <f t="shared" si="10"/>
        <v>2.0395739657354219E-2</v>
      </c>
      <c r="F70" s="31">
        <f t="shared" si="8"/>
        <v>2.1253282532239154E-2</v>
      </c>
      <c r="G70" s="28"/>
      <c r="J70" s="4">
        <v>20803</v>
      </c>
      <c r="K70" s="11" t="s">
        <v>69</v>
      </c>
      <c r="L70" s="3">
        <v>646290.00039241184</v>
      </c>
      <c r="M70" s="3">
        <v>725162</v>
      </c>
      <c r="N70" s="31">
        <f t="shared" si="11"/>
        <v>258.51600015696476</v>
      </c>
      <c r="O70" s="31">
        <f t="shared" si="9"/>
        <v>290.06479999999999</v>
      </c>
    </row>
    <row r="71" spans="1:15" ht="14.4">
      <c r="A71" s="4">
        <v>20804</v>
      </c>
      <c r="B71" s="11" t="s">
        <v>70</v>
      </c>
      <c r="C71" s="12">
        <v>114.47421136782549</v>
      </c>
      <c r="D71" s="12">
        <v>130.45751551221983</v>
      </c>
      <c r="E71" s="31">
        <f t="shared" si="10"/>
        <v>4.5789684547130199E-2</v>
      </c>
      <c r="F71" s="31">
        <f t="shared" si="8"/>
        <v>5.2183006204887937E-2</v>
      </c>
      <c r="G71" s="28"/>
      <c r="J71" s="4">
        <v>20804</v>
      </c>
      <c r="K71" s="11" t="s">
        <v>70</v>
      </c>
      <c r="L71" s="3">
        <v>834517.00087144785</v>
      </c>
      <c r="M71" s="3">
        <v>1030223</v>
      </c>
      <c r="N71" s="31">
        <f t="shared" si="11"/>
        <v>333.80680034857915</v>
      </c>
      <c r="O71" s="31">
        <f t="shared" si="9"/>
        <v>412.08920000000001</v>
      </c>
    </row>
    <row r="72" spans="1:15" ht="14.4">
      <c r="A72" s="4">
        <v>20805</v>
      </c>
      <c r="B72" s="11" t="s">
        <v>71</v>
      </c>
      <c r="C72" s="12">
        <v>24.889646903870037</v>
      </c>
      <c r="D72" s="12"/>
      <c r="E72" s="31">
        <f t="shared" si="10"/>
        <v>9.9558587615480153E-3</v>
      </c>
      <c r="F72" s="31">
        <f t="shared" si="8"/>
        <v>0</v>
      </c>
      <c r="G72" s="28"/>
      <c r="J72" s="4">
        <v>20805</v>
      </c>
      <c r="K72" s="11" t="s">
        <v>71</v>
      </c>
      <c r="L72" s="3">
        <v>167805.99942589179</v>
      </c>
      <c r="M72" s="3"/>
      <c r="N72" s="31">
        <f t="shared" si="11"/>
        <v>67.122399770356722</v>
      </c>
      <c r="O72" s="31">
        <f t="shared" si="9"/>
        <v>0</v>
      </c>
    </row>
    <row r="73" spans="1:15" ht="14.4">
      <c r="A73" s="4">
        <v>20806</v>
      </c>
      <c r="B73" s="11" t="s">
        <v>72</v>
      </c>
      <c r="C73" s="12">
        <v>25.569754128530288</v>
      </c>
      <c r="D73" s="12"/>
      <c r="E73" s="31">
        <f t="shared" si="10"/>
        <v>1.0227901651412116E-2</v>
      </c>
      <c r="F73" s="31">
        <f t="shared" si="8"/>
        <v>0</v>
      </c>
      <c r="G73" s="28"/>
      <c r="J73" s="4">
        <v>20806</v>
      </c>
      <c r="K73" s="11" t="s">
        <v>72</v>
      </c>
      <c r="L73" s="3">
        <v>401394.00030966848</v>
      </c>
      <c r="M73" s="3"/>
      <c r="N73" s="31">
        <f t="shared" si="11"/>
        <v>160.55760012386739</v>
      </c>
      <c r="O73" s="31">
        <f t="shared" si="9"/>
        <v>0</v>
      </c>
    </row>
    <row r="74" spans="1:15" ht="14.4">
      <c r="A74" s="4">
        <v>20807</v>
      </c>
      <c r="B74" s="11" t="s">
        <v>73</v>
      </c>
      <c r="C74" s="12">
        <v>36.499783110909505</v>
      </c>
      <c r="D74" s="12">
        <v>35.083952254641908</v>
      </c>
      <c r="E74" s="31">
        <f t="shared" si="10"/>
        <v>1.4599913244363803E-2</v>
      </c>
      <c r="F74" s="31">
        <f t="shared" si="8"/>
        <v>1.4033580901856763E-2</v>
      </c>
      <c r="G74" s="28"/>
      <c r="J74" s="4">
        <v>20807</v>
      </c>
      <c r="K74" s="11" t="s">
        <v>73</v>
      </c>
      <c r="L74" s="3">
        <v>252396.00021193922</v>
      </c>
      <c r="M74" s="3">
        <v>264533</v>
      </c>
      <c r="N74" s="31">
        <f t="shared" si="11"/>
        <v>100.95840008477569</v>
      </c>
      <c r="O74" s="31">
        <f t="shared" si="9"/>
        <v>105.81320000000001</v>
      </c>
    </row>
    <row r="75" spans="1:15" ht="14.4">
      <c r="A75" s="4">
        <v>20901</v>
      </c>
      <c r="B75" s="11" t="s">
        <v>74</v>
      </c>
      <c r="C75" s="12">
        <v>59.0304712002904</v>
      </c>
      <c r="D75" s="12">
        <v>81.229094646360835</v>
      </c>
      <c r="E75" s="31">
        <f t="shared" si="10"/>
        <v>2.3612188480116161E-2</v>
      </c>
      <c r="F75" s="31">
        <f t="shared" si="8"/>
        <v>3.2491637858544337E-2</v>
      </c>
      <c r="G75" s="28"/>
      <c r="J75" s="4">
        <v>20901</v>
      </c>
      <c r="K75" s="11" t="s">
        <v>74</v>
      </c>
      <c r="L75" s="3">
        <v>648981.00037599262</v>
      </c>
      <c r="M75" s="3">
        <v>869395</v>
      </c>
      <c r="N75" s="31">
        <f t="shared" si="11"/>
        <v>259.59240015039705</v>
      </c>
      <c r="O75" s="31">
        <f t="shared" si="9"/>
        <v>347.75800000000004</v>
      </c>
    </row>
    <row r="76" spans="1:15" ht="14.4">
      <c r="A76" s="4">
        <v>20902</v>
      </c>
      <c r="B76" s="11" t="s">
        <v>75</v>
      </c>
      <c r="C76" s="12">
        <v>58.205324845724824</v>
      </c>
      <c r="D76" s="12">
        <v>60.705219130751047</v>
      </c>
      <c r="E76" s="31">
        <f t="shared" si="10"/>
        <v>2.328212993828993E-2</v>
      </c>
      <c r="F76" s="31">
        <f t="shared" si="8"/>
        <v>2.4282087652300419E-2</v>
      </c>
      <c r="G76" s="28"/>
      <c r="J76" s="4">
        <v>20902</v>
      </c>
      <c r="K76" s="11" t="s">
        <v>75</v>
      </c>
      <c r="L76" s="3">
        <v>804514.00001760852</v>
      </c>
      <c r="M76" s="3">
        <v>1001454</v>
      </c>
      <c r="N76" s="31">
        <f t="shared" si="11"/>
        <v>321.80560000704344</v>
      </c>
      <c r="O76" s="31">
        <f t="shared" si="9"/>
        <v>400.58160000000004</v>
      </c>
    </row>
    <row r="77" spans="1:15" ht="14.4">
      <c r="A77" s="4">
        <v>20903</v>
      </c>
      <c r="B77" s="11" t="s">
        <v>76</v>
      </c>
      <c r="C77" s="12">
        <v>26.928468079895072</v>
      </c>
      <c r="D77" s="12">
        <v>18.452179570592062</v>
      </c>
      <c r="E77" s="31">
        <f t="shared" si="10"/>
        <v>1.0771387231958029E-2</v>
      </c>
      <c r="F77" s="31">
        <f t="shared" si="8"/>
        <v>7.3808718282368253E-3</v>
      </c>
      <c r="G77" s="28"/>
      <c r="J77" s="4">
        <v>20903</v>
      </c>
      <c r="K77" s="11" t="s">
        <v>76</v>
      </c>
      <c r="L77" s="3">
        <v>241683.00101705827</v>
      </c>
      <c r="M77" s="3">
        <v>226888</v>
      </c>
      <c r="N77" s="31">
        <f t="shared" si="11"/>
        <v>96.673200406823312</v>
      </c>
      <c r="O77" s="31">
        <f t="shared" si="9"/>
        <v>90.755200000000002</v>
      </c>
    </row>
    <row r="78" spans="1:15" ht="14.4">
      <c r="A78" s="4">
        <v>20904</v>
      </c>
      <c r="B78" s="11" t="s">
        <v>77</v>
      </c>
      <c r="C78" s="12">
        <v>11.168997884370404</v>
      </c>
      <c r="D78" s="12">
        <v>13.699452520294507</v>
      </c>
      <c r="E78" s="31">
        <f t="shared" si="10"/>
        <v>4.4675991537481618E-3</v>
      </c>
      <c r="F78" s="31">
        <f t="shared" si="8"/>
        <v>5.4797810081178028E-3</v>
      </c>
      <c r="G78" s="28"/>
      <c r="J78" s="4">
        <v>20904</v>
      </c>
      <c r="K78" s="11" t="s">
        <v>77</v>
      </c>
      <c r="L78" s="3">
        <v>58290.999958529137</v>
      </c>
      <c r="M78" s="3">
        <v>72566</v>
      </c>
      <c r="N78" s="31">
        <f t="shared" si="11"/>
        <v>23.316399983411657</v>
      </c>
      <c r="O78" s="31">
        <f t="shared" si="9"/>
        <v>29.026400000000002</v>
      </c>
    </row>
    <row r="79" spans="1:15" ht="14.4">
      <c r="A79" s="4">
        <v>20905</v>
      </c>
      <c r="B79" s="11" t="s">
        <v>78</v>
      </c>
      <c r="C79" s="12">
        <v>47.911096388779754</v>
      </c>
      <c r="D79" s="12">
        <v>58.513899102809233</v>
      </c>
      <c r="E79" s="31">
        <f t="shared" si="10"/>
        <v>1.9164438555511903E-2</v>
      </c>
      <c r="F79" s="31">
        <f t="shared" si="8"/>
        <v>2.3405559641123695E-2</v>
      </c>
      <c r="G79" s="28"/>
      <c r="J79" s="4">
        <v>20905</v>
      </c>
      <c r="K79" s="11" t="s">
        <v>78</v>
      </c>
      <c r="L79" s="3">
        <v>579867.99959340133</v>
      </c>
      <c r="M79" s="3">
        <v>795672</v>
      </c>
      <c r="N79" s="31">
        <f t="shared" si="11"/>
        <v>231.94719983736053</v>
      </c>
      <c r="O79" s="31">
        <f t="shared" si="9"/>
        <v>318.2688</v>
      </c>
    </row>
    <row r="80" spans="1:15" ht="14.4">
      <c r="A80" s="4">
        <v>21001</v>
      </c>
      <c r="B80" s="11" t="s">
        <v>79</v>
      </c>
      <c r="C80" s="12">
        <v>28.616722798228594</v>
      </c>
      <c r="D80" s="12">
        <v>36.083730392419291</v>
      </c>
      <c r="E80" s="31">
        <f t="shared" si="10"/>
        <v>1.1446689119291437E-2</v>
      </c>
      <c r="F80" s="31">
        <f t="shared" si="8"/>
        <v>1.4433492156967717E-2</v>
      </c>
      <c r="G80" s="28"/>
      <c r="J80" s="4">
        <v>21001</v>
      </c>
      <c r="K80" s="11" t="s">
        <v>79</v>
      </c>
      <c r="L80" s="3">
        <v>458955.00023799017</v>
      </c>
      <c r="M80" s="3">
        <v>674008</v>
      </c>
      <c r="N80" s="31">
        <f t="shared" si="11"/>
        <v>183.58200009519607</v>
      </c>
      <c r="O80" s="31">
        <f t="shared" si="9"/>
        <v>269.60320000000002</v>
      </c>
    </row>
    <row r="81" spans="1:15" ht="14.4">
      <c r="A81" s="4">
        <v>21002</v>
      </c>
      <c r="B81" s="11" t="s">
        <v>80</v>
      </c>
      <c r="C81" s="12">
        <v>76.810612816459155</v>
      </c>
      <c r="D81" s="12">
        <v>113.08744374024066</v>
      </c>
      <c r="E81" s="31">
        <f t="shared" si="10"/>
        <v>3.0724245126583664E-2</v>
      </c>
      <c r="F81" s="31">
        <f t="shared" si="8"/>
        <v>4.5234977496096264E-2</v>
      </c>
      <c r="G81" s="28"/>
      <c r="J81" s="4">
        <v>21002</v>
      </c>
      <c r="K81" s="11" t="s">
        <v>80</v>
      </c>
      <c r="L81" s="3">
        <v>702049.00114243664</v>
      </c>
      <c r="M81" s="3">
        <v>1231183</v>
      </c>
      <c r="N81" s="31">
        <f t="shared" si="11"/>
        <v>280.81960045697468</v>
      </c>
      <c r="O81" s="31">
        <f t="shared" si="9"/>
        <v>492.47320000000002</v>
      </c>
    </row>
    <row r="82" spans="1:15" ht="14.4">
      <c r="A82" s="4">
        <v>21003</v>
      </c>
      <c r="B82" s="11" t="s">
        <v>81</v>
      </c>
      <c r="C82" s="12">
        <v>149.32952288271036</v>
      </c>
      <c r="D82" s="12">
        <v>142.09714102152265</v>
      </c>
      <c r="E82" s="31">
        <f t="shared" si="10"/>
        <v>5.9731809153084146E-2</v>
      </c>
      <c r="F82" s="31">
        <f t="shared" si="8"/>
        <v>5.6838856408609063E-2</v>
      </c>
      <c r="G82" s="28"/>
      <c r="J82" s="4">
        <v>21003</v>
      </c>
      <c r="K82" s="11" t="s">
        <v>81</v>
      </c>
      <c r="L82" s="3">
        <v>1815846.9982537581</v>
      </c>
      <c r="M82" s="3">
        <v>2211742</v>
      </c>
      <c r="N82" s="31">
        <f t="shared" si="11"/>
        <v>726.33879930150329</v>
      </c>
      <c r="O82" s="31">
        <f t="shared" si="9"/>
        <v>884.69680000000005</v>
      </c>
    </row>
    <row r="83" spans="1:15" ht="14.4">
      <c r="A83" s="4">
        <v>21004</v>
      </c>
      <c r="B83" s="11" t="s">
        <v>82</v>
      </c>
      <c r="C83" s="12">
        <v>14.7960793734287</v>
      </c>
      <c r="D83" s="12">
        <v>12.25181876196554</v>
      </c>
      <c r="E83" s="31">
        <f t="shared" si="10"/>
        <v>5.9184317493714807E-3</v>
      </c>
      <c r="F83" s="31">
        <f t="shared" si="8"/>
        <v>4.900727504786216E-3</v>
      </c>
      <c r="G83" s="28"/>
      <c r="J83" s="4">
        <v>21004</v>
      </c>
      <c r="K83" s="11" t="s">
        <v>82</v>
      </c>
      <c r="L83" s="3">
        <v>309460.00009526126</v>
      </c>
      <c r="M83" s="3">
        <v>287979</v>
      </c>
      <c r="N83" s="31">
        <f t="shared" si="11"/>
        <v>123.78400003810451</v>
      </c>
      <c r="O83" s="31">
        <f t="shared" si="9"/>
        <v>115.19160000000001</v>
      </c>
    </row>
    <row r="84" spans="1:15" ht="14.4">
      <c r="A84" s="4">
        <v>21005</v>
      </c>
      <c r="B84" s="11" t="s">
        <v>83</v>
      </c>
      <c r="C84" s="12">
        <v>17.464239305217326</v>
      </c>
      <c r="D84" s="12">
        <v>16.860866834170853</v>
      </c>
      <c r="E84" s="31">
        <f t="shared" si="10"/>
        <v>6.9856957220869311E-3</v>
      </c>
      <c r="F84" s="31">
        <f t="shared" si="8"/>
        <v>6.7443467336683414E-3</v>
      </c>
      <c r="G84" s="28"/>
      <c r="J84" s="4">
        <v>21005</v>
      </c>
      <c r="K84" s="11" t="s">
        <v>83</v>
      </c>
      <c r="L84" s="3">
        <v>147730.00028283335</v>
      </c>
      <c r="M84" s="3">
        <v>161055</v>
      </c>
      <c r="N84" s="31">
        <f t="shared" si="11"/>
        <v>59.092000113133345</v>
      </c>
      <c r="O84" s="31">
        <f t="shared" si="9"/>
        <v>64.421999999999997</v>
      </c>
    </row>
    <row r="85" spans="1:15" ht="14.4">
      <c r="A85" s="4">
        <v>21006</v>
      </c>
      <c r="B85" s="11" t="s">
        <v>84</v>
      </c>
      <c r="C85" s="12">
        <v>34.33529596342877</v>
      </c>
      <c r="D85" s="12">
        <v>44.523930430366889</v>
      </c>
      <c r="E85" s="31">
        <f t="shared" si="10"/>
        <v>1.3734118385371509E-2</v>
      </c>
      <c r="F85" s="31">
        <f t="shared" si="8"/>
        <v>1.7809572172146758E-2</v>
      </c>
      <c r="G85" s="28"/>
      <c r="J85" s="4">
        <v>21006</v>
      </c>
      <c r="K85" s="11" t="s">
        <v>84</v>
      </c>
      <c r="L85" s="3">
        <v>215762.9998341864</v>
      </c>
      <c r="M85" s="3">
        <v>350715</v>
      </c>
      <c r="N85" s="31">
        <f t="shared" si="11"/>
        <v>86.305199933674558</v>
      </c>
      <c r="O85" s="31">
        <f t="shared" si="9"/>
        <v>140.286</v>
      </c>
    </row>
    <row r="86" spans="1:15" ht="14.4">
      <c r="A86" s="4">
        <v>21101</v>
      </c>
      <c r="B86" s="11" t="s">
        <v>85</v>
      </c>
      <c r="C86" s="12">
        <v>155.43368736590551</v>
      </c>
      <c r="D86" s="12">
        <v>237.49123094574659</v>
      </c>
      <c r="E86" s="31">
        <f t="shared" si="10"/>
        <v>6.217347494636221E-2</v>
      </c>
      <c r="F86" s="31">
        <f t="shared" si="8"/>
        <v>9.4996492378298644E-2</v>
      </c>
      <c r="G86" s="28"/>
      <c r="J86" s="4">
        <v>21101</v>
      </c>
      <c r="K86" s="11" t="s">
        <v>85</v>
      </c>
      <c r="L86" s="3">
        <v>2795163.9999010786</v>
      </c>
      <c r="M86" s="3">
        <v>4346802</v>
      </c>
      <c r="N86" s="31">
        <f t="shared" si="11"/>
        <v>1118.0655999604314</v>
      </c>
      <c r="O86" s="31">
        <f t="shared" si="9"/>
        <v>1738.7208000000001</v>
      </c>
    </row>
    <row r="87" spans="1:15" ht="14.4">
      <c r="A87" s="4">
        <v>21102</v>
      </c>
      <c r="B87" s="11" t="s">
        <v>86</v>
      </c>
      <c r="C87" s="12">
        <v>101.82523215363574</v>
      </c>
      <c r="D87" s="12">
        <v>140.88612053782379</v>
      </c>
      <c r="E87" s="31">
        <f t="shared" si="10"/>
        <v>4.0730092861454299E-2</v>
      </c>
      <c r="F87" s="31">
        <f t="shared" si="8"/>
        <v>5.635444821512952E-2</v>
      </c>
      <c r="G87" s="28"/>
      <c r="J87" s="4">
        <v>21102</v>
      </c>
      <c r="K87" s="11" t="s">
        <v>86</v>
      </c>
      <c r="L87" s="3">
        <v>1962885.0002256362</v>
      </c>
      <c r="M87" s="3">
        <v>3279688</v>
      </c>
      <c r="N87" s="31">
        <f t="shared" si="11"/>
        <v>785.1540000902545</v>
      </c>
      <c r="O87" s="31">
        <f t="shared" si="9"/>
        <v>1311.8751999999999</v>
      </c>
    </row>
    <row r="88" spans="1:15" ht="14.4">
      <c r="A88" s="4">
        <v>21103</v>
      </c>
      <c r="B88" s="11" t="s">
        <v>87</v>
      </c>
      <c r="C88" s="12">
        <v>112.83030206131104</v>
      </c>
      <c r="D88" s="12">
        <v>137.3553512803677</v>
      </c>
      <c r="E88" s="31">
        <f t="shared" si="10"/>
        <v>4.5132120824524419E-2</v>
      </c>
      <c r="F88" s="31">
        <f t="shared" si="8"/>
        <v>5.4942140512147082E-2</v>
      </c>
      <c r="G88" s="28"/>
      <c r="J88" s="4">
        <v>21103</v>
      </c>
      <c r="K88" s="11" t="s">
        <v>87</v>
      </c>
      <c r="L88" s="3">
        <v>769276.99945401866</v>
      </c>
      <c r="M88" s="3">
        <v>1045961</v>
      </c>
      <c r="N88" s="31">
        <f t="shared" si="11"/>
        <v>307.71079978160748</v>
      </c>
      <c r="O88" s="31">
        <f t="shared" si="9"/>
        <v>418.38440000000003</v>
      </c>
    </row>
    <row r="89" spans="1:15" ht="14.4">
      <c r="A89" s="4">
        <v>21104</v>
      </c>
      <c r="B89" s="11" t="s">
        <v>88</v>
      </c>
      <c r="C89" s="12">
        <v>102.90847139213365</v>
      </c>
      <c r="D89" s="12">
        <v>170.0465416221395</v>
      </c>
      <c r="E89" s="31">
        <f t="shared" si="10"/>
        <v>4.1163388556853461E-2</v>
      </c>
      <c r="F89" s="31">
        <f t="shared" si="8"/>
        <v>6.8018616648855806E-2</v>
      </c>
      <c r="G89" s="28"/>
      <c r="J89" s="4">
        <v>21104</v>
      </c>
      <c r="K89" s="11" t="s">
        <v>88</v>
      </c>
      <c r="L89" s="3">
        <v>2627562.0000553485</v>
      </c>
      <c r="M89" s="3">
        <v>4614553</v>
      </c>
      <c r="N89" s="31">
        <f t="shared" si="11"/>
        <v>1051.0248000221395</v>
      </c>
      <c r="O89" s="31">
        <f t="shared" si="9"/>
        <v>1845.8212000000001</v>
      </c>
    </row>
    <row r="90" spans="1:15" ht="14.4">
      <c r="A90" s="4">
        <v>21105</v>
      </c>
      <c r="B90" s="11" t="s">
        <v>89</v>
      </c>
      <c r="C90" s="12">
        <v>93.214120690257218</v>
      </c>
      <c r="D90" s="12">
        <v>190.40816460833133</v>
      </c>
      <c r="E90" s="31">
        <f t="shared" si="10"/>
        <v>3.7285648276102888E-2</v>
      </c>
      <c r="F90" s="31">
        <f t="shared" si="8"/>
        <v>7.6163265843332537E-2</v>
      </c>
      <c r="G90" s="28"/>
      <c r="J90" s="4">
        <v>21105</v>
      </c>
      <c r="K90" s="11" t="s">
        <v>89</v>
      </c>
      <c r="L90" s="3">
        <v>3913222.0006976882</v>
      </c>
      <c r="M90" s="3">
        <v>8680137</v>
      </c>
      <c r="N90" s="31">
        <f t="shared" si="11"/>
        <v>1565.2888002790753</v>
      </c>
      <c r="O90" s="31">
        <f t="shared" si="9"/>
        <v>3472.0548000000003</v>
      </c>
    </row>
    <row r="91" spans="1:15" ht="14.4">
      <c r="A91" s="4">
        <v>21201</v>
      </c>
      <c r="B91" s="11" t="s">
        <v>90</v>
      </c>
      <c r="C91" s="12">
        <v>49.234938284225315</v>
      </c>
      <c r="D91" s="12">
        <v>164.37671013039116</v>
      </c>
      <c r="E91" s="31">
        <f t="shared" si="10"/>
        <v>1.9693975313690128E-2</v>
      </c>
      <c r="F91" s="31">
        <f t="shared" si="8"/>
        <v>6.5750684052156463E-2</v>
      </c>
      <c r="G91" s="28"/>
      <c r="J91" s="4">
        <v>21201</v>
      </c>
      <c r="K91" s="11" t="s">
        <v>90</v>
      </c>
      <c r="L91" s="3">
        <v>1806873.0000927849</v>
      </c>
      <c r="M91" s="3">
        <v>8194179</v>
      </c>
      <c r="N91" s="31">
        <f t="shared" si="11"/>
        <v>722.74920003711395</v>
      </c>
      <c r="O91" s="31">
        <f t="shared" si="9"/>
        <v>3277.6716000000001</v>
      </c>
    </row>
    <row r="92" spans="1:15" ht="14.4">
      <c r="A92" s="4">
        <v>21202</v>
      </c>
      <c r="B92" s="11" t="s">
        <v>91</v>
      </c>
      <c r="C92" s="12">
        <v>57.639920614619555</v>
      </c>
      <c r="D92" s="12">
        <v>69.629644002897649</v>
      </c>
      <c r="E92" s="31">
        <f t="shared" si="10"/>
        <v>2.3055968245847824E-2</v>
      </c>
      <c r="F92" s="31">
        <f t="shared" si="8"/>
        <v>2.7851857601159061E-2</v>
      </c>
      <c r="G92" s="28"/>
      <c r="J92" s="4">
        <v>21202</v>
      </c>
      <c r="K92" s="11" t="s">
        <v>91</v>
      </c>
      <c r="L92" s="3">
        <v>1685275.9989302466</v>
      </c>
      <c r="M92" s="3">
        <v>2691325</v>
      </c>
      <c r="N92" s="31">
        <f t="shared" si="11"/>
        <v>674.11039957209869</v>
      </c>
      <c r="O92" s="31">
        <f t="shared" si="9"/>
        <v>1076.53</v>
      </c>
    </row>
    <row r="93" spans="1:15" ht="14.4">
      <c r="A93" s="4">
        <v>21203</v>
      </c>
      <c r="B93" s="11" t="s">
        <v>92</v>
      </c>
      <c r="C93" s="12">
        <v>81.199556476209949</v>
      </c>
      <c r="D93" s="12">
        <v>77.558984810986559</v>
      </c>
      <c r="E93" s="31">
        <f t="shared" si="10"/>
        <v>3.247982259048398E-2</v>
      </c>
      <c r="F93" s="31">
        <f t="shared" si="8"/>
        <v>3.1023593924394625E-2</v>
      </c>
      <c r="G93" s="28"/>
      <c r="J93" s="4">
        <v>21203</v>
      </c>
      <c r="K93" s="11" t="s">
        <v>92</v>
      </c>
      <c r="L93" s="3">
        <v>1501055.0010192171</v>
      </c>
      <c r="M93" s="3">
        <v>1598258</v>
      </c>
      <c r="N93" s="31">
        <f t="shared" si="11"/>
        <v>600.42200040768682</v>
      </c>
      <c r="O93" s="31">
        <f t="shared" si="9"/>
        <v>639.30320000000006</v>
      </c>
    </row>
    <row r="94" spans="1:15" ht="14.4">
      <c r="A94" s="4">
        <v>21204</v>
      </c>
      <c r="B94" s="11" t="s">
        <v>93</v>
      </c>
      <c r="C94" s="12">
        <v>53.150322929958023</v>
      </c>
      <c r="D94" s="12"/>
      <c r="E94" s="31">
        <f t="shared" si="10"/>
        <v>2.1260129171983212E-2</v>
      </c>
      <c r="F94" s="31">
        <f t="shared" si="8"/>
        <v>0</v>
      </c>
      <c r="G94" s="28"/>
      <c r="J94" s="4">
        <v>21204</v>
      </c>
      <c r="K94" s="11" t="s">
        <v>93</v>
      </c>
      <c r="L94" s="3">
        <v>370191.99920715764</v>
      </c>
      <c r="M94" s="3"/>
      <c r="N94" s="31">
        <f t="shared" si="11"/>
        <v>148.07679968286305</v>
      </c>
      <c r="O94" s="31">
        <f t="shared" si="9"/>
        <v>0</v>
      </c>
    </row>
    <row r="95" spans="1:15" ht="14.4">
      <c r="A95" s="4">
        <v>21301</v>
      </c>
      <c r="B95" s="11" t="s">
        <v>94</v>
      </c>
      <c r="C95" s="12">
        <v>41.544793362465633</v>
      </c>
      <c r="D95" s="12">
        <v>44.647484137435448</v>
      </c>
      <c r="E95" s="31">
        <f t="shared" si="10"/>
        <v>1.6617917344986254E-2</v>
      </c>
      <c r="F95" s="31">
        <f t="shared" si="8"/>
        <v>1.7858993654974179E-2</v>
      </c>
      <c r="G95" s="28"/>
      <c r="J95" s="4">
        <v>21301</v>
      </c>
      <c r="K95" s="11" t="s">
        <v>94</v>
      </c>
      <c r="L95" s="3">
        <v>1336496.0024705194</v>
      </c>
      <c r="M95" s="3">
        <v>1512879.9999970002</v>
      </c>
      <c r="N95" s="31">
        <f t="shared" si="11"/>
        <v>534.5984009882078</v>
      </c>
      <c r="O95" s="31">
        <f t="shared" si="9"/>
        <v>605.15199999880008</v>
      </c>
    </row>
    <row r="96" spans="1:15" ht="14.4">
      <c r="A96" s="4">
        <v>21302</v>
      </c>
      <c r="B96" s="11" t="s">
        <v>95</v>
      </c>
      <c r="C96" s="12">
        <v>37.828966485458018</v>
      </c>
      <c r="D96" s="12">
        <v>37.144034278180619</v>
      </c>
      <c r="E96" s="31">
        <f t="shared" si="10"/>
        <v>1.5131586594183209E-2</v>
      </c>
      <c r="F96" s="31">
        <f t="shared" si="8"/>
        <v>1.4857613711272248E-2</v>
      </c>
      <c r="G96" s="28"/>
      <c r="J96" s="4">
        <v>21302</v>
      </c>
      <c r="K96" s="11" t="s">
        <v>95</v>
      </c>
      <c r="L96" s="3">
        <v>339288.00040807296</v>
      </c>
      <c r="M96" s="3">
        <v>338085</v>
      </c>
      <c r="N96" s="31">
        <f t="shared" si="11"/>
        <v>135.71520016322918</v>
      </c>
      <c r="O96" s="31">
        <f t="shared" si="9"/>
        <v>135.23400000000001</v>
      </c>
    </row>
    <row r="97" spans="1:15" ht="14.4">
      <c r="A97" s="4">
        <v>21303</v>
      </c>
      <c r="B97" s="11" t="s">
        <v>96</v>
      </c>
      <c r="C97" s="12">
        <v>38.463970492873209</v>
      </c>
      <c r="D97" s="12">
        <v>35.560490317996091</v>
      </c>
      <c r="E97" s="31">
        <f t="shared" si="10"/>
        <v>1.5385588197149283E-2</v>
      </c>
      <c r="F97" s="31">
        <f t="shared" si="8"/>
        <v>1.4224196127198437E-2</v>
      </c>
      <c r="G97" s="28"/>
      <c r="J97" s="4">
        <v>21303</v>
      </c>
      <c r="K97" s="11" t="s">
        <v>96</v>
      </c>
      <c r="L97" s="3">
        <v>344290.99988170806</v>
      </c>
      <c r="M97" s="3">
        <v>400340</v>
      </c>
      <c r="N97" s="31">
        <f t="shared" si="11"/>
        <v>137.71639995268322</v>
      </c>
      <c r="O97" s="31">
        <f t="shared" si="9"/>
        <v>160.136</v>
      </c>
    </row>
    <row r="98" spans="1:15" ht="14.4">
      <c r="A98" s="4">
        <v>21304</v>
      </c>
      <c r="B98" s="11" t="s">
        <v>97</v>
      </c>
      <c r="C98" s="12">
        <v>47.732142840395682</v>
      </c>
      <c r="D98" s="12">
        <v>51.44992496900894</v>
      </c>
      <c r="E98" s="31">
        <f t="shared" si="10"/>
        <v>1.9092857136158273E-2</v>
      </c>
      <c r="F98" s="31">
        <f t="shared" si="8"/>
        <v>2.0579969987603575E-2</v>
      </c>
      <c r="G98" s="28"/>
      <c r="J98" s="4">
        <v>21304</v>
      </c>
      <c r="K98" s="11" t="s">
        <v>97</v>
      </c>
      <c r="L98" s="3">
        <v>638846.9997758558</v>
      </c>
      <c r="M98" s="3">
        <v>788573</v>
      </c>
      <c r="N98" s="31">
        <f t="shared" si="11"/>
        <v>255.53879991034233</v>
      </c>
      <c r="O98" s="31">
        <f t="shared" si="9"/>
        <v>315.42920000000004</v>
      </c>
    </row>
    <row r="99" spans="1:15" ht="14.4">
      <c r="A99" s="4">
        <v>21305</v>
      </c>
      <c r="B99" s="11" t="s">
        <v>98</v>
      </c>
      <c r="C99" s="12">
        <v>104.89801448813199</v>
      </c>
      <c r="D99" s="12">
        <v>123.81266899952283</v>
      </c>
      <c r="E99" s="31">
        <f t="shared" si="10"/>
        <v>4.1959205795252801E-2</v>
      </c>
      <c r="F99" s="31">
        <f t="shared" si="8"/>
        <v>4.9525067599809132E-2</v>
      </c>
      <c r="G99" s="28"/>
      <c r="J99" s="4">
        <v>21305</v>
      </c>
      <c r="K99" s="11" t="s">
        <v>98</v>
      </c>
      <c r="L99" s="3">
        <v>2477796.0002241656</v>
      </c>
      <c r="M99" s="3">
        <v>3113641</v>
      </c>
      <c r="N99" s="31">
        <f t="shared" si="11"/>
        <v>991.11840008966624</v>
      </c>
      <c r="O99" s="31">
        <f t="shared" si="9"/>
        <v>1245.4564</v>
      </c>
    </row>
    <row r="100" spans="1:15" ht="14.4">
      <c r="A100" s="4">
        <v>21306</v>
      </c>
      <c r="B100" s="11" t="s">
        <v>99</v>
      </c>
      <c r="C100" s="12">
        <v>47.803981701864494</v>
      </c>
      <c r="D100" s="12">
        <v>47.569415532425943</v>
      </c>
      <c r="E100" s="31">
        <f t="shared" si="10"/>
        <v>1.91215926807458E-2</v>
      </c>
      <c r="F100" s="31">
        <f t="shared" si="8"/>
        <v>1.9027766212970379E-2</v>
      </c>
      <c r="G100" s="28"/>
      <c r="J100" s="4">
        <v>21306</v>
      </c>
      <c r="K100" s="11" t="s">
        <v>99</v>
      </c>
      <c r="L100" s="3">
        <v>513844.99931334145</v>
      </c>
      <c r="M100" s="3">
        <v>594142</v>
      </c>
      <c r="N100" s="31">
        <f t="shared" si="11"/>
        <v>205.53799972533659</v>
      </c>
      <c r="O100" s="31">
        <f t="shared" si="9"/>
        <v>237.6568</v>
      </c>
    </row>
    <row r="101" spans="1:15" ht="14.4">
      <c r="A101" s="4">
        <v>21307</v>
      </c>
      <c r="B101" s="11" t="s">
        <v>100</v>
      </c>
      <c r="C101" s="12">
        <v>25.875456486868003</v>
      </c>
      <c r="D101" s="12">
        <v>31.207926167209553</v>
      </c>
      <c r="E101" s="31">
        <f t="shared" si="10"/>
        <v>1.0350182594747202E-2</v>
      </c>
      <c r="F101" s="31">
        <f t="shared" si="8"/>
        <v>1.2483170466883822E-2</v>
      </c>
      <c r="G101" s="28"/>
      <c r="J101" s="4">
        <v>21307</v>
      </c>
      <c r="K101" s="11" t="s">
        <v>100</v>
      </c>
      <c r="L101" s="3">
        <v>134630.00010117423</v>
      </c>
      <c r="M101" s="3">
        <v>172455</v>
      </c>
      <c r="N101" s="31">
        <f t="shared" si="11"/>
        <v>53.852000040469697</v>
      </c>
      <c r="O101" s="31">
        <f t="shared" si="9"/>
        <v>68.981999999999999</v>
      </c>
    </row>
    <row r="102" spans="1:15" ht="14.4">
      <c r="A102" s="4">
        <v>21401</v>
      </c>
      <c r="B102" s="11" t="s">
        <v>101</v>
      </c>
      <c r="C102" s="12">
        <v>116.68680081383478</v>
      </c>
      <c r="D102" s="12">
        <v>171.69661867128576</v>
      </c>
      <c r="E102" s="31">
        <f t="shared" si="10"/>
        <v>4.6674720325533915E-2</v>
      </c>
      <c r="F102" s="31">
        <f t="shared" si="8"/>
        <v>6.8678647468514306E-2</v>
      </c>
      <c r="G102" s="28"/>
      <c r="J102" s="4">
        <v>21401</v>
      </c>
      <c r="K102" s="11" t="s">
        <v>101</v>
      </c>
      <c r="L102" s="3">
        <v>2586713.0004410893</v>
      </c>
      <c r="M102" s="3">
        <v>4757885</v>
      </c>
      <c r="N102" s="31">
        <f t="shared" si="11"/>
        <v>1034.6852001764357</v>
      </c>
      <c r="O102" s="31">
        <f t="shared" si="9"/>
        <v>1903.154</v>
      </c>
    </row>
    <row r="103" spans="1:15" ht="14.4">
      <c r="A103" s="4">
        <v>21402</v>
      </c>
      <c r="B103" s="11" t="s">
        <v>102</v>
      </c>
      <c r="C103" s="12">
        <v>165.40047048229206</v>
      </c>
      <c r="D103" s="12">
        <v>148.79779005524861</v>
      </c>
      <c r="E103" s="31">
        <f t="shared" si="10"/>
        <v>6.616018819291683E-2</v>
      </c>
      <c r="F103" s="31">
        <f t="shared" si="8"/>
        <v>5.9519116022099444E-2</v>
      </c>
      <c r="G103" s="28"/>
      <c r="J103" s="4">
        <v>21402</v>
      </c>
      <c r="K103" s="11" t="s">
        <v>102</v>
      </c>
      <c r="L103" s="3">
        <v>3164111.000326247</v>
      </c>
      <c r="M103" s="3">
        <v>3501212</v>
      </c>
      <c r="N103" s="31">
        <f t="shared" si="11"/>
        <v>1265.6444001304988</v>
      </c>
      <c r="O103" s="31">
        <f t="shared" si="9"/>
        <v>1400.4848000000002</v>
      </c>
    </row>
    <row r="104" spans="1:15" ht="14.4">
      <c r="A104" s="4">
        <v>21501</v>
      </c>
      <c r="B104" s="11" t="s">
        <v>103</v>
      </c>
      <c r="C104" s="12">
        <v>98.524808424871182</v>
      </c>
      <c r="D104" s="12">
        <v>147.75371179039303</v>
      </c>
      <c r="E104" s="31">
        <f t="shared" si="10"/>
        <v>3.9409923369948474E-2</v>
      </c>
      <c r="F104" s="31">
        <f t="shared" si="8"/>
        <v>5.9101484716157213E-2</v>
      </c>
      <c r="G104" s="28"/>
      <c r="J104" s="4">
        <v>21501</v>
      </c>
      <c r="K104" s="11" t="s">
        <v>103</v>
      </c>
      <c r="L104" s="3">
        <v>1028598.9999556551</v>
      </c>
      <c r="M104" s="3">
        <v>1860958</v>
      </c>
      <c r="N104" s="31">
        <f t="shared" si="11"/>
        <v>411.43959998226205</v>
      </c>
      <c r="O104" s="31">
        <f t="shared" si="9"/>
        <v>744.38319999999999</v>
      </c>
    </row>
    <row r="105" spans="1:15" ht="14.4">
      <c r="A105" s="4">
        <v>21502</v>
      </c>
      <c r="B105" s="11" t="s">
        <v>104</v>
      </c>
      <c r="C105" s="12">
        <v>112.89069312481566</v>
      </c>
      <c r="D105" s="12">
        <v>186.65423057892133</v>
      </c>
      <c r="E105" s="31">
        <f t="shared" si="10"/>
        <v>4.5156277249926262E-2</v>
      </c>
      <c r="F105" s="31">
        <f t="shared" si="8"/>
        <v>7.466169223156853E-2</v>
      </c>
      <c r="G105" s="28"/>
      <c r="J105" s="4">
        <v>21502</v>
      </c>
      <c r="K105" s="11" t="s">
        <v>104</v>
      </c>
      <c r="L105" s="3">
        <v>1035885.0001133084</v>
      </c>
      <c r="M105" s="3">
        <v>1886141</v>
      </c>
      <c r="N105" s="31">
        <f t="shared" si="11"/>
        <v>414.3540000453234</v>
      </c>
      <c r="O105" s="31">
        <f t="shared" si="9"/>
        <v>754.45640000000003</v>
      </c>
    </row>
    <row r="106" spans="1:15" ht="14.4">
      <c r="A106" s="4">
        <v>21601</v>
      </c>
      <c r="B106" s="11" t="s">
        <v>105</v>
      </c>
      <c r="C106" s="12">
        <v>21.602396674636388</v>
      </c>
      <c r="D106" s="12">
        <v>33.405443126308441</v>
      </c>
      <c r="E106" s="31">
        <f t="shared" si="10"/>
        <v>8.6409586698545562E-3</v>
      </c>
      <c r="F106" s="31">
        <f t="shared" si="8"/>
        <v>1.3362177250523377E-2</v>
      </c>
      <c r="G106" s="28"/>
      <c r="J106" s="4">
        <v>21601</v>
      </c>
      <c r="K106" s="11" t="s">
        <v>105</v>
      </c>
      <c r="L106" s="3">
        <v>301051.00005773269</v>
      </c>
      <c r="M106" s="3">
        <v>526570</v>
      </c>
      <c r="N106" s="31">
        <f t="shared" si="11"/>
        <v>120.42040002309308</v>
      </c>
      <c r="O106" s="31">
        <f t="shared" si="9"/>
        <v>210.62800000000001</v>
      </c>
    </row>
    <row r="107" spans="1:15" ht="14.4">
      <c r="A107" s="4">
        <v>21602</v>
      </c>
      <c r="B107" s="11" t="s">
        <v>106</v>
      </c>
      <c r="C107" s="12">
        <v>11.151570285521457</v>
      </c>
      <c r="D107" s="12">
        <v>21.787324156708515</v>
      </c>
      <c r="E107" s="31">
        <f t="shared" si="10"/>
        <v>4.460628114208583E-3</v>
      </c>
      <c r="F107" s="31">
        <f t="shared" si="8"/>
        <v>8.7149296626834061E-3</v>
      </c>
      <c r="G107" s="28"/>
      <c r="J107" s="4">
        <v>21602</v>
      </c>
      <c r="K107" s="11" t="s">
        <v>106</v>
      </c>
      <c r="L107" s="3">
        <v>48999.999834581278</v>
      </c>
      <c r="M107" s="3">
        <v>144036</v>
      </c>
      <c r="N107" s="31">
        <f t="shared" si="11"/>
        <v>19.599999933832514</v>
      </c>
      <c r="O107" s="31">
        <f t="shared" si="9"/>
        <v>57.614400000000003</v>
      </c>
    </row>
    <row r="108" spans="1:15" ht="14.4">
      <c r="A108" s="4">
        <v>21701</v>
      </c>
      <c r="B108" s="11" t="s">
        <v>107</v>
      </c>
      <c r="C108" s="12">
        <v>134.10301099236182</v>
      </c>
      <c r="D108" s="12">
        <v>112.26106625436637</v>
      </c>
      <c r="E108" s="31">
        <f t="shared" si="10"/>
        <v>5.3641204396944732E-2</v>
      </c>
      <c r="F108" s="31">
        <f t="shared" si="8"/>
        <v>4.4904426501746551E-2</v>
      </c>
      <c r="G108" s="28"/>
      <c r="J108" s="4">
        <v>21701</v>
      </c>
      <c r="K108" s="11" t="s">
        <v>107</v>
      </c>
      <c r="L108" s="3">
        <v>2115474.9984045075</v>
      </c>
      <c r="M108" s="3">
        <v>1960415</v>
      </c>
      <c r="N108" s="31">
        <f t="shared" si="11"/>
        <v>846.18999936180307</v>
      </c>
      <c r="O108" s="31">
        <f t="shared" si="9"/>
        <v>784.16600000000005</v>
      </c>
    </row>
    <row r="109" spans="1:15" ht="14.4">
      <c r="A109" s="4">
        <v>21702</v>
      </c>
      <c r="B109" s="11" t="s">
        <v>108</v>
      </c>
      <c r="C109" s="12">
        <v>66.870785889558917</v>
      </c>
      <c r="D109" s="12">
        <v>40.157463989524224</v>
      </c>
      <c r="E109" s="31">
        <f t="shared" si="10"/>
        <v>2.6748314355823567E-2</v>
      </c>
      <c r="F109" s="31">
        <f t="shared" si="8"/>
        <v>1.6062985595809692E-2</v>
      </c>
      <c r="G109" s="28"/>
      <c r="J109" s="4">
        <v>21702</v>
      </c>
      <c r="K109" s="11" t="s">
        <v>108</v>
      </c>
      <c r="L109" s="3">
        <v>474047.00117108319</v>
      </c>
      <c r="M109" s="3">
        <v>368003</v>
      </c>
      <c r="N109" s="31">
        <f t="shared" si="11"/>
        <v>189.61880046843328</v>
      </c>
      <c r="O109" s="31">
        <f t="shared" si="9"/>
        <v>147.2012</v>
      </c>
    </row>
    <row r="110" spans="1:15" ht="14.4">
      <c r="A110" s="4">
        <v>21703</v>
      </c>
      <c r="B110" s="11" t="s">
        <v>109</v>
      </c>
      <c r="C110" s="12">
        <v>11.982789586166595</v>
      </c>
      <c r="D110" s="12">
        <v>12.150697674418605</v>
      </c>
      <c r="E110" s="31">
        <f t="shared" si="10"/>
        <v>4.7931158344666379E-3</v>
      </c>
      <c r="F110" s="31">
        <f t="shared" si="8"/>
        <v>4.8602790697674422E-3</v>
      </c>
      <c r="G110" s="28"/>
      <c r="J110" s="4">
        <v>21703</v>
      </c>
      <c r="K110" s="11" t="s">
        <v>109</v>
      </c>
      <c r="L110" s="3">
        <v>80069.000014765188</v>
      </c>
      <c r="M110" s="3">
        <v>91434</v>
      </c>
      <c r="N110" s="31">
        <f t="shared" si="11"/>
        <v>32.027600005906073</v>
      </c>
      <c r="O110" s="31">
        <f t="shared" si="9"/>
        <v>36.573599999999999</v>
      </c>
    </row>
    <row r="111" spans="1:15" ht="14.4">
      <c r="A111" s="4">
        <v>21801</v>
      </c>
      <c r="B111" s="11" t="s">
        <v>110</v>
      </c>
      <c r="C111" s="12">
        <v>3.7047226648648262</v>
      </c>
      <c r="D111" s="12">
        <v>26.308397524747754</v>
      </c>
      <c r="E111" s="31">
        <f t="shared" si="10"/>
        <v>1.4818890659459305E-3</v>
      </c>
      <c r="F111" s="31">
        <f t="shared" si="8"/>
        <v>1.0523359009899102E-2</v>
      </c>
      <c r="G111" s="28"/>
      <c r="J111" s="4">
        <v>21801</v>
      </c>
      <c r="K111" s="11" t="s">
        <v>110</v>
      </c>
      <c r="L111" s="3">
        <v>33261.000085156411</v>
      </c>
      <c r="M111" s="3">
        <v>242484.49998560004</v>
      </c>
      <c r="N111" s="31">
        <f t="shared" si="11"/>
        <v>13.304400034062565</v>
      </c>
      <c r="O111" s="31">
        <f t="shared" si="9"/>
        <v>96.993799994240021</v>
      </c>
    </row>
    <row r="112" spans="1:15" ht="14.4">
      <c r="A112" s="4">
        <v>21802</v>
      </c>
      <c r="B112" s="11" t="s">
        <v>111</v>
      </c>
      <c r="C112" s="12">
        <v>2.1755991369608951</v>
      </c>
      <c r="D112" s="12">
        <v>27.11843886127237</v>
      </c>
      <c r="E112" s="31">
        <f t="shared" si="10"/>
        <v>8.7023965478435811E-4</v>
      </c>
      <c r="F112" s="31">
        <f t="shared" si="8"/>
        <v>1.0847375544508948E-2</v>
      </c>
      <c r="G112" s="28"/>
      <c r="J112" s="4">
        <v>21802</v>
      </c>
      <c r="K112" s="11" t="s">
        <v>111</v>
      </c>
      <c r="L112" s="3">
        <v>14979.000057975762</v>
      </c>
      <c r="M112" s="3">
        <v>180310.4999886</v>
      </c>
      <c r="N112" s="31">
        <f t="shared" si="11"/>
        <v>5.9916000231903048</v>
      </c>
      <c r="O112" s="31">
        <f t="shared" si="9"/>
        <v>72.124199995440009</v>
      </c>
    </row>
    <row r="113" spans="1:15" ht="14.4">
      <c r="A113" s="4">
        <v>21803</v>
      </c>
      <c r="B113" s="11" t="s">
        <v>112</v>
      </c>
      <c r="C113" s="12">
        <v>19.089604039259235</v>
      </c>
      <c r="D113" s="12">
        <v>23.054580896686161</v>
      </c>
      <c r="E113" s="31">
        <f t="shared" si="10"/>
        <v>7.6358416157036946E-3</v>
      </c>
      <c r="F113" s="31">
        <f t="shared" si="8"/>
        <v>9.2218323586744644E-3</v>
      </c>
      <c r="G113" s="28"/>
      <c r="J113" s="4">
        <v>21803</v>
      </c>
      <c r="K113" s="11" t="s">
        <v>112</v>
      </c>
      <c r="L113" s="3">
        <v>38561.000159303658</v>
      </c>
      <c r="M113" s="3">
        <v>47308</v>
      </c>
      <c r="N113" s="31">
        <f t="shared" si="11"/>
        <v>15.424400063721464</v>
      </c>
      <c r="O113" s="31">
        <f t="shared" si="9"/>
        <v>18.923200000000001</v>
      </c>
    </row>
    <row r="114" spans="1:15" ht="14.4">
      <c r="A114" s="4">
        <v>21901</v>
      </c>
      <c r="B114" s="11" t="s">
        <v>113</v>
      </c>
      <c r="C114" s="12">
        <v>26.574108875995609</v>
      </c>
      <c r="D114" s="12">
        <v>33.596179279941218</v>
      </c>
      <c r="E114" s="31">
        <f t="shared" si="10"/>
        <v>1.0629643550398244E-2</v>
      </c>
      <c r="F114" s="31">
        <f t="shared" si="8"/>
        <v>1.3438471711976489E-2</v>
      </c>
      <c r="G114" s="28"/>
      <c r="J114" s="4">
        <v>21901</v>
      </c>
      <c r="K114" s="11" t="s">
        <v>113</v>
      </c>
      <c r="L114" s="3">
        <v>141640.0003090566</v>
      </c>
      <c r="M114" s="3">
        <v>228622</v>
      </c>
      <c r="N114" s="31">
        <f t="shared" si="11"/>
        <v>56.656000123622647</v>
      </c>
      <c r="O114" s="31">
        <f t="shared" si="9"/>
        <v>91.448800000000006</v>
      </c>
    </row>
    <row r="115" spans="1:15" ht="14.4">
      <c r="A115" s="4">
        <v>21902</v>
      </c>
      <c r="B115" s="11" t="s">
        <v>114</v>
      </c>
      <c r="C115" s="12">
        <v>8.3911986709818791</v>
      </c>
      <c r="D115" s="12">
        <v>9.47934965427023</v>
      </c>
      <c r="E115" s="31">
        <f t="shared" si="10"/>
        <v>3.356479468392752E-3</v>
      </c>
      <c r="F115" s="31">
        <f t="shared" si="8"/>
        <v>3.7917398617080922E-3</v>
      </c>
      <c r="G115" s="28"/>
      <c r="J115" s="4">
        <v>21902</v>
      </c>
      <c r="K115" s="11" t="s">
        <v>114</v>
      </c>
      <c r="L115" s="3">
        <v>31080.999877316877</v>
      </c>
      <c r="M115" s="3">
        <v>50724</v>
      </c>
      <c r="N115" s="31">
        <f t="shared" si="11"/>
        <v>12.432399950926751</v>
      </c>
      <c r="O115" s="31">
        <f t="shared" si="9"/>
        <v>20.2896</v>
      </c>
    </row>
    <row r="116" spans="1:15" ht="14.4">
      <c r="A116" s="4">
        <v>22001</v>
      </c>
      <c r="B116" s="11" t="s">
        <v>115</v>
      </c>
      <c r="C116" s="12">
        <v>90.040452770434584</v>
      </c>
      <c r="D116" s="12">
        <v>169.38182854078693</v>
      </c>
      <c r="E116" s="31">
        <f t="shared" si="10"/>
        <v>3.6016181108173832E-2</v>
      </c>
      <c r="F116" s="31">
        <f t="shared" si="8"/>
        <v>6.7752731416314771E-2</v>
      </c>
      <c r="G116" s="28"/>
      <c r="J116" s="4">
        <v>22001</v>
      </c>
      <c r="K116" s="11" t="s">
        <v>115</v>
      </c>
      <c r="L116" s="3">
        <v>4812211.9983158763</v>
      </c>
      <c r="M116" s="3">
        <v>10108030</v>
      </c>
      <c r="N116" s="31">
        <f t="shared" si="11"/>
        <v>1924.8847993263507</v>
      </c>
      <c r="O116" s="31">
        <f t="shared" si="9"/>
        <v>4043.212</v>
      </c>
    </row>
    <row r="117" spans="1:15" ht="14.4">
      <c r="A117" s="4">
        <v>22002</v>
      </c>
      <c r="B117" s="11" t="s">
        <v>116</v>
      </c>
      <c r="C117" s="12">
        <v>64.321535787041569</v>
      </c>
      <c r="D117" s="12">
        <v>124.91865847897969</v>
      </c>
      <c r="E117" s="31">
        <f t="shared" si="10"/>
        <v>2.5728614314816628E-2</v>
      </c>
      <c r="F117" s="31">
        <f t="shared" si="8"/>
        <v>4.9967463391591881E-2</v>
      </c>
      <c r="G117" s="28"/>
      <c r="J117" s="4">
        <v>22002</v>
      </c>
      <c r="K117" s="11" t="s">
        <v>116</v>
      </c>
      <c r="L117" s="3">
        <v>706957.99983537383</v>
      </c>
      <c r="M117" s="3">
        <v>1322264</v>
      </c>
      <c r="N117" s="31">
        <f t="shared" si="11"/>
        <v>282.78319993414954</v>
      </c>
      <c r="O117" s="31">
        <f t="shared" si="9"/>
        <v>528.90560000000005</v>
      </c>
    </row>
    <row r="118" spans="1:15" ht="14.4">
      <c r="A118" s="4">
        <v>30101</v>
      </c>
      <c r="B118" s="11" t="s">
        <v>117</v>
      </c>
      <c r="C118" s="12">
        <v>433.61498623918942</v>
      </c>
      <c r="D118" s="12">
        <v>418.53606584486073</v>
      </c>
      <c r="E118" s="31">
        <f t="shared" si="10"/>
        <v>0.17344599449567577</v>
      </c>
      <c r="F118" s="31">
        <f t="shared" si="8"/>
        <v>0.16741442633794429</v>
      </c>
      <c r="G118" s="28"/>
      <c r="J118" s="4">
        <v>30101</v>
      </c>
      <c r="K118" s="11" t="s">
        <v>117</v>
      </c>
      <c r="L118" s="3">
        <v>278891186.00436312</v>
      </c>
      <c r="M118" s="3">
        <v>278537844.50008404</v>
      </c>
      <c r="N118" s="31">
        <f t="shared" si="11"/>
        <v>111556.47440174525</v>
      </c>
      <c r="O118" s="31">
        <f t="shared" si="9"/>
        <v>111415.13780003363</v>
      </c>
    </row>
    <row r="119" spans="1:15" ht="14.4">
      <c r="A119" s="4">
        <v>30201</v>
      </c>
      <c r="B119" s="11" t="s">
        <v>118</v>
      </c>
      <c r="C119" s="12">
        <v>110.235410676985</v>
      </c>
      <c r="D119" s="12">
        <v>110.73930718332396</v>
      </c>
      <c r="E119" s="31">
        <f t="shared" si="10"/>
        <v>4.4094164270794003E-2</v>
      </c>
      <c r="F119" s="31">
        <f t="shared" si="8"/>
        <v>4.4295722873329585E-2</v>
      </c>
      <c r="G119" s="28"/>
      <c r="J119" s="4">
        <v>30201</v>
      </c>
      <c r="K119" s="11" t="s">
        <v>118</v>
      </c>
      <c r="L119" s="3">
        <v>2559556.0005089147</v>
      </c>
      <c r="M119" s="3">
        <v>2560625</v>
      </c>
      <c r="N119" s="31">
        <f t="shared" si="11"/>
        <v>1023.822400203566</v>
      </c>
      <c r="O119" s="31">
        <f t="shared" si="9"/>
        <v>1024.25</v>
      </c>
    </row>
    <row r="120" spans="1:15" ht="14.4">
      <c r="A120" s="4">
        <v>30202</v>
      </c>
      <c r="B120" s="11" t="s">
        <v>119</v>
      </c>
      <c r="C120" s="12">
        <v>37.789059031692986</v>
      </c>
      <c r="D120" s="12">
        <v>55.636602316602314</v>
      </c>
      <c r="E120" s="31">
        <f t="shared" si="10"/>
        <v>1.5115623612677195E-2</v>
      </c>
      <c r="F120" s="31">
        <f t="shared" si="8"/>
        <v>2.2254640926640926E-2</v>
      </c>
      <c r="G120" s="28"/>
      <c r="J120" s="4">
        <v>30202</v>
      </c>
      <c r="K120" s="11" t="s">
        <v>119</v>
      </c>
      <c r="L120" s="3">
        <v>254207.00010619871</v>
      </c>
      <c r="M120" s="3">
        <v>360247</v>
      </c>
      <c r="N120" s="31">
        <f t="shared" si="11"/>
        <v>101.68280004247949</v>
      </c>
      <c r="O120" s="31">
        <f t="shared" si="9"/>
        <v>144.09880000000001</v>
      </c>
    </row>
    <row r="121" spans="1:15" ht="14.4">
      <c r="A121" s="4">
        <v>30203</v>
      </c>
      <c r="B121" s="11" t="s">
        <v>120</v>
      </c>
      <c r="C121" s="12">
        <v>102.43919933449129</v>
      </c>
      <c r="D121" s="12">
        <v>99.746567164179098</v>
      </c>
      <c r="E121" s="31">
        <f t="shared" si="10"/>
        <v>4.0975679733796518E-2</v>
      </c>
      <c r="F121" s="31">
        <f t="shared" si="8"/>
        <v>3.9898626865671638E-2</v>
      </c>
      <c r="G121" s="28"/>
      <c r="J121" s="4">
        <v>30203</v>
      </c>
      <c r="K121" s="11" t="s">
        <v>120</v>
      </c>
      <c r="L121" s="3">
        <v>614123.00001027528</v>
      </c>
      <c r="M121" s="3">
        <v>668302</v>
      </c>
      <c r="N121" s="31">
        <f t="shared" si="11"/>
        <v>245.64920000411013</v>
      </c>
      <c r="O121" s="31">
        <f t="shared" si="9"/>
        <v>267.32080000000002</v>
      </c>
    </row>
    <row r="122" spans="1:15" ht="14.4">
      <c r="A122" s="4">
        <v>30301</v>
      </c>
      <c r="B122" s="11" t="s">
        <v>121</v>
      </c>
      <c r="C122" s="12">
        <v>25.988847435135149</v>
      </c>
      <c r="D122" s="12">
        <v>27.708205363282147</v>
      </c>
      <c r="E122" s="31">
        <f t="shared" si="10"/>
        <v>1.0395538974054061E-2</v>
      </c>
      <c r="F122" s="31">
        <f t="shared" si="8"/>
        <v>1.1083282145312859E-2</v>
      </c>
      <c r="G122" s="28"/>
      <c r="J122" s="4">
        <v>30301</v>
      </c>
      <c r="K122" s="11" t="s">
        <v>121</v>
      </c>
      <c r="L122" s="3">
        <v>598887.0002952544</v>
      </c>
      <c r="M122" s="3">
        <v>604454.5</v>
      </c>
      <c r="N122" s="31">
        <f t="shared" si="11"/>
        <v>239.55480011810178</v>
      </c>
      <c r="O122" s="31">
        <f t="shared" si="9"/>
        <v>241.7818</v>
      </c>
    </row>
    <row r="123" spans="1:15" ht="14.4">
      <c r="A123" s="4">
        <v>30302</v>
      </c>
      <c r="B123" s="11" t="s">
        <v>122</v>
      </c>
      <c r="C123" s="12">
        <v>22.695713680735491</v>
      </c>
      <c r="D123" s="12">
        <v>18.699252717391303</v>
      </c>
      <c r="E123" s="31">
        <f t="shared" si="10"/>
        <v>9.078285472294197E-3</v>
      </c>
      <c r="F123" s="31">
        <f t="shared" si="8"/>
        <v>7.4797010869565219E-3</v>
      </c>
      <c r="G123" s="28"/>
      <c r="J123" s="4">
        <v>30302</v>
      </c>
      <c r="K123" s="11" t="s">
        <v>122</v>
      </c>
      <c r="L123" s="3">
        <v>304985.0004417235</v>
      </c>
      <c r="M123" s="3">
        <v>275253</v>
      </c>
      <c r="N123" s="31">
        <f t="shared" si="11"/>
        <v>121.99400017668941</v>
      </c>
      <c r="O123" s="31">
        <f t="shared" si="9"/>
        <v>110.10120000000001</v>
      </c>
    </row>
    <row r="124" spans="1:15" ht="14.4">
      <c r="A124" s="4">
        <v>30303</v>
      </c>
      <c r="B124" s="11" t="s">
        <v>123</v>
      </c>
      <c r="C124" s="12">
        <v>21.335288091588644</v>
      </c>
      <c r="D124" s="12">
        <v>21.125407996736026</v>
      </c>
      <c r="E124" s="31">
        <f t="shared" si="10"/>
        <v>8.5341152366354579E-3</v>
      </c>
      <c r="F124" s="31">
        <f t="shared" si="8"/>
        <v>8.4501631986944117E-3</v>
      </c>
      <c r="G124" s="28"/>
      <c r="J124" s="4">
        <v>30303</v>
      </c>
      <c r="K124" s="11" t="s">
        <v>123</v>
      </c>
      <c r="L124" s="3">
        <v>396558.99975835811</v>
      </c>
      <c r="M124" s="3">
        <v>414227</v>
      </c>
      <c r="N124" s="31">
        <f t="shared" si="11"/>
        <v>158.62359990334326</v>
      </c>
      <c r="O124" s="31">
        <f t="shared" si="9"/>
        <v>165.6908</v>
      </c>
    </row>
    <row r="125" spans="1:15" ht="14.4">
      <c r="A125" s="4">
        <v>30401</v>
      </c>
      <c r="B125" s="11" t="s">
        <v>124</v>
      </c>
      <c r="C125" s="12">
        <v>164.30415049026058</v>
      </c>
      <c r="D125" s="12">
        <v>121.91058280848044</v>
      </c>
      <c r="E125" s="31">
        <f t="shared" si="10"/>
        <v>6.5721660196104231E-2</v>
      </c>
      <c r="F125" s="31">
        <f t="shared" si="8"/>
        <v>4.8764233123392176E-2</v>
      </c>
      <c r="G125" s="28"/>
      <c r="J125" s="4">
        <v>30401</v>
      </c>
      <c r="K125" s="11" t="s">
        <v>124</v>
      </c>
      <c r="L125" s="3">
        <v>1520142.0003358908</v>
      </c>
      <c r="M125" s="3">
        <v>1374298</v>
      </c>
      <c r="N125" s="31">
        <f t="shared" si="11"/>
        <v>608.05680013435631</v>
      </c>
      <c r="O125" s="31">
        <f t="shared" si="9"/>
        <v>549.7192</v>
      </c>
    </row>
    <row r="126" spans="1:15" ht="14.4">
      <c r="A126" s="4">
        <v>30402</v>
      </c>
      <c r="B126" s="11" t="s">
        <v>125</v>
      </c>
      <c r="C126" s="12">
        <v>37.491160283859521</v>
      </c>
      <c r="D126" s="12">
        <v>41.716428084526243</v>
      </c>
      <c r="E126" s="31">
        <f t="shared" si="10"/>
        <v>1.4996464113543809E-2</v>
      </c>
      <c r="F126" s="31">
        <f t="shared" si="8"/>
        <v>1.6686571233810499E-2</v>
      </c>
      <c r="G126" s="28"/>
      <c r="J126" s="4">
        <v>30402</v>
      </c>
      <c r="K126" s="11" t="s">
        <v>125</v>
      </c>
      <c r="L126" s="3">
        <v>271436.00045514293</v>
      </c>
      <c r="M126" s="3">
        <v>305990</v>
      </c>
      <c r="N126" s="31">
        <f t="shared" si="11"/>
        <v>108.57440018205718</v>
      </c>
      <c r="O126" s="31">
        <f t="shared" si="9"/>
        <v>122.396</v>
      </c>
    </row>
    <row r="127" spans="1:15" ht="14.4">
      <c r="A127" s="4">
        <v>30403</v>
      </c>
      <c r="B127" s="11" t="s">
        <v>126</v>
      </c>
      <c r="C127" s="12">
        <v>117.48452517107012</v>
      </c>
      <c r="D127" s="12">
        <v>87.802740425668091</v>
      </c>
      <c r="E127" s="31">
        <f t="shared" si="10"/>
        <v>4.6993810068428052E-2</v>
      </c>
      <c r="F127" s="31">
        <f t="shared" si="8"/>
        <v>3.5121096170267235E-2</v>
      </c>
      <c r="G127" s="28"/>
      <c r="J127" s="4">
        <v>30403</v>
      </c>
      <c r="K127" s="11" t="s">
        <v>126</v>
      </c>
      <c r="L127" s="3">
        <v>2516753.4982146639</v>
      </c>
      <c r="M127" s="3">
        <v>2579205.500004</v>
      </c>
      <c r="N127" s="31">
        <f t="shared" si="11"/>
        <v>1006.7013992858656</v>
      </c>
      <c r="O127" s="31">
        <f t="shared" si="9"/>
        <v>1031.6822000016</v>
      </c>
    </row>
    <row r="128" spans="1:15" ht="14.4">
      <c r="A128" s="4">
        <v>30404</v>
      </c>
      <c r="B128" s="11" t="s">
        <v>127</v>
      </c>
      <c r="C128" s="12">
        <v>49.00656035472695</v>
      </c>
      <c r="D128" s="12">
        <v>23.518949268097053</v>
      </c>
      <c r="E128" s="31">
        <f t="shared" si="10"/>
        <v>1.9602624141890779E-2</v>
      </c>
      <c r="F128" s="31">
        <f t="shared" si="8"/>
        <v>9.4075797072388223E-3</v>
      </c>
      <c r="G128" s="28"/>
      <c r="J128" s="4">
        <v>30404</v>
      </c>
      <c r="K128" s="11" t="s">
        <v>127</v>
      </c>
      <c r="L128" s="3">
        <v>224107.00050216634</v>
      </c>
      <c r="M128" s="3">
        <v>117289</v>
      </c>
      <c r="N128" s="31">
        <f t="shared" si="11"/>
        <v>89.642800200866546</v>
      </c>
      <c r="O128" s="31">
        <f t="shared" si="9"/>
        <v>46.915600000000005</v>
      </c>
    </row>
    <row r="129" spans="1:15" ht="14.4">
      <c r="A129" s="4">
        <v>30501</v>
      </c>
      <c r="B129" s="11" t="s">
        <v>128</v>
      </c>
      <c r="C129" s="12">
        <v>189.57188970110141</v>
      </c>
      <c r="D129" s="12">
        <v>142.11669498345702</v>
      </c>
      <c r="E129" s="31">
        <f t="shared" si="10"/>
        <v>7.5828755880440565E-2</v>
      </c>
      <c r="F129" s="31">
        <f t="shared" si="8"/>
        <v>5.6846677993382812E-2</v>
      </c>
      <c r="G129" s="28"/>
      <c r="J129" s="4">
        <v>30501</v>
      </c>
      <c r="K129" s="11" t="s">
        <v>128</v>
      </c>
      <c r="L129" s="3">
        <v>1907851.4979518848</v>
      </c>
      <c r="M129" s="3">
        <v>1589291</v>
      </c>
      <c r="N129" s="31">
        <f t="shared" si="11"/>
        <v>763.14059918075395</v>
      </c>
      <c r="O129" s="31">
        <f t="shared" si="9"/>
        <v>635.71640000000002</v>
      </c>
    </row>
    <row r="130" spans="1:15" ht="14.4">
      <c r="A130" s="4">
        <v>30502</v>
      </c>
      <c r="B130" s="11" t="s">
        <v>129</v>
      </c>
      <c r="C130" s="12">
        <v>34.488531354018846</v>
      </c>
      <c r="D130" s="12">
        <v>46.251991913426089</v>
      </c>
      <c r="E130" s="31">
        <f t="shared" si="10"/>
        <v>1.379541254160754E-2</v>
      </c>
      <c r="F130" s="31">
        <f t="shared" ref="F130:F193" si="12">D130*$I$6</f>
        <v>1.8500796765370437E-2</v>
      </c>
      <c r="G130" s="28"/>
      <c r="J130" s="4">
        <v>30502</v>
      </c>
      <c r="K130" s="11" t="s">
        <v>129</v>
      </c>
      <c r="L130" s="3">
        <v>302223.00025526714</v>
      </c>
      <c r="M130" s="3">
        <v>388933</v>
      </c>
      <c r="N130" s="31">
        <f t="shared" si="11"/>
        <v>120.88920010210686</v>
      </c>
      <c r="O130" s="31">
        <f t="shared" ref="O130:O193" si="13">M130*$I$6</f>
        <v>155.57320000000001</v>
      </c>
    </row>
    <row r="131" spans="1:15" ht="14.4">
      <c r="A131" s="4">
        <v>30601</v>
      </c>
      <c r="B131" s="11" t="s">
        <v>130</v>
      </c>
      <c r="C131" s="12">
        <v>19.426995949443345</v>
      </c>
      <c r="D131" s="12">
        <v>22.145316027088036</v>
      </c>
      <c r="E131" s="31">
        <f t="shared" ref="E131:E194" si="14">C131*$I$6</f>
        <v>7.7707983797773387E-3</v>
      </c>
      <c r="F131" s="31">
        <f t="shared" si="12"/>
        <v>8.8581264108352157E-3</v>
      </c>
      <c r="G131" s="28"/>
      <c r="J131" s="4">
        <v>30601</v>
      </c>
      <c r="K131" s="11" t="s">
        <v>130</v>
      </c>
      <c r="L131" s="3">
        <v>206101.00002764445</v>
      </c>
      <c r="M131" s="3">
        <v>235449</v>
      </c>
      <c r="N131" s="31">
        <f t="shared" ref="N131:N194" si="15">L131*$I$6</f>
        <v>82.44040001105779</v>
      </c>
      <c r="O131" s="31">
        <f t="shared" si="13"/>
        <v>94.179600000000008</v>
      </c>
    </row>
    <row r="132" spans="1:15" ht="14.4">
      <c r="A132" s="4">
        <v>30602</v>
      </c>
      <c r="B132" s="11" t="s">
        <v>131</v>
      </c>
      <c r="C132" s="12">
        <v>14.245129098322689</v>
      </c>
      <c r="D132" s="12">
        <v>12.566976744186046</v>
      </c>
      <c r="E132" s="31">
        <f t="shared" si="14"/>
        <v>5.6980516393290758E-3</v>
      </c>
      <c r="F132" s="31">
        <f t="shared" si="12"/>
        <v>5.0267906976744188E-3</v>
      </c>
      <c r="G132" s="28"/>
      <c r="J132" s="4">
        <v>30602</v>
      </c>
      <c r="K132" s="11" t="s">
        <v>131</v>
      </c>
      <c r="L132" s="3">
        <v>148420.00007542409</v>
      </c>
      <c r="M132" s="3">
        <v>135095</v>
      </c>
      <c r="N132" s="31">
        <f t="shared" si="15"/>
        <v>59.36800003016964</v>
      </c>
      <c r="O132" s="31">
        <f t="shared" si="13"/>
        <v>54.038000000000004</v>
      </c>
    </row>
    <row r="133" spans="1:15" ht="14.4">
      <c r="A133" s="4">
        <v>30701</v>
      </c>
      <c r="B133" s="11" t="s">
        <v>132</v>
      </c>
      <c r="C133" s="12">
        <v>178.76264140489036</v>
      </c>
      <c r="D133" s="12">
        <v>169.40389663880165</v>
      </c>
      <c r="E133" s="31">
        <f t="shared" si="14"/>
        <v>7.1505056561956146E-2</v>
      </c>
      <c r="F133" s="31">
        <f t="shared" si="12"/>
        <v>6.7761558655520665E-2</v>
      </c>
      <c r="G133" s="28"/>
      <c r="J133" s="4">
        <v>30701</v>
      </c>
      <c r="K133" s="11" t="s">
        <v>132</v>
      </c>
      <c r="L133" s="3">
        <v>3478721.0017391667</v>
      </c>
      <c r="M133" s="3">
        <v>3291009.500002</v>
      </c>
      <c r="N133" s="31">
        <f t="shared" si="15"/>
        <v>1391.4884006956668</v>
      </c>
      <c r="O133" s="31">
        <f t="shared" si="13"/>
        <v>1316.4038000008002</v>
      </c>
    </row>
    <row r="134" spans="1:15" ht="14.4">
      <c r="A134" s="4">
        <v>30702</v>
      </c>
      <c r="B134" s="11" t="s">
        <v>133</v>
      </c>
      <c r="C134" s="12">
        <v>162.29908545480092</v>
      </c>
      <c r="D134" s="12"/>
      <c r="E134" s="31">
        <f t="shared" si="14"/>
        <v>6.4919634181920371E-2</v>
      </c>
      <c r="F134" s="31">
        <f t="shared" si="12"/>
        <v>0</v>
      </c>
      <c r="G134" s="28"/>
      <c r="J134" s="4">
        <v>30702</v>
      </c>
      <c r="K134" s="11" t="s">
        <v>133</v>
      </c>
      <c r="L134" s="3">
        <v>1135769.0000126967</v>
      </c>
      <c r="M134" s="3"/>
      <c r="N134" s="31">
        <f t="shared" si="15"/>
        <v>454.30760000507871</v>
      </c>
      <c r="O134" s="31">
        <f t="shared" si="13"/>
        <v>0</v>
      </c>
    </row>
    <row r="135" spans="1:15" ht="14.4">
      <c r="A135" s="4">
        <v>30703</v>
      </c>
      <c r="B135" s="11" t="s">
        <v>134</v>
      </c>
      <c r="C135" s="12">
        <v>54.476701591321373</v>
      </c>
      <c r="D135" s="12">
        <v>67.447738693467343</v>
      </c>
      <c r="E135" s="31">
        <f t="shared" si="14"/>
        <v>2.1790680636528548E-2</v>
      </c>
      <c r="F135" s="31">
        <f t="shared" si="12"/>
        <v>2.6979095477386937E-2</v>
      </c>
      <c r="G135" s="28"/>
      <c r="J135" s="4">
        <v>30703</v>
      </c>
      <c r="K135" s="11" t="s">
        <v>134</v>
      </c>
      <c r="L135" s="3">
        <v>208101.00007884763</v>
      </c>
      <c r="M135" s="3">
        <v>268442</v>
      </c>
      <c r="N135" s="31">
        <f t="shared" si="15"/>
        <v>83.240400031539053</v>
      </c>
      <c r="O135" s="31">
        <f t="shared" si="13"/>
        <v>107.3768</v>
      </c>
    </row>
    <row r="136" spans="1:15" ht="14.4">
      <c r="A136" s="4">
        <v>30801</v>
      </c>
      <c r="B136" s="11" t="s">
        <v>135</v>
      </c>
      <c r="C136" s="12">
        <v>223.84421035349132</v>
      </c>
      <c r="D136" s="12">
        <v>201.3985582599858</v>
      </c>
      <c r="E136" s="31">
        <f t="shared" si="14"/>
        <v>8.9537684141396526E-2</v>
      </c>
      <c r="F136" s="31">
        <f t="shared" si="12"/>
        <v>8.0559423303994321E-2</v>
      </c>
      <c r="G136" s="28"/>
      <c r="J136" s="4">
        <v>30801</v>
      </c>
      <c r="K136" s="11" t="s">
        <v>135</v>
      </c>
      <c r="L136" s="3">
        <v>4846450.9983634409</v>
      </c>
      <c r="M136" s="3">
        <v>4260586.4999899995</v>
      </c>
      <c r="N136" s="31">
        <f t="shared" si="15"/>
        <v>1938.5803993453765</v>
      </c>
      <c r="O136" s="31">
        <f t="shared" si="13"/>
        <v>1704.2345999959998</v>
      </c>
    </row>
    <row r="137" spans="1:15" ht="14.4">
      <c r="A137" s="4">
        <v>30802</v>
      </c>
      <c r="B137" s="11" t="s">
        <v>136</v>
      </c>
      <c r="C137" s="12">
        <v>102.33642707835813</v>
      </c>
      <c r="D137" s="12">
        <v>86.789217014359252</v>
      </c>
      <c r="E137" s="31">
        <f t="shared" si="14"/>
        <v>4.0934570831343255E-2</v>
      </c>
      <c r="F137" s="31">
        <f t="shared" si="12"/>
        <v>3.4715686805743703E-2</v>
      </c>
      <c r="G137" s="28"/>
      <c r="J137" s="4">
        <v>30802</v>
      </c>
      <c r="K137" s="11" t="s">
        <v>136</v>
      </c>
      <c r="L137" s="3">
        <v>733240.50001643598</v>
      </c>
      <c r="M137" s="3">
        <v>640678</v>
      </c>
      <c r="N137" s="31">
        <f t="shared" si="15"/>
        <v>293.2962000065744</v>
      </c>
      <c r="O137" s="31">
        <f t="shared" si="13"/>
        <v>256.27120000000002</v>
      </c>
    </row>
    <row r="138" spans="1:15" ht="14.4">
      <c r="A138" s="4">
        <v>30803</v>
      </c>
      <c r="B138" s="11" t="s">
        <v>137</v>
      </c>
      <c r="C138" s="12">
        <v>241.75720777604107</v>
      </c>
      <c r="D138" s="12">
        <v>172.15068493150685</v>
      </c>
      <c r="E138" s="31">
        <f t="shared" si="14"/>
        <v>9.6702883110416429E-2</v>
      </c>
      <c r="F138" s="31">
        <f t="shared" si="12"/>
        <v>6.8860273972602748E-2</v>
      </c>
      <c r="G138" s="28"/>
      <c r="J138" s="4">
        <v>30803</v>
      </c>
      <c r="K138" s="11" t="s">
        <v>137</v>
      </c>
      <c r="L138" s="3">
        <v>1593179.9992441107</v>
      </c>
      <c r="M138" s="3">
        <v>1495473</v>
      </c>
      <c r="N138" s="31">
        <f t="shared" si="15"/>
        <v>637.27199969764433</v>
      </c>
      <c r="O138" s="31">
        <f t="shared" si="13"/>
        <v>598.18920000000003</v>
      </c>
    </row>
    <row r="139" spans="1:15" ht="14.4">
      <c r="A139" s="4">
        <v>30901</v>
      </c>
      <c r="B139" s="11" t="s">
        <v>138</v>
      </c>
      <c r="C139" s="12">
        <v>331.41759443666592</v>
      </c>
      <c r="D139" s="12">
        <v>298.98851212363604</v>
      </c>
      <c r="E139" s="31">
        <f t="shared" si="14"/>
        <v>0.13256703777466639</v>
      </c>
      <c r="F139" s="31">
        <f t="shared" si="12"/>
        <v>0.11959540484945443</v>
      </c>
      <c r="G139" s="28"/>
      <c r="J139" s="4">
        <v>30901</v>
      </c>
      <c r="K139" s="11" t="s">
        <v>138</v>
      </c>
      <c r="L139" s="3">
        <v>48729985.997995175</v>
      </c>
      <c r="M139" s="3">
        <v>49853643.500007197</v>
      </c>
      <c r="N139" s="31">
        <f t="shared" si="15"/>
        <v>19491.994399198073</v>
      </c>
      <c r="O139" s="31">
        <f t="shared" si="13"/>
        <v>19941.457400002881</v>
      </c>
    </row>
    <row r="140" spans="1:15" ht="14.4">
      <c r="A140" s="4">
        <v>30902</v>
      </c>
      <c r="B140" s="11" t="s">
        <v>139</v>
      </c>
      <c r="C140" s="12">
        <v>196.58115435078619</v>
      </c>
      <c r="D140" s="12">
        <v>172.8187915861773</v>
      </c>
      <c r="E140" s="31">
        <f t="shared" si="14"/>
        <v>7.8632461740314477E-2</v>
      </c>
      <c r="F140" s="31">
        <f t="shared" si="12"/>
        <v>6.912751663447092E-2</v>
      </c>
      <c r="G140" s="28"/>
      <c r="J140" s="4">
        <v>30902</v>
      </c>
      <c r="K140" s="11" t="s">
        <v>139</v>
      </c>
      <c r="L140" s="3">
        <v>9111536.5041589402</v>
      </c>
      <c r="M140" s="3">
        <v>9661953</v>
      </c>
      <c r="N140" s="31">
        <f t="shared" si="15"/>
        <v>3644.6146016635762</v>
      </c>
      <c r="O140" s="31">
        <f t="shared" si="13"/>
        <v>3864.7812000000004</v>
      </c>
    </row>
    <row r="141" spans="1:15" ht="14.4">
      <c r="A141" s="4">
        <v>30903</v>
      </c>
      <c r="B141" s="11" t="s">
        <v>140</v>
      </c>
      <c r="C141" s="12">
        <v>372.56285714155774</v>
      </c>
      <c r="D141" s="12">
        <v>365.73893111222509</v>
      </c>
      <c r="E141" s="31">
        <f t="shared" si="14"/>
        <v>0.14902514285662311</v>
      </c>
      <c r="F141" s="31">
        <f t="shared" si="12"/>
        <v>0.14629557244489005</v>
      </c>
      <c r="G141" s="28"/>
      <c r="J141" s="4">
        <v>30903</v>
      </c>
      <c r="K141" s="11" t="s">
        <v>140</v>
      </c>
      <c r="L141" s="3">
        <v>21068057.00849795</v>
      </c>
      <c r="M141" s="3">
        <v>22617295.499979999</v>
      </c>
      <c r="N141" s="31">
        <f t="shared" si="15"/>
        <v>8427.2228033991796</v>
      </c>
      <c r="O141" s="31">
        <f t="shared" si="13"/>
        <v>9046.9181999920002</v>
      </c>
    </row>
    <row r="142" spans="1:15" ht="14.4">
      <c r="A142" s="4">
        <v>30904</v>
      </c>
      <c r="B142" s="11" t="s">
        <v>141</v>
      </c>
      <c r="C142" s="12">
        <v>237.41079631446561</v>
      </c>
      <c r="D142" s="12">
        <v>250.19216431230379</v>
      </c>
      <c r="E142" s="31">
        <f t="shared" si="14"/>
        <v>9.4964318525786254E-2</v>
      </c>
      <c r="F142" s="31">
        <f t="shared" si="12"/>
        <v>0.10007686572492153</v>
      </c>
      <c r="G142" s="28"/>
      <c r="J142" s="4">
        <v>30904</v>
      </c>
      <c r="K142" s="11" t="s">
        <v>141</v>
      </c>
      <c r="L142" s="3">
        <v>12661829.999839395</v>
      </c>
      <c r="M142" s="3">
        <v>14026773.500004999</v>
      </c>
      <c r="N142" s="31">
        <f t="shared" si="15"/>
        <v>5064.7319999357587</v>
      </c>
      <c r="O142" s="31">
        <f t="shared" si="13"/>
        <v>5610.7094000019997</v>
      </c>
    </row>
    <row r="143" spans="1:15" ht="14.4">
      <c r="A143" s="4">
        <v>30905</v>
      </c>
      <c r="B143" s="11" t="s">
        <v>142</v>
      </c>
      <c r="C143" s="12">
        <v>371.28894199553673</v>
      </c>
      <c r="D143" s="12">
        <v>332.19346665664239</v>
      </c>
      <c r="E143" s="31">
        <f t="shared" si="14"/>
        <v>0.1485155767982147</v>
      </c>
      <c r="F143" s="31">
        <f t="shared" si="12"/>
        <v>0.13287738666265697</v>
      </c>
      <c r="G143" s="28"/>
      <c r="J143" s="4">
        <v>30905</v>
      </c>
      <c r="K143" s="11" t="s">
        <v>142</v>
      </c>
      <c r="L143" s="3">
        <v>21099607.995722361</v>
      </c>
      <c r="M143" s="3">
        <v>22092526.5</v>
      </c>
      <c r="N143" s="31">
        <f t="shared" si="15"/>
        <v>8439.8431982889451</v>
      </c>
      <c r="O143" s="31">
        <f t="shared" si="13"/>
        <v>8837.0105999999996</v>
      </c>
    </row>
    <row r="144" spans="1:15" ht="14.4">
      <c r="A144" s="4">
        <v>31001</v>
      </c>
      <c r="B144" s="11" t="s">
        <v>143</v>
      </c>
      <c r="C144" s="12">
        <v>266.84056255922388</v>
      </c>
      <c r="D144" s="12">
        <v>245.72483020832343</v>
      </c>
      <c r="E144" s="31">
        <f t="shared" si="14"/>
        <v>0.10673622502368955</v>
      </c>
      <c r="F144" s="31">
        <f t="shared" si="12"/>
        <v>9.8289932083329382E-2</v>
      </c>
      <c r="G144" s="28"/>
      <c r="J144" s="4">
        <v>31001</v>
      </c>
      <c r="K144" s="11" t="s">
        <v>143</v>
      </c>
      <c r="L144" s="3">
        <v>50168160.485634565</v>
      </c>
      <c r="M144" s="3">
        <v>53836344.500001997</v>
      </c>
      <c r="N144" s="31">
        <f t="shared" si="15"/>
        <v>20067.264194253828</v>
      </c>
      <c r="O144" s="31">
        <f t="shared" si="13"/>
        <v>21534.537800000799</v>
      </c>
    </row>
    <row r="145" spans="1:15" ht="14.4">
      <c r="A145" s="4">
        <v>31002</v>
      </c>
      <c r="B145" s="11" t="s">
        <v>144</v>
      </c>
      <c r="C145" s="12">
        <v>120.84040906601297</v>
      </c>
      <c r="D145" s="12">
        <v>105.38574567426531</v>
      </c>
      <c r="E145" s="31">
        <f t="shared" si="14"/>
        <v>4.8336163626405186E-2</v>
      </c>
      <c r="F145" s="31">
        <f t="shared" si="12"/>
        <v>4.2154298269706125E-2</v>
      </c>
      <c r="G145" s="28"/>
      <c r="J145" s="4">
        <v>31002</v>
      </c>
      <c r="K145" s="11" t="s">
        <v>144</v>
      </c>
      <c r="L145" s="3">
        <v>2433604.998180435</v>
      </c>
      <c r="M145" s="3">
        <v>2302257</v>
      </c>
      <c r="N145" s="31">
        <f t="shared" si="15"/>
        <v>973.44199927217403</v>
      </c>
      <c r="O145" s="31">
        <f t="shared" si="13"/>
        <v>920.90280000000007</v>
      </c>
    </row>
    <row r="146" spans="1:15" ht="14.4">
      <c r="A146" s="4">
        <v>31003</v>
      </c>
      <c r="B146" s="11" t="s">
        <v>145</v>
      </c>
      <c r="C146" s="12">
        <v>131.42055429598204</v>
      </c>
      <c r="D146" s="12">
        <v>170.34733911485168</v>
      </c>
      <c r="E146" s="31">
        <f t="shared" si="14"/>
        <v>5.2568221718392823E-2</v>
      </c>
      <c r="F146" s="31">
        <f t="shared" si="12"/>
        <v>6.8138935645940674E-2</v>
      </c>
      <c r="G146" s="28"/>
      <c r="J146" s="4">
        <v>31003</v>
      </c>
      <c r="K146" s="11" t="s">
        <v>145</v>
      </c>
      <c r="L146" s="3">
        <v>10361196.500695225</v>
      </c>
      <c r="M146" s="3">
        <v>15969552</v>
      </c>
      <c r="N146" s="31">
        <f t="shared" si="15"/>
        <v>4144.4786002780902</v>
      </c>
      <c r="O146" s="31">
        <f t="shared" si="13"/>
        <v>6387.8208000000004</v>
      </c>
    </row>
    <row r="147" spans="1:15" ht="14.4">
      <c r="A147" s="4">
        <v>31101</v>
      </c>
      <c r="B147" s="11" t="s">
        <v>146</v>
      </c>
      <c r="C147" s="12">
        <v>22.484394659380381</v>
      </c>
      <c r="D147" s="12">
        <v>20.537419930268385</v>
      </c>
      <c r="E147" s="31">
        <f t="shared" si="14"/>
        <v>8.9937578637521529E-3</v>
      </c>
      <c r="F147" s="31">
        <f t="shared" si="12"/>
        <v>8.2149679721073548E-3</v>
      </c>
      <c r="G147" s="28"/>
      <c r="J147" s="4">
        <v>31101</v>
      </c>
      <c r="K147" s="11" t="s">
        <v>146</v>
      </c>
      <c r="L147" s="3">
        <v>553993.0000124732</v>
      </c>
      <c r="M147" s="3">
        <v>506576</v>
      </c>
      <c r="N147" s="31">
        <f t="shared" si="15"/>
        <v>221.5972000049893</v>
      </c>
      <c r="O147" s="31">
        <f t="shared" si="13"/>
        <v>202.63040000000001</v>
      </c>
    </row>
    <row r="148" spans="1:15" ht="14.4">
      <c r="A148" s="4">
        <v>31201</v>
      </c>
      <c r="B148" s="11" t="s">
        <v>147</v>
      </c>
      <c r="C148" s="12">
        <v>55.532649331586597</v>
      </c>
      <c r="D148" s="12">
        <v>70.703663720396733</v>
      </c>
      <c r="E148" s="31">
        <f t="shared" si="14"/>
        <v>2.2213059732634641E-2</v>
      </c>
      <c r="F148" s="31">
        <f t="shared" si="12"/>
        <v>2.8281465488158696E-2</v>
      </c>
      <c r="G148" s="28"/>
      <c r="J148" s="4">
        <v>31201</v>
      </c>
      <c r="K148" s="11" t="s">
        <v>147</v>
      </c>
      <c r="L148" s="3">
        <v>817274.00021295995</v>
      </c>
      <c r="M148" s="3">
        <v>1047899</v>
      </c>
      <c r="N148" s="31">
        <f t="shared" si="15"/>
        <v>326.90960008518397</v>
      </c>
      <c r="O148" s="31">
        <f t="shared" si="13"/>
        <v>419.15960000000001</v>
      </c>
    </row>
    <row r="149" spans="1:15" ht="14.4">
      <c r="A149" s="4">
        <v>31202</v>
      </c>
      <c r="B149" s="11" t="s">
        <v>148</v>
      </c>
      <c r="C149" s="12">
        <v>66.162595588012749</v>
      </c>
      <c r="D149" s="12">
        <v>67.353392330383485</v>
      </c>
      <c r="E149" s="31">
        <f t="shared" si="14"/>
        <v>2.6465038235205102E-2</v>
      </c>
      <c r="F149" s="31">
        <f t="shared" si="12"/>
        <v>2.6941356932153396E-2</v>
      </c>
      <c r="G149" s="28"/>
      <c r="J149" s="4">
        <v>31202</v>
      </c>
      <c r="K149" s="11" t="s">
        <v>148</v>
      </c>
      <c r="L149" s="3">
        <v>709660.00027702469</v>
      </c>
      <c r="M149" s="3">
        <v>799148</v>
      </c>
      <c r="N149" s="31">
        <f t="shared" si="15"/>
        <v>283.86400011080991</v>
      </c>
      <c r="O149" s="31">
        <f t="shared" si="13"/>
        <v>319.6592</v>
      </c>
    </row>
    <row r="150" spans="1:15" ht="14.4">
      <c r="A150" s="4">
        <v>31203</v>
      </c>
      <c r="B150" s="11" t="s">
        <v>149</v>
      </c>
      <c r="C150" s="12">
        <v>81.500755274916628</v>
      </c>
      <c r="D150" s="12">
        <v>70.371920378528301</v>
      </c>
      <c r="E150" s="31">
        <f t="shared" si="14"/>
        <v>3.2600302109966652E-2</v>
      </c>
      <c r="F150" s="31">
        <f t="shared" si="12"/>
        <v>2.8148768151411322E-2</v>
      </c>
      <c r="G150" s="28"/>
      <c r="J150" s="4">
        <v>31203</v>
      </c>
      <c r="K150" s="11" t="s">
        <v>149</v>
      </c>
      <c r="L150" s="3">
        <v>917127.99910863675</v>
      </c>
      <c r="M150" s="3">
        <v>862619</v>
      </c>
      <c r="N150" s="31">
        <f t="shared" si="15"/>
        <v>366.85119964345472</v>
      </c>
      <c r="O150" s="31">
        <f t="shared" si="13"/>
        <v>345.04759999999999</v>
      </c>
    </row>
    <row r="151" spans="1:15" ht="14.4">
      <c r="A151" s="4">
        <v>31204</v>
      </c>
      <c r="B151" s="11" t="s">
        <v>150</v>
      </c>
      <c r="C151" s="12">
        <v>160.63180353228026</v>
      </c>
      <c r="D151" s="12">
        <v>199.99658442643801</v>
      </c>
      <c r="E151" s="31">
        <f t="shared" si="14"/>
        <v>6.4252721412912106E-2</v>
      </c>
      <c r="F151" s="31">
        <f t="shared" si="12"/>
        <v>7.99986337705752E-2</v>
      </c>
      <c r="G151" s="28"/>
      <c r="J151" s="4">
        <v>31204</v>
      </c>
      <c r="K151" s="11" t="s">
        <v>150</v>
      </c>
      <c r="L151" s="3">
        <v>3801190.9987878799</v>
      </c>
      <c r="M151" s="3">
        <v>5504106</v>
      </c>
      <c r="N151" s="31">
        <f t="shared" si="15"/>
        <v>1520.476399515152</v>
      </c>
      <c r="O151" s="31">
        <f t="shared" si="13"/>
        <v>2201.6424000000002</v>
      </c>
    </row>
    <row r="152" spans="1:15" ht="14.4">
      <c r="A152" s="4">
        <v>31205</v>
      </c>
      <c r="B152" s="11" t="s">
        <v>151</v>
      </c>
      <c r="C152" s="12">
        <v>164.3827923824729</v>
      </c>
      <c r="D152" s="12">
        <v>184.93104729468226</v>
      </c>
      <c r="E152" s="31">
        <f t="shared" si="14"/>
        <v>6.575311695298916E-2</v>
      </c>
      <c r="F152" s="31">
        <f t="shared" si="12"/>
        <v>7.3972418917872901E-2</v>
      </c>
      <c r="G152" s="28"/>
      <c r="J152" s="4">
        <v>31205</v>
      </c>
      <c r="K152" s="11" t="s">
        <v>151</v>
      </c>
      <c r="L152" s="3">
        <v>8649165.0039961934</v>
      </c>
      <c r="M152" s="3">
        <v>11945621</v>
      </c>
      <c r="N152" s="31">
        <f t="shared" si="15"/>
        <v>3459.6660015984776</v>
      </c>
      <c r="O152" s="31">
        <f t="shared" si="13"/>
        <v>4778.2484000000004</v>
      </c>
    </row>
    <row r="153" spans="1:15" ht="14.4">
      <c r="A153" s="4">
        <v>31206</v>
      </c>
      <c r="B153" s="11" t="s">
        <v>152</v>
      </c>
      <c r="C153" s="12">
        <v>192.84966802239774</v>
      </c>
      <c r="D153" s="12">
        <v>211.37758846657928</v>
      </c>
      <c r="E153" s="31">
        <f t="shared" si="14"/>
        <v>7.7139867208959101E-2</v>
      </c>
      <c r="F153" s="31">
        <f t="shared" si="12"/>
        <v>8.4551035386631723E-2</v>
      </c>
      <c r="G153" s="28"/>
      <c r="J153" s="4">
        <v>31206</v>
      </c>
      <c r="K153" s="11" t="s">
        <v>152</v>
      </c>
      <c r="L153" s="3">
        <v>6999093.0015368816</v>
      </c>
      <c r="M153" s="3">
        <v>9676866</v>
      </c>
      <c r="N153" s="31">
        <f t="shared" si="15"/>
        <v>2799.6372006147526</v>
      </c>
      <c r="O153" s="31">
        <f t="shared" si="13"/>
        <v>3870.7464</v>
      </c>
    </row>
    <row r="154" spans="1:15" ht="14.4">
      <c r="A154" s="4">
        <v>31301</v>
      </c>
      <c r="B154" s="11" t="s">
        <v>153</v>
      </c>
      <c r="C154" s="12">
        <v>126.96364780644623</v>
      </c>
      <c r="D154" s="12">
        <v>131.32624648170486</v>
      </c>
      <c r="E154" s="31">
        <f t="shared" si="14"/>
        <v>5.0785459122578494E-2</v>
      </c>
      <c r="F154" s="31">
        <f t="shared" si="12"/>
        <v>5.2530498592681947E-2</v>
      </c>
      <c r="G154" s="28"/>
      <c r="J154" s="4">
        <v>31301</v>
      </c>
      <c r="K154" s="11" t="s">
        <v>153</v>
      </c>
      <c r="L154" s="3">
        <v>2523402.5001531187</v>
      </c>
      <c r="M154" s="3">
        <v>2612867</v>
      </c>
      <c r="N154" s="31">
        <f t="shared" si="15"/>
        <v>1009.3610000612475</v>
      </c>
      <c r="O154" s="31">
        <f t="shared" si="13"/>
        <v>1045.1468</v>
      </c>
    </row>
    <row r="155" spans="1:15" ht="14.4">
      <c r="A155" s="4">
        <v>31302</v>
      </c>
      <c r="B155" s="11" t="s">
        <v>154</v>
      </c>
      <c r="C155" s="12">
        <v>20.301652137284151</v>
      </c>
      <c r="D155" s="12">
        <v>21.421624713386731</v>
      </c>
      <c r="E155" s="31">
        <f t="shared" si="14"/>
        <v>8.1206608549136607E-3</v>
      </c>
      <c r="F155" s="31">
        <f t="shared" si="12"/>
        <v>8.5686498853546934E-3</v>
      </c>
      <c r="G155" s="28"/>
      <c r="J155" s="4">
        <v>31302</v>
      </c>
      <c r="K155" s="11" t="s">
        <v>154</v>
      </c>
      <c r="L155" s="3">
        <v>109365.00006354973</v>
      </c>
      <c r="M155" s="3">
        <v>112334.99999700001</v>
      </c>
      <c r="N155" s="31">
        <f t="shared" si="15"/>
        <v>43.746000025419896</v>
      </c>
      <c r="O155" s="31">
        <f t="shared" si="13"/>
        <v>44.933999998800005</v>
      </c>
    </row>
    <row r="156" spans="1:15" ht="14.4">
      <c r="A156" s="4">
        <v>31303</v>
      </c>
      <c r="B156" s="11" t="s">
        <v>155</v>
      </c>
      <c r="C156" s="12">
        <v>16.538627865826552</v>
      </c>
      <c r="D156" s="12">
        <v>12.920842824601367</v>
      </c>
      <c r="E156" s="31">
        <f t="shared" si="14"/>
        <v>6.6154511463306209E-3</v>
      </c>
      <c r="F156" s="31">
        <f t="shared" si="12"/>
        <v>5.1683371298405474E-3</v>
      </c>
      <c r="G156" s="28"/>
      <c r="J156" s="4">
        <v>31303</v>
      </c>
      <c r="K156" s="11" t="s">
        <v>155</v>
      </c>
      <c r="L156" s="3">
        <v>57372.500066552311</v>
      </c>
      <c r="M156" s="3">
        <v>45378</v>
      </c>
      <c r="N156" s="31">
        <f t="shared" si="15"/>
        <v>22.949000026620926</v>
      </c>
      <c r="O156" s="31">
        <f t="shared" si="13"/>
        <v>18.151199999999999</v>
      </c>
    </row>
    <row r="157" spans="1:15" ht="14.4">
      <c r="A157" s="4">
        <v>31304</v>
      </c>
      <c r="B157" s="11" t="s">
        <v>156</v>
      </c>
      <c r="C157" s="12"/>
      <c r="D157" s="12"/>
      <c r="E157" s="31">
        <f t="shared" si="14"/>
        <v>0</v>
      </c>
      <c r="F157" s="31">
        <f t="shared" si="12"/>
        <v>0</v>
      </c>
      <c r="G157" s="28"/>
      <c r="J157" s="4">
        <v>31304</v>
      </c>
      <c r="K157" s="11" t="s">
        <v>156</v>
      </c>
      <c r="L157" s="3"/>
      <c r="M157" s="3"/>
      <c r="N157" s="31">
        <f t="shared" si="15"/>
        <v>0</v>
      </c>
      <c r="O157" s="31">
        <f t="shared" si="13"/>
        <v>0</v>
      </c>
    </row>
    <row r="158" spans="1:15" ht="14.4">
      <c r="A158" s="4">
        <v>31401</v>
      </c>
      <c r="B158" s="11" t="s">
        <v>157</v>
      </c>
      <c r="C158" s="12">
        <v>231.42717782742974</v>
      </c>
      <c r="D158" s="12">
        <v>196.54556286881524</v>
      </c>
      <c r="E158" s="31">
        <f t="shared" si="14"/>
        <v>9.2570871130971899E-2</v>
      </c>
      <c r="F158" s="31">
        <f t="shared" si="12"/>
        <v>7.8618225147526102E-2</v>
      </c>
      <c r="G158" s="28"/>
      <c r="J158" s="4">
        <v>31401</v>
      </c>
      <c r="K158" s="11" t="s">
        <v>157</v>
      </c>
      <c r="L158" s="3">
        <v>7175862.502895114</v>
      </c>
      <c r="M158" s="3">
        <v>6927838</v>
      </c>
      <c r="N158" s="31">
        <f t="shared" si="15"/>
        <v>2870.3450011580458</v>
      </c>
      <c r="O158" s="31">
        <f t="shared" si="13"/>
        <v>2771.1352000000002</v>
      </c>
    </row>
    <row r="159" spans="1:15" ht="14.4">
      <c r="A159" s="4">
        <v>31402</v>
      </c>
      <c r="B159" s="11" t="s">
        <v>158</v>
      </c>
      <c r="C159" s="12">
        <v>124.7430639795321</v>
      </c>
      <c r="D159" s="12">
        <v>114.72037446214676</v>
      </c>
      <c r="E159" s="31">
        <f t="shared" si="14"/>
        <v>4.9897225591812838E-2</v>
      </c>
      <c r="F159" s="31">
        <f t="shared" si="12"/>
        <v>4.5888149784858709E-2</v>
      </c>
      <c r="G159" s="28"/>
      <c r="J159" s="4">
        <v>31402</v>
      </c>
      <c r="K159" s="11" t="s">
        <v>158</v>
      </c>
      <c r="L159" s="3">
        <v>1034120.000390321</v>
      </c>
      <c r="M159" s="3">
        <v>986480.5</v>
      </c>
      <c r="N159" s="31">
        <f t="shared" si="15"/>
        <v>413.64800015612843</v>
      </c>
      <c r="O159" s="31">
        <f t="shared" si="13"/>
        <v>394.59219999999999</v>
      </c>
    </row>
    <row r="160" spans="1:15" ht="14.4">
      <c r="A160" s="4">
        <v>31403</v>
      </c>
      <c r="B160" s="11" t="s">
        <v>159</v>
      </c>
      <c r="C160" s="12">
        <v>232.25517072699742</v>
      </c>
      <c r="D160" s="12">
        <v>207.83920637352534</v>
      </c>
      <c r="E160" s="31">
        <f t="shared" si="14"/>
        <v>9.2902068290798973E-2</v>
      </c>
      <c r="F160" s="31">
        <f t="shared" si="12"/>
        <v>8.3135682549410145E-2</v>
      </c>
      <c r="G160" s="28"/>
      <c r="J160" s="4">
        <v>31403</v>
      </c>
      <c r="K160" s="11" t="s">
        <v>159</v>
      </c>
      <c r="L160" s="3">
        <v>3110593.5015466763</v>
      </c>
      <c r="M160" s="3">
        <v>2713133</v>
      </c>
      <c r="N160" s="31">
        <f t="shared" si="15"/>
        <v>1244.2374006186706</v>
      </c>
      <c r="O160" s="31">
        <f t="shared" si="13"/>
        <v>1085.2532000000001</v>
      </c>
    </row>
    <row r="161" spans="1:15" ht="14.4">
      <c r="A161" s="4">
        <v>31404</v>
      </c>
      <c r="B161" s="11" t="s">
        <v>160</v>
      </c>
      <c r="C161" s="12">
        <v>68.030816583384052</v>
      </c>
      <c r="D161" s="12">
        <v>72.867909867909873</v>
      </c>
      <c r="E161" s="31">
        <f t="shared" si="14"/>
        <v>2.7212326633353622E-2</v>
      </c>
      <c r="F161" s="31">
        <f t="shared" si="12"/>
        <v>2.9147163947163952E-2</v>
      </c>
      <c r="G161" s="28"/>
      <c r="J161" s="4">
        <v>31404</v>
      </c>
      <c r="K161" s="11" t="s">
        <v>160</v>
      </c>
      <c r="L161" s="3">
        <v>88303.999925232492</v>
      </c>
      <c r="M161" s="3">
        <v>93781</v>
      </c>
      <c r="N161" s="31">
        <f t="shared" si="15"/>
        <v>35.321599970092997</v>
      </c>
      <c r="O161" s="31">
        <f t="shared" si="13"/>
        <v>37.5124</v>
      </c>
    </row>
    <row r="162" spans="1:15" ht="14.4">
      <c r="A162" s="4">
        <v>31405</v>
      </c>
      <c r="B162" s="11" t="s">
        <v>161</v>
      </c>
      <c r="C162" s="12"/>
      <c r="D162" s="12"/>
      <c r="E162" s="31">
        <f t="shared" si="14"/>
        <v>0</v>
      </c>
      <c r="F162" s="31">
        <f t="shared" si="12"/>
        <v>0</v>
      </c>
      <c r="G162" s="28"/>
      <c r="J162" s="4">
        <v>31405</v>
      </c>
      <c r="K162" s="11" t="s">
        <v>161</v>
      </c>
      <c r="L162" s="3"/>
      <c r="M162" s="3"/>
      <c r="N162" s="31">
        <f t="shared" si="15"/>
        <v>0</v>
      </c>
      <c r="O162" s="31">
        <f t="shared" si="13"/>
        <v>0</v>
      </c>
    </row>
    <row r="163" spans="1:15" ht="14.4">
      <c r="A163" s="4">
        <v>31501</v>
      </c>
      <c r="B163" s="11" t="s">
        <v>162</v>
      </c>
      <c r="C163" s="12">
        <v>22.338237259136953</v>
      </c>
      <c r="D163" s="12">
        <v>15.73122434194639</v>
      </c>
      <c r="E163" s="31">
        <f t="shared" si="14"/>
        <v>8.9352949036547811E-3</v>
      </c>
      <c r="F163" s="31">
        <f t="shared" si="12"/>
        <v>6.2924897367785566E-3</v>
      </c>
      <c r="G163" s="28"/>
      <c r="J163" s="4">
        <v>31501</v>
      </c>
      <c r="K163" s="11" t="s">
        <v>162</v>
      </c>
      <c r="L163" s="3">
        <v>170061.00025380962</v>
      </c>
      <c r="M163" s="3">
        <v>130286</v>
      </c>
      <c r="N163" s="31">
        <f t="shared" si="15"/>
        <v>68.024400101523852</v>
      </c>
      <c r="O163" s="31">
        <f t="shared" si="13"/>
        <v>52.114400000000003</v>
      </c>
    </row>
    <row r="164" spans="1:15" ht="14.4">
      <c r="A164" s="4">
        <v>31601</v>
      </c>
      <c r="B164" s="11" t="s">
        <v>163</v>
      </c>
      <c r="C164" s="12">
        <v>87.428416670203319</v>
      </c>
      <c r="D164" s="12">
        <v>75.255020297699588</v>
      </c>
      <c r="E164" s="31">
        <f t="shared" si="14"/>
        <v>3.497136666808133E-2</v>
      </c>
      <c r="F164" s="31">
        <f t="shared" si="12"/>
        <v>3.0102008119079836E-2</v>
      </c>
      <c r="G164" s="28"/>
      <c r="J164" s="4">
        <v>31601</v>
      </c>
      <c r="K164" s="11" t="s">
        <v>163</v>
      </c>
      <c r="L164" s="3">
        <v>1775845.9994051699</v>
      </c>
      <c r="M164" s="3">
        <v>1390336.5</v>
      </c>
      <c r="N164" s="31">
        <f t="shared" si="15"/>
        <v>710.33839976206798</v>
      </c>
      <c r="O164" s="31">
        <f t="shared" si="13"/>
        <v>556.13459999999998</v>
      </c>
    </row>
    <row r="165" spans="1:15" ht="14.4">
      <c r="A165" s="4">
        <v>31602</v>
      </c>
      <c r="B165" s="11" t="s">
        <v>164</v>
      </c>
      <c r="C165" s="12">
        <v>156.2089234821604</v>
      </c>
      <c r="D165" s="12">
        <v>208.40122184601796</v>
      </c>
      <c r="E165" s="31">
        <f t="shared" si="14"/>
        <v>6.2483569392864161E-2</v>
      </c>
      <c r="F165" s="31">
        <f t="shared" si="12"/>
        <v>8.3360488738407193E-2</v>
      </c>
      <c r="G165" s="28"/>
      <c r="J165" s="4">
        <v>31602</v>
      </c>
      <c r="K165" s="11" t="s">
        <v>164</v>
      </c>
      <c r="L165" s="3">
        <v>3585151.0028390633</v>
      </c>
      <c r="M165" s="3">
        <v>5662678</v>
      </c>
      <c r="N165" s="31">
        <f t="shared" si="15"/>
        <v>1434.0604011356254</v>
      </c>
      <c r="O165" s="31">
        <f t="shared" si="13"/>
        <v>2265.0712000000003</v>
      </c>
    </row>
    <row r="166" spans="1:15" ht="14.4">
      <c r="A166" s="4">
        <v>40101</v>
      </c>
      <c r="B166" s="11" t="s">
        <v>165</v>
      </c>
      <c r="C166" s="12">
        <v>309.36131687858926</v>
      </c>
      <c r="D166" s="12">
        <v>316.12903971845151</v>
      </c>
      <c r="E166" s="31">
        <f t="shared" si="14"/>
        <v>0.12374452675143571</v>
      </c>
      <c r="F166" s="31">
        <f t="shared" si="12"/>
        <v>0.1264516158873806</v>
      </c>
      <c r="G166" s="28"/>
      <c r="J166" s="4">
        <v>40101</v>
      </c>
      <c r="K166" s="11" t="s">
        <v>165</v>
      </c>
      <c r="L166" s="3">
        <v>85408163.002524048</v>
      </c>
      <c r="M166" s="3">
        <v>94317099</v>
      </c>
      <c r="N166" s="31">
        <f t="shared" si="15"/>
        <v>34163.265201009621</v>
      </c>
      <c r="O166" s="31">
        <f t="shared" si="13"/>
        <v>37726.839599999999</v>
      </c>
    </row>
    <row r="167" spans="1:15" ht="14.4">
      <c r="A167" s="4">
        <v>40102</v>
      </c>
      <c r="B167" s="11" t="s">
        <v>166</v>
      </c>
      <c r="C167" s="12">
        <v>54.625222602532872</v>
      </c>
      <c r="D167" s="12">
        <v>71.578599563811807</v>
      </c>
      <c r="E167" s="31">
        <f t="shared" si="14"/>
        <v>2.1850089041013151E-2</v>
      </c>
      <c r="F167" s="31">
        <f t="shared" si="12"/>
        <v>2.8631439825524723E-2</v>
      </c>
      <c r="G167" s="28"/>
      <c r="J167" s="4">
        <v>40102</v>
      </c>
      <c r="K167" s="11" t="s">
        <v>166</v>
      </c>
      <c r="L167" s="3">
        <v>1257855.0008685244</v>
      </c>
      <c r="M167" s="3">
        <v>1635571.0000330997</v>
      </c>
      <c r="N167" s="31">
        <f t="shared" si="15"/>
        <v>503.14200034740981</v>
      </c>
      <c r="O167" s="31">
        <f t="shared" si="13"/>
        <v>654.22840001323993</v>
      </c>
    </row>
    <row r="168" spans="1:15" ht="14.4">
      <c r="A168" s="4">
        <v>40103</v>
      </c>
      <c r="B168" s="11" t="s">
        <v>167</v>
      </c>
      <c r="C168" s="12">
        <v>8.913979600208199</v>
      </c>
      <c r="D168" s="12">
        <v>5.5597679303791141</v>
      </c>
      <c r="E168" s="31">
        <f t="shared" si="14"/>
        <v>3.5655918400832797E-3</v>
      </c>
      <c r="F168" s="31">
        <f t="shared" si="12"/>
        <v>2.2239071721516456E-3</v>
      </c>
      <c r="G168" s="28"/>
      <c r="J168" s="4">
        <v>40103</v>
      </c>
      <c r="K168" s="11" t="s">
        <v>167</v>
      </c>
      <c r="L168" s="3">
        <v>81553.999362304807</v>
      </c>
      <c r="M168" s="3">
        <v>55581</v>
      </c>
      <c r="N168" s="31">
        <f t="shared" si="15"/>
        <v>32.621599744921923</v>
      </c>
      <c r="O168" s="31">
        <f t="shared" si="13"/>
        <v>22.232400000000002</v>
      </c>
    </row>
    <row r="169" spans="1:15" ht="14.4">
      <c r="A169" s="4">
        <v>40104</v>
      </c>
      <c r="B169" s="11" t="s">
        <v>168</v>
      </c>
      <c r="C169" s="12">
        <v>37.595991024788468</v>
      </c>
      <c r="D169" s="12">
        <v>44.966347373763007</v>
      </c>
      <c r="E169" s="31">
        <f t="shared" si="14"/>
        <v>1.5038396409915387E-2</v>
      </c>
      <c r="F169" s="31">
        <f t="shared" si="12"/>
        <v>1.7986538949505203E-2</v>
      </c>
      <c r="G169" s="28"/>
      <c r="J169" s="4">
        <v>40104</v>
      </c>
      <c r="K169" s="11" t="s">
        <v>168</v>
      </c>
      <c r="L169" s="3">
        <v>519538.99997155182</v>
      </c>
      <c r="M169" s="3">
        <v>708849.5</v>
      </c>
      <c r="N169" s="31">
        <f t="shared" si="15"/>
        <v>207.81559998862073</v>
      </c>
      <c r="O169" s="31">
        <f t="shared" si="13"/>
        <v>283.53980000000001</v>
      </c>
    </row>
    <row r="170" spans="1:15" ht="14.4">
      <c r="A170" s="4">
        <v>40201</v>
      </c>
      <c r="B170" s="11" t="s">
        <v>169</v>
      </c>
      <c r="C170" s="12">
        <v>80.576363895774946</v>
      </c>
      <c r="D170" s="12">
        <v>96.544556411776327</v>
      </c>
      <c r="E170" s="31">
        <f t="shared" si="14"/>
        <v>3.2230545558309981E-2</v>
      </c>
      <c r="F170" s="31">
        <f t="shared" si="12"/>
        <v>3.8617822564710531E-2</v>
      </c>
      <c r="G170" s="28"/>
      <c r="J170" s="4">
        <v>40201</v>
      </c>
      <c r="K170" s="11" t="s">
        <v>169</v>
      </c>
      <c r="L170" s="3">
        <v>2504958.0007918514</v>
      </c>
      <c r="M170" s="3">
        <v>3420284</v>
      </c>
      <c r="N170" s="31">
        <f t="shared" si="15"/>
        <v>1001.9832003167406</v>
      </c>
      <c r="O170" s="31">
        <f t="shared" si="13"/>
        <v>1368.1136000000001</v>
      </c>
    </row>
    <row r="171" spans="1:15" ht="14.4">
      <c r="A171" s="4">
        <v>40202</v>
      </c>
      <c r="B171" s="11" t="s">
        <v>170</v>
      </c>
      <c r="C171" s="12">
        <v>14.202669088901045</v>
      </c>
      <c r="D171" s="12">
        <v>4.7178841309823678</v>
      </c>
      <c r="E171" s="31">
        <f t="shared" si="14"/>
        <v>5.6810676355604182E-3</v>
      </c>
      <c r="F171" s="31">
        <f t="shared" si="12"/>
        <v>1.8871536523929473E-3</v>
      </c>
      <c r="G171" s="28"/>
      <c r="J171" s="4">
        <v>40202</v>
      </c>
      <c r="K171" s="11" t="s">
        <v>170</v>
      </c>
      <c r="L171" s="3">
        <v>62790.000042031519</v>
      </c>
      <c r="M171" s="3">
        <v>24349</v>
      </c>
      <c r="N171" s="31">
        <f t="shared" si="15"/>
        <v>25.11600001681261</v>
      </c>
      <c r="O171" s="31">
        <f t="shared" si="13"/>
        <v>9.7396000000000011</v>
      </c>
    </row>
    <row r="172" spans="1:15" ht="14.4">
      <c r="A172" s="4">
        <v>40301</v>
      </c>
      <c r="B172" s="11" t="s">
        <v>171</v>
      </c>
      <c r="C172" s="12">
        <v>22.954490155925633</v>
      </c>
      <c r="D172" s="12">
        <v>21.518104465561144</v>
      </c>
      <c r="E172" s="31">
        <f t="shared" si="14"/>
        <v>9.1817960623702538E-3</v>
      </c>
      <c r="F172" s="31">
        <f t="shared" si="12"/>
        <v>8.6072417862244587E-3</v>
      </c>
      <c r="G172" s="28"/>
      <c r="J172" s="4">
        <v>40301</v>
      </c>
      <c r="K172" s="11" t="s">
        <v>171</v>
      </c>
      <c r="L172" s="3">
        <v>264297.99965532776</v>
      </c>
      <c r="M172" s="3">
        <v>346463</v>
      </c>
      <c r="N172" s="31">
        <f t="shared" si="15"/>
        <v>105.71919986213111</v>
      </c>
      <c r="O172" s="31">
        <f t="shared" si="13"/>
        <v>138.58520000000001</v>
      </c>
    </row>
    <row r="173" spans="1:15" ht="14.4">
      <c r="A173" s="4">
        <v>40302</v>
      </c>
      <c r="B173" s="11" t="s">
        <v>172</v>
      </c>
      <c r="C173" s="12">
        <v>22.846711758661087</v>
      </c>
      <c r="D173" s="12">
        <v>41.102635782747605</v>
      </c>
      <c r="E173" s="31">
        <f t="shared" si="14"/>
        <v>9.1386847034644354E-3</v>
      </c>
      <c r="F173" s="31">
        <f t="shared" si="12"/>
        <v>1.6441054313099043E-2</v>
      </c>
      <c r="G173" s="28"/>
      <c r="J173" s="4">
        <v>40302</v>
      </c>
      <c r="K173" s="11" t="s">
        <v>172</v>
      </c>
      <c r="L173" s="3">
        <v>47246.999916911125</v>
      </c>
      <c r="M173" s="3">
        <v>102921</v>
      </c>
      <c r="N173" s="31">
        <f t="shared" si="15"/>
        <v>18.89879996676445</v>
      </c>
      <c r="O173" s="31">
        <f t="shared" si="13"/>
        <v>41.168400000000005</v>
      </c>
    </row>
    <row r="174" spans="1:15" ht="14.4">
      <c r="A174" s="4">
        <v>40401</v>
      </c>
      <c r="B174" s="11" t="s">
        <v>173</v>
      </c>
      <c r="C174" s="12">
        <v>28.653777175534866</v>
      </c>
      <c r="D174" s="12">
        <v>28.064117913930865</v>
      </c>
      <c r="E174" s="31">
        <f t="shared" si="14"/>
        <v>1.1461510870213947E-2</v>
      </c>
      <c r="F174" s="31">
        <f t="shared" si="12"/>
        <v>1.1225647165572346E-2</v>
      </c>
      <c r="G174" s="28"/>
      <c r="J174" s="4">
        <v>40401</v>
      </c>
      <c r="K174" s="11" t="s">
        <v>173</v>
      </c>
      <c r="L174" s="3">
        <v>143756.00008965842</v>
      </c>
      <c r="M174" s="3">
        <v>187552.50001879997</v>
      </c>
      <c r="N174" s="31">
        <f t="shared" si="15"/>
        <v>57.502400035863374</v>
      </c>
      <c r="O174" s="31">
        <f t="shared" si="13"/>
        <v>75.021000007519987</v>
      </c>
    </row>
    <row r="175" spans="1:15" ht="14.4">
      <c r="A175" s="4">
        <v>40402</v>
      </c>
      <c r="B175" s="11" t="s">
        <v>174</v>
      </c>
      <c r="C175" s="12">
        <v>21.800776949208856</v>
      </c>
      <c r="D175" s="12">
        <v>20.149577804583835</v>
      </c>
      <c r="E175" s="31">
        <f t="shared" si="14"/>
        <v>8.7203107796835436E-3</v>
      </c>
      <c r="F175" s="31">
        <f t="shared" si="12"/>
        <v>8.0598311218335345E-3</v>
      </c>
      <c r="G175" s="28"/>
      <c r="J175" s="4">
        <v>40402</v>
      </c>
      <c r="K175" s="11" t="s">
        <v>174</v>
      </c>
      <c r="L175" s="3">
        <v>117855.00018742308</v>
      </c>
      <c r="M175" s="3">
        <v>116928</v>
      </c>
      <c r="N175" s="31">
        <f t="shared" si="15"/>
        <v>47.142000074969232</v>
      </c>
      <c r="O175" s="31">
        <f t="shared" si="13"/>
        <v>46.7712</v>
      </c>
    </row>
    <row r="176" spans="1:15" ht="14.4">
      <c r="A176" s="4">
        <v>40501</v>
      </c>
      <c r="B176" s="11" t="s">
        <v>175</v>
      </c>
      <c r="C176" s="12">
        <v>91.613659091415911</v>
      </c>
      <c r="D176" s="12">
        <v>46.652206432311147</v>
      </c>
      <c r="E176" s="31">
        <f t="shared" si="14"/>
        <v>3.6645463636566365E-2</v>
      </c>
      <c r="F176" s="31">
        <f t="shared" si="12"/>
        <v>1.8660882572924458E-2</v>
      </c>
      <c r="G176" s="28"/>
      <c r="J176" s="4">
        <v>40501</v>
      </c>
      <c r="K176" s="11" t="s">
        <v>175</v>
      </c>
      <c r="L176" s="3">
        <v>183777.00013738032</v>
      </c>
      <c r="M176" s="3">
        <v>187122</v>
      </c>
      <c r="N176" s="31">
        <f t="shared" si="15"/>
        <v>73.510800054952128</v>
      </c>
      <c r="O176" s="31">
        <f t="shared" si="13"/>
        <v>74.848799999999997</v>
      </c>
    </row>
    <row r="177" spans="1:15" ht="14.4">
      <c r="A177" s="4">
        <v>40502</v>
      </c>
      <c r="B177" s="11" t="s">
        <v>176</v>
      </c>
      <c r="C177" s="12">
        <v>1.961665872532929</v>
      </c>
      <c r="D177" s="12">
        <v>10.263058378633893</v>
      </c>
      <c r="E177" s="31">
        <f t="shared" si="14"/>
        <v>7.8466634901317161E-4</v>
      </c>
      <c r="F177" s="31">
        <f t="shared" si="12"/>
        <v>4.1052233514535571E-3</v>
      </c>
      <c r="G177" s="28"/>
      <c r="J177" s="4">
        <v>40502</v>
      </c>
      <c r="K177" s="11" t="s">
        <v>176</v>
      </c>
      <c r="L177" s="3">
        <v>8289.999977324158</v>
      </c>
      <c r="M177" s="3">
        <v>43423</v>
      </c>
      <c r="N177" s="31">
        <f t="shared" si="15"/>
        <v>3.3159999909296634</v>
      </c>
      <c r="O177" s="31">
        <f t="shared" si="13"/>
        <v>17.369199999999999</v>
      </c>
    </row>
    <row r="178" spans="1:15" ht="14.4">
      <c r="A178" s="4">
        <v>40503</v>
      </c>
      <c r="B178" s="11" t="s">
        <v>177</v>
      </c>
      <c r="C178" s="12">
        <v>7.9400112105084482</v>
      </c>
      <c r="D178" s="12">
        <v>1.1437046802900461</v>
      </c>
      <c r="E178" s="31">
        <f t="shared" si="14"/>
        <v>3.1760044842033793E-3</v>
      </c>
      <c r="F178" s="31">
        <f t="shared" si="12"/>
        <v>4.5748187211601849E-4</v>
      </c>
      <c r="G178" s="28"/>
      <c r="J178" s="4">
        <v>40503</v>
      </c>
      <c r="K178" s="11" t="s">
        <v>177</v>
      </c>
      <c r="L178" s="3">
        <v>14427.00036949385</v>
      </c>
      <c r="M178" s="3">
        <v>1735</v>
      </c>
      <c r="N178" s="31">
        <f t="shared" si="15"/>
        <v>5.7708001477975399</v>
      </c>
      <c r="O178" s="31">
        <f t="shared" si="13"/>
        <v>0.69400000000000006</v>
      </c>
    </row>
    <row r="179" spans="1:15" ht="14.4">
      <c r="A179" s="4">
        <v>40504</v>
      </c>
      <c r="B179" s="11" t="s">
        <v>178</v>
      </c>
      <c r="C179" s="12">
        <v>17.066736647523747</v>
      </c>
      <c r="D179" s="12">
        <v>9.2354285714285709</v>
      </c>
      <c r="E179" s="31">
        <f t="shared" si="14"/>
        <v>6.8266946590094992E-3</v>
      </c>
      <c r="F179" s="31">
        <f t="shared" si="12"/>
        <v>3.6941714285714283E-3</v>
      </c>
      <c r="G179" s="28"/>
      <c r="J179" s="4">
        <v>40504</v>
      </c>
      <c r="K179" s="11" t="s">
        <v>178</v>
      </c>
      <c r="L179" s="3">
        <v>10825.999946177006</v>
      </c>
      <c r="M179" s="3">
        <v>8081</v>
      </c>
      <c r="N179" s="31">
        <f t="shared" si="15"/>
        <v>4.3303999784708029</v>
      </c>
      <c r="O179" s="31">
        <f t="shared" si="13"/>
        <v>3.2324000000000002</v>
      </c>
    </row>
    <row r="180" spans="1:15" ht="14.4">
      <c r="A180" s="4">
        <v>40505</v>
      </c>
      <c r="B180" s="11" t="s">
        <v>179</v>
      </c>
      <c r="C180" s="12">
        <v>4.0387722479507495</v>
      </c>
      <c r="D180" s="12">
        <v>7.6571354971664087</v>
      </c>
      <c r="E180" s="31">
        <f t="shared" si="14"/>
        <v>1.6155088991803E-3</v>
      </c>
      <c r="F180" s="31">
        <f t="shared" si="12"/>
        <v>3.0628541988665637E-3</v>
      </c>
      <c r="G180" s="28"/>
      <c r="J180" s="4">
        <v>40505</v>
      </c>
      <c r="K180" s="11" t="s">
        <v>179</v>
      </c>
      <c r="L180" s="3">
        <v>12500.00010740757</v>
      </c>
      <c r="M180" s="3">
        <v>29725</v>
      </c>
      <c r="N180" s="31">
        <f t="shared" si="15"/>
        <v>5.0000000429630278</v>
      </c>
      <c r="O180" s="31">
        <f t="shared" si="13"/>
        <v>11.89</v>
      </c>
    </row>
    <row r="181" spans="1:15" ht="14.4">
      <c r="A181" s="4">
        <v>40601</v>
      </c>
      <c r="B181" s="11" t="s">
        <v>180</v>
      </c>
      <c r="C181" s="12">
        <v>1.6831671035356692</v>
      </c>
      <c r="D181" s="12">
        <v>11.762215692676026</v>
      </c>
      <c r="E181" s="31">
        <f t="shared" si="14"/>
        <v>6.7326684141426774E-4</v>
      </c>
      <c r="F181" s="31">
        <f t="shared" si="12"/>
        <v>4.704886277070411E-3</v>
      </c>
      <c r="G181" s="28"/>
      <c r="J181" s="4">
        <v>40601</v>
      </c>
      <c r="K181" s="11" t="s">
        <v>180</v>
      </c>
      <c r="L181" s="3">
        <v>13669.00004781317</v>
      </c>
      <c r="M181" s="3">
        <v>108083</v>
      </c>
      <c r="N181" s="31">
        <f t="shared" si="15"/>
        <v>5.4676000191252685</v>
      </c>
      <c r="O181" s="31">
        <f t="shared" si="13"/>
        <v>43.233200000000004</v>
      </c>
    </row>
    <row r="182" spans="1:15" ht="14.4">
      <c r="A182" s="4">
        <v>40602</v>
      </c>
      <c r="B182" s="11" t="s">
        <v>181</v>
      </c>
      <c r="C182" s="12">
        <v>36.29664010047243</v>
      </c>
      <c r="D182" s="12">
        <v>108.26723123970831</v>
      </c>
      <c r="E182" s="31">
        <f t="shared" si="14"/>
        <v>1.4518656040188973E-2</v>
      </c>
      <c r="F182" s="31">
        <f t="shared" si="12"/>
        <v>4.3306892495883327E-2</v>
      </c>
      <c r="G182" s="28"/>
      <c r="J182" s="4">
        <v>40602</v>
      </c>
      <c r="K182" s="11" t="s">
        <v>181</v>
      </c>
      <c r="L182" s="3">
        <v>195530.00022124499</v>
      </c>
      <c r="M182" s="3">
        <v>460244</v>
      </c>
      <c r="N182" s="31">
        <f t="shared" si="15"/>
        <v>78.212000088498002</v>
      </c>
      <c r="O182" s="31">
        <f t="shared" si="13"/>
        <v>184.0976</v>
      </c>
    </row>
    <row r="183" spans="1:15" ht="14.4">
      <c r="A183" s="4">
        <v>40603</v>
      </c>
      <c r="B183" s="11" t="s">
        <v>182</v>
      </c>
      <c r="C183" s="12">
        <v>0.73984697048035419</v>
      </c>
      <c r="D183" s="12">
        <v>8.5395526459356255</v>
      </c>
      <c r="E183" s="31">
        <f t="shared" si="14"/>
        <v>2.9593878819214169E-4</v>
      </c>
      <c r="F183" s="31">
        <f t="shared" si="12"/>
        <v>3.4158210583742502E-3</v>
      </c>
      <c r="G183" s="28"/>
      <c r="J183" s="4">
        <v>40603</v>
      </c>
      <c r="K183" s="11" t="s">
        <v>182</v>
      </c>
      <c r="L183" s="3">
        <v>2514.0000056922436</v>
      </c>
      <c r="M183" s="3">
        <v>31306</v>
      </c>
      <c r="N183" s="31">
        <f t="shared" si="15"/>
        <v>1.0056000022768974</v>
      </c>
      <c r="O183" s="31">
        <f t="shared" si="13"/>
        <v>12.522400000000001</v>
      </c>
    </row>
    <row r="184" spans="1:15" ht="14.4">
      <c r="A184" s="4">
        <v>40701</v>
      </c>
      <c r="B184" s="11" t="s">
        <v>183</v>
      </c>
      <c r="C184" s="12">
        <v>218.31649174174945</v>
      </c>
      <c r="D184" s="12">
        <v>226.80872850183914</v>
      </c>
      <c r="E184" s="31">
        <f t="shared" si="14"/>
        <v>8.7326596696699788E-2</v>
      </c>
      <c r="F184" s="31">
        <f t="shared" si="12"/>
        <v>9.0723491400735656E-2</v>
      </c>
      <c r="G184" s="28"/>
      <c r="J184" s="4">
        <v>40701</v>
      </c>
      <c r="K184" s="11" t="s">
        <v>183</v>
      </c>
      <c r="L184" s="3">
        <v>5055554.9992636917</v>
      </c>
      <c r="M184" s="3">
        <v>4562938</v>
      </c>
      <c r="N184" s="31">
        <f t="shared" si="15"/>
        <v>2022.2219997054767</v>
      </c>
      <c r="O184" s="31">
        <f t="shared" si="13"/>
        <v>1825.1752000000001</v>
      </c>
    </row>
    <row r="185" spans="1:15" ht="14.4">
      <c r="A185" s="4">
        <v>40702</v>
      </c>
      <c r="B185" s="11" t="s">
        <v>184</v>
      </c>
      <c r="C185" s="12">
        <v>101.0167523880278</v>
      </c>
      <c r="D185" s="12">
        <v>104.2563725490196</v>
      </c>
      <c r="E185" s="31">
        <f t="shared" si="14"/>
        <v>4.0406700955211122E-2</v>
      </c>
      <c r="F185" s="31">
        <f t="shared" si="12"/>
        <v>4.1702549019607842E-2</v>
      </c>
      <c r="G185" s="28"/>
      <c r="J185" s="4">
        <v>40702</v>
      </c>
      <c r="K185" s="11" t="s">
        <v>184</v>
      </c>
      <c r="L185" s="3">
        <v>530641.00029431004</v>
      </c>
      <c r="M185" s="3">
        <v>638049</v>
      </c>
      <c r="N185" s="31">
        <f t="shared" si="15"/>
        <v>212.25640011772401</v>
      </c>
      <c r="O185" s="31">
        <f t="shared" si="13"/>
        <v>255.21960000000001</v>
      </c>
    </row>
    <row r="186" spans="1:15" ht="14.4">
      <c r="A186" s="4">
        <v>40801</v>
      </c>
      <c r="B186" s="11" t="s">
        <v>185</v>
      </c>
      <c r="C186" s="12">
        <v>51.234391595288415</v>
      </c>
      <c r="D186" s="12">
        <v>35.780657713066397</v>
      </c>
      <c r="E186" s="31">
        <f t="shared" si="14"/>
        <v>2.0493756638115368E-2</v>
      </c>
      <c r="F186" s="31">
        <f t="shared" si="12"/>
        <v>1.4312263085226559E-2</v>
      </c>
      <c r="G186" s="28"/>
      <c r="J186" s="4">
        <v>40801</v>
      </c>
      <c r="K186" s="11" t="s">
        <v>185</v>
      </c>
      <c r="L186" s="3">
        <v>677831.00080566574</v>
      </c>
      <c r="M186" s="3">
        <v>570129</v>
      </c>
      <c r="N186" s="31">
        <f t="shared" si="15"/>
        <v>271.13240032226634</v>
      </c>
      <c r="O186" s="31">
        <f t="shared" si="13"/>
        <v>228.05160000000001</v>
      </c>
    </row>
    <row r="187" spans="1:15" ht="14.4">
      <c r="A187" s="4">
        <v>40802</v>
      </c>
      <c r="B187" s="11" t="s">
        <v>186</v>
      </c>
      <c r="C187" s="12">
        <v>15.439632530808156</v>
      </c>
      <c r="D187" s="12">
        <v>17.463559587112918</v>
      </c>
      <c r="E187" s="31">
        <f t="shared" si="14"/>
        <v>6.1758530123232624E-3</v>
      </c>
      <c r="F187" s="31">
        <f t="shared" si="12"/>
        <v>6.985423834845168E-3</v>
      </c>
      <c r="G187" s="28"/>
      <c r="J187" s="4">
        <v>40802</v>
      </c>
      <c r="K187" s="11" t="s">
        <v>186</v>
      </c>
      <c r="L187" s="3">
        <v>47059.999953903258</v>
      </c>
      <c r="M187" s="3">
        <v>55831</v>
      </c>
      <c r="N187" s="31">
        <f t="shared" si="15"/>
        <v>18.823999981561304</v>
      </c>
      <c r="O187" s="31">
        <f t="shared" si="13"/>
        <v>22.3324</v>
      </c>
    </row>
    <row r="188" spans="1:15" ht="14.4">
      <c r="A188" s="4">
        <v>40901</v>
      </c>
      <c r="B188" s="11" t="s">
        <v>187</v>
      </c>
      <c r="C188" s="12">
        <v>31.107485924321125</v>
      </c>
      <c r="D188" s="12">
        <v>38.482456140350877</v>
      </c>
      <c r="E188" s="31">
        <f t="shared" si="14"/>
        <v>1.244299436972845E-2</v>
      </c>
      <c r="F188" s="31">
        <f t="shared" si="12"/>
        <v>1.5392982456140351E-2</v>
      </c>
      <c r="G188" s="28"/>
      <c r="J188" s="4">
        <v>40901</v>
      </c>
      <c r="K188" s="11" t="s">
        <v>187</v>
      </c>
      <c r="L188" s="3">
        <v>327032.99952238798</v>
      </c>
      <c r="M188" s="3">
        <v>596632</v>
      </c>
      <c r="N188" s="31">
        <f t="shared" si="15"/>
        <v>130.8131998089552</v>
      </c>
      <c r="O188" s="31">
        <f t="shared" si="13"/>
        <v>238.65280000000001</v>
      </c>
    </row>
    <row r="189" spans="1:15" ht="14.4">
      <c r="A189" s="4">
        <v>40902</v>
      </c>
      <c r="B189" s="11" t="s">
        <v>188</v>
      </c>
      <c r="C189" s="12">
        <v>77.205168322567701</v>
      </c>
      <c r="D189" s="12">
        <v>35.025604551920338</v>
      </c>
      <c r="E189" s="31">
        <f t="shared" si="14"/>
        <v>3.0882067329027083E-2</v>
      </c>
      <c r="F189" s="31">
        <f t="shared" si="12"/>
        <v>1.4010241820768135E-2</v>
      </c>
      <c r="G189" s="28"/>
      <c r="J189" s="4">
        <v>40902</v>
      </c>
      <c r="K189" s="11" t="s">
        <v>188</v>
      </c>
      <c r="L189" s="3">
        <v>82661.000243097544</v>
      </c>
      <c r="M189" s="3">
        <v>49246</v>
      </c>
      <c r="N189" s="31">
        <f t="shared" si="15"/>
        <v>33.064400097239016</v>
      </c>
      <c r="O189" s="31">
        <f t="shared" si="13"/>
        <v>19.698399999999999</v>
      </c>
    </row>
    <row r="190" spans="1:15" ht="14.4">
      <c r="A190" s="4">
        <v>40903</v>
      </c>
      <c r="B190" s="11" t="s">
        <v>189</v>
      </c>
      <c r="C190" s="12">
        <v>39.894339637158282</v>
      </c>
      <c r="D190" s="12">
        <v>40.129087048832275</v>
      </c>
      <c r="E190" s="31">
        <f t="shared" si="14"/>
        <v>1.5957735854863313E-2</v>
      </c>
      <c r="F190" s="31">
        <f t="shared" si="12"/>
        <v>1.6051634819532912E-2</v>
      </c>
      <c r="G190" s="28"/>
      <c r="J190" s="4">
        <v>40903</v>
      </c>
      <c r="K190" s="11" t="s">
        <v>189</v>
      </c>
      <c r="L190" s="3">
        <v>84576.000030775554</v>
      </c>
      <c r="M190" s="3">
        <v>94504</v>
      </c>
      <c r="N190" s="31">
        <f t="shared" si="15"/>
        <v>33.830400012310221</v>
      </c>
      <c r="O190" s="31">
        <f t="shared" si="13"/>
        <v>37.801600000000001</v>
      </c>
    </row>
    <row r="191" spans="1:15" ht="14.4">
      <c r="A191" s="4">
        <v>41001</v>
      </c>
      <c r="B191" s="11" t="s">
        <v>190</v>
      </c>
      <c r="C191" s="12">
        <v>18.808547983676448</v>
      </c>
      <c r="D191" s="12">
        <v>19.67042288140469</v>
      </c>
      <c r="E191" s="31">
        <f t="shared" si="14"/>
        <v>7.5234191934705798E-3</v>
      </c>
      <c r="F191" s="31">
        <f t="shared" si="12"/>
        <v>7.8681691525618758E-3</v>
      </c>
      <c r="G191" s="28"/>
      <c r="J191" s="4">
        <v>41001</v>
      </c>
      <c r="K191" s="11" t="s">
        <v>190</v>
      </c>
      <c r="L191" s="3">
        <v>203753.00030716695</v>
      </c>
      <c r="M191" s="3">
        <v>240018.49999890002</v>
      </c>
      <c r="N191" s="31">
        <f t="shared" si="15"/>
        <v>81.501200122866777</v>
      </c>
      <c r="O191" s="31">
        <f t="shared" si="13"/>
        <v>96.007399999560008</v>
      </c>
    </row>
    <row r="192" spans="1:15" ht="14.4">
      <c r="A192" s="4">
        <v>41101</v>
      </c>
      <c r="B192" s="11" t="s">
        <v>191</v>
      </c>
      <c r="C192" s="12">
        <v>8.5676749014836115</v>
      </c>
      <c r="D192" s="12">
        <v>55.306747900955962</v>
      </c>
      <c r="E192" s="31">
        <f t="shared" si="14"/>
        <v>3.4270699605934447E-3</v>
      </c>
      <c r="F192" s="31">
        <f t="shared" si="12"/>
        <v>2.2122699160382387E-2</v>
      </c>
      <c r="G192" s="28"/>
      <c r="J192" s="4">
        <v>41101</v>
      </c>
      <c r="K192" s="11" t="s">
        <v>191</v>
      </c>
      <c r="L192" s="3">
        <v>45323.000228848308</v>
      </c>
      <c r="M192" s="3">
        <v>295061.50005160004</v>
      </c>
      <c r="N192" s="31">
        <f t="shared" si="15"/>
        <v>18.129200091539325</v>
      </c>
      <c r="O192" s="31">
        <f t="shared" si="13"/>
        <v>118.02460002064002</v>
      </c>
    </row>
    <row r="193" spans="1:15" ht="14.4">
      <c r="A193" s="4">
        <v>41201</v>
      </c>
      <c r="B193" s="11" t="s">
        <v>192</v>
      </c>
      <c r="C193" s="12">
        <v>34.258376593434541</v>
      </c>
      <c r="D193" s="12">
        <v>25.352400570432579</v>
      </c>
      <c r="E193" s="31">
        <f t="shared" si="14"/>
        <v>1.3703350637373816E-2</v>
      </c>
      <c r="F193" s="31">
        <f t="shared" si="12"/>
        <v>1.0140960228173032E-2</v>
      </c>
      <c r="G193" s="28"/>
      <c r="J193" s="4">
        <v>41201</v>
      </c>
      <c r="K193" s="11" t="s">
        <v>192</v>
      </c>
      <c r="L193" s="3">
        <v>191195.99976795819</v>
      </c>
      <c r="M193" s="3">
        <v>159999</v>
      </c>
      <c r="N193" s="31">
        <f t="shared" si="15"/>
        <v>76.478399907183274</v>
      </c>
      <c r="O193" s="31">
        <f t="shared" si="13"/>
        <v>63.999600000000001</v>
      </c>
    </row>
    <row r="194" spans="1:15" ht="14.4">
      <c r="A194" s="4">
        <v>41202</v>
      </c>
      <c r="B194" s="11" t="s">
        <v>193</v>
      </c>
      <c r="C194" s="12">
        <v>20.774957754597612</v>
      </c>
      <c r="D194" s="12">
        <v>10.960797125122509</v>
      </c>
      <c r="E194" s="31">
        <f t="shared" si="14"/>
        <v>8.3099831018390458E-3</v>
      </c>
      <c r="F194" s="31">
        <f t="shared" ref="F194:F257" si="16">D194*$I$6</f>
        <v>4.3843188500490042E-3</v>
      </c>
      <c r="G194" s="28"/>
      <c r="J194" s="4">
        <v>41202</v>
      </c>
      <c r="K194" s="11" t="s">
        <v>193</v>
      </c>
      <c r="L194" s="3">
        <v>49112.000131868757</v>
      </c>
      <c r="M194" s="3">
        <v>33551</v>
      </c>
      <c r="N194" s="31">
        <f t="shared" si="15"/>
        <v>19.644800052747502</v>
      </c>
      <c r="O194" s="31">
        <f t="shared" ref="O194:O257" si="17">M194*$I$6</f>
        <v>13.420400000000001</v>
      </c>
    </row>
    <row r="195" spans="1:15" ht="14.4">
      <c r="A195" s="4">
        <v>41301</v>
      </c>
      <c r="B195" s="11" t="s">
        <v>194</v>
      </c>
      <c r="C195" s="12">
        <v>2.6452542387042195</v>
      </c>
      <c r="D195" s="12">
        <v>20.077821304429719</v>
      </c>
      <c r="E195" s="31">
        <f t="shared" ref="E195:E258" si="18">C195*$I$6</f>
        <v>1.0581016954816877E-3</v>
      </c>
      <c r="F195" s="31">
        <f t="shared" si="16"/>
        <v>8.0311285217718881E-3</v>
      </c>
      <c r="G195" s="28"/>
      <c r="J195" s="4">
        <v>41301</v>
      </c>
      <c r="K195" s="11" t="s">
        <v>194</v>
      </c>
      <c r="L195" s="3">
        <v>15607.000008354895</v>
      </c>
      <c r="M195" s="3">
        <v>133256.49999750004</v>
      </c>
      <c r="N195" s="31">
        <f t="shared" ref="N195:N258" si="19">L195*$I$6</f>
        <v>6.2428000033419586</v>
      </c>
      <c r="O195" s="31">
        <f t="shared" si="17"/>
        <v>53.302599999000016</v>
      </c>
    </row>
    <row r="196" spans="1:15" ht="14.4">
      <c r="A196" s="4">
        <v>41401</v>
      </c>
      <c r="B196" s="11" t="s">
        <v>195</v>
      </c>
      <c r="C196" s="12">
        <v>40.628781002752973</v>
      </c>
      <c r="D196" s="12">
        <v>43.23855725077766</v>
      </c>
      <c r="E196" s="31">
        <f t="shared" si="18"/>
        <v>1.625151240110119E-2</v>
      </c>
      <c r="F196" s="31">
        <f t="shared" si="16"/>
        <v>1.7295422900311067E-2</v>
      </c>
      <c r="G196" s="28"/>
      <c r="J196" s="4">
        <v>41401</v>
      </c>
      <c r="K196" s="11" t="s">
        <v>195</v>
      </c>
      <c r="L196" s="3">
        <v>542637.99907276873</v>
      </c>
      <c r="M196" s="3">
        <v>583807</v>
      </c>
      <c r="N196" s="31">
        <f t="shared" si="19"/>
        <v>217.05519962910751</v>
      </c>
      <c r="O196" s="31">
        <f t="shared" si="17"/>
        <v>233.52280000000002</v>
      </c>
    </row>
    <row r="197" spans="1:15" ht="14.4">
      <c r="A197" s="4">
        <v>41501</v>
      </c>
      <c r="B197" s="11" t="s">
        <v>196</v>
      </c>
      <c r="C197" s="12">
        <v>10.906578964095464</v>
      </c>
      <c r="D197" s="12">
        <v>37.424722662440573</v>
      </c>
      <c r="E197" s="31">
        <f t="shared" si="18"/>
        <v>4.362631585638186E-3</v>
      </c>
      <c r="F197" s="31">
        <f t="shared" si="16"/>
        <v>1.4969889064976229E-2</v>
      </c>
      <c r="G197" s="28"/>
      <c r="J197" s="4">
        <v>41501</v>
      </c>
      <c r="K197" s="11" t="s">
        <v>196</v>
      </c>
      <c r="L197" s="3">
        <v>8289.0000127125531</v>
      </c>
      <c r="M197" s="3">
        <v>47230</v>
      </c>
      <c r="N197" s="31">
        <f t="shared" si="19"/>
        <v>3.3156000050850216</v>
      </c>
      <c r="O197" s="31">
        <f t="shared" si="17"/>
        <v>18.891999999999999</v>
      </c>
    </row>
    <row r="198" spans="1:15" ht="14.4">
      <c r="A198" s="4">
        <v>41502</v>
      </c>
      <c r="B198" s="11" t="s">
        <v>197</v>
      </c>
      <c r="C198" s="12">
        <v>6.2752505778314216</v>
      </c>
      <c r="D198" s="12">
        <v>25.829824561403509</v>
      </c>
      <c r="E198" s="31">
        <f t="shared" si="18"/>
        <v>2.5101002311325687E-3</v>
      </c>
      <c r="F198" s="31">
        <f t="shared" si="16"/>
        <v>1.0331929824561404E-2</v>
      </c>
      <c r="G198" s="28"/>
      <c r="J198" s="4">
        <v>41502</v>
      </c>
      <c r="K198" s="11" t="s">
        <v>197</v>
      </c>
      <c r="L198" s="3">
        <v>5425.9999998407438</v>
      </c>
      <c r="M198" s="3">
        <v>29446</v>
      </c>
      <c r="N198" s="31">
        <f t="shared" si="19"/>
        <v>2.1703999999362975</v>
      </c>
      <c r="O198" s="31">
        <f t="shared" si="17"/>
        <v>11.778400000000001</v>
      </c>
    </row>
    <row r="199" spans="1:15" ht="14.4">
      <c r="A199" s="4">
        <v>41503</v>
      </c>
      <c r="B199" s="11" t="s">
        <v>198</v>
      </c>
      <c r="C199" s="12">
        <v>5.1039516472669897</v>
      </c>
      <c r="D199" s="12">
        <v>213.64924712134632</v>
      </c>
      <c r="E199" s="31">
        <f t="shared" si="18"/>
        <v>2.0415806589067962E-3</v>
      </c>
      <c r="F199" s="31">
        <f t="shared" si="16"/>
        <v>8.5459698848538532E-2</v>
      </c>
      <c r="G199" s="28"/>
      <c r="J199" s="4">
        <v>41503</v>
      </c>
      <c r="K199" s="11" t="s">
        <v>198</v>
      </c>
      <c r="L199" s="3">
        <v>4779.0000588875264</v>
      </c>
      <c r="M199" s="3">
        <v>241210</v>
      </c>
      <c r="N199" s="31">
        <f t="shared" si="19"/>
        <v>1.9116000235550106</v>
      </c>
      <c r="O199" s="31">
        <f t="shared" si="17"/>
        <v>96.484000000000009</v>
      </c>
    </row>
    <row r="200" spans="1:15" ht="14.4">
      <c r="A200" s="4">
        <v>41601</v>
      </c>
      <c r="B200" s="11" t="s">
        <v>199</v>
      </c>
      <c r="C200" s="12">
        <v>5.3119816311089627</v>
      </c>
      <c r="D200" s="12">
        <v>26.049949966277524</v>
      </c>
      <c r="E200" s="31">
        <f t="shared" si="18"/>
        <v>2.1247926524435852E-3</v>
      </c>
      <c r="F200" s="31">
        <f t="shared" si="16"/>
        <v>1.0419979986511009E-2</v>
      </c>
      <c r="G200" s="28"/>
      <c r="J200" s="4">
        <v>41601</v>
      </c>
      <c r="K200" s="11" t="s">
        <v>199</v>
      </c>
      <c r="L200" s="3">
        <v>30102.999903494492</v>
      </c>
      <c r="M200" s="3">
        <v>156195.49999780004</v>
      </c>
      <c r="N200" s="31">
        <f t="shared" si="19"/>
        <v>12.041199961397798</v>
      </c>
      <c r="O200" s="31">
        <f t="shared" si="17"/>
        <v>62.478199999120022</v>
      </c>
    </row>
    <row r="201" spans="1:15" ht="14.4">
      <c r="A201" s="4">
        <v>50101</v>
      </c>
      <c r="B201" s="11" t="s">
        <v>200</v>
      </c>
      <c r="C201" s="12">
        <v>216.41687829673353</v>
      </c>
      <c r="D201" s="12">
        <v>246.87506287093854</v>
      </c>
      <c r="E201" s="31">
        <f t="shared" si="18"/>
        <v>8.6566751318693416E-2</v>
      </c>
      <c r="F201" s="31">
        <f t="shared" si="16"/>
        <v>9.8750025148375414E-2</v>
      </c>
      <c r="G201" s="28"/>
      <c r="J201" s="4">
        <v>50101</v>
      </c>
      <c r="K201" s="11" t="s">
        <v>200</v>
      </c>
      <c r="L201" s="3">
        <v>43377517.001405783</v>
      </c>
      <c r="M201" s="3">
        <v>53992070</v>
      </c>
      <c r="N201" s="31">
        <f t="shared" si="19"/>
        <v>17351.006800562314</v>
      </c>
      <c r="O201" s="31">
        <f t="shared" si="17"/>
        <v>21596.828000000001</v>
      </c>
    </row>
    <row r="202" spans="1:15" ht="14.4">
      <c r="A202" s="4">
        <v>50102</v>
      </c>
      <c r="B202" s="11" t="s">
        <v>201</v>
      </c>
      <c r="C202" s="12">
        <v>14.299557262985607</v>
      </c>
      <c r="D202" s="12">
        <v>17.34195978163223</v>
      </c>
      <c r="E202" s="31">
        <f t="shared" si="18"/>
        <v>5.7198229051942428E-3</v>
      </c>
      <c r="F202" s="31">
        <f t="shared" si="16"/>
        <v>6.9367839126528927E-3</v>
      </c>
      <c r="G202" s="28"/>
      <c r="J202" s="4">
        <v>50102</v>
      </c>
      <c r="K202" s="11" t="s">
        <v>201</v>
      </c>
      <c r="L202" s="3">
        <v>397256.00032300316</v>
      </c>
      <c r="M202" s="3">
        <v>501911</v>
      </c>
      <c r="N202" s="31">
        <f t="shared" si="19"/>
        <v>158.90240012920128</v>
      </c>
      <c r="O202" s="31">
        <f t="shared" si="17"/>
        <v>200.76440000000002</v>
      </c>
    </row>
    <row r="203" spans="1:15" ht="14.4">
      <c r="A203" s="4">
        <v>50103</v>
      </c>
      <c r="B203" s="11" t="s">
        <v>202</v>
      </c>
      <c r="C203" s="12">
        <v>30.544687186737935</v>
      </c>
      <c r="D203" s="12">
        <v>24.290377866644903</v>
      </c>
      <c r="E203" s="31">
        <f t="shared" si="18"/>
        <v>1.2217874874695174E-2</v>
      </c>
      <c r="F203" s="31">
        <f t="shared" si="16"/>
        <v>9.7161511466579611E-3</v>
      </c>
      <c r="G203" s="28"/>
      <c r="J203" s="4">
        <v>50103</v>
      </c>
      <c r="K203" s="11" t="s">
        <v>202</v>
      </c>
      <c r="L203" s="3">
        <v>307584.999970451</v>
      </c>
      <c r="M203" s="3">
        <v>297630</v>
      </c>
      <c r="N203" s="31">
        <f t="shared" si="19"/>
        <v>123.03399998818041</v>
      </c>
      <c r="O203" s="31">
        <f t="shared" si="17"/>
        <v>119.05200000000001</v>
      </c>
    </row>
    <row r="204" spans="1:15" ht="14.4">
      <c r="A204" s="4">
        <v>50104</v>
      </c>
      <c r="B204" s="11" t="s">
        <v>203</v>
      </c>
      <c r="C204" s="12">
        <v>12.803819414127307</v>
      </c>
      <c r="D204" s="12">
        <v>12.297661006087793</v>
      </c>
      <c r="E204" s="31">
        <f t="shared" si="18"/>
        <v>5.1215277656509236E-3</v>
      </c>
      <c r="F204" s="31">
        <f t="shared" si="16"/>
        <v>4.9190644024351173E-3</v>
      </c>
      <c r="G204" s="28"/>
      <c r="J204" s="4">
        <v>50104</v>
      </c>
      <c r="K204" s="11" t="s">
        <v>203</v>
      </c>
      <c r="L204" s="3">
        <v>36874.999912686646</v>
      </c>
      <c r="M204" s="3">
        <v>38381</v>
      </c>
      <c r="N204" s="31">
        <f t="shared" si="19"/>
        <v>14.749999965074659</v>
      </c>
      <c r="O204" s="31">
        <f t="shared" si="17"/>
        <v>15.352400000000001</v>
      </c>
    </row>
    <row r="205" spans="1:15" ht="14.4">
      <c r="A205" s="4">
        <v>50201</v>
      </c>
      <c r="B205" s="11" t="s">
        <v>204</v>
      </c>
      <c r="C205" s="12">
        <v>64.038439126235218</v>
      </c>
      <c r="D205" s="12">
        <v>95.863536542515817</v>
      </c>
      <c r="E205" s="31">
        <f t="shared" si="18"/>
        <v>2.5615375650494088E-2</v>
      </c>
      <c r="F205" s="31">
        <f t="shared" si="16"/>
        <v>3.8345414617006329E-2</v>
      </c>
      <c r="G205" s="28"/>
      <c r="J205" s="4">
        <v>50201</v>
      </c>
      <c r="K205" s="11" t="s">
        <v>204</v>
      </c>
      <c r="L205" s="3">
        <v>1426072.0009021321</v>
      </c>
      <c r="M205" s="3">
        <v>2182621</v>
      </c>
      <c r="N205" s="31">
        <f t="shared" si="19"/>
        <v>570.42880036085285</v>
      </c>
      <c r="O205" s="31">
        <f t="shared" si="17"/>
        <v>873.04840000000002</v>
      </c>
    </row>
    <row r="206" spans="1:15" ht="14.4">
      <c r="A206" s="4">
        <v>50202</v>
      </c>
      <c r="B206" s="11" t="s">
        <v>205</v>
      </c>
      <c r="C206" s="12">
        <v>11.87690301638704</v>
      </c>
      <c r="D206" s="12">
        <v>13.208663628986955</v>
      </c>
      <c r="E206" s="31">
        <f t="shared" si="18"/>
        <v>4.7507612065548158E-3</v>
      </c>
      <c r="F206" s="31">
        <f t="shared" si="16"/>
        <v>5.2834654515947817E-3</v>
      </c>
      <c r="G206" s="28"/>
      <c r="J206" s="4">
        <v>50202</v>
      </c>
      <c r="K206" s="11" t="s">
        <v>205</v>
      </c>
      <c r="L206" s="3">
        <v>191135.00024271663</v>
      </c>
      <c r="M206" s="3">
        <v>211616</v>
      </c>
      <c r="N206" s="31">
        <f t="shared" si="19"/>
        <v>76.454000097086663</v>
      </c>
      <c r="O206" s="31">
        <f t="shared" si="17"/>
        <v>84.6464</v>
      </c>
    </row>
    <row r="207" spans="1:15" ht="14.4">
      <c r="A207" s="4">
        <v>50203</v>
      </c>
      <c r="B207" s="11" t="s">
        <v>206</v>
      </c>
      <c r="C207" s="12">
        <v>122.53811325779049</v>
      </c>
      <c r="D207" s="12">
        <v>126.15561579427145</v>
      </c>
      <c r="E207" s="31">
        <f t="shared" si="18"/>
        <v>4.9015245303116198E-2</v>
      </c>
      <c r="F207" s="31">
        <f t="shared" si="16"/>
        <v>5.0462246317708584E-2</v>
      </c>
      <c r="G207" s="28"/>
      <c r="J207" s="4">
        <v>50203</v>
      </c>
      <c r="K207" s="11" t="s">
        <v>206</v>
      </c>
      <c r="L207" s="3">
        <v>5060579.0013202317</v>
      </c>
      <c r="M207" s="3">
        <v>5258923</v>
      </c>
      <c r="N207" s="31">
        <f t="shared" si="19"/>
        <v>2024.2316005280927</v>
      </c>
      <c r="O207" s="31">
        <f t="shared" si="17"/>
        <v>2103.5691999999999</v>
      </c>
    </row>
    <row r="208" spans="1:15" ht="14.4">
      <c r="A208" s="4">
        <v>50204</v>
      </c>
      <c r="B208" s="11" t="s">
        <v>207</v>
      </c>
      <c r="C208" s="12"/>
      <c r="D208" s="12"/>
      <c r="E208" s="31">
        <f t="shared" si="18"/>
        <v>0</v>
      </c>
      <c r="F208" s="31">
        <f t="shared" si="16"/>
        <v>0</v>
      </c>
      <c r="G208" s="28"/>
      <c r="J208" s="4">
        <v>50204</v>
      </c>
      <c r="K208" s="11" t="s">
        <v>207</v>
      </c>
      <c r="L208" s="3"/>
      <c r="M208" s="3"/>
      <c r="N208" s="31">
        <f t="shared" si="19"/>
        <v>0</v>
      </c>
      <c r="O208" s="31">
        <f t="shared" si="17"/>
        <v>0</v>
      </c>
    </row>
    <row r="209" spans="1:15" ht="14.4">
      <c r="A209" s="4">
        <v>50301</v>
      </c>
      <c r="B209" s="11" t="s">
        <v>208</v>
      </c>
      <c r="C209" s="12">
        <v>62.286625150966309</v>
      </c>
      <c r="D209" s="12">
        <v>74.882679287863596</v>
      </c>
      <c r="E209" s="31">
        <f t="shared" si="18"/>
        <v>2.4914650060386526E-2</v>
      </c>
      <c r="F209" s="31">
        <f t="shared" si="16"/>
        <v>2.9953071715145441E-2</v>
      </c>
      <c r="G209" s="28"/>
      <c r="J209" s="4">
        <v>50301</v>
      </c>
      <c r="K209" s="11" t="s">
        <v>208</v>
      </c>
      <c r="L209" s="3">
        <v>2070967.9996444788</v>
      </c>
      <c r="M209" s="3">
        <v>2389057</v>
      </c>
      <c r="N209" s="31">
        <f t="shared" si="19"/>
        <v>828.38719985779153</v>
      </c>
      <c r="O209" s="31">
        <f t="shared" si="17"/>
        <v>955.6228000000001</v>
      </c>
    </row>
    <row r="210" spans="1:15" ht="14.4">
      <c r="A210" s="4">
        <v>50302</v>
      </c>
      <c r="B210" s="11" t="s">
        <v>209</v>
      </c>
      <c r="C210" s="12">
        <v>59.586064730107765</v>
      </c>
      <c r="D210" s="12">
        <v>54.607431340872374</v>
      </c>
      <c r="E210" s="31">
        <f t="shared" si="18"/>
        <v>2.3834425892043105E-2</v>
      </c>
      <c r="F210" s="31">
        <f t="shared" si="16"/>
        <v>2.184297253634895E-2</v>
      </c>
      <c r="G210" s="28"/>
      <c r="J210" s="4">
        <v>50302</v>
      </c>
      <c r="K210" s="11" t="s">
        <v>209</v>
      </c>
      <c r="L210" s="3">
        <v>578104.00001150556</v>
      </c>
      <c r="M210" s="3">
        <v>507030</v>
      </c>
      <c r="N210" s="31">
        <f t="shared" si="19"/>
        <v>231.24160000460225</v>
      </c>
      <c r="O210" s="31">
        <f t="shared" si="17"/>
        <v>202.81200000000001</v>
      </c>
    </row>
    <row r="211" spans="1:15" ht="14.4">
      <c r="A211" s="4">
        <v>50303</v>
      </c>
      <c r="B211" s="11" t="s">
        <v>210</v>
      </c>
      <c r="C211" s="12">
        <v>20.650997731082629</v>
      </c>
      <c r="D211" s="12">
        <v>17.458861200055686</v>
      </c>
      <c r="E211" s="31">
        <f t="shared" si="18"/>
        <v>8.2603990924330524E-3</v>
      </c>
      <c r="F211" s="31">
        <f t="shared" si="16"/>
        <v>6.9835444800222749E-3</v>
      </c>
      <c r="G211" s="28"/>
      <c r="J211" s="4">
        <v>50303</v>
      </c>
      <c r="K211" s="11" t="s">
        <v>210</v>
      </c>
      <c r="L211" s="3">
        <v>261834.00023239665</v>
      </c>
      <c r="M211" s="3">
        <v>250814</v>
      </c>
      <c r="N211" s="31">
        <f t="shared" si="19"/>
        <v>104.73360009295867</v>
      </c>
      <c r="O211" s="31">
        <f t="shared" si="17"/>
        <v>100.32560000000001</v>
      </c>
    </row>
    <row r="212" spans="1:15" ht="14.4">
      <c r="A212" s="4">
        <v>50401</v>
      </c>
      <c r="B212" s="11" t="s">
        <v>211</v>
      </c>
      <c r="C212" s="12">
        <v>80.424398689363329</v>
      </c>
      <c r="D212" s="12">
        <v>71.116848988571775</v>
      </c>
      <c r="E212" s="31">
        <f t="shared" si="18"/>
        <v>3.2169759475745331E-2</v>
      </c>
      <c r="F212" s="31">
        <f t="shared" si="16"/>
        <v>2.8446739595428712E-2</v>
      </c>
      <c r="G212" s="28"/>
      <c r="J212" s="4">
        <v>50401</v>
      </c>
      <c r="K212" s="11" t="s">
        <v>211</v>
      </c>
      <c r="L212" s="3">
        <v>1256872.5027173702</v>
      </c>
      <c r="M212" s="3">
        <v>1163685</v>
      </c>
      <c r="N212" s="31">
        <f t="shared" si="19"/>
        <v>502.74900108694811</v>
      </c>
      <c r="O212" s="31">
        <f t="shared" si="17"/>
        <v>465.47400000000005</v>
      </c>
    </row>
    <row r="213" spans="1:15" ht="14.4">
      <c r="A213" s="4">
        <v>50402</v>
      </c>
      <c r="B213" s="11" t="s">
        <v>212</v>
      </c>
      <c r="C213" s="12">
        <v>22.022449209449043</v>
      </c>
      <c r="D213" s="12">
        <v>24.469217576438584</v>
      </c>
      <c r="E213" s="31">
        <f t="shared" si="18"/>
        <v>8.8089796837796178E-3</v>
      </c>
      <c r="F213" s="31">
        <f t="shared" si="16"/>
        <v>9.7876870305754343E-3</v>
      </c>
      <c r="G213" s="28"/>
      <c r="J213" s="4">
        <v>50402</v>
      </c>
      <c r="K213" s="11" t="s">
        <v>212</v>
      </c>
      <c r="L213" s="3">
        <v>435560.00046448316</v>
      </c>
      <c r="M213" s="3">
        <v>413750</v>
      </c>
      <c r="N213" s="31">
        <f t="shared" si="19"/>
        <v>174.22400018579327</v>
      </c>
      <c r="O213" s="31">
        <f t="shared" si="17"/>
        <v>165.5</v>
      </c>
    </row>
    <row r="214" spans="1:15" ht="14.4">
      <c r="A214" s="4">
        <v>50403</v>
      </c>
      <c r="B214" s="11" t="s">
        <v>213</v>
      </c>
      <c r="C214" s="12">
        <v>29.917721721561804</v>
      </c>
      <c r="D214" s="12">
        <v>25.22526883367544</v>
      </c>
      <c r="E214" s="31">
        <f t="shared" si="18"/>
        <v>1.1967088688624722E-2</v>
      </c>
      <c r="F214" s="31">
        <f t="shared" si="16"/>
        <v>1.0090107533470177E-2</v>
      </c>
      <c r="G214" s="28"/>
      <c r="J214" s="4">
        <v>50403</v>
      </c>
      <c r="K214" s="11" t="s">
        <v>213</v>
      </c>
      <c r="L214" s="3">
        <v>850680.49943088833</v>
      </c>
      <c r="M214" s="3">
        <v>823378</v>
      </c>
      <c r="N214" s="31">
        <f t="shared" si="19"/>
        <v>340.27219977235535</v>
      </c>
      <c r="O214" s="31">
        <f t="shared" si="17"/>
        <v>329.35120000000001</v>
      </c>
    </row>
    <row r="215" spans="1:15" ht="14.4">
      <c r="A215" s="4">
        <v>50404</v>
      </c>
      <c r="B215" s="11" t="s">
        <v>214</v>
      </c>
      <c r="C215" s="12">
        <v>18.781705071157493</v>
      </c>
      <c r="D215" s="12">
        <v>22.493806771263419</v>
      </c>
      <c r="E215" s="31">
        <f t="shared" si="18"/>
        <v>7.5126820284629973E-3</v>
      </c>
      <c r="F215" s="31">
        <f t="shared" si="16"/>
        <v>8.9975227085053681E-3</v>
      </c>
      <c r="G215" s="28"/>
      <c r="J215" s="4">
        <v>50404</v>
      </c>
      <c r="K215" s="11" t="s">
        <v>214</v>
      </c>
      <c r="L215" s="3">
        <v>292788.00035427418</v>
      </c>
      <c r="M215" s="3">
        <v>326880</v>
      </c>
      <c r="N215" s="31">
        <f t="shared" si="19"/>
        <v>117.11520014170968</v>
      </c>
      <c r="O215" s="31">
        <f t="shared" si="17"/>
        <v>130.75200000000001</v>
      </c>
    </row>
    <row r="216" spans="1:15" ht="14.4">
      <c r="A216" s="4">
        <v>50405</v>
      </c>
      <c r="B216" s="11" t="s">
        <v>215</v>
      </c>
      <c r="C216" s="12"/>
      <c r="D216" s="12">
        <v>11.961591547284756</v>
      </c>
      <c r="E216" s="31">
        <f t="shared" si="18"/>
        <v>0</v>
      </c>
      <c r="F216" s="31">
        <f t="shared" si="16"/>
        <v>4.7846366189139029E-3</v>
      </c>
      <c r="G216" s="28"/>
      <c r="J216" s="4">
        <v>50405</v>
      </c>
      <c r="K216" s="11" t="s">
        <v>215</v>
      </c>
      <c r="L216" s="3">
        <v>1256872.5027173702</v>
      </c>
      <c r="M216" s="3">
        <v>251325</v>
      </c>
      <c r="N216" s="31">
        <f t="shared" si="19"/>
        <v>502.74900108694811</v>
      </c>
      <c r="O216" s="31">
        <f t="shared" si="17"/>
        <v>100.53</v>
      </c>
    </row>
    <row r="217" spans="1:15" ht="14.4">
      <c r="A217" s="4">
        <v>50501</v>
      </c>
      <c r="B217" s="11" t="s">
        <v>216</v>
      </c>
      <c r="C217" s="12">
        <v>13.954681153054503</v>
      </c>
      <c r="D217" s="12">
        <v>23.104870495495497</v>
      </c>
      <c r="E217" s="31">
        <f t="shared" si="18"/>
        <v>5.5818724612218019E-3</v>
      </c>
      <c r="F217" s="31">
        <f t="shared" si="16"/>
        <v>9.241948198198199E-3</v>
      </c>
      <c r="G217" s="28"/>
      <c r="J217" s="4">
        <v>50501</v>
      </c>
      <c r="K217" s="11" t="s">
        <v>216</v>
      </c>
      <c r="L217" s="3">
        <v>411384.00039204676</v>
      </c>
      <c r="M217" s="3">
        <v>656548</v>
      </c>
      <c r="N217" s="31">
        <f t="shared" si="19"/>
        <v>164.5536001568187</v>
      </c>
      <c r="O217" s="31">
        <f t="shared" si="17"/>
        <v>262.61920000000003</v>
      </c>
    </row>
    <row r="218" spans="1:15" ht="14.4">
      <c r="A218" s="4">
        <v>50502</v>
      </c>
      <c r="B218" s="11" t="s">
        <v>217</v>
      </c>
      <c r="C218" s="12">
        <v>33.325845834140608</v>
      </c>
      <c r="D218" s="12">
        <v>63.824808661564312</v>
      </c>
      <c r="E218" s="31">
        <f t="shared" si="18"/>
        <v>1.3330338333656244E-2</v>
      </c>
      <c r="F218" s="31">
        <f t="shared" si="16"/>
        <v>2.5529923464625726E-2</v>
      </c>
      <c r="G218" s="28"/>
      <c r="J218" s="4">
        <v>50502</v>
      </c>
      <c r="K218" s="11" t="s">
        <v>217</v>
      </c>
      <c r="L218" s="3">
        <v>360519.0002337331</v>
      </c>
      <c r="M218" s="3">
        <v>683819</v>
      </c>
      <c r="N218" s="31">
        <f t="shared" si="19"/>
        <v>144.20760009349326</v>
      </c>
      <c r="O218" s="31">
        <f t="shared" si="17"/>
        <v>273.52760000000001</v>
      </c>
    </row>
    <row r="219" spans="1:15" ht="14.4">
      <c r="A219" s="4">
        <v>50601</v>
      </c>
      <c r="B219" s="11" t="s">
        <v>218</v>
      </c>
      <c r="C219" s="12">
        <v>60.985335630854443</v>
      </c>
      <c r="D219" s="12">
        <v>71.845761609801173</v>
      </c>
      <c r="E219" s="31">
        <f t="shared" si="18"/>
        <v>2.4394134252341777E-2</v>
      </c>
      <c r="F219" s="31">
        <f t="shared" si="16"/>
        <v>2.8738304643920472E-2</v>
      </c>
      <c r="G219" s="28"/>
      <c r="J219" s="4">
        <v>50601</v>
      </c>
      <c r="K219" s="11" t="s">
        <v>218</v>
      </c>
      <c r="L219" s="3">
        <v>1886947.2697542673</v>
      </c>
      <c r="M219" s="3">
        <v>2099405</v>
      </c>
      <c r="N219" s="31">
        <f t="shared" si="19"/>
        <v>754.77890790170693</v>
      </c>
      <c r="O219" s="31">
        <f t="shared" si="17"/>
        <v>839.76200000000006</v>
      </c>
    </row>
    <row r="220" spans="1:15" ht="14.4">
      <c r="A220" s="4">
        <v>50602</v>
      </c>
      <c r="B220" s="11" t="s">
        <v>219</v>
      </c>
      <c r="C220" s="12">
        <v>48.022016734293572</v>
      </c>
      <c r="D220" s="12">
        <v>52.85997643362137</v>
      </c>
      <c r="E220" s="31">
        <f t="shared" si="18"/>
        <v>1.9208806693717429E-2</v>
      </c>
      <c r="F220" s="31">
        <f t="shared" si="16"/>
        <v>2.114399057344855E-2</v>
      </c>
      <c r="G220" s="28"/>
      <c r="J220" s="4">
        <v>50602</v>
      </c>
      <c r="K220" s="11" t="s">
        <v>219</v>
      </c>
      <c r="L220" s="3">
        <v>503846.99957620818</v>
      </c>
      <c r="M220" s="3">
        <v>538326</v>
      </c>
      <c r="N220" s="31">
        <f t="shared" si="19"/>
        <v>201.53879983048327</v>
      </c>
      <c r="O220" s="31">
        <f t="shared" si="17"/>
        <v>215.3304</v>
      </c>
    </row>
    <row r="221" spans="1:15" ht="14.4">
      <c r="A221" s="4">
        <v>50701</v>
      </c>
      <c r="B221" s="11" t="s">
        <v>220</v>
      </c>
      <c r="C221" s="12">
        <v>30.531926214117437</v>
      </c>
      <c r="D221" s="12">
        <v>33.863295553618137</v>
      </c>
      <c r="E221" s="31">
        <f t="shared" si="18"/>
        <v>1.2212770485646975E-2</v>
      </c>
      <c r="F221" s="31">
        <f t="shared" si="16"/>
        <v>1.3545318221447255E-2</v>
      </c>
      <c r="G221" s="28"/>
      <c r="J221" s="4">
        <v>50701</v>
      </c>
      <c r="K221" s="11" t="s">
        <v>220</v>
      </c>
      <c r="L221" s="3">
        <v>574275.00016133487</v>
      </c>
      <c r="M221" s="3">
        <v>582618</v>
      </c>
      <c r="N221" s="31">
        <f t="shared" si="19"/>
        <v>229.71000006453397</v>
      </c>
      <c r="O221" s="31">
        <f t="shared" si="17"/>
        <v>233.0472</v>
      </c>
    </row>
    <row r="222" spans="1:15" ht="14.4">
      <c r="A222" s="4">
        <v>50702</v>
      </c>
      <c r="B222" s="11" t="s">
        <v>221</v>
      </c>
      <c r="C222" s="12">
        <v>23.97587569267354</v>
      </c>
      <c r="D222" s="12">
        <v>21.229841570111137</v>
      </c>
      <c r="E222" s="31">
        <f t="shared" si="18"/>
        <v>9.590350277069417E-3</v>
      </c>
      <c r="F222" s="31">
        <f t="shared" si="16"/>
        <v>8.4919366280444553E-3</v>
      </c>
      <c r="G222" s="28"/>
      <c r="J222" s="4">
        <v>50702</v>
      </c>
      <c r="K222" s="11" t="s">
        <v>221</v>
      </c>
      <c r="L222" s="3">
        <v>206720.00022223126</v>
      </c>
      <c r="M222" s="3">
        <v>179562</v>
      </c>
      <c r="N222" s="31">
        <f t="shared" si="19"/>
        <v>82.688000088892508</v>
      </c>
      <c r="O222" s="31">
        <f t="shared" si="17"/>
        <v>71.82480000000001</v>
      </c>
    </row>
    <row r="223" spans="1:15" ht="14.4">
      <c r="A223" s="4">
        <v>50801</v>
      </c>
      <c r="B223" s="11" t="s">
        <v>222</v>
      </c>
      <c r="C223" s="12">
        <v>171.92370153386233</v>
      </c>
      <c r="D223" s="12">
        <v>199.45652555384953</v>
      </c>
      <c r="E223" s="31">
        <f t="shared" si="18"/>
        <v>6.8769480613544931E-2</v>
      </c>
      <c r="F223" s="31">
        <f t="shared" si="16"/>
        <v>7.9782610221539818E-2</v>
      </c>
      <c r="G223" s="28"/>
      <c r="J223" s="4">
        <v>50801</v>
      </c>
      <c r="K223" s="11" t="s">
        <v>222</v>
      </c>
      <c r="L223" s="3">
        <v>7749116.9992357763</v>
      </c>
      <c r="M223" s="3">
        <v>9093223</v>
      </c>
      <c r="N223" s="31">
        <f t="shared" si="19"/>
        <v>3099.6467996943106</v>
      </c>
      <c r="O223" s="31">
        <f t="shared" si="17"/>
        <v>3637.2892000000002</v>
      </c>
    </row>
    <row r="224" spans="1:15" ht="14.4">
      <c r="A224" s="4">
        <v>50802</v>
      </c>
      <c r="B224" s="11" t="s">
        <v>223</v>
      </c>
      <c r="C224" s="12">
        <v>145.41531841289176</v>
      </c>
      <c r="D224" s="12"/>
      <c r="E224" s="31">
        <f t="shared" si="18"/>
        <v>5.8166127365156708E-2</v>
      </c>
      <c r="F224" s="31">
        <f t="shared" si="16"/>
        <v>0</v>
      </c>
      <c r="G224" s="28"/>
      <c r="J224" s="4">
        <v>50802</v>
      </c>
      <c r="K224" s="11" t="s">
        <v>223</v>
      </c>
      <c r="L224" s="3">
        <v>1554925.9997890517</v>
      </c>
      <c r="M224" s="3"/>
      <c r="N224" s="31">
        <f t="shared" si="19"/>
        <v>621.97039991562076</v>
      </c>
      <c r="O224" s="31">
        <f t="shared" si="17"/>
        <v>0</v>
      </c>
    </row>
    <row r="225" spans="1:15" ht="14.4">
      <c r="A225" s="4">
        <v>50901</v>
      </c>
      <c r="B225" s="11" t="s">
        <v>224</v>
      </c>
      <c r="C225" s="12">
        <v>72.904964925524723</v>
      </c>
      <c r="D225" s="12">
        <v>155.21310832025117</v>
      </c>
      <c r="E225" s="31">
        <f t="shared" si="18"/>
        <v>2.916198597020989E-2</v>
      </c>
      <c r="F225" s="31">
        <f t="shared" si="16"/>
        <v>6.2085243328100469E-2</v>
      </c>
      <c r="G225" s="28"/>
      <c r="J225" s="4">
        <v>50901</v>
      </c>
      <c r="K225" s="11" t="s">
        <v>224</v>
      </c>
      <c r="L225" s="3">
        <v>941276.00215344969</v>
      </c>
      <c r="M225" s="3">
        <v>1977415</v>
      </c>
      <c r="N225" s="31">
        <f t="shared" si="19"/>
        <v>376.51040086137988</v>
      </c>
      <c r="O225" s="31">
        <f t="shared" si="17"/>
        <v>790.96600000000001</v>
      </c>
    </row>
    <row r="226" spans="1:15" ht="14.4">
      <c r="A226" s="4">
        <v>50902</v>
      </c>
      <c r="B226" s="11" t="s">
        <v>225</v>
      </c>
      <c r="C226" s="12">
        <v>134.22534067900187</v>
      </c>
      <c r="D226" s="12">
        <v>116.38988278840222</v>
      </c>
      <c r="E226" s="31">
        <f t="shared" si="18"/>
        <v>5.3690136271600755E-2</v>
      </c>
      <c r="F226" s="31">
        <f t="shared" si="16"/>
        <v>4.6555953115360892E-2</v>
      </c>
      <c r="G226" s="28"/>
      <c r="J226" s="4">
        <v>50902</v>
      </c>
      <c r="K226" s="11" t="s">
        <v>225</v>
      </c>
      <c r="L226" s="3">
        <v>167378.99982671533</v>
      </c>
      <c r="M226" s="3">
        <v>188668</v>
      </c>
      <c r="N226" s="31">
        <f t="shared" si="19"/>
        <v>66.951599930686129</v>
      </c>
      <c r="O226" s="31">
        <f t="shared" si="17"/>
        <v>75.467200000000005</v>
      </c>
    </row>
    <row r="227" spans="1:15" ht="14.4">
      <c r="A227" s="4">
        <v>51001</v>
      </c>
      <c r="B227" s="11" t="s">
        <v>226</v>
      </c>
      <c r="C227" s="12">
        <v>68.235062104435727</v>
      </c>
      <c r="D227" s="12">
        <v>44.619682539682543</v>
      </c>
      <c r="E227" s="31">
        <f t="shared" si="18"/>
        <v>2.7294024841774293E-2</v>
      </c>
      <c r="F227" s="31">
        <f t="shared" si="16"/>
        <v>1.7847873015873018E-2</v>
      </c>
      <c r="G227" s="28"/>
      <c r="J227" s="4">
        <v>51001</v>
      </c>
      <c r="K227" s="11" t="s">
        <v>226</v>
      </c>
      <c r="L227" s="3">
        <v>224970.99975832459</v>
      </c>
      <c r="M227" s="3">
        <v>140552</v>
      </c>
      <c r="N227" s="31">
        <f t="shared" si="19"/>
        <v>89.988399903329835</v>
      </c>
      <c r="O227" s="31">
        <f t="shared" si="17"/>
        <v>56.220800000000004</v>
      </c>
    </row>
    <row r="228" spans="1:15" ht="14.4">
      <c r="A228" s="4">
        <v>51002</v>
      </c>
      <c r="B228" s="11" t="s">
        <v>227</v>
      </c>
      <c r="C228" s="12"/>
      <c r="D228" s="12">
        <v>29.21560975609756</v>
      </c>
      <c r="E228" s="31">
        <f t="shared" si="18"/>
        <v>0</v>
      </c>
      <c r="F228" s="31">
        <f t="shared" si="16"/>
        <v>1.1686243902439025E-2</v>
      </c>
      <c r="G228" s="28"/>
      <c r="J228" s="4">
        <v>51002</v>
      </c>
      <c r="K228" s="11" t="s">
        <v>227</v>
      </c>
      <c r="L228" s="3"/>
      <c r="M228" s="3">
        <v>29946</v>
      </c>
      <c r="N228" s="31">
        <f t="shared" si="19"/>
        <v>0</v>
      </c>
      <c r="O228" s="31">
        <f t="shared" si="17"/>
        <v>11.978400000000001</v>
      </c>
    </row>
    <row r="229" spans="1:15" ht="14.4">
      <c r="A229" s="4">
        <v>51003</v>
      </c>
      <c r="B229" s="11" t="s">
        <v>228</v>
      </c>
      <c r="C229" s="12">
        <v>39.389298769971873</v>
      </c>
      <c r="D229" s="12">
        <v>37.498966942148762</v>
      </c>
      <c r="E229" s="31">
        <f t="shared" si="18"/>
        <v>1.575571950798875E-2</v>
      </c>
      <c r="F229" s="31">
        <f t="shared" si="16"/>
        <v>1.4999586776859506E-2</v>
      </c>
      <c r="G229" s="28"/>
      <c r="J229" s="4">
        <v>51003</v>
      </c>
      <c r="K229" s="11" t="s">
        <v>228</v>
      </c>
      <c r="L229" s="3">
        <v>85395.999733299017</v>
      </c>
      <c r="M229" s="3">
        <v>72598</v>
      </c>
      <c r="N229" s="31">
        <f t="shared" si="19"/>
        <v>34.158399893319611</v>
      </c>
      <c r="O229" s="31">
        <f t="shared" si="17"/>
        <v>29.039200000000001</v>
      </c>
    </row>
    <row r="230" spans="1:15" ht="14.4">
      <c r="A230" s="4">
        <v>51101</v>
      </c>
      <c r="B230" s="11" t="s">
        <v>229</v>
      </c>
      <c r="C230" s="12">
        <v>60.546179090959328</v>
      </c>
      <c r="D230" s="12">
        <v>74.757459271462565</v>
      </c>
      <c r="E230" s="31">
        <f t="shared" si="18"/>
        <v>2.4218471636383732E-2</v>
      </c>
      <c r="F230" s="31">
        <f t="shared" si="16"/>
        <v>2.9902983708585028E-2</v>
      </c>
      <c r="G230" s="28"/>
      <c r="J230" s="4">
        <v>51101</v>
      </c>
      <c r="K230" s="11" t="s">
        <v>229</v>
      </c>
      <c r="L230" s="3">
        <v>1215403.9990719175</v>
      </c>
      <c r="M230" s="3">
        <v>1225200</v>
      </c>
      <c r="N230" s="31">
        <f t="shared" si="19"/>
        <v>486.16159962876702</v>
      </c>
      <c r="O230" s="31">
        <f t="shared" si="17"/>
        <v>490.08000000000004</v>
      </c>
    </row>
    <row r="231" spans="1:15" ht="14.4">
      <c r="A231" s="4">
        <v>51102</v>
      </c>
      <c r="B231" s="11" t="s">
        <v>230</v>
      </c>
      <c r="C231" s="12">
        <v>63.255776397446219</v>
      </c>
      <c r="D231" s="12">
        <v>73.417416724363406</v>
      </c>
      <c r="E231" s="31">
        <f t="shared" si="18"/>
        <v>2.530231055897849E-2</v>
      </c>
      <c r="F231" s="31">
        <f t="shared" si="16"/>
        <v>2.9366966689745363E-2</v>
      </c>
      <c r="G231" s="28"/>
      <c r="J231" s="4">
        <v>51102</v>
      </c>
      <c r="K231" s="11" t="s">
        <v>230</v>
      </c>
      <c r="L231" s="3">
        <v>782980.00024758931</v>
      </c>
      <c r="M231" s="3">
        <v>954353</v>
      </c>
      <c r="N231" s="31">
        <f t="shared" si="19"/>
        <v>313.19200009903574</v>
      </c>
      <c r="O231" s="31">
        <f t="shared" si="17"/>
        <v>381.74119999999999</v>
      </c>
    </row>
    <row r="232" spans="1:15" ht="14.4">
      <c r="A232" s="4">
        <v>51103</v>
      </c>
      <c r="B232" s="11" t="s">
        <v>231</v>
      </c>
      <c r="C232" s="12">
        <v>14.28992885957261</v>
      </c>
      <c r="D232" s="12">
        <v>14.62519179801925</v>
      </c>
      <c r="E232" s="31">
        <f t="shared" si="18"/>
        <v>5.7159715438290445E-3</v>
      </c>
      <c r="F232" s="31">
        <f t="shared" si="16"/>
        <v>5.8500767192077004E-3</v>
      </c>
      <c r="G232" s="28"/>
      <c r="J232" s="4">
        <v>51103</v>
      </c>
      <c r="K232" s="11" t="s">
        <v>231</v>
      </c>
      <c r="L232" s="3">
        <v>218936.00005751196</v>
      </c>
      <c r="M232" s="3">
        <v>209696</v>
      </c>
      <c r="N232" s="31">
        <f t="shared" si="19"/>
        <v>87.574400023004785</v>
      </c>
      <c r="O232" s="31">
        <f t="shared" si="17"/>
        <v>83.878399999999999</v>
      </c>
    </row>
    <row r="233" spans="1:15" ht="14.4">
      <c r="A233" s="4">
        <v>51201</v>
      </c>
      <c r="B233" s="11" t="s">
        <v>232</v>
      </c>
      <c r="C233" s="12">
        <v>182.02179726363732</v>
      </c>
      <c r="D233" s="12">
        <v>177.71164845121467</v>
      </c>
      <c r="E233" s="31">
        <f t="shared" si="18"/>
        <v>7.2808718905454928E-2</v>
      </c>
      <c r="F233" s="31">
        <f t="shared" si="16"/>
        <v>7.1084659380485873E-2</v>
      </c>
      <c r="G233" s="28"/>
      <c r="J233" s="4">
        <v>51201</v>
      </c>
      <c r="K233" s="11" t="s">
        <v>232</v>
      </c>
      <c r="L233" s="3">
        <v>5743515.7908568121</v>
      </c>
      <c r="M233" s="3">
        <v>6276420</v>
      </c>
      <c r="N233" s="31">
        <f t="shared" si="19"/>
        <v>2297.4063163427249</v>
      </c>
      <c r="O233" s="31">
        <f t="shared" si="17"/>
        <v>2510.5680000000002</v>
      </c>
    </row>
    <row r="234" spans="1:15" ht="14.4">
      <c r="A234" s="4">
        <v>51202</v>
      </c>
      <c r="B234" s="11" t="s">
        <v>233</v>
      </c>
      <c r="C234" s="12">
        <v>45.793261386616578</v>
      </c>
      <c r="D234" s="12">
        <v>54.4295729764181</v>
      </c>
      <c r="E234" s="31">
        <f t="shared" si="18"/>
        <v>1.8317304554646634E-2</v>
      </c>
      <c r="F234" s="31">
        <f t="shared" si="16"/>
        <v>2.1771829190567242E-2</v>
      </c>
      <c r="G234" s="28"/>
      <c r="J234" s="4">
        <v>51202</v>
      </c>
      <c r="K234" s="11" t="s">
        <v>233</v>
      </c>
      <c r="L234" s="3">
        <v>390067.00049120001</v>
      </c>
      <c r="M234" s="3">
        <v>427000</v>
      </c>
      <c r="N234" s="31">
        <f t="shared" si="19"/>
        <v>156.02680019648002</v>
      </c>
      <c r="O234" s="31">
        <f t="shared" si="17"/>
        <v>170.8</v>
      </c>
    </row>
    <row r="235" spans="1:15" ht="14.4">
      <c r="A235" s="4">
        <v>51203</v>
      </c>
      <c r="B235" s="11" t="s">
        <v>234</v>
      </c>
      <c r="C235" s="12">
        <v>114.48684983064406</v>
      </c>
      <c r="D235" s="12">
        <v>120.34543469359902</v>
      </c>
      <c r="E235" s="31">
        <f t="shared" si="18"/>
        <v>4.5794739932257626E-2</v>
      </c>
      <c r="F235" s="31">
        <f t="shared" si="16"/>
        <v>4.8138173877439606E-2</v>
      </c>
      <c r="G235" s="28"/>
      <c r="J235" s="4">
        <v>51203</v>
      </c>
      <c r="K235" s="11" t="s">
        <v>234</v>
      </c>
      <c r="L235" s="3">
        <v>1388611.0015958818</v>
      </c>
      <c r="M235" s="3">
        <v>1763542</v>
      </c>
      <c r="N235" s="31">
        <f t="shared" si="19"/>
        <v>555.4444006383527</v>
      </c>
      <c r="O235" s="31">
        <f t="shared" si="17"/>
        <v>705.41680000000008</v>
      </c>
    </row>
    <row r="236" spans="1:15" ht="14.4">
      <c r="A236" s="4">
        <v>51204</v>
      </c>
      <c r="B236" s="11" t="s">
        <v>235</v>
      </c>
      <c r="C236" s="12"/>
      <c r="D236" s="12"/>
      <c r="E236" s="31">
        <f t="shared" si="18"/>
        <v>0</v>
      </c>
      <c r="F236" s="31">
        <f t="shared" si="16"/>
        <v>0</v>
      </c>
      <c r="G236" s="28"/>
      <c r="J236" s="4">
        <v>51204</v>
      </c>
      <c r="K236" s="11" t="s">
        <v>235</v>
      </c>
      <c r="L236" s="3"/>
      <c r="M236" s="3"/>
      <c r="N236" s="31">
        <f t="shared" si="19"/>
        <v>0</v>
      </c>
      <c r="O236" s="31">
        <f t="shared" si="17"/>
        <v>0</v>
      </c>
    </row>
    <row r="237" spans="1:15" ht="14.4">
      <c r="A237" s="4">
        <v>51301</v>
      </c>
      <c r="B237" s="11" t="s">
        <v>236</v>
      </c>
      <c r="C237" s="12">
        <v>25.873813131273302</v>
      </c>
      <c r="D237" s="12">
        <v>29.468085106382979</v>
      </c>
      <c r="E237" s="31">
        <f t="shared" si="18"/>
        <v>1.0349525252509321E-2</v>
      </c>
      <c r="F237" s="31">
        <f t="shared" si="16"/>
        <v>1.1787234042553192E-2</v>
      </c>
      <c r="G237" s="28"/>
      <c r="J237" s="4">
        <v>51301</v>
      </c>
      <c r="K237" s="11" t="s">
        <v>236</v>
      </c>
      <c r="L237" s="3">
        <v>103547.00015135575</v>
      </c>
      <c r="M237" s="3">
        <v>108030</v>
      </c>
      <c r="N237" s="31">
        <f t="shared" si="19"/>
        <v>41.418800060542303</v>
      </c>
      <c r="O237" s="31">
        <f t="shared" si="17"/>
        <v>43.212000000000003</v>
      </c>
    </row>
    <row r="238" spans="1:15" ht="14.4">
      <c r="A238" s="4">
        <v>51302</v>
      </c>
      <c r="B238" s="11" t="s">
        <v>237</v>
      </c>
      <c r="C238" s="12">
        <v>28.714540852732203</v>
      </c>
      <c r="D238" s="12">
        <v>40.364124356967125</v>
      </c>
      <c r="E238" s="31">
        <f t="shared" si="18"/>
        <v>1.1485816341092881E-2</v>
      </c>
      <c r="F238" s="31">
        <f t="shared" si="16"/>
        <v>1.6145649742786851E-2</v>
      </c>
      <c r="G238" s="28"/>
      <c r="J238" s="4">
        <v>51302</v>
      </c>
      <c r="K238" s="11" t="s">
        <v>237</v>
      </c>
      <c r="L238" s="3">
        <v>160743.99969359487</v>
      </c>
      <c r="M238" s="3">
        <v>180468</v>
      </c>
      <c r="N238" s="31">
        <f t="shared" si="19"/>
        <v>64.297599877437946</v>
      </c>
      <c r="O238" s="31">
        <f t="shared" si="17"/>
        <v>72.187200000000004</v>
      </c>
    </row>
    <row r="239" spans="1:15" ht="14.4">
      <c r="A239" s="4">
        <v>51401</v>
      </c>
      <c r="B239" s="11" t="s">
        <v>238</v>
      </c>
      <c r="C239" s="12">
        <v>101.32700633687598</v>
      </c>
      <c r="D239" s="12">
        <v>123.36613326964414</v>
      </c>
      <c r="E239" s="31">
        <f t="shared" si="18"/>
        <v>4.0530802534750394E-2</v>
      </c>
      <c r="F239" s="31">
        <f t="shared" si="16"/>
        <v>4.9346453307857654E-2</v>
      </c>
      <c r="G239" s="28"/>
      <c r="J239" s="4">
        <v>51401</v>
      </c>
      <c r="K239" s="11" t="s">
        <v>238</v>
      </c>
      <c r="L239" s="3">
        <v>421723.00037407782</v>
      </c>
      <c r="M239" s="3">
        <v>516534</v>
      </c>
      <c r="N239" s="31">
        <f t="shared" si="19"/>
        <v>168.68920014963115</v>
      </c>
      <c r="O239" s="31">
        <f t="shared" si="17"/>
        <v>206.61360000000002</v>
      </c>
    </row>
    <row r="240" spans="1:15" ht="14.4">
      <c r="A240" s="4">
        <v>51402</v>
      </c>
      <c r="B240" s="11" t="s">
        <v>239</v>
      </c>
      <c r="C240" s="12">
        <v>51.76106745151553</v>
      </c>
      <c r="D240" s="12">
        <v>62.060802069857701</v>
      </c>
      <c r="E240" s="31">
        <f t="shared" si="18"/>
        <v>2.0704426980606212E-2</v>
      </c>
      <c r="F240" s="31">
        <f t="shared" si="16"/>
        <v>2.4824320827943083E-2</v>
      </c>
      <c r="G240" s="28"/>
      <c r="J240" s="4">
        <v>51402</v>
      </c>
      <c r="K240" s="11" t="s">
        <v>239</v>
      </c>
      <c r="L240" s="3">
        <v>85354.000227549113</v>
      </c>
      <c r="M240" s="3">
        <v>95946</v>
      </c>
      <c r="N240" s="31">
        <f t="shared" si="19"/>
        <v>34.141600091019647</v>
      </c>
      <c r="O240" s="31">
        <f t="shared" si="17"/>
        <v>38.378399999999999</v>
      </c>
    </row>
    <row r="241" spans="1:15" ht="14.4">
      <c r="A241" s="4">
        <v>51501</v>
      </c>
      <c r="B241" s="11" t="s">
        <v>240</v>
      </c>
      <c r="C241" s="12">
        <v>134.93353317582174</v>
      </c>
      <c r="D241" s="12">
        <v>155.15366842318605</v>
      </c>
      <c r="E241" s="31">
        <f t="shared" si="18"/>
        <v>5.3973413270328695E-2</v>
      </c>
      <c r="F241" s="31">
        <f t="shared" si="16"/>
        <v>6.2061467369274419E-2</v>
      </c>
      <c r="G241" s="28"/>
      <c r="J241" s="4">
        <v>51501</v>
      </c>
      <c r="K241" s="11" t="s">
        <v>240</v>
      </c>
      <c r="L241" s="3">
        <v>6258757.0028273156</v>
      </c>
      <c r="M241" s="3">
        <v>7655282</v>
      </c>
      <c r="N241" s="31">
        <f t="shared" si="19"/>
        <v>2503.5028011309264</v>
      </c>
      <c r="O241" s="31">
        <f t="shared" si="17"/>
        <v>3062.1128000000003</v>
      </c>
    </row>
    <row r="242" spans="1:15" ht="14.4">
      <c r="A242" s="4">
        <v>51601</v>
      </c>
      <c r="B242" s="11" t="s">
        <v>241</v>
      </c>
      <c r="C242" s="12">
        <v>77.510103584999129</v>
      </c>
      <c r="D242" s="12">
        <v>123.35559736594544</v>
      </c>
      <c r="E242" s="31">
        <f t="shared" si="18"/>
        <v>3.1004041433999652E-2</v>
      </c>
      <c r="F242" s="31">
        <f t="shared" si="16"/>
        <v>4.9342238946378181E-2</v>
      </c>
      <c r="G242" s="28"/>
      <c r="J242" s="4">
        <v>51601</v>
      </c>
      <c r="K242" s="11" t="s">
        <v>241</v>
      </c>
      <c r="L242" s="3">
        <v>141920.99966413341</v>
      </c>
      <c r="M242" s="3">
        <v>262254</v>
      </c>
      <c r="N242" s="31">
        <f t="shared" si="19"/>
        <v>56.768399865653372</v>
      </c>
      <c r="O242" s="31">
        <f t="shared" si="17"/>
        <v>104.9016</v>
      </c>
    </row>
    <row r="243" spans="1:15" ht="14.4">
      <c r="A243" s="4">
        <v>60101</v>
      </c>
      <c r="B243" s="11" t="s">
        <v>242</v>
      </c>
      <c r="C243" s="12">
        <v>336.06575509964222</v>
      </c>
      <c r="D243" s="12">
        <v>343.7186585074702</v>
      </c>
      <c r="E243" s="31">
        <f t="shared" si="18"/>
        <v>0.13442630203985689</v>
      </c>
      <c r="F243" s="31">
        <f t="shared" si="16"/>
        <v>0.13748746340298809</v>
      </c>
      <c r="G243" s="28"/>
      <c r="J243" s="4">
        <v>60101</v>
      </c>
      <c r="K243" s="11" t="s">
        <v>242</v>
      </c>
      <c r="L243" s="3">
        <v>72758235.979072541</v>
      </c>
      <c r="M243" s="3">
        <v>82062486</v>
      </c>
      <c r="N243" s="31">
        <f t="shared" si="19"/>
        <v>29103.294391629017</v>
      </c>
      <c r="O243" s="31">
        <f t="shared" si="17"/>
        <v>32824.994400000003</v>
      </c>
    </row>
    <row r="244" spans="1:15" ht="14.4">
      <c r="A244" s="4">
        <v>60201</v>
      </c>
      <c r="B244" s="11" t="s">
        <v>243</v>
      </c>
      <c r="C244" s="12">
        <v>120.48344485915297</v>
      </c>
      <c r="D244" s="12">
        <v>154.45108604142112</v>
      </c>
      <c r="E244" s="31">
        <f t="shared" si="18"/>
        <v>4.8193377943661186E-2</v>
      </c>
      <c r="F244" s="31">
        <f t="shared" si="16"/>
        <v>6.1780434416568449E-2</v>
      </c>
      <c r="G244" s="28"/>
      <c r="J244" s="4">
        <v>60201</v>
      </c>
      <c r="K244" s="11" t="s">
        <v>243</v>
      </c>
      <c r="L244" s="3">
        <v>2216052.0012944005</v>
      </c>
      <c r="M244" s="3">
        <v>2751855</v>
      </c>
      <c r="N244" s="31">
        <f t="shared" si="19"/>
        <v>886.42080051776031</v>
      </c>
      <c r="O244" s="31">
        <f t="shared" si="17"/>
        <v>1100.742</v>
      </c>
    </row>
    <row r="245" spans="1:15" ht="14.4">
      <c r="A245" s="4">
        <v>60202</v>
      </c>
      <c r="B245" s="11" t="s">
        <v>244</v>
      </c>
      <c r="C245" s="12">
        <v>307.3888526549938</v>
      </c>
      <c r="D245" s="12">
        <v>391.19442791452531</v>
      </c>
      <c r="E245" s="31">
        <f t="shared" si="18"/>
        <v>0.12295554106199752</v>
      </c>
      <c r="F245" s="31">
        <f t="shared" si="16"/>
        <v>0.15647777116581013</v>
      </c>
      <c r="G245" s="28"/>
      <c r="J245" s="4">
        <v>60202</v>
      </c>
      <c r="K245" s="11" t="s">
        <v>244</v>
      </c>
      <c r="L245" s="3">
        <v>10859125.997742966</v>
      </c>
      <c r="M245" s="3">
        <v>14462458</v>
      </c>
      <c r="N245" s="31">
        <f t="shared" si="19"/>
        <v>4343.6503990971869</v>
      </c>
      <c r="O245" s="31">
        <f t="shared" si="17"/>
        <v>5784.9832000000006</v>
      </c>
    </row>
    <row r="246" spans="1:15" ht="14.4">
      <c r="A246" s="4">
        <v>60301</v>
      </c>
      <c r="B246" s="11" t="s">
        <v>245</v>
      </c>
      <c r="C246" s="12">
        <v>293.48191748291561</v>
      </c>
      <c r="D246" s="12">
        <v>361.86140074154497</v>
      </c>
      <c r="E246" s="31">
        <f t="shared" si="18"/>
        <v>0.11739276699316625</v>
      </c>
      <c r="F246" s="31">
        <f t="shared" si="16"/>
        <v>0.144744560296618</v>
      </c>
      <c r="G246" s="28"/>
      <c r="J246" s="4">
        <v>60301</v>
      </c>
      <c r="K246" s="11" t="s">
        <v>245</v>
      </c>
      <c r="L246" s="3">
        <v>27599333.002010867</v>
      </c>
      <c r="M246" s="3">
        <v>35329976</v>
      </c>
      <c r="N246" s="31">
        <f t="shared" si="19"/>
        <v>11039.733200804347</v>
      </c>
      <c r="O246" s="31">
        <f t="shared" si="17"/>
        <v>14131.990400000001</v>
      </c>
    </row>
    <row r="247" spans="1:15" ht="14.4">
      <c r="A247" s="4">
        <v>60302</v>
      </c>
      <c r="B247" s="11" t="s">
        <v>246</v>
      </c>
      <c r="C247" s="12">
        <v>211.93732991960709</v>
      </c>
      <c r="D247" s="12">
        <v>228.74002185230412</v>
      </c>
      <c r="E247" s="31">
        <f t="shared" si="18"/>
        <v>8.4774931967842845E-2</v>
      </c>
      <c r="F247" s="31">
        <f t="shared" si="16"/>
        <v>9.1496008740921661E-2</v>
      </c>
      <c r="G247" s="28"/>
      <c r="J247" s="4">
        <v>60302</v>
      </c>
      <c r="K247" s="11" t="s">
        <v>246</v>
      </c>
      <c r="L247" s="3">
        <v>3270193.0006595375</v>
      </c>
      <c r="M247" s="3">
        <v>3558966</v>
      </c>
      <c r="N247" s="31">
        <f t="shared" si="19"/>
        <v>1308.077200263815</v>
      </c>
      <c r="O247" s="31">
        <f t="shared" si="17"/>
        <v>1423.5864000000001</v>
      </c>
    </row>
    <row r="248" spans="1:15" ht="14.4">
      <c r="A248" s="4">
        <v>60303</v>
      </c>
      <c r="B248" s="11" t="s">
        <v>247</v>
      </c>
      <c r="C248" s="12">
        <v>359.75929394162836</v>
      </c>
      <c r="D248" s="12">
        <v>375.63263224154025</v>
      </c>
      <c r="E248" s="31">
        <f t="shared" si="18"/>
        <v>0.14390371757665135</v>
      </c>
      <c r="F248" s="31">
        <f t="shared" si="16"/>
        <v>0.15025305289661611</v>
      </c>
      <c r="G248" s="28"/>
      <c r="J248" s="4">
        <v>60303</v>
      </c>
      <c r="K248" s="11" t="s">
        <v>247</v>
      </c>
      <c r="L248" s="3">
        <v>15086505.991442185</v>
      </c>
      <c r="M248" s="3">
        <v>17305771</v>
      </c>
      <c r="N248" s="31">
        <f t="shared" si="19"/>
        <v>6034.6023965768745</v>
      </c>
      <c r="O248" s="31">
        <f t="shared" si="17"/>
        <v>6922.3083999999999</v>
      </c>
    </row>
    <row r="249" spans="1:15" ht="14.4">
      <c r="A249" s="4">
        <v>60401</v>
      </c>
      <c r="B249" s="11" t="s">
        <v>248</v>
      </c>
      <c r="C249" s="12">
        <v>161.32376994079868</v>
      </c>
      <c r="D249" s="12">
        <v>192.69264585819255</v>
      </c>
      <c r="E249" s="31">
        <f t="shared" si="18"/>
        <v>6.4529507976319483E-2</v>
      </c>
      <c r="F249" s="31">
        <f t="shared" si="16"/>
        <v>7.7077058343277022E-2</v>
      </c>
      <c r="G249" s="28"/>
      <c r="J249" s="4">
        <v>60401</v>
      </c>
      <c r="K249" s="11" t="s">
        <v>248</v>
      </c>
      <c r="L249" s="3">
        <v>2445990.9998423895</v>
      </c>
      <c r="M249" s="3">
        <v>3068245</v>
      </c>
      <c r="N249" s="31">
        <f t="shared" si="19"/>
        <v>978.39639993695585</v>
      </c>
      <c r="O249" s="31">
        <f t="shared" si="17"/>
        <v>1227.298</v>
      </c>
    </row>
    <row r="250" spans="1:15" ht="14.4">
      <c r="A250" s="4">
        <v>60402</v>
      </c>
      <c r="B250" s="11" t="s">
        <v>249</v>
      </c>
      <c r="C250" s="12">
        <v>29.307912301744828</v>
      </c>
      <c r="D250" s="12">
        <v>64.379469920067308</v>
      </c>
      <c r="E250" s="31">
        <f t="shared" si="18"/>
        <v>1.1723164920697932E-2</v>
      </c>
      <c r="F250" s="31">
        <f t="shared" si="16"/>
        <v>2.5751787968026924E-2</v>
      </c>
      <c r="G250" s="28"/>
      <c r="J250" s="4">
        <v>60402</v>
      </c>
      <c r="K250" s="11" t="s">
        <v>249</v>
      </c>
      <c r="L250" s="3">
        <v>153720.00002265163</v>
      </c>
      <c r="M250" s="3">
        <v>306060</v>
      </c>
      <c r="N250" s="31">
        <f t="shared" si="19"/>
        <v>61.488000009060656</v>
      </c>
      <c r="O250" s="31">
        <f t="shared" si="17"/>
        <v>122.42400000000001</v>
      </c>
    </row>
    <row r="251" spans="1:15" ht="14.4">
      <c r="A251" s="4">
        <v>60501</v>
      </c>
      <c r="B251" s="11" t="s">
        <v>250</v>
      </c>
      <c r="C251" s="12">
        <v>190.12703663120817</v>
      </c>
      <c r="D251" s="12">
        <v>225.59678376062743</v>
      </c>
      <c r="E251" s="31">
        <f t="shared" si="18"/>
        <v>7.605081465248327E-2</v>
      </c>
      <c r="F251" s="31">
        <f t="shared" si="16"/>
        <v>9.0238713504250972E-2</v>
      </c>
      <c r="G251" s="28"/>
      <c r="J251" s="4">
        <v>60501</v>
      </c>
      <c r="K251" s="11" t="s">
        <v>250</v>
      </c>
      <c r="L251" s="3">
        <v>4947866.0012905616</v>
      </c>
      <c r="M251" s="3">
        <v>6845960</v>
      </c>
      <c r="N251" s="31">
        <f t="shared" si="19"/>
        <v>1979.1464005162247</v>
      </c>
      <c r="O251" s="31">
        <f t="shared" si="17"/>
        <v>2738.384</v>
      </c>
    </row>
    <row r="252" spans="1:15" ht="14.4">
      <c r="A252" s="4">
        <v>60502</v>
      </c>
      <c r="B252" s="11" t="s">
        <v>251</v>
      </c>
      <c r="C252" s="12">
        <v>75.051656773293601</v>
      </c>
      <c r="D252" s="12">
        <v>122.36102068675838</v>
      </c>
      <c r="E252" s="31">
        <f t="shared" si="18"/>
        <v>3.0020662709317442E-2</v>
      </c>
      <c r="F252" s="31">
        <f t="shared" si="16"/>
        <v>4.8944408274703352E-2</v>
      </c>
      <c r="G252" s="28"/>
      <c r="J252" s="4">
        <v>60502</v>
      </c>
      <c r="K252" s="11" t="s">
        <v>251</v>
      </c>
      <c r="L252" s="3">
        <v>806355.0003722664</v>
      </c>
      <c r="M252" s="3">
        <v>1165244</v>
      </c>
      <c r="N252" s="31">
        <f t="shared" si="19"/>
        <v>322.5420001489066</v>
      </c>
      <c r="O252" s="31">
        <f t="shared" si="17"/>
        <v>466.0976</v>
      </c>
    </row>
    <row r="253" spans="1:15" ht="14.4">
      <c r="A253" s="4">
        <v>60601</v>
      </c>
      <c r="B253" s="11" t="s">
        <v>152</v>
      </c>
      <c r="C253" s="12">
        <v>136.68873476264875</v>
      </c>
      <c r="D253" s="12">
        <v>188.48408742331287</v>
      </c>
      <c r="E253" s="31">
        <f t="shared" si="18"/>
        <v>5.4675493905059505E-2</v>
      </c>
      <c r="F253" s="31">
        <f t="shared" si="16"/>
        <v>7.5393634969325149E-2</v>
      </c>
      <c r="G253" s="28"/>
      <c r="J253" s="4">
        <v>60601</v>
      </c>
      <c r="K253" s="11" t="s">
        <v>152</v>
      </c>
      <c r="L253" s="3">
        <v>2954527.0018946528</v>
      </c>
      <c r="M253" s="3">
        <v>3932532</v>
      </c>
      <c r="N253" s="31">
        <f t="shared" si="19"/>
        <v>1181.8108007578612</v>
      </c>
      <c r="O253" s="31">
        <f t="shared" si="17"/>
        <v>1573.0128</v>
      </c>
    </row>
    <row r="254" spans="1:15" ht="14.4">
      <c r="A254" s="4">
        <v>70101</v>
      </c>
      <c r="B254" s="11" t="s">
        <v>252</v>
      </c>
      <c r="C254" s="12">
        <v>649.84973100379511</v>
      </c>
      <c r="D254" s="12">
        <v>725.33970087809791</v>
      </c>
      <c r="E254" s="31">
        <f t="shared" si="18"/>
        <v>0.25993989240151805</v>
      </c>
      <c r="F254" s="31">
        <f t="shared" si="16"/>
        <v>0.29013588035123916</v>
      </c>
      <c r="G254" s="28"/>
      <c r="J254" s="4">
        <v>70101</v>
      </c>
      <c r="K254" s="11" t="s">
        <v>252</v>
      </c>
      <c r="L254" s="3">
        <v>974738204.92075646</v>
      </c>
      <c r="M254" s="3">
        <v>1168509202</v>
      </c>
      <c r="N254" s="31">
        <f t="shared" si="19"/>
        <v>389895.28196830262</v>
      </c>
      <c r="O254" s="31">
        <f t="shared" si="17"/>
        <v>467403.68080000003</v>
      </c>
    </row>
    <row r="255" spans="1:15" ht="14.4">
      <c r="A255" s="4">
        <v>70102</v>
      </c>
      <c r="B255" s="11" t="s">
        <v>253</v>
      </c>
      <c r="C255" s="12">
        <v>292.35835777038244</v>
      </c>
      <c r="D255" s="12">
        <v>334.32220481599956</v>
      </c>
      <c r="E255" s="31">
        <f t="shared" si="18"/>
        <v>0.11694334310815298</v>
      </c>
      <c r="F255" s="31">
        <f t="shared" si="16"/>
        <v>0.13372888192639984</v>
      </c>
      <c r="G255" s="28"/>
      <c r="J255" s="4">
        <v>70102</v>
      </c>
      <c r="K255" s="11" t="s">
        <v>253</v>
      </c>
      <c r="L255" s="3">
        <v>21231941.016358484</v>
      </c>
      <c r="M255" s="3">
        <v>35639750</v>
      </c>
      <c r="N255" s="31">
        <f t="shared" si="19"/>
        <v>8492.776406543393</v>
      </c>
      <c r="O255" s="31">
        <f t="shared" si="17"/>
        <v>14255.900000000001</v>
      </c>
    </row>
    <row r="256" spans="1:15" ht="14.4">
      <c r="A256" s="4">
        <v>70103</v>
      </c>
      <c r="B256" s="11" t="s">
        <v>254</v>
      </c>
      <c r="C256" s="12">
        <v>944.11428556474232</v>
      </c>
      <c r="D256" s="12">
        <v>1435.3750756724035</v>
      </c>
      <c r="E256" s="31">
        <f t="shared" si="18"/>
        <v>0.37764571422589693</v>
      </c>
      <c r="F256" s="31">
        <f t="shared" si="16"/>
        <v>0.57415003026896139</v>
      </c>
      <c r="G256" s="28"/>
      <c r="J256" s="4">
        <v>70103</v>
      </c>
      <c r="K256" s="11" t="s">
        <v>254</v>
      </c>
      <c r="L256" s="3">
        <v>16918527.997320183</v>
      </c>
      <c r="M256" s="3">
        <v>33194484</v>
      </c>
      <c r="N256" s="31">
        <f t="shared" si="19"/>
        <v>6767.4111989280736</v>
      </c>
      <c r="O256" s="31">
        <f t="shared" si="17"/>
        <v>13277.793600000001</v>
      </c>
    </row>
    <row r="257" spans="1:15" ht="14.4">
      <c r="A257" s="4">
        <v>70104</v>
      </c>
      <c r="B257" s="11" t="s">
        <v>255</v>
      </c>
      <c r="C257" s="12">
        <v>392.81209967436803</v>
      </c>
      <c r="D257" s="12">
        <v>444.65787336013972</v>
      </c>
      <c r="E257" s="31">
        <f t="shared" si="18"/>
        <v>0.15712483986974721</v>
      </c>
      <c r="F257" s="31">
        <f t="shared" si="16"/>
        <v>0.17786314934405589</v>
      </c>
      <c r="G257" s="28"/>
      <c r="J257" s="4">
        <v>70104</v>
      </c>
      <c r="K257" s="11" t="s">
        <v>255</v>
      </c>
      <c r="L257" s="3">
        <v>42724208.02108264</v>
      </c>
      <c r="M257" s="3">
        <v>65687529</v>
      </c>
      <c r="N257" s="31">
        <f t="shared" si="19"/>
        <v>17089.683208433056</v>
      </c>
      <c r="O257" s="31">
        <f t="shared" si="17"/>
        <v>26275.011600000002</v>
      </c>
    </row>
    <row r="258" spans="1:15" ht="14.4">
      <c r="A258" s="4">
        <v>70105</v>
      </c>
      <c r="B258" s="11" t="s">
        <v>256</v>
      </c>
      <c r="C258" s="12">
        <v>280.31565589116917</v>
      </c>
      <c r="D258" s="12">
        <v>347.66145393827316</v>
      </c>
      <c r="E258" s="31">
        <f t="shared" si="18"/>
        <v>0.11212626235646768</v>
      </c>
      <c r="F258" s="31">
        <f t="shared" ref="F258:F321" si="20">D258*$I$6</f>
        <v>0.13906458157530927</v>
      </c>
      <c r="G258" s="28"/>
      <c r="J258" s="4">
        <v>70105</v>
      </c>
      <c r="K258" s="11" t="s">
        <v>256</v>
      </c>
      <c r="L258" s="3">
        <v>14483068.992929038</v>
      </c>
      <c r="M258" s="3">
        <v>19363700</v>
      </c>
      <c r="N258" s="31">
        <f t="shared" si="19"/>
        <v>5793.2275971716153</v>
      </c>
      <c r="O258" s="31">
        <f t="shared" ref="O258:O321" si="21">M258*$I$6</f>
        <v>7745.4800000000005</v>
      </c>
    </row>
    <row r="259" spans="1:15" ht="14.4">
      <c r="A259" s="4">
        <v>70201</v>
      </c>
      <c r="B259" s="11" t="s">
        <v>257</v>
      </c>
      <c r="C259" s="12">
        <v>396.85665325967176</v>
      </c>
      <c r="D259" s="12">
        <v>491.74941156246695</v>
      </c>
      <c r="E259" s="31">
        <f t="shared" ref="E259:E322" si="22">C259*$I$6</f>
        <v>0.15874266130386872</v>
      </c>
      <c r="F259" s="31">
        <f t="shared" si="20"/>
        <v>0.19669976462498678</v>
      </c>
      <c r="G259" s="28"/>
      <c r="J259" s="4">
        <v>70201</v>
      </c>
      <c r="K259" s="11" t="s">
        <v>257</v>
      </c>
      <c r="L259" s="3">
        <v>45514298.992391974</v>
      </c>
      <c r="M259" s="3">
        <v>74376115</v>
      </c>
      <c r="N259" s="31">
        <f t="shared" ref="N259:N322" si="23">L259*$I$6</f>
        <v>18205.719596956791</v>
      </c>
      <c r="O259" s="31">
        <f t="shared" si="21"/>
        <v>29750.446</v>
      </c>
    </row>
    <row r="260" spans="1:15" ht="14.4">
      <c r="A260" s="4">
        <v>70202</v>
      </c>
      <c r="B260" s="11" t="s">
        <v>258</v>
      </c>
      <c r="C260" s="12">
        <v>352.2654094292684</v>
      </c>
      <c r="D260" s="12">
        <v>443.22034692920766</v>
      </c>
      <c r="E260" s="31">
        <f t="shared" si="22"/>
        <v>0.14090616377170737</v>
      </c>
      <c r="F260" s="31">
        <f t="shared" si="20"/>
        <v>0.17728813877168306</v>
      </c>
      <c r="G260" s="28"/>
      <c r="J260" s="4">
        <v>70202</v>
      </c>
      <c r="K260" s="11" t="s">
        <v>258</v>
      </c>
      <c r="L260" s="3">
        <v>4183504.0023819916</v>
      </c>
      <c r="M260" s="3">
        <v>4726945</v>
      </c>
      <c r="N260" s="31">
        <f t="shared" si="23"/>
        <v>1673.4016009527968</v>
      </c>
      <c r="O260" s="31">
        <f t="shared" si="21"/>
        <v>1890.778</v>
      </c>
    </row>
    <row r="261" spans="1:15" ht="14.4">
      <c r="A261" s="4">
        <v>70301</v>
      </c>
      <c r="B261" s="11" t="s">
        <v>259</v>
      </c>
      <c r="C261" s="12">
        <v>176.9470981917195</v>
      </c>
      <c r="D261" s="12">
        <v>30.641089072023604</v>
      </c>
      <c r="E261" s="31">
        <f t="shared" si="22"/>
        <v>7.0778839276687808E-2</v>
      </c>
      <c r="F261" s="31">
        <f t="shared" si="20"/>
        <v>1.2256435628809442E-2</v>
      </c>
      <c r="G261" s="28"/>
      <c r="J261" s="4">
        <v>70301</v>
      </c>
      <c r="K261" s="11" t="s">
        <v>259</v>
      </c>
      <c r="L261" s="3">
        <v>10134821.996028926</v>
      </c>
      <c r="M261" s="3">
        <v>2056109</v>
      </c>
      <c r="N261" s="31">
        <f t="shared" si="23"/>
        <v>4053.9287984115708</v>
      </c>
      <c r="O261" s="31">
        <f t="shared" si="21"/>
        <v>822.44360000000006</v>
      </c>
    </row>
    <row r="262" spans="1:15" ht="14.4">
      <c r="A262" s="4">
        <v>70302</v>
      </c>
      <c r="B262" s="11" t="s">
        <v>260</v>
      </c>
      <c r="C262" s="12">
        <v>144.02739290343214</v>
      </c>
      <c r="D262" s="12">
        <v>40.124548854911737</v>
      </c>
      <c r="E262" s="31">
        <f t="shared" si="22"/>
        <v>5.7610957161372864E-2</v>
      </c>
      <c r="F262" s="31">
        <f t="shared" si="20"/>
        <v>1.6049819541964695E-2</v>
      </c>
      <c r="G262" s="28"/>
      <c r="J262" s="4">
        <v>70302</v>
      </c>
      <c r="K262" s="11" t="s">
        <v>260</v>
      </c>
      <c r="L262" s="3">
        <v>1819209.9997632513</v>
      </c>
      <c r="M262" s="3">
        <v>611458</v>
      </c>
      <c r="N262" s="31">
        <f t="shared" si="23"/>
        <v>727.68399990530054</v>
      </c>
      <c r="O262" s="31">
        <f t="shared" si="21"/>
        <v>244.58320000000001</v>
      </c>
    </row>
    <row r="263" spans="1:15" ht="14.4">
      <c r="A263" s="4">
        <v>70303</v>
      </c>
      <c r="B263" s="11" t="s">
        <v>261</v>
      </c>
      <c r="C263" s="12">
        <v>137.58409084952621</v>
      </c>
      <c r="D263" s="12">
        <v>62.262384076000906</v>
      </c>
      <c r="E263" s="31">
        <f t="shared" si="22"/>
        <v>5.5033636339810482E-2</v>
      </c>
      <c r="F263" s="31">
        <f t="shared" si="20"/>
        <v>2.4904953630400364E-2</v>
      </c>
      <c r="G263" s="28"/>
      <c r="J263" s="4">
        <v>70303</v>
      </c>
      <c r="K263" s="11" t="s">
        <v>261</v>
      </c>
      <c r="L263" s="3">
        <v>968591.99958066456</v>
      </c>
      <c r="M263" s="3">
        <v>550524</v>
      </c>
      <c r="N263" s="31">
        <f t="shared" si="23"/>
        <v>387.43679983226582</v>
      </c>
      <c r="O263" s="31">
        <f t="shared" si="21"/>
        <v>220.20960000000002</v>
      </c>
    </row>
    <row r="264" spans="1:15" ht="14.4">
      <c r="A264" s="4">
        <v>70401</v>
      </c>
      <c r="B264" s="11" t="s">
        <v>262</v>
      </c>
      <c r="C264" s="12">
        <v>283.40636434844026</v>
      </c>
      <c r="D264" s="12">
        <v>366.47732766830268</v>
      </c>
      <c r="E264" s="31">
        <f t="shared" si="22"/>
        <v>0.11336254573937611</v>
      </c>
      <c r="F264" s="31">
        <f t="shared" si="20"/>
        <v>0.14659093106732107</v>
      </c>
      <c r="G264" s="28"/>
      <c r="J264" s="4">
        <v>70401</v>
      </c>
      <c r="K264" s="11" t="s">
        <v>262</v>
      </c>
      <c r="L264" s="3">
        <v>3722826.0020811111</v>
      </c>
      <c r="M264" s="3">
        <v>5002782</v>
      </c>
      <c r="N264" s="31">
        <f t="shared" si="23"/>
        <v>1489.1304008324446</v>
      </c>
      <c r="O264" s="31">
        <f t="shared" si="21"/>
        <v>2001.1128000000001</v>
      </c>
    </row>
    <row r="265" spans="1:15" ht="14.4">
      <c r="A265" s="4">
        <v>70402</v>
      </c>
      <c r="B265" s="11" t="s">
        <v>263</v>
      </c>
      <c r="C265" s="12">
        <v>257.10604312547241</v>
      </c>
      <c r="D265" s="12">
        <v>307.805722732552</v>
      </c>
      <c r="E265" s="31">
        <f t="shared" si="22"/>
        <v>0.10284241725018897</v>
      </c>
      <c r="F265" s="31">
        <f t="shared" si="20"/>
        <v>0.12312228909302081</v>
      </c>
      <c r="G265" s="28"/>
      <c r="J265" s="4">
        <v>70402</v>
      </c>
      <c r="K265" s="11" t="s">
        <v>263</v>
      </c>
      <c r="L265" s="3">
        <v>5067303.0039599361</v>
      </c>
      <c r="M265" s="3">
        <v>5830456</v>
      </c>
      <c r="N265" s="31">
        <f t="shared" si="23"/>
        <v>2026.9212015839746</v>
      </c>
      <c r="O265" s="31">
        <f t="shared" si="21"/>
        <v>2332.1824000000001</v>
      </c>
    </row>
    <row r="266" spans="1:15" ht="14.4">
      <c r="A266" s="4">
        <v>70403</v>
      </c>
      <c r="B266" s="11" t="s">
        <v>264</v>
      </c>
      <c r="C266" s="12">
        <v>254.40475721563354</v>
      </c>
      <c r="D266" s="12">
        <v>321.5908744852407</v>
      </c>
      <c r="E266" s="31">
        <f t="shared" si="22"/>
        <v>0.10176190288625342</v>
      </c>
      <c r="F266" s="31">
        <f t="shared" si="20"/>
        <v>0.1286363497940963</v>
      </c>
      <c r="G266" s="28"/>
      <c r="J266" s="4">
        <v>70403</v>
      </c>
      <c r="K266" s="11" t="s">
        <v>264</v>
      </c>
      <c r="L266" s="3">
        <v>13475819.989712108</v>
      </c>
      <c r="M266" s="3">
        <v>18586023</v>
      </c>
      <c r="N266" s="31">
        <f t="shared" si="23"/>
        <v>5390.3279958848434</v>
      </c>
      <c r="O266" s="31">
        <f t="shared" si="21"/>
        <v>7434.4092000000001</v>
      </c>
    </row>
    <row r="267" spans="1:15" ht="14.4">
      <c r="A267" s="4">
        <v>70404</v>
      </c>
      <c r="B267" s="11" t="s">
        <v>265</v>
      </c>
      <c r="C267" s="12">
        <v>283.29726023613972</v>
      </c>
      <c r="D267" s="12">
        <v>322.5706862745098</v>
      </c>
      <c r="E267" s="31">
        <f t="shared" si="22"/>
        <v>0.1133189040944559</v>
      </c>
      <c r="F267" s="31">
        <f t="shared" si="20"/>
        <v>0.12902827450980392</v>
      </c>
      <c r="G267" s="28"/>
      <c r="J267" s="4">
        <v>70404</v>
      </c>
      <c r="K267" s="11" t="s">
        <v>265</v>
      </c>
      <c r="L267" s="3">
        <v>2698972.9982697032</v>
      </c>
      <c r="M267" s="3">
        <v>3290221</v>
      </c>
      <c r="N267" s="31">
        <f t="shared" si="23"/>
        <v>1079.5891993078812</v>
      </c>
      <c r="O267" s="31">
        <f t="shared" si="21"/>
        <v>1316.0884000000001</v>
      </c>
    </row>
    <row r="268" spans="1:15" ht="14.4">
      <c r="A268" s="4">
        <v>70501</v>
      </c>
      <c r="B268" s="11" t="s">
        <v>266</v>
      </c>
      <c r="C268" s="12">
        <v>185.36840829698409</v>
      </c>
      <c r="D268" s="12">
        <v>84.829770098110998</v>
      </c>
      <c r="E268" s="31">
        <f t="shared" si="22"/>
        <v>7.4147363318793638E-2</v>
      </c>
      <c r="F268" s="31">
        <f t="shared" si="20"/>
        <v>3.3931908039244403E-2</v>
      </c>
      <c r="G268" s="28"/>
      <c r="J268" s="4">
        <v>70501</v>
      </c>
      <c r="K268" s="11" t="s">
        <v>266</v>
      </c>
      <c r="L268" s="3">
        <v>6105850.0008943584</v>
      </c>
      <c r="M268" s="3">
        <v>3475815</v>
      </c>
      <c r="N268" s="31">
        <f t="shared" si="23"/>
        <v>2442.3400003577435</v>
      </c>
      <c r="O268" s="31">
        <f t="shared" si="21"/>
        <v>1390.326</v>
      </c>
    </row>
    <row r="269" spans="1:15" ht="14.4">
      <c r="A269" s="4">
        <v>70502</v>
      </c>
      <c r="B269" s="11" t="s">
        <v>267</v>
      </c>
      <c r="C269" s="12">
        <v>285.46600945359899</v>
      </c>
      <c r="D269" s="12">
        <v>369.81025782181854</v>
      </c>
      <c r="E269" s="31">
        <f t="shared" si="22"/>
        <v>0.1141864037814396</v>
      </c>
      <c r="F269" s="31">
        <f t="shared" si="20"/>
        <v>0.14792410312872742</v>
      </c>
      <c r="G269" s="28"/>
      <c r="J269" s="4">
        <v>70502</v>
      </c>
      <c r="K269" s="11" t="s">
        <v>267</v>
      </c>
      <c r="L269" s="3">
        <v>12391794.004371278</v>
      </c>
      <c r="M269" s="3">
        <v>20152810</v>
      </c>
      <c r="N269" s="31">
        <f t="shared" si="23"/>
        <v>4956.7176017485117</v>
      </c>
      <c r="O269" s="31">
        <f t="shared" si="21"/>
        <v>8061.1240000000007</v>
      </c>
    </row>
    <row r="270" spans="1:15" ht="14.4">
      <c r="A270" s="4">
        <v>70503</v>
      </c>
      <c r="B270" s="11" t="s">
        <v>268</v>
      </c>
      <c r="C270" s="12">
        <v>266.25362670192345</v>
      </c>
      <c r="D270" s="12">
        <v>42.754836646591698</v>
      </c>
      <c r="E270" s="31">
        <f t="shared" si="22"/>
        <v>0.10650145068076938</v>
      </c>
      <c r="F270" s="31">
        <f t="shared" si="20"/>
        <v>1.7101934658636679E-2</v>
      </c>
      <c r="G270" s="28"/>
      <c r="J270" s="4">
        <v>70503</v>
      </c>
      <c r="K270" s="11" t="s">
        <v>268</v>
      </c>
      <c r="L270" s="3">
        <v>4441643.0006414866</v>
      </c>
      <c r="M270" s="3">
        <v>802209</v>
      </c>
      <c r="N270" s="31">
        <f t="shared" si="23"/>
        <v>1776.6572002565947</v>
      </c>
      <c r="O270" s="31">
        <f t="shared" si="21"/>
        <v>320.8836</v>
      </c>
    </row>
    <row r="271" spans="1:15" ht="14.4">
      <c r="A271" s="4">
        <v>70601</v>
      </c>
      <c r="B271" s="11" t="s">
        <v>269</v>
      </c>
      <c r="C271" s="12">
        <v>414.32901538432583</v>
      </c>
      <c r="D271" s="12">
        <v>467.13122499156344</v>
      </c>
      <c r="E271" s="31">
        <f t="shared" si="22"/>
        <v>0.16573160615373034</v>
      </c>
      <c r="F271" s="31">
        <f t="shared" si="20"/>
        <v>0.18685248999662538</v>
      </c>
      <c r="G271" s="28"/>
      <c r="J271" s="4">
        <v>70601</v>
      </c>
      <c r="K271" s="11" t="s">
        <v>269</v>
      </c>
      <c r="L271" s="3">
        <v>7805129.9918099297</v>
      </c>
      <c r="M271" s="3">
        <v>9689703</v>
      </c>
      <c r="N271" s="31">
        <f t="shared" si="23"/>
        <v>3122.051996723972</v>
      </c>
      <c r="O271" s="31">
        <f t="shared" si="21"/>
        <v>3875.8812000000003</v>
      </c>
    </row>
    <row r="272" spans="1:15" ht="14.4">
      <c r="A272" s="4">
        <v>70602</v>
      </c>
      <c r="B272" s="11" t="s">
        <v>270</v>
      </c>
      <c r="C272" s="12">
        <v>195.10892578025479</v>
      </c>
      <c r="D272" s="12">
        <v>266.48436024223565</v>
      </c>
      <c r="E272" s="31">
        <f t="shared" si="22"/>
        <v>7.804357031210192E-2</v>
      </c>
      <c r="F272" s="31">
        <f t="shared" si="20"/>
        <v>0.10659374409689426</v>
      </c>
      <c r="G272" s="28"/>
      <c r="J272" s="4">
        <v>70602</v>
      </c>
      <c r="K272" s="11" t="s">
        <v>270</v>
      </c>
      <c r="L272" s="3">
        <v>3670194.0028523728</v>
      </c>
      <c r="M272" s="3">
        <v>4796452</v>
      </c>
      <c r="N272" s="31">
        <f t="shared" si="23"/>
        <v>1468.0776011409491</v>
      </c>
      <c r="O272" s="31">
        <f t="shared" si="21"/>
        <v>1918.5808000000002</v>
      </c>
    </row>
    <row r="273" spans="1:15" ht="14.4">
      <c r="A273" s="4">
        <v>70603</v>
      </c>
      <c r="B273" s="11" t="s">
        <v>271</v>
      </c>
      <c r="C273" s="12">
        <v>317.14252641590076</v>
      </c>
      <c r="D273" s="12">
        <v>366.36524055268853</v>
      </c>
      <c r="E273" s="31">
        <f t="shared" si="22"/>
        <v>0.12685701056636031</v>
      </c>
      <c r="F273" s="31">
        <f t="shared" si="20"/>
        <v>0.14654609622107542</v>
      </c>
      <c r="G273" s="28"/>
      <c r="J273" s="4">
        <v>70603</v>
      </c>
      <c r="K273" s="11" t="s">
        <v>271</v>
      </c>
      <c r="L273" s="3">
        <v>1918077.9997633677</v>
      </c>
      <c r="M273" s="3">
        <v>2200756</v>
      </c>
      <c r="N273" s="31">
        <f t="shared" si="23"/>
        <v>767.23119990534713</v>
      </c>
      <c r="O273" s="31">
        <f t="shared" si="21"/>
        <v>880.30240000000003</v>
      </c>
    </row>
    <row r="274" spans="1:15" ht="14.4">
      <c r="A274" s="4">
        <v>70701</v>
      </c>
      <c r="B274" s="11" t="s">
        <v>272</v>
      </c>
      <c r="C274" s="12">
        <v>136.60928217620483</v>
      </c>
      <c r="D274" s="12">
        <v>19.622603430877902</v>
      </c>
      <c r="E274" s="31">
        <f t="shared" si="22"/>
        <v>5.4643712870481934E-2</v>
      </c>
      <c r="F274" s="31">
        <f t="shared" si="20"/>
        <v>7.8490413723511614E-3</v>
      </c>
      <c r="G274" s="28"/>
      <c r="J274" s="4">
        <v>70701</v>
      </c>
      <c r="K274" s="11" t="s">
        <v>272</v>
      </c>
      <c r="L274" s="3">
        <v>759410.99961752258</v>
      </c>
      <c r="M274" s="3">
        <v>116676</v>
      </c>
      <c r="N274" s="31">
        <f t="shared" si="23"/>
        <v>303.76439984700903</v>
      </c>
      <c r="O274" s="31">
        <f t="shared" si="21"/>
        <v>46.670400000000001</v>
      </c>
    </row>
    <row r="275" spans="1:15" ht="14.4">
      <c r="A275" s="4">
        <v>70702</v>
      </c>
      <c r="B275" s="11" t="s">
        <v>273</v>
      </c>
      <c r="C275" s="12">
        <v>85.269320616825979</v>
      </c>
      <c r="D275" s="12">
        <v>69.84510671525247</v>
      </c>
      <c r="E275" s="31">
        <f t="shared" si="22"/>
        <v>3.410772824673039E-2</v>
      </c>
      <c r="F275" s="31">
        <f t="shared" si="20"/>
        <v>2.7938042686100988E-2</v>
      </c>
      <c r="G275" s="28"/>
      <c r="J275" s="4">
        <v>70702</v>
      </c>
      <c r="K275" s="11" t="s">
        <v>273</v>
      </c>
      <c r="L275" s="3">
        <v>2921668.0016149255</v>
      </c>
      <c r="M275" s="3">
        <v>2683449</v>
      </c>
      <c r="N275" s="31">
        <f t="shared" si="23"/>
        <v>1168.6672006459703</v>
      </c>
      <c r="O275" s="31">
        <f t="shared" si="21"/>
        <v>1073.3796</v>
      </c>
    </row>
    <row r="276" spans="1:15" ht="14.4">
      <c r="A276" s="4">
        <v>70703</v>
      </c>
      <c r="B276" s="11" t="s">
        <v>274</v>
      </c>
      <c r="C276" s="12">
        <v>188.16242538840967</v>
      </c>
      <c r="D276" s="12">
        <v>244.64964655198568</v>
      </c>
      <c r="E276" s="31">
        <f t="shared" si="22"/>
        <v>7.5264970155363875E-2</v>
      </c>
      <c r="F276" s="31">
        <f t="shared" si="20"/>
        <v>9.7859858620794271E-2</v>
      </c>
      <c r="G276" s="28"/>
      <c r="J276" s="4">
        <v>70703</v>
      </c>
      <c r="K276" s="11" t="s">
        <v>274</v>
      </c>
      <c r="L276" s="3">
        <v>5383326.9903624011</v>
      </c>
      <c r="M276" s="3">
        <v>8063897</v>
      </c>
      <c r="N276" s="31">
        <f t="shared" si="23"/>
        <v>2153.3307961449605</v>
      </c>
      <c r="O276" s="31">
        <f t="shared" si="21"/>
        <v>3225.5588000000002</v>
      </c>
    </row>
    <row r="277" spans="1:15" ht="14.4">
      <c r="A277" s="4">
        <v>70704</v>
      </c>
      <c r="B277" s="11" t="s">
        <v>275</v>
      </c>
      <c r="C277" s="12">
        <v>102.27497090185655</v>
      </c>
      <c r="D277" s="12">
        <v>26.320149953139644</v>
      </c>
      <c r="E277" s="31">
        <f t="shared" si="22"/>
        <v>4.0909988360742625E-2</v>
      </c>
      <c r="F277" s="31">
        <f t="shared" si="20"/>
        <v>1.0528059981255859E-2</v>
      </c>
      <c r="G277" s="28"/>
      <c r="J277" s="4">
        <v>70704</v>
      </c>
      <c r="K277" s="11" t="s">
        <v>275</v>
      </c>
      <c r="L277" s="3">
        <v>526307.00026095379</v>
      </c>
      <c r="M277" s="3">
        <v>140418</v>
      </c>
      <c r="N277" s="31">
        <f t="shared" si="23"/>
        <v>210.52280010438153</v>
      </c>
      <c r="O277" s="31">
        <f t="shared" si="21"/>
        <v>56.167200000000001</v>
      </c>
    </row>
    <row r="278" spans="1:15" ht="14.4">
      <c r="A278" s="4">
        <v>70705</v>
      </c>
      <c r="B278" s="11" t="s">
        <v>276</v>
      </c>
      <c r="C278" s="12">
        <v>77.16574198198154</v>
      </c>
      <c r="D278" s="12">
        <v>15.377163110709569</v>
      </c>
      <c r="E278" s="31">
        <f t="shared" si="22"/>
        <v>3.0866296792792618E-2</v>
      </c>
      <c r="F278" s="31">
        <f t="shared" si="20"/>
        <v>6.1508652442838277E-3</v>
      </c>
      <c r="G278" s="28"/>
      <c r="J278" s="4">
        <v>70705</v>
      </c>
      <c r="K278" s="11" t="s">
        <v>276</v>
      </c>
      <c r="L278" s="3">
        <v>1001456.9994421564</v>
      </c>
      <c r="M278" s="3">
        <v>221262</v>
      </c>
      <c r="N278" s="31">
        <f t="shared" si="23"/>
        <v>400.5827997768626</v>
      </c>
      <c r="O278" s="31">
        <f t="shared" si="21"/>
        <v>88.504800000000003</v>
      </c>
    </row>
    <row r="279" spans="1:15" ht="14.4">
      <c r="A279" s="4">
        <v>70706</v>
      </c>
      <c r="B279" s="11" t="s">
        <v>277</v>
      </c>
      <c r="C279" s="12">
        <v>380.36365563944395</v>
      </c>
      <c r="D279" s="12">
        <v>70.227536007433798</v>
      </c>
      <c r="E279" s="31">
        <f t="shared" si="22"/>
        <v>0.15214546225577757</v>
      </c>
      <c r="F279" s="31">
        <f t="shared" si="20"/>
        <v>2.809101440297352E-2</v>
      </c>
      <c r="G279" s="28"/>
      <c r="J279" s="4">
        <v>70706</v>
      </c>
      <c r="K279" s="11" t="s">
        <v>277</v>
      </c>
      <c r="L279" s="3">
        <v>12673717.005906273</v>
      </c>
      <c r="M279" s="3">
        <v>2267296</v>
      </c>
      <c r="N279" s="31">
        <f t="shared" si="23"/>
        <v>5069.4868023625095</v>
      </c>
      <c r="O279" s="31">
        <f t="shared" si="21"/>
        <v>906.91840000000002</v>
      </c>
    </row>
    <row r="280" spans="1:15" ht="14.4">
      <c r="A280" s="4">
        <v>70707</v>
      </c>
      <c r="B280" s="11" t="s">
        <v>278</v>
      </c>
      <c r="C280" s="12">
        <v>183.50551161555686</v>
      </c>
      <c r="D280" s="12">
        <v>48.478439059158944</v>
      </c>
      <c r="E280" s="31">
        <f t="shared" si="22"/>
        <v>7.3402204646222741E-2</v>
      </c>
      <c r="F280" s="31">
        <f t="shared" si="20"/>
        <v>1.9391375623663578E-2</v>
      </c>
      <c r="G280" s="28"/>
      <c r="J280" s="4">
        <v>70707</v>
      </c>
      <c r="K280" s="11" t="s">
        <v>278</v>
      </c>
      <c r="L280" s="3">
        <v>965606.00212106016</v>
      </c>
      <c r="M280" s="3">
        <v>272061</v>
      </c>
      <c r="N280" s="31">
        <f t="shared" si="23"/>
        <v>386.2424008484241</v>
      </c>
      <c r="O280" s="31">
        <f t="shared" si="21"/>
        <v>108.82440000000001</v>
      </c>
    </row>
    <row r="281" spans="1:15" ht="14.4">
      <c r="A281" s="4">
        <v>70801</v>
      </c>
      <c r="B281" s="11" t="s">
        <v>279</v>
      </c>
      <c r="C281" s="12">
        <v>202.29642337053866</v>
      </c>
      <c r="D281" s="12">
        <v>39.489709548379615</v>
      </c>
      <c r="E281" s="31">
        <f t="shared" si="22"/>
        <v>8.0918569348215466E-2</v>
      </c>
      <c r="F281" s="31">
        <f t="shared" si="20"/>
        <v>1.5795883819351847E-2</v>
      </c>
      <c r="G281" s="28"/>
      <c r="J281" s="4">
        <v>70801</v>
      </c>
      <c r="K281" s="11" t="s">
        <v>279</v>
      </c>
      <c r="L281" s="3">
        <v>3483949.0032874169</v>
      </c>
      <c r="M281" s="3">
        <v>681158</v>
      </c>
      <c r="N281" s="31">
        <f t="shared" si="23"/>
        <v>1393.5796013149668</v>
      </c>
      <c r="O281" s="31">
        <f t="shared" si="21"/>
        <v>272.46320000000003</v>
      </c>
    </row>
    <row r="282" spans="1:15" ht="14.4">
      <c r="A282" s="4">
        <v>70802</v>
      </c>
      <c r="B282" s="11" t="s">
        <v>280</v>
      </c>
      <c r="C282" s="12">
        <v>146.52895970337084</v>
      </c>
      <c r="D282" s="12">
        <v>15.397202204323866</v>
      </c>
      <c r="E282" s="31">
        <f t="shared" si="22"/>
        <v>5.8611583881348343E-2</v>
      </c>
      <c r="F282" s="31">
        <f t="shared" si="20"/>
        <v>6.1588808817295464E-3</v>
      </c>
      <c r="G282" s="28"/>
      <c r="J282" s="4">
        <v>70802</v>
      </c>
      <c r="K282" s="11" t="s">
        <v>280</v>
      </c>
      <c r="L282" s="3">
        <v>323829.00094444957</v>
      </c>
      <c r="M282" s="3">
        <v>36322</v>
      </c>
      <c r="N282" s="31">
        <f t="shared" si="23"/>
        <v>129.53160037777982</v>
      </c>
      <c r="O282" s="31">
        <f t="shared" si="21"/>
        <v>14.5288</v>
      </c>
    </row>
    <row r="283" spans="1:15" ht="14.4">
      <c r="A283" s="4">
        <v>70803</v>
      </c>
      <c r="B283" s="11" t="s">
        <v>281</v>
      </c>
      <c r="C283" s="12">
        <v>91.945965221697222</v>
      </c>
      <c r="D283" s="12">
        <v>20.267812388113139</v>
      </c>
      <c r="E283" s="31">
        <f t="shared" si="22"/>
        <v>3.6778386088678894E-2</v>
      </c>
      <c r="F283" s="31">
        <f t="shared" si="20"/>
        <v>8.1071249552452564E-3</v>
      </c>
      <c r="G283" s="28"/>
      <c r="J283" s="4">
        <v>70803</v>
      </c>
      <c r="K283" s="11" t="s">
        <v>281</v>
      </c>
      <c r="L283" s="3">
        <v>255241.99945543148</v>
      </c>
      <c r="M283" s="3">
        <v>56608</v>
      </c>
      <c r="N283" s="31">
        <f t="shared" si="23"/>
        <v>102.0967997821726</v>
      </c>
      <c r="O283" s="31">
        <f t="shared" si="21"/>
        <v>22.6432</v>
      </c>
    </row>
    <row r="284" spans="1:15" ht="14.4">
      <c r="A284" s="4">
        <v>70804</v>
      </c>
      <c r="B284" s="11" t="s">
        <v>282</v>
      </c>
      <c r="C284" s="12">
        <v>89.441002284847031</v>
      </c>
      <c r="D284" s="12">
        <v>11.803986710963455</v>
      </c>
      <c r="E284" s="31">
        <f t="shared" si="22"/>
        <v>3.5776400913938813E-2</v>
      </c>
      <c r="F284" s="31">
        <f t="shared" si="20"/>
        <v>4.7215946843853825E-3</v>
      </c>
      <c r="G284" s="28"/>
      <c r="J284" s="4">
        <v>70804</v>
      </c>
      <c r="K284" s="11" t="s">
        <v>282</v>
      </c>
      <c r="L284" s="3">
        <v>196323.00001523923</v>
      </c>
      <c r="M284" s="3">
        <v>21318</v>
      </c>
      <c r="N284" s="31">
        <f t="shared" si="23"/>
        <v>78.529200006095692</v>
      </c>
      <c r="O284" s="31">
        <f t="shared" si="21"/>
        <v>8.5272000000000006</v>
      </c>
    </row>
    <row r="285" spans="1:15" ht="14.4">
      <c r="A285" s="4">
        <v>70805</v>
      </c>
      <c r="B285" s="11" t="s">
        <v>283</v>
      </c>
      <c r="C285" s="12"/>
      <c r="D285" s="12"/>
      <c r="E285" s="31">
        <f t="shared" si="22"/>
        <v>0</v>
      </c>
      <c r="F285" s="31">
        <f t="shared" si="20"/>
        <v>0</v>
      </c>
      <c r="G285" s="28"/>
      <c r="J285" s="4">
        <v>70805</v>
      </c>
      <c r="K285" s="11" t="s">
        <v>283</v>
      </c>
      <c r="L285" s="3"/>
      <c r="M285" s="3"/>
      <c r="N285" s="31">
        <f t="shared" si="23"/>
        <v>0</v>
      </c>
      <c r="O285" s="31">
        <f t="shared" si="21"/>
        <v>0</v>
      </c>
    </row>
    <row r="286" spans="1:15" ht="14.4">
      <c r="A286" s="4">
        <v>70901</v>
      </c>
      <c r="B286" s="11" t="s">
        <v>284</v>
      </c>
      <c r="C286" s="12">
        <v>248.19269877346892</v>
      </c>
      <c r="D286" s="12">
        <v>56.486701004812971</v>
      </c>
      <c r="E286" s="31">
        <f t="shared" si="22"/>
        <v>9.9277079509387578E-2</v>
      </c>
      <c r="F286" s="31">
        <f t="shared" si="20"/>
        <v>2.259468040192519E-2</v>
      </c>
      <c r="G286" s="28"/>
      <c r="J286" s="4">
        <v>70901</v>
      </c>
      <c r="K286" s="11" t="s">
        <v>284</v>
      </c>
      <c r="L286" s="3">
        <v>2712498.0048952419</v>
      </c>
      <c r="M286" s="3">
        <v>668972</v>
      </c>
      <c r="N286" s="31">
        <f t="shared" si="23"/>
        <v>1084.9992019580968</v>
      </c>
      <c r="O286" s="31">
        <f t="shared" si="21"/>
        <v>267.58879999999999</v>
      </c>
    </row>
    <row r="287" spans="1:15" ht="14.4">
      <c r="A287" s="4">
        <v>70902</v>
      </c>
      <c r="B287" s="11" t="s">
        <v>285</v>
      </c>
      <c r="C287" s="12">
        <v>157.02371049928448</v>
      </c>
      <c r="D287" s="12">
        <v>19.760008254230293</v>
      </c>
      <c r="E287" s="31">
        <f t="shared" si="22"/>
        <v>6.28094841997138E-2</v>
      </c>
      <c r="F287" s="31">
        <f t="shared" si="20"/>
        <v>7.9040033016921172E-3</v>
      </c>
      <c r="G287" s="28"/>
      <c r="J287" s="4">
        <v>70902</v>
      </c>
      <c r="K287" s="11" t="s">
        <v>285</v>
      </c>
      <c r="L287" s="3">
        <v>1470213.0014048005</v>
      </c>
      <c r="M287" s="3">
        <v>191514</v>
      </c>
      <c r="N287" s="31">
        <f t="shared" si="23"/>
        <v>588.08520056192026</v>
      </c>
      <c r="O287" s="31">
        <f t="shared" si="21"/>
        <v>76.60560000000001</v>
      </c>
    </row>
    <row r="288" spans="1:15" ht="14.4">
      <c r="A288" s="4">
        <v>70903</v>
      </c>
      <c r="B288" s="11" t="s">
        <v>286</v>
      </c>
      <c r="C288" s="12">
        <v>206.21187655289521</v>
      </c>
      <c r="D288" s="12">
        <v>18.249077345897135</v>
      </c>
      <c r="E288" s="31">
        <f t="shared" si="22"/>
        <v>8.2484750621158093E-2</v>
      </c>
      <c r="F288" s="31">
        <f t="shared" si="20"/>
        <v>7.2996309383588538E-3</v>
      </c>
      <c r="G288" s="28"/>
      <c r="J288" s="4">
        <v>70903</v>
      </c>
      <c r="K288" s="11" t="s">
        <v>286</v>
      </c>
      <c r="L288" s="3">
        <v>2274516.9983784342</v>
      </c>
      <c r="M288" s="3">
        <v>232402</v>
      </c>
      <c r="N288" s="31">
        <f t="shared" si="23"/>
        <v>909.80679935137368</v>
      </c>
      <c r="O288" s="31">
        <f t="shared" si="21"/>
        <v>92.960800000000006</v>
      </c>
    </row>
    <row r="289" spans="1:15" ht="14.4">
      <c r="A289" s="4">
        <v>70904</v>
      </c>
      <c r="B289" s="11" t="s">
        <v>287</v>
      </c>
      <c r="C289" s="12">
        <v>68.556033034030932</v>
      </c>
      <c r="D289" s="12">
        <v>14.169151004536618</v>
      </c>
      <c r="E289" s="31">
        <f t="shared" si="22"/>
        <v>2.7422413213612374E-2</v>
      </c>
      <c r="F289" s="31">
        <f t="shared" si="20"/>
        <v>5.6676604018146472E-3</v>
      </c>
      <c r="G289" s="28"/>
      <c r="J289" s="4">
        <v>70904</v>
      </c>
      <c r="K289" s="11" t="s">
        <v>287</v>
      </c>
      <c r="L289" s="3">
        <v>207381.99992794357</v>
      </c>
      <c r="M289" s="3">
        <v>43726</v>
      </c>
      <c r="N289" s="31">
        <f t="shared" si="23"/>
        <v>82.952799971177427</v>
      </c>
      <c r="O289" s="31">
        <f t="shared" si="21"/>
        <v>17.490400000000001</v>
      </c>
    </row>
    <row r="290" spans="1:15" ht="14.4">
      <c r="A290" s="4">
        <v>71001</v>
      </c>
      <c r="B290" s="11" t="s">
        <v>288</v>
      </c>
      <c r="C290" s="12">
        <v>432.24414812853803</v>
      </c>
      <c r="D290" s="12">
        <v>484.9620210267484</v>
      </c>
      <c r="E290" s="31">
        <f t="shared" si="22"/>
        <v>0.17289765925141523</v>
      </c>
      <c r="F290" s="31">
        <f t="shared" si="20"/>
        <v>0.19398480841069937</v>
      </c>
      <c r="G290" s="28"/>
      <c r="J290" s="4">
        <v>71001</v>
      </c>
      <c r="K290" s="11" t="s">
        <v>288</v>
      </c>
      <c r="L290" s="3">
        <v>49840775.988257334</v>
      </c>
      <c r="M290" s="3">
        <v>61534891</v>
      </c>
      <c r="N290" s="31">
        <f t="shared" si="23"/>
        <v>19936.310395302935</v>
      </c>
      <c r="O290" s="31">
        <f t="shared" si="21"/>
        <v>24613.956400000003</v>
      </c>
    </row>
    <row r="291" spans="1:15" ht="14.4">
      <c r="A291" s="4">
        <v>71002</v>
      </c>
      <c r="B291" s="11" t="s">
        <v>289</v>
      </c>
      <c r="C291" s="12">
        <v>224.80479810865623</v>
      </c>
      <c r="D291" s="12">
        <v>246.15501867694903</v>
      </c>
      <c r="E291" s="31">
        <f t="shared" si="22"/>
        <v>8.9921919243462489E-2</v>
      </c>
      <c r="F291" s="31">
        <f t="shared" si="20"/>
        <v>9.8462007470779614E-2</v>
      </c>
      <c r="G291" s="28"/>
      <c r="J291" s="4">
        <v>71002</v>
      </c>
      <c r="K291" s="11" t="s">
        <v>289</v>
      </c>
      <c r="L291" s="3">
        <v>3373195.9956203867</v>
      </c>
      <c r="M291" s="3">
        <v>4085681</v>
      </c>
      <c r="N291" s="31">
        <f t="shared" si="23"/>
        <v>1349.2783982481546</v>
      </c>
      <c r="O291" s="31">
        <f t="shared" si="21"/>
        <v>1634.2724000000001</v>
      </c>
    </row>
    <row r="292" spans="1:15" ht="14.4">
      <c r="A292" s="4">
        <v>71003</v>
      </c>
      <c r="B292" s="11" t="s">
        <v>290</v>
      </c>
      <c r="C292" s="12">
        <v>305.70229271085441</v>
      </c>
      <c r="D292" s="12">
        <v>352.40843790566856</v>
      </c>
      <c r="E292" s="31">
        <f t="shared" si="22"/>
        <v>0.12228091708434177</v>
      </c>
      <c r="F292" s="31">
        <f t="shared" si="20"/>
        <v>0.14096337516226742</v>
      </c>
      <c r="G292" s="28"/>
      <c r="J292" s="4">
        <v>71003</v>
      </c>
      <c r="K292" s="11" t="s">
        <v>290</v>
      </c>
      <c r="L292" s="3">
        <v>7093516.0000626659</v>
      </c>
      <c r="M292" s="3">
        <v>8144159</v>
      </c>
      <c r="N292" s="31">
        <f t="shared" si="23"/>
        <v>2837.4064000250664</v>
      </c>
      <c r="O292" s="31">
        <f t="shared" si="21"/>
        <v>3257.6636000000003</v>
      </c>
    </row>
    <row r="293" spans="1:15" ht="14.4">
      <c r="A293" s="4">
        <v>71004</v>
      </c>
      <c r="B293" s="11" t="s">
        <v>291</v>
      </c>
      <c r="C293" s="12">
        <v>222.55853647766472</v>
      </c>
      <c r="D293" s="12">
        <v>279.0397672826831</v>
      </c>
      <c r="E293" s="31">
        <f t="shared" si="22"/>
        <v>8.9023414591065886E-2</v>
      </c>
      <c r="F293" s="31">
        <f t="shared" si="20"/>
        <v>0.11161590691307324</v>
      </c>
      <c r="G293" s="28"/>
      <c r="J293" s="4">
        <v>71004</v>
      </c>
      <c r="K293" s="11" t="s">
        <v>291</v>
      </c>
      <c r="L293" s="3">
        <v>3326805.003268132</v>
      </c>
      <c r="M293" s="3">
        <v>4076771</v>
      </c>
      <c r="N293" s="31">
        <f t="shared" si="23"/>
        <v>1330.7220013072529</v>
      </c>
      <c r="O293" s="31">
        <f t="shared" si="21"/>
        <v>1630.7084</v>
      </c>
    </row>
    <row r="294" spans="1:15" ht="14.4">
      <c r="A294" s="4">
        <v>71005</v>
      </c>
      <c r="B294" s="11" t="s">
        <v>292</v>
      </c>
      <c r="C294" s="12">
        <v>219.01504222208752</v>
      </c>
      <c r="D294" s="12">
        <v>334.36521054702871</v>
      </c>
      <c r="E294" s="31">
        <f t="shared" si="22"/>
        <v>8.7606016888835014E-2</v>
      </c>
      <c r="F294" s="31">
        <f t="shared" si="20"/>
        <v>0.13374608421881148</v>
      </c>
      <c r="G294" s="28"/>
      <c r="J294" s="4">
        <v>71005</v>
      </c>
      <c r="K294" s="11" t="s">
        <v>292</v>
      </c>
      <c r="L294" s="3">
        <v>3902191.0072709331</v>
      </c>
      <c r="M294" s="3">
        <v>5097732</v>
      </c>
      <c r="N294" s="31">
        <f t="shared" si="23"/>
        <v>1560.8764029083734</v>
      </c>
      <c r="O294" s="31">
        <f t="shared" si="21"/>
        <v>2039.0928000000001</v>
      </c>
    </row>
    <row r="295" spans="1:15" ht="14.4">
      <c r="A295" s="4">
        <v>71101</v>
      </c>
      <c r="B295" s="11" t="s">
        <v>293</v>
      </c>
      <c r="C295" s="12">
        <v>167.50347765188576</v>
      </c>
      <c r="D295" s="12">
        <v>49.450660734444519</v>
      </c>
      <c r="E295" s="31">
        <f t="shared" si="22"/>
        <v>6.7001391060754312E-2</v>
      </c>
      <c r="F295" s="31">
        <f t="shared" si="20"/>
        <v>1.978026429377781E-2</v>
      </c>
      <c r="G295" s="28"/>
      <c r="J295" s="4">
        <v>71101</v>
      </c>
      <c r="K295" s="11" t="s">
        <v>293</v>
      </c>
      <c r="L295" s="3">
        <v>3781056.0010360172</v>
      </c>
      <c r="M295" s="3">
        <v>1489355</v>
      </c>
      <c r="N295" s="31">
        <f t="shared" si="23"/>
        <v>1512.4224004144069</v>
      </c>
      <c r="O295" s="31">
        <f t="shared" si="21"/>
        <v>595.74200000000008</v>
      </c>
    </row>
    <row r="296" spans="1:15" ht="14.4">
      <c r="A296" s="4">
        <v>71102</v>
      </c>
      <c r="B296" s="11" t="s">
        <v>294</v>
      </c>
      <c r="C296" s="12">
        <v>188.80687891538261</v>
      </c>
      <c r="D296" s="12">
        <v>33.205937667920473</v>
      </c>
      <c r="E296" s="31">
        <f t="shared" si="22"/>
        <v>7.5522751566153054E-2</v>
      </c>
      <c r="F296" s="31">
        <f t="shared" si="20"/>
        <v>1.328237506716819E-2</v>
      </c>
      <c r="G296" s="28"/>
      <c r="J296" s="4">
        <v>71102</v>
      </c>
      <c r="K296" s="11" t="s">
        <v>294</v>
      </c>
      <c r="L296" s="3">
        <v>2651415.000608718</v>
      </c>
      <c r="M296" s="3">
        <v>494370</v>
      </c>
      <c r="N296" s="31">
        <f t="shared" si="23"/>
        <v>1060.5660002434872</v>
      </c>
      <c r="O296" s="31">
        <f t="shared" si="21"/>
        <v>197.74800000000002</v>
      </c>
    </row>
    <row r="297" spans="1:15" ht="14.4">
      <c r="A297" s="4">
        <v>71103</v>
      </c>
      <c r="B297" s="11" t="s">
        <v>295</v>
      </c>
      <c r="C297" s="12">
        <v>263.21581622403716</v>
      </c>
      <c r="D297" s="12">
        <v>31.24680950708348</v>
      </c>
      <c r="E297" s="31">
        <f t="shared" si="22"/>
        <v>0.10528632648961486</v>
      </c>
      <c r="F297" s="31">
        <f t="shared" si="20"/>
        <v>1.2498723802833393E-2</v>
      </c>
      <c r="G297" s="28"/>
      <c r="J297" s="4">
        <v>71103</v>
      </c>
      <c r="K297" s="11" t="s">
        <v>295</v>
      </c>
      <c r="L297" s="3">
        <v>2063611.9991964512</v>
      </c>
      <c r="M297" s="3">
        <v>266879</v>
      </c>
      <c r="N297" s="31">
        <f t="shared" si="23"/>
        <v>825.44479967858047</v>
      </c>
      <c r="O297" s="31">
        <f t="shared" si="21"/>
        <v>106.75160000000001</v>
      </c>
    </row>
    <row r="298" spans="1:15" ht="14.4">
      <c r="A298" s="4">
        <v>71104</v>
      </c>
      <c r="B298" s="11" t="s">
        <v>296</v>
      </c>
      <c r="C298" s="12">
        <v>218.64119800330752</v>
      </c>
      <c r="D298" s="12">
        <v>35.538511211561158</v>
      </c>
      <c r="E298" s="31">
        <f t="shared" si="22"/>
        <v>8.7456479201323017E-2</v>
      </c>
      <c r="F298" s="31">
        <f t="shared" si="20"/>
        <v>1.4215404484624463E-2</v>
      </c>
      <c r="G298" s="28"/>
      <c r="J298" s="4">
        <v>71104</v>
      </c>
      <c r="K298" s="11" t="s">
        <v>296</v>
      </c>
      <c r="L298" s="3">
        <v>10184307.002994064</v>
      </c>
      <c r="M298" s="3">
        <v>1595999</v>
      </c>
      <c r="N298" s="31">
        <f t="shared" si="23"/>
        <v>4073.7228011976258</v>
      </c>
      <c r="O298" s="31">
        <f t="shared" si="21"/>
        <v>638.39960000000008</v>
      </c>
    </row>
    <row r="299" spans="1:15" ht="14.4">
      <c r="A299" s="4">
        <v>71105</v>
      </c>
      <c r="B299" s="11" t="s">
        <v>297</v>
      </c>
      <c r="C299" s="12">
        <v>109.9681775803034</v>
      </c>
      <c r="D299" s="12">
        <v>104.03959773727216</v>
      </c>
      <c r="E299" s="31">
        <f t="shared" si="22"/>
        <v>4.3987271032121363E-2</v>
      </c>
      <c r="F299" s="31">
        <f t="shared" si="20"/>
        <v>4.1615839094908867E-2</v>
      </c>
      <c r="G299" s="28"/>
      <c r="J299" s="4">
        <v>71105</v>
      </c>
      <c r="K299" s="11" t="s">
        <v>297</v>
      </c>
      <c r="L299" s="3">
        <v>708414.99997231457</v>
      </c>
      <c r="M299" s="3">
        <v>662108</v>
      </c>
      <c r="N299" s="31">
        <f t="shared" si="23"/>
        <v>283.36599998892586</v>
      </c>
      <c r="O299" s="31">
        <f t="shared" si="21"/>
        <v>264.84320000000002</v>
      </c>
    </row>
    <row r="300" spans="1:15" ht="14.4">
      <c r="A300" s="4">
        <v>71106</v>
      </c>
      <c r="B300" s="11" t="s">
        <v>298</v>
      </c>
      <c r="C300" s="12">
        <v>406.27333105887845</v>
      </c>
      <c r="D300" s="12"/>
      <c r="E300" s="31">
        <f t="shared" si="22"/>
        <v>0.16250933242355139</v>
      </c>
      <c r="F300" s="31">
        <f t="shared" si="20"/>
        <v>0</v>
      </c>
      <c r="G300" s="28"/>
      <c r="J300" s="4">
        <v>71106</v>
      </c>
      <c r="K300" s="11" t="s">
        <v>298</v>
      </c>
      <c r="L300" s="3">
        <v>9607958.0062114168</v>
      </c>
      <c r="M300" s="3"/>
      <c r="N300" s="31">
        <f t="shared" si="23"/>
        <v>3843.1832024845671</v>
      </c>
      <c r="O300" s="31">
        <f t="shared" si="21"/>
        <v>0</v>
      </c>
    </row>
    <row r="301" spans="1:15" ht="14.4">
      <c r="A301" s="4">
        <v>71201</v>
      </c>
      <c r="B301" s="11" t="s">
        <v>299</v>
      </c>
      <c r="C301" s="12">
        <v>220.61585311669666</v>
      </c>
      <c r="D301" s="12">
        <v>15.042138119391339</v>
      </c>
      <c r="E301" s="31">
        <f t="shared" si="22"/>
        <v>8.824634124667867E-2</v>
      </c>
      <c r="F301" s="31">
        <f t="shared" si="20"/>
        <v>6.0168552477565355E-3</v>
      </c>
      <c r="G301" s="28"/>
      <c r="J301" s="4">
        <v>71201</v>
      </c>
      <c r="K301" s="11" t="s">
        <v>299</v>
      </c>
      <c r="L301" s="3">
        <v>3259157.9980929596</v>
      </c>
      <c r="M301" s="3">
        <v>231318</v>
      </c>
      <c r="N301" s="31">
        <f t="shared" si="23"/>
        <v>1303.663199237184</v>
      </c>
      <c r="O301" s="31">
        <f t="shared" si="21"/>
        <v>92.527200000000008</v>
      </c>
    </row>
    <row r="302" spans="1:15" ht="14.4">
      <c r="A302" s="4">
        <v>71301</v>
      </c>
      <c r="B302" s="11" t="s">
        <v>300</v>
      </c>
      <c r="C302" s="12">
        <v>150.9664708950308</v>
      </c>
      <c r="D302" s="12">
        <v>18.783134632160511</v>
      </c>
      <c r="E302" s="31">
        <f t="shared" si="22"/>
        <v>6.0386588358012319E-2</v>
      </c>
      <c r="F302" s="31">
        <f t="shared" si="20"/>
        <v>7.5132538528642047E-3</v>
      </c>
      <c r="G302" s="28"/>
      <c r="J302" s="4">
        <v>71301</v>
      </c>
      <c r="K302" s="11" t="s">
        <v>300</v>
      </c>
      <c r="L302" s="3">
        <v>2467396.0003083833</v>
      </c>
      <c r="M302" s="3">
        <v>322976</v>
      </c>
      <c r="N302" s="31">
        <f t="shared" si="23"/>
        <v>986.95840012335339</v>
      </c>
      <c r="O302" s="31">
        <f t="shared" si="21"/>
        <v>129.19040000000001</v>
      </c>
    </row>
    <row r="303" spans="1:15" ht="14.4">
      <c r="A303" s="4">
        <v>71302</v>
      </c>
      <c r="B303" s="11" t="s">
        <v>301</v>
      </c>
      <c r="C303" s="12">
        <v>115.75226858417577</v>
      </c>
      <c r="D303" s="12">
        <v>15.442294973544973</v>
      </c>
      <c r="E303" s="31">
        <f t="shared" si="22"/>
        <v>4.630090743367031E-2</v>
      </c>
      <c r="F303" s="31">
        <f t="shared" si="20"/>
        <v>6.1769179894179899E-3</v>
      </c>
      <c r="G303" s="28"/>
      <c r="J303" s="4">
        <v>71302</v>
      </c>
      <c r="K303" s="11" t="s">
        <v>301</v>
      </c>
      <c r="L303" s="3">
        <v>803668.00077993236</v>
      </c>
      <c r="M303" s="3">
        <v>93395</v>
      </c>
      <c r="N303" s="31">
        <f t="shared" si="23"/>
        <v>321.46720031197299</v>
      </c>
      <c r="O303" s="31">
        <f t="shared" si="21"/>
        <v>37.358000000000004</v>
      </c>
    </row>
    <row r="304" spans="1:15" ht="14.4">
      <c r="A304" s="4">
        <v>71401</v>
      </c>
      <c r="B304" s="11" t="s">
        <v>302</v>
      </c>
      <c r="C304" s="12">
        <v>405.92273349979956</v>
      </c>
      <c r="D304" s="12">
        <v>33.654245851754034</v>
      </c>
      <c r="E304" s="31">
        <f t="shared" si="22"/>
        <v>0.16236909339991984</v>
      </c>
      <c r="F304" s="31">
        <f t="shared" si="20"/>
        <v>1.3461698340701614E-2</v>
      </c>
      <c r="G304" s="28"/>
      <c r="J304" s="4">
        <v>71401</v>
      </c>
      <c r="K304" s="11" t="s">
        <v>302</v>
      </c>
      <c r="L304" s="3">
        <v>7722680.0048336871</v>
      </c>
      <c r="M304" s="3">
        <v>586156</v>
      </c>
      <c r="N304" s="31">
        <f t="shared" si="23"/>
        <v>3089.0720019334749</v>
      </c>
      <c r="O304" s="31">
        <f t="shared" si="21"/>
        <v>234.4624</v>
      </c>
    </row>
    <row r="305" spans="1:15" ht="14.4">
      <c r="A305" s="4">
        <v>71402</v>
      </c>
      <c r="B305" s="11" t="s">
        <v>303</v>
      </c>
      <c r="C305" s="12">
        <v>503.01930200307731</v>
      </c>
      <c r="D305" s="12">
        <v>54.463725381106045</v>
      </c>
      <c r="E305" s="31">
        <f t="shared" si="22"/>
        <v>0.20120772080123092</v>
      </c>
      <c r="F305" s="31">
        <f t="shared" si="20"/>
        <v>2.1785490152442417E-2</v>
      </c>
      <c r="G305" s="28"/>
      <c r="J305" s="4">
        <v>71402</v>
      </c>
      <c r="K305" s="11" t="s">
        <v>303</v>
      </c>
      <c r="L305" s="3">
        <v>8600121.0063466132</v>
      </c>
      <c r="M305" s="3">
        <v>978931</v>
      </c>
      <c r="N305" s="31">
        <f t="shared" si="23"/>
        <v>3440.0484025386454</v>
      </c>
      <c r="O305" s="31">
        <f t="shared" si="21"/>
        <v>391.57240000000002</v>
      </c>
    </row>
    <row r="306" spans="1:15" ht="14.4">
      <c r="A306" s="4">
        <v>71403</v>
      </c>
      <c r="B306" s="11" t="s">
        <v>304</v>
      </c>
      <c r="C306" s="12">
        <v>192.4283521581589</v>
      </c>
      <c r="D306" s="12">
        <v>83.222776769509977</v>
      </c>
      <c r="E306" s="31">
        <f t="shared" si="22"/>
        <v>7.6971340863263571E-2</v>
      </c>
      <c r="F306" s="31">
        <f t="shared" si="20"/>
        <v>3.3289110707803993E-2</v>
      </c>
      <c r="G306" s="28"/>
      <c r="J306" s="4">
        <v>71403</v>
      </c>
      <c r="K306" s="11" t="s">
        <v>304</v>
      </c>
      <c r="L306" s="3">
        <v>1379133.9999175249</v>
      </c>
      <c r="M306" s="3">
        <v>733692</v>
      </c>
      <c r="N306" s="31">
        <f t="shared" si="23"/>
        <v>551.65359996701</v>
      </c>
      <c r="O306" s="31">
        <f t="shared" si="21"/>
        <v>293.47680000000003</v>
      </c>
    </row>
    <row r="307" spans="1:15" ht="14.4">
      <c r="A307" s="4">
        <v>71501</v>
      </c>
      <c r="B307" s="11" t="s">
        <v>305</v>
      </c>
      <c r="C307" s="12">
        <v>214.44541921350819</v>
      </c>
      <c r="D307" s="12">
        <v>49.349100619149624</v>
      </c>
      <c r="E307" s="31">
        <f t="shared" si="22"/>
        <v>8.5778167685403278E-2</v>
      </c>
      <c r="F307" s="31">
        <f t="shared" si="20"/>
        <v>1.973964024765985E-2</v>
      </c>
      <c r="G307" s="28"/>
      <c r="J307" s="4">
        <v>71501</v>
      </c>
      <c r="K307" s="11" t="s">
        <v>305</v>
      </c>
      <c r="L307" s="3">
        <v>6305981.9973924216</v>
      </c>
      <c r="M307" s="3">
        <v>1681768</v>
      </c>
      <c r="N307" s="31">
        <f t="shared" si="23"/>
        <v>2522.3927989569688</v>
      </c>
      <c r="O307" s="31">
        <f t="shared" si="21"/>
        <v>672.70720000000006</v>
      </c>
    </row>
    <row r="308" spans="1:15" ht="14.4">
      <c r="A308" s="4">
        <v>71502</v>
      </c>
      <c r="B308" s="11" t="s">
        <v>306</v>
      </c>
      <c r="C308" s="12">
        <v>124.55510260822874</v>
      </c>
      <c r="D308" s="12">
        <v>15.828680396643783</v>
      </c>
      <c r="E308" s="31">
        <f t="shared" si="22"/>
        <v>4.98220410432915E-2</v>
      </c>
      <c r="F308" s="31">
        <f t="shared" si="20"/>
        <v>6.3314721586575137E-3</v>
      </c>
      <c r="G308" s="28"/>
      <c r="J308" s="4">
        <v>71502</v>
      </c>
      <c r="K308" s="11" t="s">
        <v>306</v>
      </c>
      <c r="L308" s="3">
        <v>855568.99981592316</v>
      </c>
      <c r="M308" s="3">
        <v>103757</v>
      </c>
      <c r="N308" s="31">
        <f t="shared" si="23"/>
        <v>342.22759992636929</v>
      </c>
      <c r="O308" s="31">
        <f t="shared" si="21"/>
        <v>41.502800000000001</v>
      </c>
    </row>
    <row r="309" spans="1:15" ht="14.4">
      <c r="A309" s="4">
        <v>71503</v>
      </c>
      <c r="B309" s="11" t="s">
        <v>251</v>
      </c>
      <c r="C309" s="12">
        <v>139.26376941419664</v>
      </c>
      <c r="D309" s="12">
        <v>80.127703875072299</v>
      </c>
      <c r="E309" s="31">
        <f t="shared" si="22"/>
        <v>5.5705507765678661E-2</v>
      </c>
      <c r="F309" s="31">
        <f t="shared" si="20"/>
        <v>3.205108155002892E-2</v>
      </c>
      <c r="G309" s="28"/>
      <c r="J309" s="4">
        <v>71503</v>
      </c>
      <c r="K309" s="11" t="s">
        <v>251</v>
      </c>
      <c r="L309" s="3">
        <v>2121404.9994864576</v>
      </c>
      <c r="M309" s="3">
        <v>1385408</v>
      </c>
      <c r="N309" s="31">
        <f t="shared" si="23"/>
        <v>848.56199979458302</v>
      </c>
      <c r="O309" s="31">
        <f t="shared" si="21"/>
        <v>554.16320000000007</v>
      </c>
    </row>
    <row r="310" spans="1:15" ht="14.4">
      <c r="A310" s="4">
        <v>80101</v>
      </c>
      <c r="B310" s="11" t="s">
        <v>307</v>
      </c>
      <c r="C310" s="12">
        <v>454.32521707582572</v>
      </c>
      <c r="D310" s="12">
        <v>602.02747513396946</v>
      </c>
      <c r="E310" s="31">
        <f t="shared" si="22"/>
        <v>0.18173008683033029</v>
      </c>
      <c r="F310" s="31">
        <f t="shared" si="20"/>
        <v>0.2408109900535878</v>
      </c>
      <c r="G310" s="28"/>
      <c r="J310" s="4">
        <v>80101</v>
      </c>
      <c r="K310" s="11" t="s">
        <v>307</v>
      </c>
      <c r="L310" s="3">
        <v>51759909.005797595</v>
      </c>
      <c r="M310" s="3">
        <v>77414111.000001997</v>
      </c>
      <c r="N310" s="31">
        <f t="shared" si="23"/>
        <v>20703.96360231904</v>
      </c>
      <c r="O310" s="31">
        <f t="shared" si="21"/>
        <v>30965.644400000801</v>
      </c>
    </row>
    <row r="311" spans="1:15" ht="14.4">
      <c r="A311" s="4">
        <v>80102</v>
      </c>
      <c r="B311" s="11" t="s">
        <v>294</v>
      </c>
      <c r="C311" s="12">
        <v>50.736354818033135</v>
      </c>
      <c r="D311" s="12">
        <v>89.882219133072155</v>
      </c>
      <c r="E311" s="31">
        <f t="shared" si="22"/>
        <v>2.0294541927213253E-2</v>
      </c>
      <c r="F311" s="31">
        <f t="shared" si="20"/>
        <v>3.5952887653228863E-2</v>
      </c>
      <c r="G311" s="28"/>
      <c r="J311" s="4">
        <v>80102</v>
      </c>
      <c r="K311" s="11" t="s">
        <v>294</v>
      </c>
      <c r="L311" s="3">
        <v>312333.00025981199</v>
      </c>
      <c r="M311" s="3">
        <v>711238</v>
      </c>
      <c r="N311" s="31">
        <f t="shared" si="23"/>
        <v>124.9332001039248</v>
      </c>
      <c r="O311" s="31">
        <f t="shared" si="21"/>
        <v>284.49520000000001</v>
      </c>
    </row>
    <row r="312" spans="1:15" ht="14.4">
      <c r="A312" s="4">
        <v>80201</v>
      </c>
      <c r="B312" s="11" t="s">
        <v>308</v>
      </c>
      <c r="C312" s="12">
        <v>211.60194566478546</v>
      </c>
      <c r="D312" s="12">
        <v>271.50205798625592</v>
      </c>
      <c r="E312" s="31">
        <f t="shared" si="22"/>
        <v>8.4640778265914193E-2</v>
      </c>
      <c r="F312" s="31">
        <f t="shared" si="20"/>
        <v>0.10860082319450237</v>
      </c>
      <c r="G312" s="28"/>
      <c r="J312" s="4">
        <v>80201</v>
      </c>
      <c r="K312" s="11" t="s">
        <v>308</v>
      </c>
      <c r="L312" s="3">
        <v>20338121.007570855</v>
      </c>
      <c r="M312" s="3">
        <v>29947220</v>
      </c>
      <c r="N312" s="31">
        <f t="shared" si="23"/>
        <v>8135.2484030283422</v>
      </c>
      <c r="O312" s="31">
        <f t="shared" si="21"/>
        <v>11978.888000000001</v>
      </c>
    </row>
    <row r="313" spans="1:15" ht="14.4">
      <c r="A313" s="4">
        <v>80202</v>
      </c>
      <c r="B313" s="11" t="s">
        <v>309</v>
      </c>
      <c r="C313" s="12">
        <v>273.60583472762784</v>
      </c>
      <c r="D313" s="12">
        <v>411.81356617734531</v>
      </c>
      <c r="E313" s="31">
        <f t="shared" si="22"/>
        <v>0.10944233389105114</v>
      </c>
      <c r="F313" s="31">
        <f t="shared" si="20"/>
        <v>0.16472542647093813</v>
      </c>
      <c r="G313" s="28"/>
      <c r="J313" s="4">
        <v>80202</v>
      </c>
      <c r="K313" s="11" t="s">
        <v>309</v>
      </c>
      <c r="L313" s="3">
        <v>11460253.993401419</v>
      </c>
      <c r="M313" s="3">
        <v>17308936</v>
      </c>
      <c r="N313" s="31">
        <f t="shared" si="23"/>
        <v>4584.1015973605681</v>
      </c>
      <c r="O313" s="31">
        <f t="shared" si="21"/>
        <v>6923.5744000000004</v>
      </c>
    </row>
    <row r="314" spans="1:15" ht="14.4">
      <c r="A314" s="4">
        <v>80301</v>
      </c>
      <c r="B314" s="11" t="s">
        <v>310</v>
      </c>
      <c r="C314" s="12">
        <v>152.29035322287197</v>
      </c>
      <c r="D314" s="12">
        <v>255.18539815298831</v>
      </c>
      <c r="E314" s="31">
        <f t="shared" si="22"/>
        <v>6.0916141289148788E-2</v>
      </c>
      <c r="F314" s="31">
        <f t="shared" si="20"/>
        <v>0.10207415926119533</v>
      </c>
      <c r="G314" s="28"/>
      <c r="J314" s="4">
        <v>80301</v>
      </c>
      <c r="K314" s="11" t="s">
        <v>310</v>
      </c>
      <c r="L314" s="3">
        <v>1927539.0007418906</v>
      </c>
      <c r="M314" s="3">
        <v>2929018</v>
      </c>
      <c r="N314" s="31">
        <f t="shared" si="23"/>
        <v>771.01560029675625</v>
      </c>
      <c r="O314" s="31">
        <f t="shared" si="21"/>
        <v>1171.6072000000001</v>
      </c>
    </row>
    <row r="315" spans="1:15" ht="14.4">
      <c r="A315" s="4">
        <v>80302</v>
      </c>
      <c r="B315" s="11" t="s">
        <v>311</v>
      </c>
      <c r="C315" s="12">
        <v>154.84116307470467</v>
      </c>
      <c r="D315" s="12">
        <v>218.18568496440892</v>
      </c>
      <c r="E315" s="31">
        <f t="shared" si="22"/>
        <v>6.1936465229881867E-2</v>
      </c>
      <c r="F315" s="31">
        <f t="shared" si="20"/>
        <v>8.7274273985763567E-2</v>
      </c>
      <c r="G315" s="28"/>
      <c r="J315" s="4">
        <v>80302</v>
      </c>
      <c r="K315" s="11" t="s">
        <v>311</v>
      </c>
      <c r="L315" s="3">
        <v>6582143.0011426201</v>
      </c>
      <c r="M315" s="3">
        <v>9992468</v>
      </c>
      <c r="N315" s="31">
        <f t="shared" si="23"/>
        <v>2632.8572004570483</v>
      </c>
      <c r="O315" s="31">
        <f t="shared" si="21"/>
        <v>3996.9872</v>
      </c>
    </row>
    <row r="316" spans="1:15" ht="14.4">
      <c r="A316" s="4">
        <v>80303</v>
      </c>
      <c r="B316" s="11" t="s">
        <v>312</v>
      </c>
      <c r="C316" s="12">
        <v>145.44215045646951</v>
      </c>
      <c r="D316" s="12">
        <v>273.0728286279446</v>
      </c>
      <c r="E316" s="31">
        <f t="shared" si="22"/>
        <v>5.8176860182587803E-2</v>
      </c>
      <c r="F316" s="31">
        <f t="shared" si="20"/>
        <v>0.10922913145117785</v>
      </c>
      <c r="G316" s="28"/>
      <c r="J316" s="4">
        <v>80303</v>
      </c>
      <c r="K316" s="11" t="s">
        <v>312</v>
      </c>
      <c r="L316" s="3">
        <v>1458203.0004765633</v>
      </c>
      <c r="M316" s="3">
        <v>3037116</v>
      </c>
      <c r="N316" s="31">
        <f t="shared" si="23"/>
        <v>583.28120019062533</v>
      </c>
      <c r="O316" s="31">
        <f t="shared" si="21"/>
        <v>1214.8464000000001</v>
      </c>
    </row>
    <row r="317" spans="1:15" ht="14.4">
      <c r="A317" s="4">
        <v>80304</v>
      </c>
      <c r="B317" s="11" t="s">
        <v>313</v>
      </c>
      <c r="C317" s="12">
        <v>216.43396909959299</v>
      </c>
      <c r="D317" s="12">
        <v>300.0632768361582</v>
      </c>
      <c r="E317" s="31">
        <f t="shared" si="22"/>
        <v>8.6573587639837205E-2</v>
      </c>
      <c r="F317" s="31">
        <f t="shared" si="20"/>
        <v>0.12002531073446328</v>
      </c>
      <c r="G317" s="28"/>
      <c r="J317" s="4">
        <v>80304</v>
      </c>
      <c r="K317" s="11" t="s">
        <v>313</v>
      </c>
      <c r="L317" s="3">
        <v>4302058.00379261</v>
      </c>
      <c r="M317" s="3">
        <v>6373344</v>
      </c>
      <c r="N317" s="31">
        <f t="shared" si="23"/>
        <v>1720.823201517044</v>
      </c>
      <c r="O317" s="31">
        <f t="shared" si="21"/>
        <v>2549.3376000000003</v>
      </c>
    </row>
    <row r="318" spans="1:15" ht="14.4">
      <c r="A318" s="4">
        <v>80401</v>
      </c>
      <c r="B318" s="11" t="s">
        <v>314</v>
      </c>
      <c r="C318" s="12">
        <v>199.00040212177004</v>
      </c>
      <c r="D318" s="12">
        <v>370.80749668288365</v>
      </c>
      <c r="E318" s="31">
        <f t="shared" si="22"/>
        <v>7.9600160848708024E-2</v>
      </c>
      <c r="F318" s="31">
        <f t="shared" si="20"/>
        <v>0.14832299867315346</v>
      </c>
      <c r="G318" s="28"/>
      <c r="J318" s="4">
        <v>80401</v>
      </c>
      <c r="K318" s="11" t="s">
        <v>314</v>
      </c>
      <c r="L318" s="3">
        <v>3464398.0005378947</v>
      </c>
      <c r="M318" s="3">
        <v>6707166</v>
      </c>
      <c r="N318" s="31">
        <f t="shared" si="23"/>
        <v>1385.759200215158</v>
      </c>
      <c r="O318" s="31">
        <f t="shared" si="21"/>
        <v>2682.8664000000003</v>
      </c>
    </row>
    <row r="319" spans="1:15" ht="14.4">
      <c r="A319" s="4">
        <v>80402</v>
      </c>
      <c r="B319" s="11" t="s">
        <v>315</v>
      </c>
      <c r="C319" s="12"/>
      <c r="D319" s="12">
        <v>117.23077883175237</v>
      </c>
      <c r="E319" s="31">
        <f t="shared" si="22"/>
        <v>0</v>
      </c>
      <c r="F319" s="31">
        <f t="shared" si="20"/>
        <v>4.6892311532700952E-2</v>
      </c>
      <c r="G319" s="28"/>
      <c r="J319" s="4">
        <v>80402</v>
      </c>
      <c r="K319" s="11" t="s">
        <v>315</v>
      </c>
      <c r="L319" s="3"/>
      <c r="M319" s="3">
        <v>939253</v>
      </c>
      <c r="N319" s="31">
        <f t="shared" si="23"/>
        <v>0</v>
      </c>
      <c r="O319" s="31">
        <f t="shared" si="21"/>
        <v>375.70120000000003</v>
      </c>
    </row>
    <row r="320" spans="1:15" ht="14.4">
      <c r="A320" s="4">
        <v>80501</v>
      </c>
      <c r="B320" s="11" t="s">
        <v>316</v>
      </c>
      <c r="C320" s="12">
        <v>127.61111384790735</v>
      </c>
      <c r="D320" s="12">
        <v>210.56384358784285</v>
      </c>
      <c r="E320" s="31">
        <f t="shared" si="22"/>
        <v>5.1044445539162944E-2</v>
      </c>
      <c r="F320" s="31">
        <f t="shared" si="20"/>
        <v>8.4225537435137152E-2</v>
      </c>
      <c r="G320" s="28"/>
      <c r="J320" s="4">
        <v>80501</v>
      </c>
      <c r="K320" s="11" t="s">
        <v>316</v>
      </c>
      <c r="L320" s="3">
        <v>2555922.9992597364</v>
      </c>
      <c r="M320" s="3">
        <v>4544810</v>
      </c>
      <c r="N320" s="31">
        <f t="shared" si="23"/>
        <v>1022.3691997038947</v>
      </c>
      <c r="O320" s="31">
        <f t="shared" si="21"/>
        <v>1817.924</v>
      </c>
    </row>
    <row r="321" spans="1:15" ht="14.4">
      <c r="A321" s="4">
        <v>80601</v>
      </c>
      <c r="B321" s="11" t="s">
        <v>317</v>
      </c>
      <c r="C321" s="12">
        <v>60.36050313851603</v>
      </c>
      <c r="D321" s="12">
        <v>169.73202155071445</v>
      </c>
      <c r="E321" s="31">
        <f t="shared" si="22"/>
        <v>2.4144201255406412E-2</v>
      </c>
      <c r="F321" s="31">
        <f t="shared" si="20"/>
        <v>6.789280862028578E-2</v>
      </c>
      <c r="G321" s="28"/>
      <c r="J321" s="4">
        <v>80601</v>
      </c>
      <c r="K321" s="11" t="s">
        <v>317</v>
      </c>
      <c r="L321" s="3">
        <v>239932.99997560121</v>
      </c>
      <c r="M321" s="3">
        <v>724586</v>
      </c>
      <c r="N321" s="31">
        <f t="shared" si="23"/>
        <v>95.973199990240488</v>
      </c>
      <c r="O321" s="31">
        <f t="shared" si="21"/>
        <v>289.83440000000002</v>
      </c>
    </row>
    <row r="322" spans="1:15" ht="14.4">
      <c r="A322" s="4">
        <v>80602</v>
      </c>
      <c r="B322" s="11" t="s">
        <v>318</v>
      </c>
      <c r="C322" s="12">
        <v>88.294048128360728</v>
      </c>
      <c r="D322" s="12">
        <v>126.81425818882467</v>
      </c>
      <c r="E322" s="31">
        <f t="shared" si="22"/>
        <v>3.5317619251344294E-2</v>
      </c>
      <c r="F322" s="31">
        <f t="shared" ref="F322:F344" si="24">D322*$I$6</f>
        <v>5.0725703275529867E-2</v>
      </c>
      <c r="G322" s="28"/>
      <c r="J322" s="4">
        <v>80602</v>
      </c>
      <c r="K322" s="11" t="s">
        <v>318</v>
      </c>
      <c r="L322" s="3">
        <v>1194177.0009360788</v>
      </c>
      <c r="M322" s="3">
        <v>1974498</v>
      </c>
      <c r="N322" s="31">
        <f t="shared" si="23"/>
        <v>477.67080037443156</v>
      </c>
      <c r="O322" s="31">
        <f t="shared" ref="O322:O344" si="25">M322*$I$6</f>
        <v>789.79920000000004</v>
      </c>
    </row>
    <row r="323" spans="1:15" ht="14.4">
      <c r="A323" s="4">
        <v>80701</v>
      </c>
      <c r="B323" s="11" t="s">
        <v>319</v>
      </c>
      <c r="C323" s="12">
        <v>226.82967589950655</v>
      </c>
      <c r="D323" s="12">
        <v>365.0851938895417</v>
      </c>
      <c r="E323" s="31">
        <f t="shared" ref="E323:E344" si="26">C323*$I$6</f>
        <v>9.0731870359802624E-2</v>
      </c>
      <c r="F323" s="31">
        <f t="shared" si="24"/>
        <v>0.14603407755581668</v>
      </c>
      <c r="G323" s="28"/>
      <c r="J323" s="4">
        <v>80701</v>
      </c>
      <c r="K323" s="11" t="s">
        <v>319</v>
      </c>
      <c r="L323" s="3">
        <v>1560814.9998645047</v>
      </c>
      <c r="M323" s="3">
        <v>2485500</v>
      </c>
      <c r="N323" s="31">
        <f t="shared" ref="N323:N344" si="27">L323*$I$6</f>
        <v>624.32599994580187</v>
      </c>
      <c r="O323" s="31">
        <f t="shared" si="25"/>
        <v>994.2</v>
      </c>
    </row>
    <row r="324" spans="1:15" ht="14.4">
      <c r="A324" s="4">
        <v>80702</v>
      </c>
      <c r="B324" s="11" t="s">
        <v>295</v>
      </c>
      <c r="C324" s="12">
        <v>250.09916256884424</v>
      </c>
      <c r="D324" s="12">
        <v>403.78812169794134</v>
      </c>
      <c r="E324" s="31">
        <f t="shared" si="26"/>
        <v>0.10003966502753769</v>
      </c>
      <c r="F324" s="31">
        <f t="shared" si="24"/>
        <v>0.16151524867917655</v>
      </c>
      <c r="G324" s="28"/>
      <c r="J324" s="4">
        <v>80702</v>
      </c>
      <c r="K324" s="11" t="s">
        <v>295</v>
      </c>
      <c r="L324" s="3">
        <v>1283759.0014658775</v>
      </c>
      <c r="M324" s="3">
        <v>2216393</v>
      </c>
      <c r="N324" s="31">
        <f t="shared" si="27"/>
        <v>513.50360058635101</v>
      </c>
      <c r="O324" s="31">
        <f t="shared" si="25"/>
        <v>886.55720000000008</v>
      </c>
    </row>
    <row r="325" spans="1:15" ht="14.4">
      <c r="A325" s="4">
        <v>80703</v>
      </c>
      <c r="B325" s="11" t="s">
        <v>320</v>
      </c>
      <c r="C325" s="12"/>
      <c r="D325" s="12"/>
      <c r="E325" s="31">
        <f t="shared" si="26"/>
        <v>0</v>
      </c>
      <c r="F325" s="31">
        <f t="shared" si="24"/>
        <v>0</v>
      </c>
      <c r="G325" s="28"/>
      <c r="J325" s="4">
        <v>80703</v>
      </c>
      <c r="K325" s="11" t="s">
        <v>320</v>
      </c>
      <c r="L325" s="3"/>
      <c r="M325" s="3"/>
      <c r="N325" s="31">
        <f t="shared" si="27"/>
        <v>0</v>
      </c>
      <c r="O325" s="31">
        <f t="shared" si="25"/>
        <v>0</v>
      </c>
    </row>
    <row r="326" spans="1:15" ht="14.4">
      <c r="A326" s="4">
        <v>80801</v>
      </c>
      <c r="B326" s="11" t="s">
        <v>321</v>
      </c>
      <c r="C326" s="12">
        <v>140.5764814361813</v>
      </c>
      <c r="D326" s="12">
        <v>260.90496675791945</v>
      </c>
      <c r="E326" s="31">
        <f t="shared" si="26"/>
        <v>5.6230592574472521E-2</v>
      </c>
      <c r="F326" s="31">
        <f t="shared" si="24"/>
        <v>0.10436198670316779</v>
      </c>
      <c r="G326" s="28"/>
      <c r="J326" s="4">
        <v>80801</v>
      </c>
      <c r="K326" s="11" t="s">
        <v>321</v>
      </c>
      <c r="L326" s="3">
        <v>1665268.9990930036</v>
      </c>
      <c r="M326" s="3">
        <v>3335670</v>
      </c>
      <c r="N326" s="31">
        <f t="shared" si="27"/>
        <v>666.10759963720147</v>
      </c>
      <c r="O326" s="31">
        <f t="shared" si="25"/>
        <v>1334.268</v>
      </c>
    </row>
    <row r="327" spans="1:15" ht="14.4">
      <c r="A327" s="4">
        <v>80802</v>
      </c>
      <c r="B327" s="11" t="s">
        <v>322</v>
      </c>
      <c r="C327" s="12">
        <v>35.822338887071503</v>
      </c>
      <c r="D327" s="12">
        <v>213.90598290598291</v>
      </c>
      <c r="E327" s="31">
        <f t="shared" si="26"/>
        <v>1.4328935554828602E-2</v>
      </c>
      <c r="F327" s="31">
        <f t="shared" si="24"/>
        <v>8.5562393162393169E-2</v>
      </c>
      <c r="G327" s="28"/>
      <c r="J327" s="4">
        <v>80802</v>
      </c>
      <c r="K327" s="11" t="s">
        <v>322</v>
      </c>
      <c r="L327" s="3">
        <v>231877.99961601384</v>
      </c>
      <c r="M327" s="3">
        <v>1601728</v>
      </c>
      <c r="N327" s="31">
        <f t="shared" si="27"/>
        <v>92.751199846405541</v>
      </c>
      <c r="O327" s="31">
        <f t="shared" si="25"/>
        <v>640.69119999999998</v>
      </c>
    </row>
    <row r="328" spans="1:15" ht="14.4">
      <c r="A328" s="4">
        <v>80803</v>
      </c>
      <c r="B328" s="11" t="s">
        <v>323</v>
      </c>
      <c r="C328" s="12">
        <v>29.684173697730948</v>
      </c>
      <c r="D328" s="12">
        <v>179.24190064794817</v>
      </c>
      <c r="E328" s="31">
        <f t="shared" si="26"/>
        <v>1.187366947909238E-2</v>
      </c>
      <c r="F328" s="31">
        <f t="shared" si="24"/>
        <v>7.1696760259179274E-2</v>
      </c>
      <c r="G328" s="28"/>
      <c r="J328" s="4">
        <v>80803</v>
      </c>
      <c r="K328" s="11" t="s">
        <v>323</v>
      </c>
      <c r="L328" s="3">
        <v>127167.00012107939</v>
      </c>
      <c r="M328" s="3">
        <v>829890</v>
      </c>
      <c r="N328" s="31">
        <f t="shared" si="27"/>
        <v>50.866800048431756</v>
      </c>
      <c r="O328" s="31">
        <f t="shared" si="25"/>
        <v>331.95600000000002</v>
      </c>
    </row>
    <row r="329" spans="1:15" ht="14.4">
      <c r="A329" s="4">
        <v>80901</v>
      </c>
      <c r="B329" s="11" t="s">
        <v>324</v>
      </c>
      <c r="C329" s="12"/>
      <c r="D329" s="12"/>
      <c r="E329" s="31">
        <f t="shared" si="26"/>
        <v>0</v>
      </c>
      <c r="F329" s="31">
        <f t="shared" si="24"/>
        <v>0</v>
      </c>
      <c r="G329" s="28"/>
      <c r="J329" s="4">
        <v>80901</v>
      </c>
      <c r="K329" s="11" t="s">
        <v>324</v>
      </c>
      <c r="L329" s="3"/>
      <c r="M329" s="3"/>
      <c r="N329" s="31">
        <f t="shared" si="27"/>
        <v>0</v>
      </c>
      <c r="O329" s="31">
        <f t="shared" si="25"/>
        <v>0</v>
      </c>
    </row>
    <row r="330" spans="1:15" ht="14.4">
      <c r="A330" s="4">
        <v>90101</v>
      </c>
      <c r="B330" s="11" t="s">
        <v>325</v>
      </c>
      <c r="C330" s="12">
        <v>483.11094450258503</v>
      </c>
      <c r="D330" s="12">
        <v>573.17727800812861</v>
      </c>
      <c r="E330" s="31">
        <f t="shared" si="26"/>
        <v>0.19324437780103401</v>
      </c>
      <c r="F330" s="31">
        <f t="shared" si="24"/>
        <v>0.22927091120325147</v>
      </c>
      <c r="G330" s="28"/>
      <c r="J330" s="4">
        <v>90101</v>
      </c>
      <c r="K330" s="11" t="s">
        <v>325</v>
      </c>
      <c r="L330" s="3">
        <v>23776788.244639225</v>
      </c>
      <c r="M330" s="3">
        <v>31590092.50014</v>
      </c>
      <c r="N330" s="31">
        <f t="shared" si="27"/>
        <v>9510.7152978556915</v>
      </c>
      <c r="O330" s="31">
        <f t="shared" si="25"/>
        <v>12636.037000056001</v>
      </c>
    </row>
    <row r="331" spans="1:15" ht="14.4">
      <c r="A331" s="4">
        <v>90102</v>
      </c>
      <c r="B331" s="11" t="s">
        <v>326</v>
      </c>
      <c r="C331" s="12">
        <v>153.24966383584942</v>
      </c>
      <c r="D331" s="12">
        <v>198.95333048166364</v>
      </c>
      <c r="E331" s="31">
        <f t="shared" si="26"/>
        <v>6.1299865534339769E-2</v>
      </c>
      <c r="F331" s="31">
        <f t="shared" si="24"/>
        <v>7.9581332192665458E-2</v>
      </c>
      <c r="G331" s="28"/>
      <c r="J331" s="4">
        <v>90102</v>
      </c>
      <c r="K331" s="11" t="s">
        <v>326</v>
      </c>
      <c r="L331" s="3">
        <v>1289749.1708425088</v>
      </c>
      <c r="M331" s="3">
        <v>1860810.499995</v>
      </c>
      <c r="N331" s="31">
        <f t="shared" si="27"/>
        <v>515.8996683370035</v>
      </c>
      <c r="O331" s="31">
        <f t="shared" si="25"/>
        <v>744.32419999800004</v>
      </c>
    </row>
    <row r="332" spans="1:15" ht="14.4">
      <c r="A332" s="4">
        <v>90103</v>
      </c>
      <c r="B332" s="11" t="s">
        <v>327</v>
      </c>
      <c r="C332" s="12"/>
      <c r="D332" s="12"/>
      <c r="E332" s="31">
        <f t="shared" si="26"/>
        <v>0</v>
      </c>
      <c r="F332" s="31">
        <f t="shared" si="24"/>
        <v>0</v>
      </c>
      <c r="G332" s="28"/>
      <c r="J332" s="4">
        <v>90103</v>
      </c>
      <c r="K332" s="11" t="s">
        <v>327</v>
      </c>
      <c r="L332" s="3"/>
      <c r="M332" s="3"/>
      <c r="N332" s="31">
        <f t="shared" si="27"/>
        <v>0</v>
      </c>
      <c r="O332" s="31">
        <f t="shared" si="25"/>
        <v>0</v>
      </c>
    </row>
    <row r="333" spans="1:15" ht="14.4">
      <c r="A333" s="4">
        <v>90104</v>
      </c>
      <c r="B333" s="11" t="s">
        <v>328</v>
      </c>
      <c r="C333" s="12">
        <v>48.721435946612267</v>
      </c>
      <c r="D333" s="12">
        <v>234.21859504297521</v>
      </c>
      <c r="E333" s="31">
        <f t="shared" si="26"/>
        <v>1.9488574378644909E-2</v>
      </c>
      <c r="F333" s="31">
        <f t="shared" si="24"/>
        <v>9.3687438017190094E-2</v>
      </c>
      <c r="G333" s="28"/>
      <c r="J333" s="4">
        <v>90104</v>
      </c>
      <c r="K333" s="11" t="s">
        <v>328</v>
      </c>
      <c r="L333" s="3">
        <v>185920.99957227241</v>
      </c>
      <c r="M333" s="3">
        <v>850213.50000600005</v>
      </c>
      <c r="N333" s="31">
        <f t="shared" si="27"/>
        <v>74.368399828908963</v>
      </c>
      <c r="O333" s="31">
        <f t="shared" si="25"/>
        <v>340.08540000240004</v>
      </c>
    </row>
    <row r="334" spans="1:15" ht="14.4">
      <c r="A334" s="4">
        <v>90201</v>
      </c>
      <c r="B334" s="11" t="s">
        <v>329</v>
      </c>
      <c r="C334" s="12">
        <v>138.29253382328545</v>
      </c>
      <c r="D334" s="12">
        <v>205.97570245690241</v>
      </c>
      <c r="E334" s="31">
        <f t="shared" si="26"/>
        <v>5.5317013529314181E-2</v>
      </c>
      <c r="F334" s="31">
        <f t="shared" si="24"/>
        <v>8.2390280982760966E-2</v>
      </c>
      <c r="G334" s="28"/>
      <c r="J334" s="4">
        <v>90201</v>
      </c>
      <c r="K334" s="11" t="s">
        <v>329</v>
      </c>
      <c r="L334" s="3">
        <v>914805.1112410333</v>
      </c>
      <c r="M334" s="3">
        <v>1517423</v>
      </c>
      <c r="N334" s="31">
        <f t="shared" si="27"/>
        <v>365.92204449641332</v>
      </c>
      <c r="O334" s="31">
        <f t="shared" si="25"/>
        <v>606.9692</v>
      </c>
    </row>
    <row r="335" spans="1:15" ht="14.4">
      <c r="A335" s="4">
        <v>90202</v>
      </c>
      <c r="B335" s="11" t="s">
        <v>292</v>
      </c>
      <c r="C335" s="12">
        <v>25.839911549053038</v>
      </c>
      <c r="D335" s="12">
        <v>103.53524729960205</v>
      </c>
      <c r="E335" s="31">
        <f t="shared" si="26"/>
        <v>1.0335964619621215E-2</v>
      </c>
      <c r="F335" s="31">
        <f t="shared" si="24"/>
        <v>4.1414098919840818E-2</v>
      </c>
      <c r="G335" s="28"/>
      <c r="J335" s="4">
        <v>90202</v>
      </c>
      <c r="K335" s="11" t="s">
        <v>292</v>
      </c>
      <c r="L335" s="3">
        <v>81834.999875850976</v>
      </c>
      <c r="M335" s="3">
        <v>364237</v>
      </c>
      <c r="N335" s="31">
        <f t="shared" si="27"/>
        <v>32.73399995034039</v>
      </c>
      <c r="O335" s="31">
        <f t="shared" si="25"/>
        <v>145.69480000000001</v>
      </c>
    </row>
    <row r="336" spans="1:15" ht="14.4">
      <c r="A336" s="4">
        <v>90203</v>
      </c>
      <c r="B336" s="11" t="s">
        <v>330</v>
      </c>
      <c r="C336" s="12">
        <v>144.88740602587961</v>
      </c>
      <c r="D336" s="12">
        <v>168.66078309509012</v>
      </c>
      <c r="E336" s="31">
        <f t="shared" si="26"/>
        <v>5.7954962410351848E-2</v>
      </c>
      <c r="F336" s="31">
        <f t="shared" si="24"/>
        <v>6.7464313238036047E-2</v>
      </c>
      <c r="G336" s="28"/>
      <c r="J336" s="4">
        <v>90203</v>
      </c>
      <c r="K336" s="11" t="s">
        <v>330</v>
      </c>
      <c r="L336" s="3">
        <v>944520.99988270923</v>
      </c>
      <c r="M336" s="3">
        <v>1356876</v>
      </c>
      <c r="N336" s="31">
        <f t="shared" si="27"/>
        <v>377.80839995308372</v>
      </c>
      <c r="O336" s="31">
        <f t="shared" si="25"/>
        <v>542.75040000000001</v>
      </c>
    </row>
    <row r="337" spans="1:15" ht="14.4">
      <c r="A337" s="4">
        <v>90301</v>
      </c>
      <c r="B337" s="11" t="s">
        <v>331</v>
      </c>
      <c r="C337" s="12">
        <v>19.410475811211878</v>
      </c>
      <c r="D337" s="12"/>
      <c r="E337" s="31">
        <f t="shared" si="26"/>
        <v>7.7641903244847514E-3</v>
      </c>
      <c r="F337" s="31">
        <f t="shared" si="24"/>
        <v>0</v>
      </c>
      <c r="G337" s="28"/>
      <c r="J337" s="4">
        <v>90301</v>
      </c>
      <c r="K337" s="11" t="s">
        <v>331</v>
      </c>
      <c r="L337" s="3">
        <v>186030.00017465465</v>
      </c>
      <c r="M337" s="3"/>
      <c r="N337" s="31">
        <f t="shared" si="27"/>
        <v>74.412000069861861</v>
      </c>
      <c r="O337" s="31">
        <f t="shared" si="25"/>
        <v>0</v>
      </c>
    </row>
    <row r="338" spans="1:15" ht="14.4">
      <c r="A338" s="4">
        <v>90302</v>
      </c>
      <c r="B338" s="11" t="s">
        <v>332</v>
      </c>
      <c r="C338" s="12">
        <v>36.229920069292156</v>
      </c>
      <c r="D338" s="12">
        <v>53.762154190429214</v>
      </c>
      <c r="E338" s="31">
        <f t="shared" si="26"/>
        <v>1.4491968027716863E-2</v>
      </c>
      <c r="F338" s="31">
        <f t="shared" si="24"/>
        <v>2.1504861676171688E-2</v>
      </c>
      <c r="G338" s="28"/>
      <c r="J338" s="4">
        <v>90302</v>
      </c>
      <c r="K338" s="11" t="s">
        <v>332</v>
      </c>
      <c r="L338" s="3">
        <v>303570.50026059896</v>
      </c>
      <c r="M338" s="3">
        <v>528589.5000003</v>
      </c>
      <c r="N338" s="31">
        <f t="shared" si="27"/>
        <v>121.42820010423959</v>
      </c>
      <c r="O338" s="31">
        <f t="shared" si="25"/>
        <v>211.43580000012</v>
      </c>
    </row>
    <row r="339" spans="1:15" ht="14.4">
      <c r="A339" s="4">
        <v>90303</v>
      </c>
      <c r="B339" s="11" t="s">
        <v>333</v>
      </c>
      <c r="C339" s="12">
        <v>80.308498783336617</v>
      </c>
      <c r="D339" s="12">
        <v>158.75218589621744</v>
      </c>
      <c r="E339" s="31">
        <f t="shared" si="26"/>
        <v>3.2123399513334649E-2</v>
      </c>
      <c r="F339" s="31">
        <f t="shared" si="24"/>
        <v>6.3500874358486975E-2</v>
      </c>
      <c r="G339" s="28"/>
      <c r="J339" s="4">
        <v>90303</v>
      </c>
      <c r="K339" s="11" t="s">
        <v>333</v>
      </c>
      <c r="L339" s="3">
        <v>723820.49953421298</v>
      </c>
      <c r="M339" s="3">
        <v>1670390.5</v>
      </c>
      <c r="N339" s="31">
        <f t="shared" si="27"/>
        <v>289.52819981368521</v>
      </c>
      <c r="O339" s="31">
        <f t="shared" si="25"/>
        <v>668.15620000000001</v>
      </c>
    </row>
    <row r="340" spans="1:15" ht="14.4">
      <c r="A340" s="4">
        <v>90401</v>
      </c>
      <c r="B340" s="11" t="s">
        <v>334</v>
      </c>
      <c r="C340" s="12"/>
      <c r="D340" s="12">
        <v>157.65143648321219</v>
      </c>
      <c r="E340" s="31">
        <f t="shared" si="26"/>
        <v>0</v>
      </c>
      <c r="F340" s="31">
        <f t="shared" si="24"/>
        <v>6.3060574593284874E-2</v>
      </c>
      <c r="G340" s="28"/>
      <c r="J340" s="4">
        <v>90401</v>
      </c>
      <c r="K340" s="11" t="s">
        <v>334</v>
      </c>
      <c r="L340" s="3"/>
      <c r="M340" s="3">
        <v>455455</v>
      </c>
      <c r="N340" s="31">
        <f t="shared" si="27"/>
        <v>0</v>
      </c>
      <c r="O340" s="31">
        <f t="shared" si="25"/>
        <v>182.18200000000002</v>
      </c>
    </row>
    <row r="341" spans="1:15" ht="14.4">
      <c r="A341" s="4">
        <v>90402</v>
      </c>
      <c r="B341" s="11" t="s">
        <v>335</v>
      </c>
      <c r="C341" s="12"/>
      <c r="D341" s="12"/>
      <c r="E341" s="31">
        <f t="shared" si="26"/>
        <v>0</v>
      </c>
      <c r="F341" s="31">
        <f t="shared" si="24"/>
        <v>0</v>
      </c>
      <c r="G341" s="28"/>
      <c r="J341" s="4">
        <v>90402</v>
      </c>
      <c r="K341" s="11" t="s">
        <v>335</v>
      </c>
      <c r="L341" s="3"/>
      <c r="M341" s="3"/>
      <c r="N341" s="31">
        <f t="shared" si="27"/>
        <v>0</v>
      </c>
      <c r="O341" s="31">
        <f t="shared" si="25"/>
        <v>0</v>
      </c>
    </row>
    <row r="342" spans="1:15" ht="14.4">
      <c r="A342" s="4">
        <v>90501</v>
      </c>
      <c r="B342" s="11" t="s">
        <v>336</v>
      </c>
      <c r="C342" s="12">
        <v>50.673469413727844</v>
      </c>
      <c r="D342" s="12"/>
      <c r="E342" s="31">
        <f t="shared" si="26"/>
        <v>2.0269387765491139E-2</v>
      </c>
      <c r="F342" s="31">
        <f t="shared" si="24"/>
        <v>0</v>
      </c>
      <c r="G342" s="28"/>
      <c r="J342" s="4">
        <v>90501</v>
      </c>
      <c r="K342" s="11" t="s">
        <v>336</v>
      </c>
      <c r="L342" s="3">
        <v>96837.000049633905</v>
      </c>
      <c r="M342" s="3"/>
      <c r="N342" s="31">
        <f t="shared" si="27"/>
        <v>38.734800019853566</v>
      </c>
      <c r="O342" s="31">
        <f t="shared" si="25"/>
        <v>0</v>
      </c>
    </row>
    <row r="343" spans="1:15" ht="14.4">
      <c r="A343" s="4">
        <v>90502</v>
      </c>
      <c r="B343" s="11" t="s">
        <v>337</v>
      </c>
      <c r="C343" s="12">
        <v>28.512574019682038</v>
      </c>
      <c r="D343" s="12"/>
      <c r="E343" s="31">
        <f t="shared" si="26"/>
        <v>1.1405029607872815E-2</v>
      </c>
      <c r="F343" s="31">
        <f t="shared" si="24"/>
        <v>0</v>
      </c>
      <c r="G343" s="28"/>
      <c r="J343" s="4">
        <v>90502</v>
      </c>
      <c r="K343" s="11" t="s">
        <v>337</v>
      </c>
      <c r="L343" s="3">
        <v>77098.000149220228</v>
      </c>
      <c r="M343" s="3"/>
      <c r="N343" s="31">
        <f t="shared" si="27"/>
        <v>30.839200059688093</v>
      </c>
      <c r="O343" s="31">
        <f t="shared" si="25"/>
        <v>0</v>
      </c>
    </row>
    <row r="344" spans="1:15" ht="14.4">
      <c r="A344" s="4">
        <v>90503</v>
      </c>
      <c r="B344" s="11" t="s">
        <v>338</v>
      </c>
      <c r="C344" s="12"/>
      <c r="D344" s="12"/>
      <c r="E344" s="31">
        <f t="shared" si="26"/>
        <v>0</v>
      </c>
      <c r="F344" s="31">
        <f t="shared" si="24"/>
        <v>0</v>
      </c>
      <c r="G344" s="28"/>
      <c r="J344" s="4">
        <v>90503</v>
      </c>
      <c r="K344" s="11" t="s">
        <v>338</v>
      </c>
      <c r="L344" s="3"/>
      <c r="M344" s="3"/>
      <c r="N344" s="31">
        <f t="shared" si="27"/>
        <v>0</v>
      </c>
      <c r="O344" s="31">
        <f t="shared" si="2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013"/>
  <sheetViews>
    <sheetView workbookViewId="0">
      <selection activeCell="D1" sqref="D1"/>
    </sheetView>
  </sheetViews>
  <sheetFormatPr baseColWidth="10" defaultColWidth="12.6640625" defaultRowHeight="15.75" customHeight="1"/>
  <cols>
    <col min="3" max="3" width="24.44140625" customWidth="1"/>
    <col min="4" max="4" width="25.44140625" customWidth="1"/>
  </cols>
  <sheetData>
    <row r="1" spans="1:4" ht="15.75" customHeight="1">
      <c r="A1" s="32" t="s">
        <v>339</v>
      </c>
      <c r="B1" s="11" t="s">
        <v>0</v>
      </c>
      <c r="C1" t="s">
        <v>367</v>
      </c>
      <c r="D1" t="s">
        <v>371</v>
      </c>
    </row>
    <row r="2" spans="1:4" ht="15.75" customHeight="1">
      <c r="A2" s="33">
        <v>40503</v>
      </c>
      <c r="B2" s="11" t="s">
        <v>177</v>
      </c>
      <c r="C2">
        <v>3.1760044842033793E-3</v>
      </c>
      <c r="D2">
        <v>4.5748187211601849E-4</v>
      </c>
    </row>
    <row r="3" spans="1:4" ht="15.75" customHeight="1">
      <c r="A3" s="33">
        <v>20307</v>
      </c>
      <c r="B3" s="11" t="s">
        <v>47</v>
      </c>
      <c r="C3">
        <v>2.3415969534247832E-3</v>
      </c>
      <c r="D3">
        <v>1.6727996021879661E-3</v>
      </c>
    </row>
    <row r="4" spans="1:4" ht="15.75" customHeight="1">
      <c r="A4" s="33">
        <v>40202</v>
      </c>
      <c r="B4" s="11" t="s">
        <v>170</v>
      </c>
      <c r="C4">
        <v>5.6810676355604182E-3</v>
      </c>
      <c r="D4">
        <v>1.8871536523929473E-3</v>
      </c>
    </row>
    <row r="5" spans="1:4" ht="15.75" customHeight="1">
      <c r="A5" s="33">
        <v>40103</v>
      </c>
      <c r="B5" s="11" t="s">
        <v>167</v>
      </c>
      <c r="C5">
        <v>3.5655918400832797E-3</v>
      </c>
      <c r="D5">
        <v>2.2239071721516456E-3</v>
      </c>
    </row>
    <row r="6" spans="1:4" ht="15.75" customHeight="1">
      <c r="A6" s="33">
        <v>40505</v>
      </c>
      <c r="B6" s="11" t="s">
        <v>179</v>
      </c>
      <c r="C6">
        <v>1.6155088991803E-3</v>
      </c>
      <c r="D6">
        <v>3.0628541988665637E-3</v>
      </c>
    </row>
    <row r="7" spans="1:4" ht="15.75" customHeight="1">
      <c r="A7" s="33">
        <v>40603</v>
      </c>
      <c r="B7" s="11" t="s">
        <v>182</v>
      </c>
      <c r="C7">
        <v>2.9593878819214169E-4</v>
      </c>
      <c r="D7">
        <v>3.4158210583742502E-3</v>
      </c>
    </row>
    <row r="8" spans="1:4" ht="15.75" customHeight="1">
      <c r="A8" s="33">
        <v>40504</v>
      </c>
      <c r="B8" s="11" t="s">
        <v>178</v>
      </c>
      <c r="C8">
        <v>6.8266946590094992E-3</v>
      </c>
      <c r="D8">
        <v>3.6941714285714283E-3</v>
      </c>
    </row>
    <row r="9" spans="1:4" ht="15.75" customHeight="1">
      <c r="A9" s="33">
        <v>21902</v>
      </c>
      <c r="B9" s="11" t="s">
        <v>114</v>
      </c>
      <c r="C9">
        <v>3.356479468392752E-3</v>
      </c>
      <c r="D9">
        <v>3.7917398617080922E-3</v>
      </c>
    </row>
    <row r="10" spans="1:4" ht="15.75" customHeight="1">
      <c r="A10" s="33">
        <v>40502</v>
      </c>
      <c r="B10" s="11" t="s">
        <v>176</v>
      </c>
      <c r="C10">
        <v>7.8466634901317161E-4</v>
      </c>
      <c r="D10">
        <v>4.1052233514535571E-3</v>
      </c>
    </row>
    <row r="11" spans="1:4" ht="15.75" customHeight="1">
      <c r="A11" s="33">
        <v>41202</v>
      </c>
      <c r="B11" s="11" t="s">
        <v>193</v>
      </c>
      <c r="C11">
        <v>8.3099831018390458E-3</v>
      </c>
      <c r="D11">
        <v>4.3843188500490042E-3</v>
      </c>
    </row>
    <row r="12" spans="1:4" ht="15.75" customHeight="1">
      <c r="A12" s="33">
        <v>40601</v>
      </c>
      <c r="B12" s="11" t="s">
        <v>180</v>
      </c>
      <c r="C12">
        <v>6.7326684141426774E-4</v>
      </c>
      <c r="D12">
        <v>4.704886277070411E-3</v>
      </c>
    </row>
    <row r="13" spans="1:4" ht="15.75" customHeight="1">
      <c r="A13" s="33">
        <v>70804</v>
      </c>
      <c r="B13" s="11" t="s">
        <v>282</v>
      </c>
      <c r="C13">
        <v>3.5776400913938813E-2</v>
      </c>
      <c r="D13">
        <v>4.7215946843853825E-3</v>
      </c>
    </row>
    <row r="14" spans="1:4" ht="15.75" customHeight="1">
      <c r="A14" s="33">
        <v>50405</v>
      </c>
      <c r="B14" s="11" t="s">
        <v>215</v>
      </c>
      <c r="D14">
        <v>4.7846366189139029E-3</v>
      </c>
    </row>
    <row r="15" spans="1:4" ht="15.75" customHeight="1">
      <c r="A15" s="33">
        <v>21703</v>
      </c>
      <c r="B15" s="11" t="s">
        <v>109</v>
      </c>
      <c r="C15">
        <v>4.7931158344666379E-3</v>
      </c>
      <c r="D15">
        <v>4.8602790697674422E-3</v>
      </c>
    </row>
    <row r="16" spans="1:4" ht="15.75" customHeight="1">
      <c r="A16" s="33">
        <v>21004</v>
      </c>
      <c r="B16" s="11" t="s">
        <v>82</v>
      </c>
      <c r="C16">
        <v>5.9184317493714807E-3</v>
      </c>
      <c r="D16">
        <v>4.900727504786216E-3</v>
      </c>
    </row>
    <row r="17" spans="1:4" ht="15.75" customHeight="1">
      <c r="A17" s="33">
        <v>50104</v>
      </c>
      <c r="B17" s="11" t="s">
        <v>203</v>
      </c>
      <c r="C17">
        <v>5.1215277656509236E-3</v>
      </c>
      <c r="D17">
        <v>4.9190644024351173E-3</v>
      </c>
    </row>
    <row r="18" spans="1:4" ht="15.75" customHeight="1">
      <c r="A18" s="33">
        <v>30602</v>
      </c>
      <c r="B18" s="11" t="s">
        <v>131</v>
      </c>
      <c r="C18">
        <v>5.6980516393290758E-3</v>
      </c>
      <c r="D18">
        <v>5.0267906976744188E-3</v>
      </c>
    </row>
    <row r="19" spans="1:4" ht="15.75" customHeight="1">
      <c r="A19" s="33">
        <v>20303</v>
      </c>
      <c r="B19" s="11" t="s">
        <v>43</v>
      </c>
      <c r="C19">
        <v>5.002232859060882E-3</v>
      </c>
      <c r="D19">
        <v>5.0760618708568621E-3</v>
      </c>
    </row>
    <row r="20" spans="1:4" ht="15.75" customHeight="1">
      <c r="A20" s="33">
        <v>20308</v>
      </c>
      <c r="B20" s="11" t="s">
        <v>48</v>
      </c>
      <c r="C20">
        <v>5.0156540246082395E-3</v>
      </c>
      <c r="D20">
        <v>5.0922981211894989E-3</v>
      </c>
    </row>
    <row r="21" spans="1:4" ht="15.75" customHeight="1">
      <c r="A21" s="33">
        <v>31303</v>
      </c>
      <c r="B21" s="11" t="s">
        <v>155</v>
      </c>
      <c r="C21">
        <v>6.6154511463306209E-3</v>
      </c>
      <c r="D21">
        <v>5.1683371298405474E-3</v>
      </c>
    </row>
    <row r="22" spans="1:4" ht="15.75" customHeight="1">
      <c r="A22" s="33">
        <v>50202</v>
      </c>
      <c r="B22" s="11" t="s">
        <v>205</v>
      </c>
      <c r="C22">
        <v>4.7507612065548158E-3</v>
      </c>
      <c r="D22">
        <v>5.2834654515947817E-3</v>
      </c>
    </row>
    <row r="23" spans="1:4" ht="15.75" customHeight="1">
      <c r="A23" s="33">
        <v>20904</v>
      </c>
      <c r="B23" s="11" t="s">
        <v>77</v>
      </c>
      <c r="C23">
        <v>4.4675991537481618E-3</v>
      </c>
      <c r="D23">
        <v>5.4797810081178028E-3</v>
      </c>
    </row>
    <row r="24" spans="1:4" ht="15.75" customHeight="1">
      <c r="A24" s="33">
        <v>70904</v>
      </c>
      <c r="B24" s="11" t="s">
        <v>287</v>
      </c>
      <c r="C24">
        <v>2.7422413213612374E-2</v>
      </c>
      <c r="D24">
        <v>5.6676604018146472E-3</v>
      </c>
    </row>
    <row r="25" spans="1:4" ht="15.75" customHeight="1">
      <c r="A25" s="33">
        <v>51103</v>
      </c>
      <c r="B25" s="11" t="s">
        <v>231</v>
      </c>
      <c r="C25">
        <v>5.7159715438290445E-3</v>
      </c>
      <c r="D25">
        <v>5.8500767192077004E-3</v>
      </c>
    </row>
    <row r="26" spans="1:4" ht="15.75" customHeight="1">
      <c r="A26" s="33">
        <v>71201</v>
      </c>
      <c r="B26" s="11" t="s">
        <v>299</v>
      </c>
      <c r="C26">
        <v>8.824634124667867E-2</v>
      </c>
      <c r="D26">
        <v>6.0168552477565355E-3</v>
      </c>
    </row>
    <row r="27" spans="1:4" ht="14.4">
      <c r="A27" s="33">
        <v>70705</v>
      </c>
      <c r="B27" s="11" t="s">
        <v>276</v>
      </c>
      <c r="C27">
        <v>3.0866296792792618E-2</v>
      </c>
      <c r="D27">
        <v>6.1508652442838277E-3</v>
      </c>
    </row>
    <row r="28" spans="1:4" ht="14.4">
      <c r="A28" s="33">
        <v>70802</v>
      </c>
      <c r="B28" s="11" t="s">
        <v>280</v>
      </c>
      <c r="C28">
        <v>5.8611583881348343E-2</v>
      </c>
      <c r="D28">
        <v>6.1588808817295464E-3</v>
      </c>
    </row>
    <row r="29" spans="1:4" ht="14.4">
      <c r="A29" s="33">
        <v>71302</v>
      </c>
      <c r="B29" s="11" t="s">
        <v>301</v>
      </c>
      <c r="C29">
        <v>4.630090743367031E-2</v>
      </c>
      <c r="D29">
        <v>6.1769179894179899E-3</v>
      </c>
    </row>
    <row r="30" spans="1:4" ht="14.4">
      <c r="A30" s="33">
        <v>31501</v>
      </c>
      <c r="B30" s="11" t="s">
        <v>162</v>
      </c>
      <c r="C30">
        <v>8.9352949036547811E-3</v>
      </c>
      <c r="D30">
        <v>6.2924897367785566E-3</v>
      </c>
    </row>
    <row r="31" spans="1:4" ht="14.4">
      <c r="A31" s="33">
        <v>71502</v>
      </c>
      <c r="B31" s="11" t="s">
        <v>306</v>
      </c>
      <c r="C31">
        <v>4.98220410432915E-2</v>
      </c>
      <c r="D31">
        <v>6.3314721586575137E-3</v>
      </c>
    </row>
    <row r="32" spans="1:4" ht="14.4">
      <c r="A32" s="33">
        <v>21005</v>
      </c>
      <c r="B32" s="11" t="s">
        <v>83</v>
      </c>
      <c r="C32">
        <v>6.9856957220869311E-3</v>
      </c>
      <c r="D32">
        <v>6.7443467336683414E-3</v>
      </c>
    </row>
    <row r="33" spans="1:4" ht="14.4">
      <c r="A33" s="33">
        <v>50102</v>
      </c>
      <c r="B33" s="11" t="s">
        <v>201</v>
      </c>
      <c r="C33">
        <v>5.7198229051942428E-3</v>
      </c>
      <c r="D33">
        <v>6.9367839126528927E-3</v>
      </c>
    </row>
    <row r="34" spans="1:4" ht="14.4">
      <c r="A34" s="33">
        <v>50303</v>
      </c>
      <c r="B34" s="11" t="s">
        <v>210</v>
      </c>
      <c r="C34">
        <v>8.2603990924330524E-3</v>
      </c>
      <c r="D34">
        <v>6.9835444800222749E-3</v>
      </c>
    </row>
    <row r="35" spans="1:4" ht="14.4">
      <c r="A35" s="33">
        <v>40802</v>
      </c>
      <c r="B35" s="11" t="s">
        <v>186</v>
      </c>
      <c r="C35">
        <v>6.1758530123232624E-3</v>
      </c>
      <c r="D35">
        <v>6.985423834845168E-3</v>
      </c>
    </row>
    <row r="36" spans="1:4" ht="14.4">
      <c r="A36" s="33">
        <v>70903</v>
      </c>
      <c r="B36" s="11" t="s">
        <v>286</v>
      </c>
      <c r="C36">
        <v>8.2484750621158093E-2</v>
      </c>
      <c r="D36">
        <v>7.2996309383588538E-3</v>
      </c>
    </row>
    <row r="37" spans="1:4" ht="14.4">
      <c r="A37" s="33">
        <v>20903</v>
      </c>
      <c r="B37" s="11" t="s">
        <v>76</v>
      </c>
      <c r="C37">
        <v>1.0771387231958029E-2</v>
      </c>
      <c r="D37">
        <v>7.3808718282368253E-3</v>
      </c>
    </row>
    <row r="38" spans="1:4" ht="14.4">
      <c r="A38" s="33">
        <v>30302</v>
      </c>
      <c r="B38" s="11" t="s">
        <v>122</v>
      </c>
      <c r="C38">
        <v>9.078285472294197E-3</v>
      </c>
      <c r="D38">
        <v>7.4797010869565219E-3</v>
      </c>
    </row>
    <row r="39" spans="1:4" ht="14.4">
      <c r="A39" s="33">
        <v>71301</v>
      </c>
      <c r="B39" s="11" t="s">
        <v>300</v>
      </c>
      <c r="C39">
        <v>6.0386588358012319E-2</v>
      </c>
      <c r="D39">
        <v>7.5132538528642047E-3</v>
      </c>
    </row>
    <row r="40" spans="1:4" ht="14.4">
      <c r="A40" s="33">
        <v>70701</v>
      </c>
      <c r="B40" s="11" t="s">
        <v>272</v>
      </c>
      <c r="C40">
        <v>5.4643712870481934E-2</v>
      </c>
      <c r="D40">
        <v>7.8490413723511614E-3</v>
      </c>
    </row>
    <row r="41" spans="1:4" ht="14.4">
      <c r="A41" s="33">
        <v>41001</v>
      </c>
      <c r="B41" s="11" t="s">
        <v>190</v>
      </c>
      <c r="C41">
        <v>7.5234191934705798E-3</v>
      </c>
      <c r="D41">
        <v>7.8681691525618758E-3</v>
      </c>
    </row>
    <row r="42" spans="1:4" ht="14.4">
      <c r="A42" s="33">
        <v>70902</v>
      </c>
      <c r="B42" s="11" t="s">
        <v>285</v>
      </c>
      <c r="C42">
        <v>6.28094841997138E-2</v>
      </c>
      <c r="D42">
        <v>7.9040033016921172E-3</v>
      </c>
    </row>
    <row r="43" spans="1:4" ht="14.4">
      <c r="A43" s="33">
        <v>41301</v>
      </c>
      <c r="B43" s="11" t="s">
        <v>194</v>
      </c>
      <c r="C43">
        <v>1.0581016954816877E-3</v>
      </c>
      <c r="D43">
        <v>8.0311285217718881E-3</v>
      </c>
    </row>
    <row r="44" spans="1:4" ht="14.4">
      <c r="A44" s="33">
        <v>40402</v>
      </c>
      <c r="B44" s="11" t="s">
        <v>174</v>
      </c>
      <c r="C44">
        <v>8.7203107796835436E-3</v>
      </c>
      <c r="D44">
        <v>8.0598311218335345E-3</v>
      </c>
    </row>
    <row r="45" spans="1:4" ht="14.4">
      <c r="A45" s="33">
        <v>70803</v>
      </c>
      <c r="B45" s="11" t="s">
        <v>281</v>
      </c>
      <c r="C45">
        <v>3.6778386088678894E-2</v>
      </c>
      <c r="D45">
        <v>8.1071249552452564E-3</v>
      </c>
    </row>
    <row r="46" spans="1:4" ht="14.4">
      <c r="A46" s="33">
        <v>31101</v>
      </c>
      <c r="B46" s="11" t="s">
        <v>146</v>
      </c>
      <c r="C46">
        <v>8.9937578637521529E-3</v>
      </c>
      <c r="D46">
        <v>8.2149679721073548E-3</v>
      </c>
    </row>
    <row r="47" spans="1:4" ht="14.4">
      <c r="A47" s="33">
        <v>30303</v>
      </c>
      <c r="B47" s="11" t="s">
        <v>123</v>
      </c>
      <c r="C47">
        <v>8.5341152366354579E-3</v>
      </c>
      <c r="D47">
        <v>8.4501631986944117E-3</v>
      </c>
    </row>
    <row r="48" spans="1:4" ht="14.4">
      <c r="A48" s="33">
        <v>20402</v>
      </c>
      <c r="B48" s="11" t="s">
        <v>50</v>
      </c>
      <c r="C48">
        <v>1.0723321131596545E-2</v>
      </c>
      <c r="D48">
        <v>8.4766268036606598E-3</v>
      </c>
    </row>
    <row r="49" spans="1:4" ht="14.4">
      <c r="A49" s="33">
        <v>50702</v>
      </c>
      <c r="B49" s="11" t="s">
        <v>221</v>
      </c>
      <c r="C49">
        <v>9.590350277069417E-3</v>
      </c>
      <c r="D49">
        <v>8.4919366280444553E-3</v>
      </c>
    </row>
    <row r="50" spans="1:4" ht="14.4">
      <c r="A50" s="33">
        <v>31302</v>
      </c>
      <c r="B50" s="11" t="s">
        <v>154</v>
      </c>
      <c r="C50">
        <v>8.1206608549136607E-3</v>
      </c>
      <c r="D50">
        <v>8.5686498853546934E-3</v>
      </c>
    </row>
    <row r="51" spans="1:4" ht="14.4">
      <c r="A51" s="33">
        <v>40301</v>
      </c>
      <c r="B51" s="11" t="s">
        <v>171</v>
      </c>
      <c r="C51">
        <v>9.1817960623702538E-3</v>
      </c>
      <c r="D51">
        <v>8.6072417862244587E-3</v>
      </c>
    </row>
    <row r="52" spans="1:4" ht="14.4">
      <c r="A52" s="33">
        <v>21602</v>
      </c>
      <c r="B52" s="11" t="s">
        <v>106</v>
      </c>
      <c r="C52">
        <v>4.460628114208583E-3</v>
      </c>
      <c r="D52">
        <v>8.7149296626834061E-3</v>
      </c>
    </row>
    <row r="53" spans="1:4" ht="14.4">
      <c r="A53" s="33">
        <v>20302</v>
      </c>
      <c r="B53" s="11" t="s">
        <v>42</v>
      </c>
      <c r="C53">
        <v>9.0333889708201203E-3</v>
      </c>
      <c r="D53">
        <v>8.8354014129736671E-3</v>
      </c>
    </row>
    <row r="54" spans="1:4" ht="14.4">
      <c r="A54" s="33">
        <v>30601</v>
      </c>
      <c r="B54" s="11" t="s">
        <v>130</v>
      </c>
      <c r="C54">
        <v>7.7707983797773387E-3</v>
      </c>
      <c r="D54">
        <v>8.8581264108352157E-3</v>
      </c>
    </row>
    <row r="55" spans="1:4" ht="14.4">
      <c r="A55" s="33">
        <v>50404</v>
      </c>
      <c r="B55" s="11" t="s">
        <v>214</v>
      </c>
      <c r="C55">
        <v>7.5126820284629973E-3</v>
      </c>
      <c r="D55">
        <v>8.9975227085053681E-3</v>
      </c>
    </row>
    <row r="56" spans="1:4" ht="14.4">
      <c r="A56" s="33">
        <v>20605</v>
      </c>
      <c r="B56" s="11" t="s">
        <v>61</v>
      </c>
      <c r="C56">
        <v>1.1438646250894075E-2</v>
      </c>
      <c r="D56">
        <v>9.1590818928875047E-3</v>
      </c>
    </row>
    <row r="57" spans="1:4" ht="14.4">
      <c r="A57" s="33">
        <v>21803</v>
      </c>
      <c r="B57" s="11" t="s">
        <v>112</v>
      </c>
      <c r="C57">
        <v>7.6358416157036946E-3</v>
      </c>
      <c r="D57">
        <v>9.2218323586744644E-3</v>
      </c>
    </row>
    <row r="58" spans="1:4" ht="14.4">
      <c r="A58" s="33">
        <v>50501</v>
      </c>
      <c r="B58" s="11" t="s">
        <v>216</v>
      </c>
      <c r="C58">
        <v>5.5818724612218019E-3</v>
      </c>
      <c r="D58">
        <v>9.241948198198199E-3</v>
      </c>
    </row>
    <row r="59" spans="1:4" ht="14.4">
      <c r="A59" s="33">
        <v>30404</v>
      </c>
      <c r="B59" s="11" t="s">
        <v>127</v>
      </c>
      <c r="C59">
        <v>1.9602624141890779E-2</v>
      </c>
      <c r="D59">
        <v>9.4075797072388223E-3</v>
      </c>
    </row>
    <row r="60" spans="1:4" ht="14.4">
      <c r="A60" s="33">
        <v>20404</v>
      </c>
      <c r="B60" s="11" t="s">
        <v>52</v>
      </c>
      <c r="C60">
        <v>1.1011712876036053E-2</v>
      </c>
      <c r="D60">
        <v>9.6357016613644406E-3</v>
      </c>
    </row>
    <row r="61" spans="1:4" ht="14.4">
      <c r="A61" s="33">
        <v>50103</v>
      </c>
      <c r="B61" s="11" t="s">
        <v>202</v>
      </c>
      <c r="C61">
        <v>1.2217874874695174E-2</v>
      </c>
      <c r="D61">
        <v>9.7161511466579611E-3</v>
      </c>
    </row>
    <row r="62" spans="1:4" ht="14.4">
      <c r="A62" s="33">
        <v>50402</v>
      </c>
      <c r="B62" s="11" t="s">
        <v>212</v>
      </c>
      <c r="C62">
        <v>8.8089796837796178E-3</v>
      </c>
      <c r="D62">
        <v>9.7876870305754343E-3</v>
      </c>
    </row>
    <row r="63" spans="1:4" ht="14.4">
      <c r="A63" s="33">
        <v>50403</v>
      </c>
      <c r="B63" s="11" t="s">
        <v>213</v>
      </c>
      <c r="C63">
        <v>1.1967088688624722E-2</v>
      </c>
      <c r="D63">
        <v>1.0090107533470177E-2</v>
      </c>
    </row>
    <row r="64" spans="1:4" ht="14.4">
      <c r="A64" s="33">
        <v>41201</v>
      </c>
      <c r="B64" s="11" t="s">
        <v>192</v>
      </c>
      <c r="C64">
        <v>1.3703350637373816E-2</v>
      </c>
      <c r="D64">
        <v>1.0140960228173032E-2</v>
      </c>
    </row>
    <row r="65" spans="1:4" ht="14.4">
      <c r="A65" s="33">
        <v>41502</v>
      </c>
      <c r="B65" s="11" t="s">
        <v>197</v>
      </c>
      <c r="C65">
        <v>2.5101002311325687E-3</v>
      </c>
      <c r="D65">
        <v>1.0331929824561404E-2</v>
      </c>
    </row>
    <row r="66" spans="1:4" ht="14.4">
      <c r="A66" s="33">
        <v>41601</v>
      </c>
      <c r="B66" s="11" t="s">
        <v>199</v>
      </c>
      <c r="C66">
        <v>2.1247926524435852E-3</v>
      </c>
      <c r="D66">
        <v>1.0419979986511009E-2</v>
      </c>
    </row>
    <row r="67" spans="1:4" ht="14.4">
      <c r="A67" s="33">
        <v>10703</v>
      </c>
      <c r="B67" s="11" t="s">
        <v>21</v>
      </c>
      <c r="C67">
        <v>8.8745573840230702E-3</v>
      </c>
      <c r="D67">
        <v>1.0457267653482165E-2</v>
      </c>
    </row>
    <row r="68" spans="1:4" ht="14.4">
      <c r="A68" s="33">
        <v>21801</v>
      </c>
      <c r="B68" s="11" t="s">
        <v>110</v>
      </c>
      <c r="C68">
        <v>1.4818890659459305E-3</v>
      </c>
      <c r="D68">
        <v>1.0523359009899102E-2</v>
      </c>
    </row>
    <row r="69" spans="1:4" ht="14.4">
      <c r="A69" s="33">
        <v>70704</v>
      </c>
      <c r="B69" s="11" t="s">
        <v>275</v>
      </c>
      <c r="C69">
        <v>4.0909988360742625E-2</v>
      </c>
      <c r="D69">
        <v>1.0528059981255859E-2</v>
      </c>
    </row>
    <row r="70" spans="1:4" ht="14.4">
      <c r="A70" s="33">
        <v>21802</v>
      </c>
      <c r="B70" s="11" t="s">
        <v>111</v>
      </c>
      <c r="C70">
        <v>8.7023965478435811E-4</v>
      </c>
      <c r="D70">
        <v>1.0847375544508948E-2</v>
      </c>
    </row>
    <row r="71" spans="1:4" ht="14.4">
      <c r="A71" s="33">
        <v>30301</v>
      </c>
      <c r="B71" s="11" t="s">
        <v>121</v>
      </c>
      <c r="C71">
        <v>1.0395538974054061E-2</v>
      </c>
      <c r="D71">
        <v>1.1083282145312859E-2</v>
      </c>
    </row>
    <row r="72" spans="1:4" ht="14.4">
      <c r="A72" s="33">
        <v>20202</v>
      </c>
      <c r="B72" s="11" t="s">
        <v>36</v>
      </c>
      <c r="C72">
        <v>1.6824069935125818E-2</v>
      </c>
      <c r="D72">
        <v>1.1176476139916239E-2</v>
      </c>
    </row>
    <row r="73" spans="1:4" ht="14.4">
      <c r="A73" s="33">
        <v>40401</v>
      </c>
      <c r="B73" s="11" t="s">
        <v>173</v>
      </c>
      <c r="C73">
        <v>1.1461510870213947E-2</v>
      </c>
      <c r="D73">
        <v>1.1225647165572346E-2</v>
      </c>
    </row>
    <row r="74" spans="1:4" ht="14.4">
      <c r="A74" s="33">
        <v>10103</v>
      </c>
      <c r="B74" s="11" t="s">
        <v>3</v>
      </c>
      <c r="C74">
        <v>4.2141930515129725E-3</v>
      </c>
      <c r="D74">
        <v>1.1282408967689941E-2</v>
      </c>
    </row>
    <row r="75" spans="1:4" ht="14.4">
      <c r="A75" s="33">
        <v>10202</v>
      </c>
      <c r="B75" s="11" t="s">
        <v>5</v>
      </c>
      <c r="C75">
        <v>9.7660776903970552E-3</v>
      </c>
      <c r="D75">
        <v>1.1658434451582203E-2</v>
      </c>
    </row>
    <row r="76" spans="1:4" ht="14.4">
      <c r="A76" s="33">
        <v>51002</v>
      </c>
      <c r="B76" s="11" t="s">
        <v>227</v>
      </c>
      <c r="D76">
        <v>1.1686243902439025E-2</v>
      </c>
    </row>
    <row r="77" spans="1:4" ht="14.4">
      <c r="A77" s="33">
        <v>20502</v>
      </c>
      <c r="B77" s="11" t="s">
        <v>55</v>
      </c>
      <c r="C77">
        <v>1.3040111416686472E-2</v>
      </c>
      <c r="D77">
        <v>1.1730379887030681E-2</v>
      </c>
    </row>
    <row r="78" spans="1:4" ht="14.4">
      <c r="A78" s="33">
        <v>51301</v>
      </c>
      <c r="B78" s="11" t="s">
        <v>236</v>
      </c>
      <c r="C78">
        <v>1.0349525252509321E-2</v>
      </c>
      <c r="D78">
        <v>1.1787234042553192E-2</v>
      </c>
    </row>
    <row r="79" spans="1:4" ht="14.4">
      <c r="A79" s="33">
        <v>20501</v>
      </c>
      <c r="B79" s="11" t="s">
        <v>54</v>
      </c>
      <c r="C79">
        <v>1.2796645089410703E-2</v>
      </c>
      <c r="D79">
        <v>1.2069545709478408E-2</v>
      </c>
    </row>
    <row r="80" spans="1:4" ht="14.4">
      <c r="A80" s="33">
        <v>20304</v>
      </c>
      <c r="B80" s="11" t="s">
        <v>44</v>
      </c>
      <c r="C80">
        <v>1.2076621250943479E-2</v>
      </c>
      <c r="D80">
        <v>1.2247957235586101E-2</v>
      </c>
    </row>
    <row r="81" spans="1:4" ht="14.4">
      <c r="A81" s="33">
        <v>70301</v>
      </c>
      <c r="B81" s="11" t="s">
        <v>259</v>
      </c>
      <c r="C81">
        <v>7.0778839276687808E-2</v>
      </c>
      <c r="D81">
        <v>1.2256435628809442E-2</v>
      </c>
    </row>
    <row r="82" spans="1:4" ht="14.4">
      <c r="A82" s="33">
        <v>21307</v>
      </c>
      <c r="B82" s="11" t="s">
        <v>100</v>
      </c>
      <c r="C82">
        <v>1.0350182594747202E-2</v>
      </c>
      <c r="D82">
        <v>1.2483170466883822E-2</v>
      </c>
    </row>
    <row r="83" spans="1:4" ht="14.4">
      <c r="A83" s="33">
        <v>71103</v>
      </c>
      <c r="B83" s="11" t="s">
        <v>295</v>
      </c>
      <c r="C83">
        <v>0.10528632648961486</v>
      </c>
      <c r="D83">
        <v>1.2498723802833393E-2</v>
      </c>
    </row>
    <row r="84" spans="1:4" ht="14.4">
      <c r="A84" s="33">
        <v>71102</v>
      </c>
      <c r="B84" s="11" t="s">
        <v>294</v>
      </c>
      <c r="C84">
        <v>7.5522751566153054E-2</v>
      </c>
      <c r="D84">
        <v>1.328237506716819E-2</v>
      </c>
    </row>
    <row r="85" spans="1:4" ht="14.4">
      <c r="A85" s="33">
        <v>21601</v>
      </c>
      <c r="B85" s="11" t="s">
        <v>105</v>
      </c>
      <c r="C85">
        <v>8.6409586698545562E-3</v>
      </c>
      <c r="D85">
        <v>1.3362177250523377E-2</v>
      </c>
    </row>
    <row r="86" spans="1:4" ht="14.4">
      <c r="A86" s="33">
        <v>21901</v>
      </c>
      <c r="B86" s="11" t="s">
        <v>113</v>
      </c>
      <c r="C86">
        <v>1.0629643550398244E-2</v>
      </c>
      <c r="D86">
        <v>1.3438471711976489E-2</v>
      </c>
    </row>
    <row r="87" spans="1:4" ht="14.4">
      <c r="A87" s="33">
        <v>71401</v>
      </c>
      <c r="B87" s="11" t="s">
        <v>302</v>
      </c>
      <c r="C87">
        <v>0.16236909339991984</v>
      </c>
      <c r="D87">
        <v>1.3461698340701614E-2</v>
      </c>
    </row>
    <row r="88" spans="1:4" ht="14.4">
      <c r="A88" s="33">
        <v>10302</v>
      </c>
      <c r="B88" s="11" t="s">
        <v>7</v>
      </c>
      <c r="C88">
        <v>9.6938565353354E-3</v>
      </c>
      <c r="D88">
        <v>1.351938751096579E-2</v>
      </c>
    </row>
    <row r="89" spans="1:4" ht="14.4">
      <c r="A89" s="33">
        <v>50701</v>
      </c>
      <c r="B89" s="11" t="s">
        <v>220</v>
      </c>
      <c r="C89">
        <v>1.2212770485646975E-2</v>
      </c>
      <c r="D89">
        <v>1.3545318221447255E-2</v>
      </c>
    </row>
    <row r="90" spans="1:4" ht="14.4">
      <c r="A90" s="33">
        <v>11002</v>
      </c>
      <c r="B90" s="11" t="s">
        <v>28</v>
      </c>
      <c r="C90">
        <v>2.9723948119467214E-2</v>
      </c>
      <c r="D90">
        <v>1.3580526109148016E-2</v>
      </c>
    </row>
    <row r="91" spans="1:4" ht="14.4">
      <c r="A91" s="33">
        <v>20401</v>
      </c>
      <c r="B91" s="11" t="s">
        <v>49</v>
      </c>
      <c r="C91">
        <v>1.4381536451022107E-2</v>
      </c>
      <c r="D91">
        <v>1.3746645732229518E-2</v>
      </c>
    </row>
    <row r="92" spans="1:4" ht="14.4">
      <c r="A92" s="33">
        <v>40902</v>
      </c>
      <c r="B92" s="11" t="s">
        <v>188</v>
      </c>
      <c r="C92">
        <v>3.0882067329027083E-2</v>
      </c>
      <c r="D92">
        <v>1.4010241820768135E-2</v>
      </c>
    </row>
    <row r="93" spans="1:4" ht="14.4">
      <c r="A93" s="33">
        <v>20807</v>
      </c>
      <c r="B93" s="11" t="s">
        <v>73</v>
      </c>
      <c r="C93">
        <v>1.4599913244363803E-2</v>
      </c>
      <c r="D93">
        <v>1.4033580901856763E-2</v>
      </c>
    </row>
    <row r="94" spans="1:4" ht="14.4">
      <c r="A94" s="33">
        <v>71104</v>
      </c>
      <c r="B94" s="11" t="s">
        <v>296</v>
      </c>
      <c r="C94">
        <v>8.7456479201323017E-2</v>
      </c>
      <c r="D94">
        <v>1.4215404484624463E-2</v>
      </c>
    </row>
    <row r="95" spans="1:4" ht="14.4">
      <c r="A95" s="33">
        <v>21303</v>
      </c>
      <c r="B95" s="11" t="s">
        <v>96</v>
      </c>
      <c r="C95">
        <v>1.5385588197149283E-2</v>
      </c>
      <c r="D95">
        <v>1.4224196127198437E-2</v>
      </c>
    </row>
    <row r="96" spans="1:4" ht="14.4">
      <c r="A96" s="33">
        <v>40801</v>
      </c>
      <c r="B96" s="11" t="s">
        <v>185</v>
      </c>
      <c r="C96">
        <v>2.0493756638115368E-2</v>
      </c>
      <c r="D96">
        <v>1.4312263085226559E-2</v>
      </c>
    </row>
    <row r="97" spans="1:4" ht="14.4">
      <c r="A97" s="33">
        <v>21001</v>
      </c>
      <c r="B97" s="11" t="s">
        <v>79</v>
      </c>
      <c r="C97">
        <v>1.1446689119291437E-2</v>
      </c>
      <c r="D97">
        <v>1.4433492156967717E-2</v>
      </c>
    </row>
    <row r="98" spans="1:4" ht="14.4">
      <c r="A98" s="33">
        <v>20403</v>
      </c>
      <c r="B98" s="11" t="s">
        <v>51</v>
      </c>
      <c r="C98">
        <v>1.6207958745859716E-2</v>
      </c>
      <c r="D98">
        <v>1.4718804799261654E-2</v>
      </c>
    </row>
    <row r="99" spans="1:4" ht="14.4">
      <c r="A99" s="33">
        <v>21302</v>
      </c>
      <c r="B99" s="11" t="s">
        <v>95</v>
      </c>
      <c r="C99">
        <v>1.5131586594183209E-2</v>
      </c>
      <c r="D99">
        <v>1.4857613711272248E-2</v>
      </c>
    </row>
    <row r="100" spans="1:4" ht="14.4">
      <c r="A100" s="33">
        <v>41501</v>
      </c>
      <c r="B100" s="11" t="s">
        <v>196</v>
      </c>
      <c r="C100">
        <v>4.362631585638186E-3</v>
      </c>
      <c r="D100">
        <v>1.4969889064976229E-2</v>
      </c>
    </row>
    <row r="101" spans="1:4" ht="14.4">
      <c r="A101" s="33">
        <v>51003</v>
      </c>
      <c r="B101" s="11" t="s">
        <v>228</v>
      </c>
      <c r="C101">
        <v>1.575571950798875E-2</v>
      </c>
      <c r="D101">
        <v>1.4999586776859506E-2</v>
      </c>
    </row>
    <row r="102" spans="1:4" ht="14.4">
      <c r="A102" s="33">
        <v>40901</v>
      </c>
      <c r="B102" s="11" t="s">
        <v>187</v>
      </c>
      <c r="C102">
        <v>1.244299436972845E-2</v>
      </c>
      <c r="D102">
        <v>1.5392982456140351E-2</v>
      </c>
    </row>
    <row r="103" spans="1:4" ht="14.4">
      <c r="A103" s="33">
        <v>70801</v>
      </c>
      <c r="B103" s="11" t="s">
        <v>279</v>
      </c>
      <c r="C103">
        <v>8.0918569348215466E-2</v>
      </c>
      <c r="D103">
        <v>1.5795883819351847E-2</v>
      </c>
    </row>
    <row r="104" spans="1:4" ht="14.4">
      <c r="A104" s="33">
        <v>70302</v>
      </c>
      <c r="B104" s="11" t="s">
        <v>260</v>
      </c>
      <c r="C104">
        <v>5.7610957161372864E-2</v>
      </c>
      <c r="D104">
        <v>1.6049819541964695E-2</v>
      </c>
    </row>
    <row r="105" spans="1:4" ht="14.4">
      <c r="A105" s="33">
        <v>40903</v>
      </c>
      <c r="B105" s="11" t="s">
        <v>189</v>
      </c>
      <c r="C105">
        <v>1.5957735854863313E-2</v>
      </c>
      <c r="D105">
        <v>1.6051634819532912E-2</v>
      </c>
    </row>
    <row r="106" spans="1:4" ht="14.4">
      <c r="A106" s="33">
        <v>21702</v>
      </c>
      <c r="B106" s="11" t="s">
        <v>108</v>
      </c>
      <c r="C106">
        <v>2.6748314355823567E-2</v>
      </c>
      <c r="D106">
        <v>1.6062985595809692E-2</v>
      </c>
    </row>
    <row r="107" spans="1:4" ht="14.4">
      <c r="A107" s="33">
        <v>51302</v>
      </c>
      <c r="B107" s="11" t="s">
        <v>237</v>
      </c>
      <c r="C107">
        <v>1.1485816341092881E-2</v>
      </c>
      <c r="D107">
        <v>1.6145649742786851E-2</v>
      </c>
    </row>
    <row r="108" spans="1:4" ht="14.4">
      <c r="A108" s="33">
        <v>10304</v>
      </c>
      <c r="B108" s="11" t="s">
        <v>9</v>
      </c>
      <c r="C108">
        <v>1.420578094082388E-2</v>
      </c>
      <c r="D108">
        <v>1.639794647733479E-2</v>
      </c>
    </row>
    <row r="109" spans="1:4" ht="14.4">
      <c r="A109" s="33">
        <v>40302</v>
      </c>
      <c r="B109" s="11" t="s">
        <v>172</v>
      </c>
      <c r="C109">
        <v>9.1386847034644354E-3</v>
      </c>
      <c r="D109">
        <v>1.6441054313099043E-2</v>
      </c>
    </row>
    <row r="110" spans="1:4" ht="14.4">
      <c r="A110" s="33">
        <v>30402</v>
      </c>
      <c r="B110" s="11" t="s">
        <v>125</v>
      </c>
      <c r="C110">
        <v>1.4996464113543809E-2</v>
      </c>
      <c r="D110">
        <v>1.6686571233810499E-2</v>
      </c>
    </row>
    <row r="111" spans="1:4" ht="14.4">
      <c r="A111" s="33">
        <v>20405</v>
      </c>
      <c r="B111" s="11" t="s">
        <v>53</v>
      </c>
      <c r="C111">
        <v>1.5289865573359828E-2</v>
      </c>
      <c r="D111">
        <v>1.6883512504243522E-2</v>
      </c>
    </row>
    <row r="112" spans="1:4" ht="14.4">
      <c r="A112" s="33">
        <v>70503</v>
      </c>
      <c r="B112" s="11" t="s">
        <v>268</v>
      </c>
      <c r="C112">
        <v>0.10650145068076938</v>
      </c>
      <c r="D112">
        <v>1.7101934658636679E-2</v>
      </c>
    </row>
    <row r="113" spans="1:4" ht="14.4">
      <c r="A113" s="33">
        <v>41401</v>
      </c>
      <c r="B113" s="11" t="s">
        <v>195</v>
      </c>
      <c r="C113">
        <v>1.625151240110119E-2</v>
      </c>
      <c r="D113">
        <v>1.7295422900311067E-2</v>
      </c>
    </row>
    <row r="114" spans="1:4" ht="14.4">
      <c r="A114" s="33">
        <v>20301</v>
      </c>
      <c r="B114" s="11" t="s">
        <v>41</v>
      </c>
      <c r="C114">
        <v>2.0218579400414782E-2</v>
      </c>
      <c r="D114">
        <v>1.7330322485425431E-2</v>
      </c>
    </row>
    <row r="115" spans="1:4" ht="14.4">
      <c r="A115" s="33">
        <v>21006</v>
      </c>
      <c r="B115" s="11" t="s">
        <v>84</v>
      </c>
      <c r="C115">
        <v>1.3734118385371509E-2</v>
      </c>
      <c r="D115">
        <v>1.7809572172146758E-2</v>
      </c>
    </row>
    <row r="116" spans="1:4" ht="14.4">
      <c r="A116" s="33">
        <v>51001</v>
      </c>
      <c r="B116" s="11" t="s">
        <v>226</v>
      </c>
      <c r="C116">
        <v>2.7294024841774293E-2</v>
      </c>
      <c r="D116">
        <v>1.7847873015873018E-2</v>
      </c>
    </row>
    <row r="117" spans="1:4" ht="14.4">
      <c r="A117" s="33">
        <v>21301</v>
      </c>
      <c r="B117" s="11" t="s">
        <v>94</v>
      </c>
      <c r="C117">
        <v>1.6617917344986254E-2</v>
      </c>
      <c r="D117">
        <v>1.7858993654974179E-2</v>
      </c>
    </row>
    <row r="118" spans="1:4" ht="14.4">
      <c r="A118" s="33">
        <v>20205</v>
      </c>
      <c r="B118" s="11" t="s">
        <v>39</v>
      </c>
      <c r="C118">
        <v>1.8012721478658348E-2</v>
      </c>
      <c r="D118">
        <v>1.7945730591148918E-2</v>
      </c>
    </row>
    <row r="119" spans="1:4" ht="14.4">
      <c r="A119" s="33">
        <v>40104</v>
      </c>
      <c r="B119" s="11" t="s">
        <v>168</v>
      </c>
      <c r="C119">
        <v>1.5038396409915387E-2</v>
      </c>
      <c r="D119">
        <v>1.7986538949505203E-2</v>
      </c>
    </row>
    <row r="120" spans="1:4" ht="14.4">
      <c r="A120" s="33">
        <v>20203</v>
      </c>
      <c r="B120" s="11" t="s">
        <v>37</v>
      </c>
      <c r="C120">
        <v>2.5162743729113052E-2</v>
      </c>
      <c r="D120">
        <v>1.8027954608358706E-2</v>
      </c>
    </row>
    <row r="121" spans="1:4" ht="14.4">
      <c r="A121" s="33">
        <v>30502</v>
      </c>
      <c r="B121" s="11" t="s">
        <v>129</v>
      </c>
      <c r="C121">
        <v>1.379541254160754E-2</v>
      </c>
      <c r="D121">
        <v>1.8500796765370437E-2</v>
      </c>
    </row>
    <row r="122" spans="1:4" ht="14.4">
      <c r="A122" s="33">
        <v>40501</v>
      </c>
      <c r="B122" s="11" t="s">
        <v>175</v>
      </c>
      <c r="C122">
        <v>3.6645463636566365E-2</v>
      </c>
      <c r="D122">
        <v>1.8660882572924458E-2</v>
      </c>
    </row>
    <row r="123" spans="1:4" ht="14.4">
      <c r="A123" s="33">
        <v>10704</v>
      </c>
      <c r="B123" s="11" t="s">
        <v>22</v>
      </c>
      <c r="C123">
        <v>1.2376075988978656E-2</v>
      </c>
      <c r="D123">
        <v>1.8827391121691638E-2</v>
      </c>
    </row>
    <row r="124" spans="1:4" ht="14.4">
      <c r="A124" s="33">
        <v>21306</v>
      </c>
      <c r="B124" s="11" t="s">
        <v>99</v>
      </c>
      <c r="C124">
        <v>1.91215926807458E-2</v>
      </c>
      <c r="D124">
        <v>1.9027766212970379E-2</v>
      </c>
    </row>
    <row r="125" spans="1:4" ht="14.4">
      <c r="A125" s="33">
        <v>70707</v>
      </c>
      <c r="B125" s="11" t="s">
        <v>278</v>
      </c>
      <c r="C125">
        <v>7.3402204646222741E-2</v>
      </c>
      <c r="D125">
        <v>1.9391375623663578E-2</v>
      </c>
    </row>
    <row r="126" spans="1:4" ht="14.4">
      <c r="A126" s="33">
        <v>71501</v>
      </c>
      <c r="B126" s="11" t="s">
        <v>305</v>
      </c>
      <c r="C126">
        <v>8.5778167685403278E-2</v>
      </c>
      <c r="D126">
        <v>1.973964024765985E-2</v>
      </c>
    </row>
    <row r="127" spans="1:4" ht="14.4">
      <c r="A127" s="33">
        <v>71101</v>
      </c>
      <c r="B127" s="11" t="s">
        <v>293</v>
      </c>
      <c r="C127">
        <v>6.7001391060754312E-2</v>
      </c>
      <c r="D127">
        <v>1.978026429377781E-2</v>
      </c>
    </row>
    <row r="128" spans="1:4" ht="14.4">
      <c r="A128" s="33">
        <v>20604</v>
      </c>
      <c r="B128" s="11" t="s">
        <v>60</v>
      </c>
      <c r="C128">
        <v>2.1129058457113173E-2</v>
      </c>
      <c r="D128">
        <v>1.9890151515151517E-2</v>
      </c>
    </row>
    <row r="129" spans="1:4" ht="14.4">
      <c r="A129" s="33">
        <v>21304</v>
      </c>
      <c r="B129" s="11" t="s">
        <v>97</v>
      </c>
      <c r="C129">
        <v>1.9092857136158273E-2</v>
      </c>
      <c r="D129">
        <v>2.0579969987603575E-2</v>
      </c>
    </row>
    <row r="130" spans="1:4" ht="14.4">
      <c r="A130" s="33">
        <v>50602</v>
      </c>
      <c r="B130" s="11" t="s">
        <v>219</v>
      </c>
      <c r="C130">
        <v>1.9208806693717429E-2</v>
      </c>
      <c r="D130">
        <v>2.114399057344855E-2</v>
      </c>
    </row>
    <row r="131" spans="1:4" ht="14.4">
      <c r="A131" s="33">
        <v>20803</v>
      </c>
      <c r="B131" s="11" t="s">
        <v>69</v>
      </c>
      <c r="C131">
        <v>2.0395739657354219E-2</v>
      </c>
      <c r="D131">
        <v>2.1253282532239154E-2</v>
      </c>
    </row>
    <row r="132" spans="1:4" ht="14.4">
      <c r="A132" s="33">
        <v>10702</v>
      </c>
      <c r="B132" s="11" t="s">
        <v>20</v>
      </c>
      <c r="C132">
        <v>1.3943763301504914E-2</v>
      </c>
      <c r="D132">
        <v>2.1414411379374883E-2</v>
      </c>
    </row>
    <row r="133" spans="1:4" ht="14.4">
      <c r="A133" s="33">
        <v>90302</v>
      </c>
      <c r="B133" s="11" t="s">
        <v>332</v>
      </c>
      <c r="C133">
        <v>1.4491968027716863E-2</v>
      </c>
      <c r="D133">
        <v>2.1504861676171688E-2</v>
      </c>
    </row>
    <row r="134" spans="1:4" ht="14.4">
      <c r="A134" s="33">
        <v>10201</v>
      </c>
      <c r="B134" s="11" t="s">
        <v>4</v>
      </c>
      <c r="C134">
        <v>1.3665694324462425E-2</v>
      </c>
      <c r="D134">
        <v>2.1600911046438062E-2</v>
      </c>
    </row>
    <row r="135" spans="1:4" ht="14.4">
      <c r="A135" s="33">
        <v>20206</v>
      </c>
      <c r="B135" s="11" t="s">
        <v>40</v>
      </c>
      <c r="C135">
        <v>1.7511008308204467E-2</v>
      </c>
      <c r="D135">
        <v>2.1664165689722549E-2</v>
      </c>
    </row>
    <row r="136" spans="1:4" ht="14.4">
      <c r="A136" s="33">
        <v>51202</v>
      </c>
      <c r="B136" s="11" t="s">
        <v>233</v>
      </c>
      <c r="C136">
        <v>1.8317304554646634E-2</v>
      </c>
      <c r="D136">
        <v>2.1771829190567242E-2</v>
      </c>
    </row>
    <row r="137" spans="1:4" ht="14.4">
      <c r="A137" s="33">
        <v>71402</v>
      </c>
      <c r="B137" s="11" t="s">
        <v>303</v>
      </c>
      <c r="C137">
        <v>0.20120772080123092</v>
      </c>
      <c r="D137">
        <v>2.1785490152442417E-2</v>
      </c>
    </row>
    <row r="138" spans="1:4" ht="14.4">
      <c r="A138" s="33">
        <v>50302</v>
      </c>
      <c r="B138" s="11" t="s">
        <v>209</v>
      </c>
      <c r="C138">
        <v>2.3834425892043105E-2</v>
      </c>
      <c r="D138">
        <v>2.184297253634895E-2</v>
      </c>
    </row>
    <row r="139" spans="1:4" ht="14.4">
      <c r="A139" s="33">
        <v>41101</v>
      </c>
      <c r="B139" s="11" t="s">
        <v>191</v>
      </c>
      <c r="C139">
        <v>3.4270699605934447E-3</v>
      </c>
      <c r="D139">
        <v>2.2122699160382387E-2</v>
      </c>
    </row>
    <row r="140" spans="1:4" ht="14.4">
      <c r="A140" s="33">
        <v>30202</v>
      </c>
      <c r="B140" s="11" t="s">
        <v>119</v>
      </c>
      <c r="C140">
        <v>1.5115623612677195E-2</v>
      </c>
      <c r="D140">
        <v>2.2254640926640926E-2</v>
      </c>
    </row>
    <row r="141" spans="1:4" ht="14.4">
      <c r="A141" s="33">
        <v>70901</v>
      </c>
      <c r="B141" s="11" t="s">
        <v>284</v>
      </c>
      <c r="C141">
        <v>9.9277079509387578E-2</v>
      </c>
      <c r="D141">
        <v>2.259468040192519E-2</v>
      </c>
    </row>
    <row r="142" spans="1:4" ht="14.4">
      <c r="A142" s="33">
        <v>20905</v>
      </c>
      <c r="B142" s="11" t="s">
        <v>78</v>
      </c>
      <c r="C142">
        <v>1.9164438555511903E-2</v>
      </c>
      <c r="D142">
        <v>2.3405559641123695E-2</v>
      </c>
    </row>
    <row r="143" spans="1:4" ht="14.4">
      <c r="A143" s="33">
        <v>20204</v>
      </c>
      <c r="B143" s="11" t="s">
        <v>38</v>
      </c>
      <c r="C143">
        <v>2.4801171895480548E-2</v>
      </c>
      <c r="D143">
        <v>2.3847678303952069E-2</v>
      </c>
    </row>
    <row r="144" spans="1:4" ht="14.4">
      <c r="A144" s="33">
        <v>10405</v>
      </c>
      <c r="B144" s="11" t="s">
        <v>14</v>
      </c>
      <c r="C144">
        <v>1.8170746758392909E-2</v>
      </c>
      <c r="D144">
        <v>2.4179412805093739E-2</v>
      </c>
    </row>
    <row r="145" spans="1:4" ht="14.4">
      <c r="A145" s="33">
        <v>10601</v>
      </c>
      <c r="B145" s="11" t="s">
        <v>17</v>
      </c>
      <c r="C145">
        <v>1.6973883211286098E-2</v>
      </c>
      <c r="D145">
        <v>2.4199114313593034E-2</v>
      </c>
    </row>
    <row r="146" spans="1:4" ht="14.4">
      <c r="A146" s="33">
        <v>20902</v>
      </c>
      <c r="B146" s="11" t="s">
        <v>75</v>
      </c>
      <c r="C146">
        <v>2.328212993828993E-2</v>
      </c>
      <c r="D146">
        <v>2.4282087652300419E-2</v>
      </c>
    </row>
    <row r="147" spans="1:4" ht="14.4">
      <c r="A147" s="33">
        <v>10901</v>
      </c>
      <c r="B147" s="11" t="s">
        <v>24</v>
      </c>
      <c r="C147">
        <v>2.1884131625444007E-2</v>
      </c>
      <c r="D147">
        <v>2.4421953488372096E-2</v>
      </c>
    </row>
    <row r="148" spans="1:4" ht="14.4">
      <c r="A148" s="33">
        <v>51402</v>
      </c>
      <c r="B148" s="11" t="s">
        <v>239</v>
      </c>
      <c r="C148">
        <v>2.0704426980606212E-2</v>
      </c>
      <c r="D148">
        <v>2.4824320827943083E-2</v>
      </c>
    </row>
    <row r="149" spans="1:4" ht="14.4">
      <c r="A149" s="33">
        <v>70303</v>
      </c>
      <c r="B149" s="11" t="s">
        <v>261</v>
      </c>
      <c r="C149">
        <v>5.5033636339810482E-2</v>
      </c>
      <c r="D149">
        <v>2.4904953630400364E-2</v>
      </c>
    </row>
    <row r="150" spans="1:4" ht="14.4">
      <c r="A150" s="33">
        <v>20702</v>
      </c>
      <c r="B150" s="11" t="s">
        <v>66</v>
      </c>
      <c r="C150">
        <v>2.242493365426506E-2</v>
      </c>
      <c r="D150">
        <v>2.5164061810154525E-2</v>
      </c>
    </row>
    <row r="151" spans="1:4" ht="14.4">
      <c r="A151" s="33">
        <v>50502</v>
      </c>
      <c r="B151" s="11" t="s">
        <v>217</v>
      </c>
      <c r="C151">
        <v>1.3330338333656244E-2</v>
      </c>
      <c r="D151">
        <v>2.5529923464625726E-2</v>
      </c>
    </row>
    <row r="152" spans="1:4" ht="14.4">
      <c r="A152" s="33">
        <v>60402</v>
      </c>
      <c r="B152" s="11" t="s">
        <v>249</v>
      </c>
      <c r="C152">
        <v>1.1723164920697932E-2</v>
      </c>
      <c r="D152">
        <v>2.5751787968026924E-2</v>
      </c>
    </row>
    <row r="153" spans="1:4" ht="14.4">
      <c r="A153" s="33">
        <v>10602</v>
      </c>
      <c r="B153" s="11" t="s">
        <v>18</v>
      </c>
      <c r="C153">
        <v>1.7934943002027089E-2</v>
      </c>
      <c r="D153">
        <v>2.6405424528301889E-2</v>
      </c>
    </row>
    <row r="154" spans="1:4" ht="14.4">
      <c r="A154" s="33">
        <v>31202</v>
      </c>
      <c r="B154" s="11" t="s">
        <v>148</v>
      </c>
      <c r="C154">
        <v>2.6465038235205102E-2</v>
      </c>
      <c r="D154">
        <v>2.6941356932153396E-2</v>
      </c>
    </row>
    <row r="155" spans="1:4" ht="14.4">
      <c r="A155" s="33">
        <v>30703</v>
      </c>
      <c r="B155" s="11" t="s">
        <v>134</v>
      </c>
      <c r="C155">
        <v>2.1790680636528548E-2</v>
      </c>
      <c r="D155">
        <v>2.6979095477386937E-2</v>
      </c>
    </row>
    <row r="156" spans="1:4" ht="14.4">
      <c r="A156" s="33">
        <v>10303</v>
      </c>
      <c r="B156" s="11" t="s">
        <v>8</v>
      </c>
      <c r="C156">
        <v>2.2730403751847591E-2</v>
      </c>
      <c r="D156">
        <v>2.7280795140806186E-2</v>
      </c>
    </row>
    <row r="157" spans="1:4" ht="14.4">
      <c r="A157" s="33">
        <v>10902</v>
      </c>
      <c r="B157" s="11" t="s">
        <v>25</v>
      </c>
      <c r="C157">
        <v>1.868508930083591E-2</v>
      </c>
      <c r="D157">
        <v>2.7600862068965518E-2</v>
      </c>
    </row>
    <row r="158" spans="1:4" ht="14.4">
      <c r="A158" s="33">
        <v>21202</v>
      </c>
      <c r="B158" s="11" t="s">
        <v>91</v>
      </c>
      <c r="C158">
        <v>2.3055968245847824E-2</v>
      </c>
      <c r="D158">
        <v>2.7851857601159061E-2</v>
      </c>
    </row>
    <row r="159" spans="1:4" ht="14.4">
      <c r="A159" s="33">
        <v>70702</v>
      </c>
      <c r="B159" s="11" t="s">
        <v>273</v>
      </c>
      <c r="C159">
        <v>3.410772824673039E-2</v>
      </c>
      <c r="D159">
        <v>2.7938042686100988E-2</v>
      </c>
    </row>
    <row r="160" spans="1:4" ht="14.4">
      <c r="A160" s="33">
        <v>70706</v>
      </c>
      <c r="B160" s="11" t="s">
        <v>277</v>
      </c>
      <c r="C160">
        <v>0.15214546225577757</v>
      </c>
      <c r="D160">
        <v>2.809101440297352E-2</v>
      </c>
    </row>
    <row r="161" spans="1:4" ht="14.4">
      <c r="A161" s="33">
        <v>31203</v>
      </c>
      <c r="B161" s="11" t="s">
        <v>149</v>
      </c>
      <c r="C161">
        <v>3.2600302109966652E-2</v>
      </c>
      <c r="D161">
        <v>2.8148768151411322E-2</v>
      </c>
    </row>
    <row r="162" spans="1:4" ht="14.4">
      <c r="A162" s="33">
        <v>31201</v>
      </c>
      <c r="B162" s="11" t="s">
        <v>147</v>
      </c>
      <c r="C162">
        <v>2.2213059732634641E-2</v>
      </c>
      <c r="D162">
        <v>2.8281465488158696E-2</v>
      </c>
    </row>
    <row r="163" spans="1:4" ht="14.4">
      <c r="A163" s="33">
        <v>50401</v>
      </c>
      <c r="B163" s="11" t="s">
        <v>211</v>
      </c>
      <c r="C163">
        <v>3.2169759475745331E-2</v>
      </c>
      <c r="D163">
        <v>2.8446739595428712E-2</v>
      </c>
    </row>
    <row r="164" spans="1:4" ht="14.4">
      <c r="A164" s="33">
        <v>40102</v>
      </c>
      <c r="B164" s="11" t="s">
        <v>166</v>
      </c>
      <c r="C164">
        <v>2.1850089041013151E-2</v>
      </c>
      <c r="D164">
        <v>2.8631439825524723E-2</v>
      </c>
    </row>
    <row r="165" spans="1:4" ht="14.4">
      <c r="A165" s="33">
        <v>50601</v>
      </c>
      <c r="B165" s="11" t="s">
        <v>218</v>
      </c>
      <c r="C165">
        <v>2.4394134252341777E-2</v>
      </c>
      <c r="D165">
        <v>2.8738304643920472E-2</v>
      </c>
    </row>
    <row r="166" spans="1:4" ht="14.4">
      <c r="A166" s="33">
        <v>31404</v>
      </c>
      <c r="B166" s="11" t="s">
        <v>160</v>
      </c>
      <c r="C166">
        <v>2.7212326633353622E-2</v>
      </c>
      <c r="D166">
        <v>2.9147163947163952E-2</v>
      </c>
    </row>
    <row r="167" spans="1:4" ht="14.4">
      <c r="A167" s="33">
        <v>10403</v>
      </c>
      <c r="B167" s="11" t="s">
        <v>12</v>
      </c>
      <c r="C167">
        <v>2.2799833045514594E-2</v>
      </c>
      <c r="D167">
        <v>2.9248112935753388E-2</v>
      </c>
    </row>
    <row r="168" spans="1:4" ht="14.4">
      <c r="A168" s="33">
        <v>51102</v>
      </c>
      <c r="B168" s="11" t="s">
        <v>230</v>
      </c>
      <c r="C168">
        <v>2.530231055897849E-2</v>
      </c>
      <c r="D168">
        <v>2.9366966689745363E-2</v>
      </c>
    </row>
    <row r="169" spans="1:4" ht="14.4">
      <c r="A169" s="33">
        <v>20802</v>
      </c>
      <c r="B169" s="11" t="s">
        <v>68</v>
      </c>
      <c r="C169">
        <v>2.9996112047244897E-2</v>
      </c>
      <c r="D169">
        <v>2.9404096834264433E-2</v>
      </c>
    </row>
    <row r="170" spans="1:4" ht="14.4">
      <c r="A170" s="33">
        <v>51101</v>
      </c>
      <c r="B170" s="11" t="s">
        <v>229</v>
      </c>
      <c r="C170">
        <v>2.4218471636383732E-2</v>
      </c>
      <c r="D170">
        <v>2.9902983708585028E-2</v>
      </c>
    </row>
    <row r="171" spans="1:4" ht="14.4">
      <c r="A171" s="33">
        <v>50301</v>
      </c>
      <c r="B171" s="11" t="s">
        <v>208</v>
      </c>
      <c r="C171">
        <v>2.4914650060386526E-2</v>
      </c>
      <c r="D171">
        <v>2.9953071715145441E-2</v>
      </c>
    </row>
    <row r="172" spans="1:4" ht="14.4">
      <c r="A172" s="33">
        <v>31601</v>
      </c>
      <c r="B172" s="11" t="s">
        <v>163</v>
      </c>
      <c r="C172">
        <v>3.497136666808133E-2</v>
      </c>
      <c r="D172">
        <v>3.0102008119079836E-2</v>
      </c>
    </row>
    <row r="173" spans="1:4" ht="14.4">
      <c r="A173" s="33">
        <v>10903</v>
      </c>
      <c r="B173" s="11" t="s">
        <v>26</v>
      </c>
      <c r="C173">
        <v>2.4106936534293535E-2</v>
      </c>
      <c r="D173">
        <v>3.0600079744816589E-2</v>
      </c>
    </row>
    <row r="174" spans="1:4" ht="14.4">
      <c r="A174" s="33">
        <v>20503</v>
      </c>
      <c r="B174" s="11" t="s">
        <v>56</v>
      </c>
      <c r="C174">
        <v>1.5971747975536753E-2</v>
      </c>
      <c r="D174">
        <v>3.091694688290433E-2</v>
      </c>
    </row>
    <row r="175" spans="1:4" ht="14.4">
      <c r="A175" s="33">
        <v>21203</v>
      </c>
      <c r="B175" s="11" t="s">
        <v>92</v>
      </c>
      <c r="C175">
        <v>3.247982259048398E-2</v>
      </c>
      <c r="D175">
        <v>3.1023593924394625E-2</v>
      </c>
    </row>
    <row r="176" spans="1:4" ht="14.4">
      <c r="A176" s="33">
        <v>20201</v>
      </c>
      <c r="B176" s="11" t="s">
        <v>35</v>
      </c>
      <c r="C176">
        <v>3.2756433759886072E-2</v>
      </c>
      <c r="D176">
        <v>3.1941570560975095E-2</v>
      </c>
    </row>
    <row r="177" spans="1:4" ht="14.4">
      <c r="A177" s="33">
        <v>71503</v>
      </c>
      <c r="B177" s="11" t="s">
        <v>251</v>
      </c>
      <c r="C177">
        <v>5.5705507765678661E-2</v>
      </c>
      <c r="D177">
        <v>3.205108155002892E-2</v>
      </c>
    </row>
    <row r="178" spans="1:4" ht="14.4">
      <c r="A178" s="33">
        <v>20901</v>
      </c>
      <c r="B178" s="11" t="s">
        <v>74</v>
      </c>
      <c r="C178">
        <v>2.3612188480116161E-2</v>
      </c>
      <c r="D178">
        <v>3.2491637858544337E-2</v>
      </c>
    </row>
    <row r="179" spans="1:4" ht="14.4">
      <c r="A179" s="33">
        <v>71403</v>
      </c>
      <c r="B179" s="11" t="s">
        <v>304</v>
      </c>
      <c r="C179">
        <v>7.6971340863263571E-2</v>
      </c>
      <c r="D179">
        <v>3.3289110707803993E-2</v>
      </c>
    </row>
    <row r="180" spans="1:4" ht="14.4">
      <c r="A180" s="33">
        <v>70501</v>
      </c>
      <c r="B180" s="11" t="s">
        <v>266</v>
      </c>
      <c r="C180">
        <v>7.4147363318793638E-2</v>
      </c>
      <c r="D180">
        <v>3.3931908039244403E-2</v>
      </c>
    </row>
    <row r="181" spans="1:4" ht="14.4">
      <c r="A181" s="33">
        <v>30802</v>
      </c>
      <c r="B181" s="11" t="s">
        <v>136</v>
      </c>
      <c r="C181">
        <v>4.0934570831343255E-2</v>
      </c>
      <c r="D181">
        <v>3.4715686805743703E-2</v>
      </c>
    </row>
    <row r="182" spans="1:4" ht="14.4">
      <c r="A182" s="33">
        <v>10404</v>
      </c>
      <c r="B182" s="11" t="s">
        <v>13</v>
      </c>
      <c r="C182">
        <v>2.1235985905448902E-2</v>
      </c>
      <c r="D182">
        <v>3.4825583864118902E-2</v>
      </c>
    </row>
    <row r="183" spans="1:4" ht="14.4">
      <c r="A183" s="33">
        <v>30403</v>
      </c>
      <c r="B183" s="11" t="s">
        <v>126</v>
      </c>
      <c r="C183">
        <v>4.6993810068428052E-2</v>
      </c>
      <c r="D183">
        <v>3.5121096170267235E-2</v>
      </c>
    </row>
    <row r="184" spans="1:4" ht="14.4">
      <c r="A184" s="33">
        <v>10402</v>
      </c>
      <c r="B184" s="11" t="s">
        <v>11</v>
      </c>
      <c r="C184">
        <v>2.7971243648110978E-2</v>
      </c>
      <c r="D184">
        <v>3.5428369961217537E-2</v>
      </c>
    </row>
    <row r="185" spans="1:4" ht="14.4">
      <c r="A185" s="33">
        <v>20102</v>
      </c>
      <c r="B185" s="11" t="s">
        <v>31</v>
      </c>
      <c r="C185">
        <v>2.7588408660037006E-2</v>
      </c>
      <c r="D185">
        <v>3.5786386856275026E-2</v>
      </c>
    </row>
    <row r="186" spans="1:4" ht="14.4">
      <c r="A186" s="33">
        <v>80102</v>
      </c>
      <c r="B186" s="11" t="s">
        <v>294</v>
      </c>
      <c r="C186">
        <v>2.0294541927213253E-2</v>
      </c>
      <c r="D186">
        <v>3.5952887653228863E-2</v>
      </c>
    </row>
    <row r="187" spans="1:4" ht="14.4">
      <c r="A187" s="33">
        <v>20601</v>
      </c>
      <c r="B187" s="11" t="s">
        <v>57</v>
      </c>
      <c r="C187">
        <v>2.8421788206018154E-2</v>
      </c>
      <c r="D187">
        <v>3.7890728983146632E-2</v>
      </c>
    </row>
    <row r="188" spans="1:4" ht="14.4">
      <c r="A188" s="33">
        <v>50201</v>
      </c>
      <c r="B188" s="11" t="s">
        <v>204</v>
      </c>
      <c r="C188">
        <v>2.5615375650494088E-2</v>
      </c>
      <c r="D188">
        <v>3.8345414617006329E-2</v>
      </c>
    </row>
    <row r="189" spans="1:4" ht="14.4">
      <c r="A189" s="33">
        <v>40201</v>
      </c>
      <c r="B189" s="11" t="s">
        <v>169</v>
      </c>
      <c r="C189">
        <v>3.2230545558309981E-2</v>
      </c>
      <c r="D189">
        <v>3.8617822564710531E-2</v>
      </c>
    </row>
    <row r="190" spans="1:4" ht="14.4">
      <c r="A190" s="33">
        <v>30203</v>
      </c>
      <c r="B190" s="11" t="s">
        <v>120</v>
      </c>
      <c r="C190">
        <v>4.0975679733796518E-2</v>
      </c>
      <c r="D190">
        <v>3.9898626865671638E-2</v>
      </c>
    </row>
    <row r="191" spans="1:4" ht="14.4">
      <c r="A191" s="33">
        <v>20603</v>
      </c>
      <c r="B191" s="11" t="s">
        <v>59</v>
      </c>
      <c r="C191">
        <v>3.1821038199163723E-2</v>
      </c>
      <c r="D191">
        <v>4.0471386128470441E-2</v>
      </c>
    </row>
    <row r="192" spans="1:4" ht="14.4">
      <c r="A192" s="33">
        <v>90202</v>
      </c>
      <c r="B192" s="11" t="s">
        <v>292</v>
      </c>
      <c r="C192">
        <v>1.0335964619621215E-2</v>
      </c>
      <c r="D192">
        <v>4.1414098919840818E-2</v>
      </c>
    </row>
    <row r="193" spans="1:4" ht="14.4">
      <c r="A193" s="33">
        <v>71105</v>
      </c>
      <c r="B193" s="11" t="s">
        <v>297</v>
      </c>
      <c r="C193">
        <v>4.3987271032121363E-2</v>
      </c>
      <c r="D193">
        <v>4.1615839094908867E-2</v>
      </c>
    </row>
    <row r="194" spans="1:4" ht="14.4">
      <c r="A194" s="33">
        <v>40702</v>
      </c>
      <c r="B194" s="11" t="s">
        <v>184</v>
      </c>
      <c r="C194">
        <v>4.0406700955211122E-2</v>
      </c>
      <c r="D194">
        <v>4.1702549019607842E-2</v>
      </c>
    </row>
    <row r="195" spans="1:4" ht="14.4">
      <c r="A195" s="33">
        <v>31002</v>
      </c>
      <c r="B195" s="11" t="s">
        <v>144</v>
      </c>
      <c r="C195">
        <v>4.8336163626405186E-2</v>
      </c>
      <c r="D195">
        <v>4.2154298269706125E-2</v>
      </c>
    </row>
    <row r="196" spans="1:4" ht="14.4">
      <c r="A196" s="33">
        <v>40602</v>
      </c>
      <c r="B196" s="11" t="s">
        <v>181</v>
      </c>
      <c r="C196">
        <v>1.4518656040188973E-2</v>
      </c>
      <c r="D196">
        <v>4.3306892495883327E-2</v>
      </c>
    </row>
    <row r="197" spans="1:4" ht="14.4">
      <c r="A197" s="33">
        <v>30201</v>
      </c>
      <c r="B197" s="11" t="s">
        <v>118</v>
      </c>
      <c r="C197">
        <v>4.4094164270794003E-2</v>
      </c>
      <c r="D197">
        <v>4.4295722873329585E-2</v>
      </c>
    </row>
    <row r="198" spans="1:4" ht="14.4">
      <c r="A198" s="33">
        <v>21701</v>
      </c>
      <c r="B198" s="11" t="s">
        <v>107</v>
      </c>
      <c r="C198">
        <v>5.3641204396944732E-2</v>
      </c>
      <c r="D198">
        <v>4.4904426501746551E-2</v>
      </c>
    </row>
    <row r="199" spans="1:4" ht="14.4">
      <c r="A199" s="33">
        <v>21002</v>
      </c>
      <c r="B199" s="11" t="s">
        <v>80</v>
      </c>
      <c r="C199">
        <v>3.0724245126583664E-2</v>
      </c>
      <c r="D199">
        <v>4.5234977496096264E-2</v>
      </c>
    </row>
    <row r="200" spans="1:4" ht="14.4">
      <c r="A200" s="33">
        <v>31402</v>
      </c>
      <c r="B200" s="11" t="s">
        <v>158</v>
      </c>
      <c r="C200">
        <v>4.9897225591812838E-2</v>
      </c>
      <c r="D200">
        <v>4.5888149784858709E-2</v>
      </c>
    </row>
    <row r="201" spans="1:4" ht="14.4">
      <c r="A201" s="33">
        <v>50902</v>
      </c>
      <c r="B201" s="11" t="s">
        <v>225</v>
      </c>
      <c r="C201">
        <v>5.3690136271600755E-2</v>
      </c>
      <c r="D201">
        <v>4.6555953115360892E-2</v>
      </c>
    </row>
    <row r="202" spans="1:4" ht="14.4">
      <c r="A202" s="33">
        <v>80402</v>
      </c>
      <c r="B202" s="11" t="s">
        <v>315</v>
      </c>
      <c r="D202">
        <v>4.6892311532700952E-2</v>
      </c>
    </row>
    <row r="203" spans="1:4" ht="14.4">
      <c r="A203" s="33">
        <v>51203</v>
      </c>
      <c r="B203" s="11" t="s">
        <v>234</v>
      </c>
      <c r="C203">
        <v>4.5794739932257626E-2</v>
      </c>
      <c r="D203">
        <v>4.8138173877439606E-2</v>
      </c>
    </row>
    <row r="204" spans="1:4" ht="14.4">
      <c r="A204" s="33">
        <v>30401</v>
      </c>
      <c r="B204" s="11" t="s">
        <v>124</v>
      </c>
      <c r="C204">
        <v>6.5721660196104231E-2</v>
      </c>
      <c r="D204">
        <v>4.8764233123392176E-2</v>
      </c>
    </row>
    <row r="205" spans="1:4" ht="14.4">
      <c r="A205" s="33">
        <v>60502</v>
      </c>
      <c r="B205" s="11" t="s">
        <v>251</v>
      </c>
      <c r="C205">
        <v>3.0020662709317442E-2</v>
      </c>
      <c r="D205">
        <v>4.8944408274703352E-2</v>
      </c>
    </row>
    <row r="206" spans="1:4" ht="14.4">
      <c r="A206" s="33">
        <v>51601</v>
      </c>
      <c r="B206" s="11" t="s">
        <v>241</v>
      </c>
      <c r="C206">
        <v>3.1004041433999652E-2</v>
      </c>
      <c r="D206">
        <v>4.9342238946378181E-2</v>
      </c>
    </row>
    <row r="207" spans="1:4" ht="14.4">
      <c r="A207" s="33">
        <v>51401</v>
      </c>
      <c r="B207" s="11" t="s">
        <v>238</v>
      </c>
      <c r="C207">
        <v>4.0530802534750394E-2</v>
      </c>
      <c r="D207">
        <v>4.9346453307857654E-2</v>
      </c>
    </row>
    <row r="208" spans="1:4" ht="14.4">
      <c r="A208" s="33">
        <v>21305</v>
      </c>
      <c r="B208" s="11" t="s">
        <v>98</v>
      </c>
      <c r="C208">
        <v>4.1959205795252801E-2</v>
      </c>
      <c r="D208">
        <v>4.9525067599809132E-2</v>
      </c>
    </row>
    <row r="209" spans="1:4" ht="14.4">
      <c r="A209" s="33">
        <v>22002</v>
      </c>
      <c r="B209" s="11" t="s">
        <v>116</v>
      </c>
      <c r="C209">
        <v>2.5728614314816628E-2</v>
      </c>
      <c r="D209">
        <v>4.9967463391591881E-2</v>
      </c>
    </row>
    <row r="210" spans="1:4" ht="14.4">
      <c r="A210" s="33">
        <v>11001</v>
      </c>
      <c r="B210" s="11" t="s">
        <v>27</v>
      </c>
      <c r="C210">
        <v>2.683550011466004E-2</v>
      </c>
      <c r="D210">
        <v>5.0360246950760426E-2</v>
      </c>
    </row>
    <row r="211" spans="1:4" ht="14.4">
      <c r="A211" s="33">
        <v>50203</v>
      </c>
      <c r="B211" s="11" t="s">
        <v>206</v>
      </c>
      <c r="C211">
        <v>4.9015245303116198E-2</v>
      </c>
      <c r="D211">
        <v>5.0462246317708584E-2</v>
      </c>
    </row>
    <row r="212" spans="1:4" ht="14.4">
      <c r="A212" s="33">
        <v>80602</v>
      </c>
      <c r="B212" s="11" t="s">
        <v>318</v>
      </c>
      <c r="C212">
        <v>3.5317619251344294E-2</v>
      </c>
      <c r="D212">
        <v>5.0725703275529867E-2</v>
      </c>
    </row>
    <row r="213" spans="1:4" ht="14.4">
      <c r="A213" s="33">
        <v>20804</v>
      </c>
      <c r="B213" s="11" t="s">
        <v>70</v>
      </c>
      <c r="C213">
        <v>4.5789684547130199E-2</v>
      </c>
      <c r="D213">
        <v>5.2183006204887937E-2</v>
      </c>
    </row>
    <row r="214" spans="1:4" ht="14.4">
      <c r="A214" s="33">
        <v>31301</v>
      </c>
      <c r="B214" s="11" t="s">
        <v>153</v>
      </c>
      <c r="C214">
        <v>5.0785459122578494E-2</v>
      </c>
      <c r="D214">
        <v>5.2530498592681947E-2</v>
      </c>
    </row>
    <row r="215" spans="1:4" ht="14.4">
      <c r="A215" s="33">
        <v>20104</v>
      </c>
      <c r="B215" s="11" t="s">
        <v>33</v>
      </c>
      <c r="C215">
        <v>4.3699769424884578E-2</v>
      </c>
      <c r="D215">
        <v>5.4321165670736991E-2</v>
      </c>
    </row>
    <row r="216" spans="1:4" ht="14.4">
      <c r="A216" s="33">
        <v>20701</v>
      </c>
      <c r="B216" s="11" t="s">
        <v>65</v>
      </c>
      <c r="C216">
        <v>2.1512648081967484E-2</v>
      </c>
      <c r="D216">
        <v>5.4618312800167053E-2</v>
      </c>
    </row>
    <row r="217" spans="1:4" ht="14.4">
      <c r="A217" s="33">
        <v>21103</v>
      </c>
      <c r="B217" s="11" t="s">
        <v>87</v>
      </c>
      <c r="C217">
        <v>4.5132120824524419E-2</v>
      </c>
      <c r="D217">
        <v>5.4942140512147082E-2</v>
      </c>
    </row>
    <row r="218" spans="1:4" ht="14.4">
      <c r="A218" s="33">
        <v>21102</v>
      </c>
      <c r="B218" s="11" t="s">
        <v>86</v>
      </c>
      <c r="C218">
        <v>4.0730092861454299E-2</v>
      </c>
      <c r="D218">
        <v>5.635444821512952E-2</v>
      </c>
    </row>
    <row r="219" spans="1:4" ht="14.4">
      <c r="A219" s="33">
        <v>10801</v>
      </c>
      <c r="B219" s="11" t="s">
        <v>23</v>
      </c>
      <c r="C219">
        <v>3.6369568564648465E-2</v>
      </c>
      <c r="D219">
        <v>5.6586625672559572E-2</v>
      </c>
    </row>
    <row r="220" spans="1:4" ht="14.4">
      <c r="A220" s="33">
        <v>21003</v>
      </c>
      <c r="B220" s="11" t="s">
        <v>81</v>
      </c>
      <c r="C220">
        <v>5.9731809153084146E-2</v>
      </c>
      <c r="D220">
        <v>5.6838856408609063E-2</v>
      </c>
    </row>
    <row r="221" spans="1:4" ht="14.4">
      <c r="A221" s="33">
        <v>30501</v>
      </c>
      <c r="B221" s="11" t="s">
        <v>128</v>
      </c>
      <c r="C221">
        <v>7.5828755880440565E-2</v>
      </c>
      <c r="D221">
        <v>5.6846677993382812E-2</v>
      </c>
    </row>
    <row r="222" spans="1:4" ht="14.4">
      <c r="A222" s="33">
        <v>10502</v>
      </c>
      <c r="B222" s="11" t="s">
        <v>16</v>
      </c>
      <c r="C222">
        <v>3.4958674358195545E-2</v>
      </c>
      <c r="D222">
        <v>5.7762222222222229E-2</v>
      </c>
    </row>
    <row r="223" spans="1:4" ht="14.4">
      <c r="A223" s="33">
        <v>10701</v>
      </c>
      <c r="B223" s="11" t="s">
        <v>19</v>
      </c>
      <c r="C223">
        <v>4.2702721496817905E-2</v>
      </c>
      <c r="D223">
        <v>5.8917419968735139E-2</v>
      </c>
    </row>
    <row r="224" spans="1:4" ht="14.4">
      <c r="A224" s="33">
        <v>21501</v>
      </c>
      <c r="B224" s="11" t="s">
        <v>103</v>
      </c>
      <c r="C224">
        <v>3.9409923369948474E-2</v>
      </c>
      <c r="D224">
        <v>5.9101484716157213E-2</v>
      </c>
    </row>
    <row r="225" spans="1:4" ht="14.4">
      <c r="A225" s="33">
        <v>21402</v>
      </c>
      <c r="B225" s="11" t="s">
        <v>102</v>
      </c>
      <c r="C225">
        <v>6.616018819291683E-2</v>
      </c>
      <c r="D225">
        <v>5.9519116022099444E-2</v>
      </c>
    </row>
    <row r="226" spans="1:4" ht="14.4">
      <c r="A226" s="33">
        <v>11003</v>
      </c>
      <c r="B226" s="11" t="s">
        <v>29</v>
      </c>
      <c r="C226">
        <v>4.9195432883920524E-2</v>
      </c>
      <c r="D226">
        <v>5.9724727021423632E-2</v>
      </c>
    </row>
    <row r="227" spans="1:4" ht="14.4">
      <c r="A227" s="33">
        <v>10401</v>
      </c>
      <c r="B227" s="11" t="s">
        <v>10</v>
      </c>
      <c r="C227">
        <v>4.3466412927607299E-2</v>
      </c>
      <c r="D227">
        <v>5.9809138381201048E-2</v>
      </c>
    </row>
    <row r="228" spans="1:4" ht="14.4">
      <c r="A228" s="33">
        <v>60201</v>
      </c>
      <c r="B228" s="11" t="s">
        <v>243</v>
      </c>
      <c r="C228">
        <v>4.8193377943661186E-2</v>
      </c>
      <c r="D228">
        <v>6.1780434416568449E-2</v>
      </c>
    </row>
    <row r="229" spans="1:4" ht="14.4">
      <c r="A229" s="33">
        <v>51501</v>
      </c>
      <c r="B229" s="11" t="s">
        <v>240</v>
      </c>
      <c r="C229">
        <v>5.3973413270328695E-2</v>
      </c>
      <c r="D229">
        <v>6.2061467369274419E-2</v>
      </c>
    </row>
    <row r="230" spans="1:4" ht="14.4">
      <c r="A230" s="33">
        <v>50901</v>
      </c>
      <c r="B230" s="11" t="s">
        <v>224</v>
      </c>
      <c r="C230">
        <v>2.916198597020989E-2</v>
      </c>
      <c r="D230">
        <v>6.2085243328100469E-2</v>
      </c>
    </row>
    <row r="231" spans="1:4" ht="14.4">
      <c r="A231" s="33">
        <v>90401</v>
      </c>
      <c r="B231" s="11" t="s">
        <v>334</v>
      </c>
      <c r="D231">
        <v>6.3060574593284874E-2</v>
      </c>
    </row>
    <row r="232" spans="1:4" ht="14.4">
      <c r="A232" s="33">
        <v>90303</v>
      </c>
      <c r="B232" s="11" t="s">
        <v>333</v>
      </c>
      <c r="C232">
        <v>3.2123399513334649E-2</v>
      </c>
      <c r="D232">
        <v>6.3500874358486975E-2</v>
      </c>
    </row>
    <row r="233" spans="1:4" ht="14.4">
      <c r="A233" s="33">
        <v>21201</v>
      </c>
      <c r="B233" s="11" t="s">
        <v>90</v>
      </c>
      <c r="C233">
        <v>1.9693975313690128E-2</v>
      </c>
      <c r="D233">
        <v>6.5750684052156463E-2</v>
      </c>
    </row>
    <row r="234" spans="1:4" ht="14.4">
      <c r="A234" s="33">
        <v>90203</v>
      </c>
      <c r="B234" s="11" t="s">
        <v>330</v>
      </c>
      <c r="C234">
        <v>5.7954962410351848E-2</v>
      </c>
      <c r="D234">
        <v>6.7464313238036047E-2</v>
      </c>
    </row>
    <row r="235" spans="1:4" ht="14.4">
      <c r="A235" s="33">
        <v>22001</v>
      </c>
      <c r="B235" s="11" t="s">
        <v>115</v>
      </c>
      <c r="C235">
        <v>3.6016181108173832E-2</v>
      </c>
      <c r="D235">
        <v>6.7752731416314771E-2</v>
      </c>
    </row>
    <row r="236" spans="1:4" ht="14.4">
      <c r="A236" s="33">
        <v>30701</v>
      </c>
      <c r="B236" s="11" t="s">
        <v>132</v>
      </c>
      <c r="C236">
        <v>7.1505056561956146E-2</v>
      </c>
      <c r="D236">
        <v>6.7761558655520665E-2</v>
      </c>
    </row>
    <row r="237" spans="1:4" ht="14.4">
      <c r="A237" s="33">
        <v>80601</v>
      </c>
      <c r="B237" s="11" t="s">
        <v>317</v>
      </c>
      <c r="C237">
        <v>2.4144201255406412E-2</v>
      </c>
      <c r="D237">
        <v>6.789280862028578E-2</v>
      </c>
    </row>
    <row r="238" spans="1:4" ht="14.4">
      <c r="A238" s="33">
        <v>21104</v>
      </c>
      <c r="B238" s="11" t="s">
        <v>88</v>
      </c>
      <c r="C238">
        <v>4.1163388556853461E-2</v>
      </c>
      <c r="D238">
        <v>6.8018616648855806E-2</v>
      </c>
    </row>
    <row r="239" spans="1:4" ht="14.4">
      <c r="A239" s="33">
        <v>31003</v>
      </c>
      <c r="B239" s="11" t="s">
        <v>145</v>
      </c>
      <c r="C239">
        <v>5.2568221718392823E-2</v>
      </c>
      <c r="D239">
        <v>6.8138935645940674E-2</v>
      </c>
    </row>
    <row r="240" spans="1:4" ht="14.4">
      <c r="A240" s="33">
        <v>21401</v>
      </c>
      <c r="B240" s="11" t="s">
        <v>101</v>
      </c>
      <c r="C240">
        <v>4.6674720325533915E-2</v>
      </c>
      <c r="D240">
        <v>6.8678647468514306E-2</v>
      </c>
    </row>
    <row r="241" spans="1:4" ht="14.4">
      <c r="A241" s="33">
        <v>30803</v>
      </c>
      <c r="B241" s="11" t="s">
        <v>137</v>
      </c>
      <c r="C241">
        <v>9.6702883110416429E-2</v>
      </c>
      <c r="D241">
        <v>6.8860273972602748E-2</v>
      </c>
    </row>
    <row r="242" spans="1:4" ht="14.4">
      <c r="A242" s="33">
        <v>30902</v>
      </c>
      <c r="B242" s="11" t="s">
        <v>139</v>
      </c>
      <c r="C242">
        <v>7.8632461740314477E-2</v>
      </c>
      <c r="D242">
        <v>6.912751663447092E-2</v>
      </c>
    </row>
    <row r="243" spans="1:4" ht="14.4">
      <c r="A243" s="33">
        <v>51201</v>
      </c>
      <c r="B243" s="11" t="s">
        <v>232</v>
      </c>
      <c r="C243">
        <v>7.2808718905454928E-2</v>
      </c>
      <c r="D243">
        <v>7.1084659380485873E-2</v>
      </c>
    </row>
    <row r="244" spans="1:4" ht="14.4">
      <c r="A244" s="33">
        <v>80803</v>
      </c>
      <c r="B244" s="11" t="s">
        <v>323</v>
      </c>
      <c r="C244">
        <v>1.187366947909238E-2</v>
      </c>
      <c r="D244">
        <v>7.1696760259179274E-2</v>
      </c>
    </row>
    <row r="245" spans="1:4" ht="14.4">
      <c r="A245" s="33">
        <v>31205</v>
      </c>
      <c r="B245" s="11" t="s">
        <v>151</v>
      </c>
      <c r="C245">
        <v>6.575311695298916E-2</v>
      </c>
      <c r="D245">
        <v>7.3972418917872901E-2</v>
      </c>
    </row>
    <row r="246" spans="1:4" ht="14.4">
      <c r="A246" s="33">
        <v>21502</v>
      </c>
      <c r="B246" s="11" t="s">
        <v>104</v>
      </c>
      <c r="C246">
        <v>4.5156277249926262E-2</v>
      </c>
      <c r="D246">
        <v>7.466169223156853E-2</v>
      </c>
    </row>
    <row r="247" spans="1:4" ht="14.4">
      <c r="A247" s="33">
        <v>60601</v>
      </c>
      <c r="B247" s="11" t="s">
        <v>152</v>
      </c>
      <c r="C247">
        <v>5.4675493905059505E-2</v>
      </c>
      <c r="D247">
        <v>7.5393634969325149E-2</v>
      </c>
    </row>
    <row r="248" spans="1:4" ht="14.4">
      <c r="A248" s="33">
        <v>21105</v>
      </c>
      <c r="B248" s="11" t="s">
        <v>89</v>
      </c>
      <c r="C248">
        <v>3.7285648276102888E-2</v>
      </c>
      <c r="D248">
        <v>7.6163265843332537E-2</v>
      </c>
    </row>
    <row r="249" spans="1:4" ht="14.4">
      <c r="A249" s="33">
        <v>60401</v>
      </c>
      <c r="B249" s="11" t="s">
        <v>248</v>
      </c>
      <c r="C249">
        <v>6.4529507976319483E-2</v>
      </c>
      <c r="D249">
        <v>7.7077058343277022E-2</v>
      </c>
    </row>
    <row r="250" spans="1:4" ht="14.4">
      <c r="A250" s="33">
        <v>31401</v>
      </c>
      <c r="B250" s="11" t="s">
        <v>157</v>
      </c>
      <c r="C250">
        <v>9.2570871130971899E-2</v>
      </c>
      <c r="D250">
        <v>7.8618225147526102E-2</v>
      </c>
    </row>
    <row r="251" spans="1:4" ht="14.4">
      <c r="A251" s="33">
        <v>20801</v>
      </c>
      <c r="B251" s="11" t="s">
        <v>67</v>
      </c>
      <c r="C251">
        <v>6.7240311150008683E-2</v>
      </c>
      <c r="D251">
        <v>7.9237726544199236E-2</v>
      </c>
    </row>
    <row r="252" spans="1:4" ht="14.4">
      <c r="A252" s="33">
        <v>90102</v>
      </c>
      <c r="B252" s="11" t="s">
        <v>326</v>
      </c>
      <c r="C252">
        <v>6.1299865534339769E-2</v>
      </c>
      <c r="D252">
        <v>7.9581332192665458E-2</v>
      </c>
    </row>
    <row r="253" spans="1:4" ht="14.4">
      <c r="A253" s="33">
        <v>50801</v>
      </c>
      <c r="B253" s="11" t="s">
        <v>222</v>
      </c>
      <c r="C253">
        <v>6.8769480613544931E-2</v>
      </c>
      <c r="D253">
        <v>7.9782610221539818E-2</v>
      </c>
    </row>
    <row r="254" spans="1:4" ht="14.4">
      <c r="A254" s="33">
        <v>31204</v>
      </c>
      <c r="B254" s="11" t="s">
        <v>150</v>
      </c>
      <c r="C254">
        <v>6.4252721412912106E-2</v>
      </c>
      <c r="D254">
        <v>7.99986337705752E-2</v>
      </c>
    </row>
    <row r="255" spans="1:4" ht="14.4">
      <c r="A255" s="33">
        <v>30801</v>
      </c>
      <c r="B255" s="11" t="s">
        <v>135</v>
      </c>
      <c r="C255">
        <v>8.9537684141396526E-2</v>
      </c>
      <c r="D255">
        <v>8.0559423303994321E-2</v>
      </c>
    </row>
    <row r="256" spans="1:4" ht="14.4">
      <c r="A256" s="33">
        <v>10102</v>
      </c>
      <c r="B256" s="11" t="s">
        <v>2</v>
      </c>
      <c r="C256">
        <v>6.450101142153096E-2</v>
      </c>
      <c r="D256">
        <v>8.162830596369923E-2</v>
      </c>
    </row>
    <row r="257" spans="1:4" ht="14.4">
      <c r="A257" s="33">
        <v>10501</v>
      </c>
      <c r="B257" s="11" t="s">
        <v>15</v>
      </c>
      <c r="C257">
        <v>6.3061729033576389E-2</v>
      </c>
      <c r="D257">
        <v>8.1730074146500464E-2</v>
      </c>
    </row>
    <row r="258" spans="1:4" ht="14.4">
      <c r="A258" s="33">
        <v>90201</v>
      </c>
      <c r="B258" s="11" t="s">
        <v>329</v>
      </c>
      <c r="C258">
        <v>5.5317013529314181E-2</v>
      </c>
      <c r="D258">
        <v>8.2390280982760966E-2</v>
      </c>
    </row>
    <row r="259" spans="1:4" ht="14.4">
      <c r="A259" s="33">
        <v>31403</v>
      </c>
      <c r="B259" s="11" t="s">
        <v>159</v>
      </c>
      <c r="C259">
        <v>9.2902068290798973E-2</v>
      </c>
      <c r="D259">
        <v>8.3135682549410145E-2</v>
      </c>
    </row>
    <row r="260" spans="1:4" ht="14.4">
      <c r="A260" s="33">
        <v>31602</v>
      </c>
      <c r="B260" s="11" t="s">
        <v>164</v>
      </c>
      <c r="C260">
        <v>6.2483569392864161E-2</v>
      </c>
      <c r="D260">
        <v>8.3360488738407193E-2</v>
      </c>
    </row>
    <row r="261" spans="1:4" ht="14.4">
      <c r="A261" s="33">
        <v>80501</v>
      </c>
      <c r="B261" s="11" t="s">
        <v>316</v>
      </c>
      <c r="C261">
        <v>5.1044445539162944E-2</v>
      </c>
      <c r="D261">
        <v>8.4225537435137152E-2</v>
      </c>
    </row>
    <row r="262" spans="1:4" ht="14.4">
      <c r="A262" s="33">
        <v>31206</v>
      </c>
      <c r="B262" s="11" t="s">
        <v>152</v>
      </c>
      <c r="C262">
        <v>7.7139867208959101E-2</v>
      </c>
      <c r="D262">
        <v>8.4551035386631723E-2</v>
      </c>
    </row>
    <row r="263" spans="1:4" ht="14.4">
      <c r="A263" s="33">
        <v>41503</v>
      </c>
      <c r="B263" s="11" t="s">
        <v>198</v>
      </c>
      <c r="C263">
        <v>2.0415806589067962E-3</v>
      </c>
      <c r="D263">
        <v>8.5459698848538532E-2</v>
      </c>
    </row>
    <row r="264" spans="1:4" ht="14.4">
      <c r="A264" s="33">
        <v>80802</v>
      </c>
      <c r="B264" s="11" t="s">
        <v>322</v>
      </c>
      <c r="C264">
        <v>1.4328935554828602E-2</v>
      </c>
      <c r="D264">
        <v>8.5562393162393169E-2</v>
      </c>
    </row>
    <row r="265" spans="1:4" ht="14.4">
      <c r="A265" s="33">
        <v>80302</v>
      </c>
      <c r="B265" s="11" t="s">
        <v>311</v>
      </c>
      <c r="C265">
        <v>6.1936465229881867E-2</v>
      </c>
      <c r="D265">
        <v>8.7274273985763567E-2</v>
      </c>
    </row>
    <row r="266" spans="1:4" ht="14.4">
      <c r="A266" s="33">
        <v>60501</v>
      </c>
      <c r="B266" s="11" t="s">
        <v>250</v>
      </c>
      <c r="C266">
        <v>7.605081465248327E-2</v>
      </c>
      <c r="D266">
        <v>9.0238713504250972E-2</v>
      </c>
    </row>
    <row r="267" spans="1:4" ht="14.4">
      <c r="A267" s="33">
        <v>20608</v>
      </c>
      <c r="B267" s="11" t="s">
        <v>64</v>
      </c>
      <c r="C267">
        <v>4.5658585808641537E-2</v>
      </c>
      <c r="D267">
        <v>9.0310217505045226E-2</v>
      </c>
    </row>
    <row r="268" spans="1:4" ht="14.4">
      <c r="A268" s="33">
        <v>40701</v>
      </c>
      <c r="B268" s="11" t="s">
        <v>183</v>
      </c>
      <c r="C268">
        <v>8.7326596696699788E-2</v>
      </c>
      <c r="D268">
        <v>9.0723491400735656E-2</v>
      </c>
    </row>
    <row r="269" spans="1:4" ht="14.4">
      <c r="A269" s="33">
        <v>60302</v>
      </c>
      <c r="B269" s="11" t="s">
        <v>246</v>
      </c>
      <c r="C269">
        <v>8.4774931967842845E-2</v>
      </c>
      <c r="D269">
        <v>9.1496008740921661E-2</v>
      </c>
    </row>
    <row r="270" spans="1:4" ht="14.4">
      <c r="A270" s="33">
        <v>90104</v>
      </c>
      <c r="B270" s="11" t="s">
        <v>328</v>
      </c>
      <c r="C270">
        <v>1.9488574378644909E-2</v>
      </c>
      <c r="D270">
        <v>9.3687438017190094E-2</v>
      </c>
    </row>
    <row r="271" spans="1:4" ht="14.4">
      <c r="A271" s="33">
        <v>21101</v>
      </c>
      <c r="B271" s="11" t="s">
        <v>85</v>
      </c>
      <c r="C271">
        <v>6.217347494636221E-2</v>
      </c>
      <c r="D271">
        <v>9.4996492378298644E-2</v>
      </c>
    </row>
    <row r="272" spans="1:4" ht="14.4">
      <c r="A272" s="33">
        <v>70703</v>
      </c>
      <c r="B272" s="11" t="s">
        <v>274</v>
      </c>
      <c r="C272">
        <v>7.5264970155363875E-2</v>
      </c>
      <c r="D272">
        <v>9.7859858620794271E-2</v>
      </c>
    </row>
    <row r="273" spans="1:4" ht="14.4">
      <c r="A273" s="33">
        <v>31001</v>
      </c>
      <c r="B273" s="11" t="s">
        <v>143</v>
      </c>
      <c r="C273">
        <v>0.10673622502368955</v>
      </c>
      <c r="D273">
        <v>9.8289932083329382E-2</v>
      </c>
    </row>
    <row r="274" spans="1:4" ht="14.4">
      <c r="A274" s="33">
        <v>71002</v>
      </c>
      <c r="B274" s="11" t="s">
        <v>289</v>
      </c>
      <c r="C274">
        <v>8.9921919243462489E-2</v>
      </c>
      <c r="D274">
        <v>9.8462007470779614E-2</v>
      </c>
    </row>
    <row r="275" spans="1:4" ht="14.4">
      <c r="A275" s="33">
        <v>50101</v>
      </c>
      <c r="B275" s="11" t="s">
        <v>200</v>
      </c>
      <c r="C275">
        <v>8.6566751318693416E-2</v>
      </c>
      <c r="D275">
        <v>9.8750025148375414E-2</v>
      </c>
    </row>
    <row r="276" spans="1:4" ht="14.4">
      <c r="A276" s="33">
        <v>30904</v>
      </c>
      <c r="B276" s="11" t="s">
        <v>141</v>
      </c>
      <c r="C276">
        <v>9.4964318525786254E-2</v>
      </c>
      <c r="D276">
        <v>0.10007686572492153</v>
      </c>
    </row>
    <row r="277" spans="1:4" ht="14.4">
      <c r="A277" s="33">
        <v>80301</v>
      </c>
      <c r="B277" s="11" t="s">
        <v>310</v>
      </c>
      <c r="C277">
        <v>6.0916141289148788E-2</v>
      </c>
      <c r="D277">
        <v>0.10207415926119533</v>
      </c>
    </row>
    <row r="278" spans="1:4" ht="14.4">
      <c r="A278" s="33">
        <v>80801</v>
      </c>
      <c r="B278" s="11" t="s">
        <v>321</v>
      </c>
      <c r="C278">
        <v>5.6230592574472521E-2</v>
      </c>
      <c r="D278">
        <v>0.10436198670316779</v>
      </c>
    </row>
    <row r="279" spans="1:4" ht="14.4">
      <c r="A279" s="33">
        <v>70602</v>
      </c>
      <c r="B279" s="11" t="s">
        <v>270</v>
      </c>
      <c r="C279">
        <v>7.804357031210192E-2</v>
      </c>
      <c r="D279">
        <v>0.10659374409689426</v>
      </c>
    </row>
    <row r="280" spans="1:4" ht="14.4">
      <c r="A280" s="33">
        <v>80201</v>
      </c>
      <c r="B280" s="11" t="s">
        <v>308</v>
      </c>
      <c r="C280">
        <v>8.4640778265914193E-2</v>
      </c>
      <c r="D280">
        <v>0.10860082319450237</v>
      </c>
    </row>
    <row r="281" spans="1:4" ht="14.4">
      <c r="A281" s="33">
        <v>80303</v>
      </c>
      <c r="B281" s="11" t="s">
        <v>312</v>
      </c>
      <c r="C281">
        <v>5.8176860182587803E-2</v>
      </c>
      <c r="D281">
        <v>0.10922913145117785</v>
      </c>
    </row>
    <row r="282" spans="1:4" ht="14.4">
      <c r="A282" s="33">
        <v>71004</v>
      </c>
      <c r="B282" s="11" t="s">
        <v>291</v>
      </c>
      <c r="C282">
        <v>8.9023414591065886E-2</v>
      </c>
      <c r="D282">
        <v>0.11161590691307324</v>
      </c>
    </row>
    <row r="283" spans="1:4" ht="14.4">
      <c r="A283" s="33">
        <v>20607</v>
      </c>
      <c r="B283" s="11" t="s">
        <v>63</v>
      </c>
      <c r="C283">
        <v>3.6678297708208026E-2</v>
      </c>
      <c r="D283">
        <v>0.11357725587144624</v>
      </c>
    </row>
    <row r="284" spans="1:4" ht="14.4">
      <c r="A284" s="33">
        <v>20606</v>
      </c>
      <c r="B284" s="11" t="s">
        <v>62</v>
      </c>
      <c r="C284">
        <v>6.3136504544377109E-2</v>
      </c>
      <c r="D284">
        <v>0.11834416796267497</v>
      </c>
    </row>
    <row r="285" spans="1:4" ht="14.4">
      <c r="A285" s="33">
        <v>30901</v>
      </c>
      <c r="B285" s="11" t="s">
        <v>138</v>
      </c>
      <c r="C285">
        <v>0.13256703777466639</v>
      </c>
      <c r="D285">
        <v>0.11959540484945443</v>
      </c>
    </row>
    <row r="286" spans="1:4" ht="14.4">
      <c r="A286" s="33">
        <v>80304</v>
      </c>
      <c r="B286" s="11" t="s">
        <v>313</v>
      </c>
      <c r="C286">
        <v>8.6573587639837205E-2</v>
      </c>
      <c r="D286">
        <v>0.12002531073446328</v>
      </c>
    </row>
    <row r="287" spans="1:4" ht="14.4">
      <c r="A287" s="33">
        <v>70402</v>
      </c>
      <c r="B287" s="11" t="s">
        <v>263</v>
      </c>
      <c r="C287">
        <v>0.10284241725018897</v>
      </c>
      <c r="D287">
        <v>0.12312228909302081</v>
      </c>
    </row>
    <row r="288" spans="1:4" ht="14.4">
      <c r="A288" s="33">
        <v>20602</v>
      </c>
      <c r="B288" s="11" t="s">
        <v>58</v>
      </c>
      <c r="C288">
        <v>6.9482696896477819E-2</v>
      </c>
      <c r="D288">
        <v>0.12337065787867692</v>
      </c>
    </row>
    <row r="289" spans="1:4" ht="14.4">
      <c r="A289" s="33">
        <v>40101</v>
      </c>
      <c r="B289" s="11" t="s">
        <v>165</v>
      </c>
      <c r="C289">
        <v>0.12374452675143571</v>
      </c>
      <c r="D289">
        <v>0.1264516158873806</v>
      </c>
    </row>
    <row r="290" spans="1:4" ht="14.4">
      <c r="A290" s="33">
        <v>20103</v>
      </c>
      <c r="B290" s="11" t="s">
        <v>32</v>
      </c>
      <c r="C290">
        <v>7.5101882471041131E-2</v>
      </c>
      <c r="D290">
        <v>0.12836916756333758</v>
      </c>
    </row>
    <row r="291" spans="1:4" ht="14.4">
      <c r="A291" s="33">
        <v>70403</v>
      </c>
      <c r="B291" s="11" t="s">
        <v>264</v>
      </c>
      <c r="C291">
        <v>0.10176190288625342</v>
      </c>
      <c r="D291">
        <v>0.1286363497940963</v>
      </c>
    </row>
    <row r="292" spans="1:4" ht="14.4">
      <c r="A292" s="33">
        <v>70404</v>
      </c>
      <c r="B292" s="11" t="s">
        <v>265</v>
      </c>
      <c r="C292">
        <v>0.1133189040944559</v>
      </c>
      <c r="D292">
        <v>0.12902827450980392</v>
      </c>
    </row>
    <row r="293" spans="1:4" ht="14.4">
      <c r="A293" s="33">
        <v>30905</v>
      </c>
      <c r="B293" s="11" t="s">
        <v>142</v>
      </c>
      <c r="C293">
        <v>0.1485155767982147</v>
      </c>
      <c r="D293">
        <v>0.13287738666265697</v>
      </c>
    </row>
    <row r="294" spans="1:4" ht="14.4">
      <c r="A294" s="33">
        <v>70102</v>
      </c>
      <c r="B294" s="11" t="s">
        <v>253</v>
      </c>
      <c r="C294">
        <v>0.11694334310815298</v>
      </c>
      <c r="D294">
        <v>0.13372888192639984</v>
      </c>
    </row>
    <row r="295" spans="1:4" ht="14.4">
      <c r="A295" s="33">
        <v>71005</v>
      </c>
      <c r="B295" s="11" t="s">
        <v>292</v>
      </c>
      <c r="C295">
        <v>8.7606016888835014E-2</v>
      </c>
      <c r="D295">
        <v>0.13374608421881148</v>
      </c>
    </row>
    <row r="296" spans="1:4" ht="14.4">
      <c r="A296" s="33">
        <v>20105</v>
      </c>
      <c r="B296" s="11" t="s">
        <v>34</v>
      </c>
      <c r="C296">
        <v>0.1134830242380624</v>
      </c>
      <c r="D296">
        <v>0.13566529280614117</v>
      </c>
    </row>
    <row r="297" spans="1:4" ht="14.4">
      <c r="A297" s="33">
        <v>10101</v>
      </c>
      <c r="B297" s="11" t="s">
        <v>1</v>
      </c>
      <c r="C297">
        <v>0.12763884100777684</v>
      </c>
      <c r="D297">
        <v>0.13713592904369393</v>
      </c>
    </row>
    <row r="298" spans="1:4" ht="14.4">
      <c r="A298" s="33">
        <v>60101</v>
      </c>
      <c r="B298" s="11" t="s">
        <v>242</v>
      </c>
      <c r="C298">
        <v>0.13442630203985689</v>
      </c>
      <c r="D298">
        <v>0.13748746340298809</v>
      </c>
    </row>
    <row r="299" spans="1:4" ht="14.4">
      <c r="A299" s="33">
        <v>70105</v>
      </c>
      <c r="B299" s="11" t="s">
        <v>256</v>
      </c>
      <c r="C299">
        <v>0.11212626235646768</v>
      </c>
      <c r="D299">
        <v>0.13906458157530927</v>
      </c>
    </row>
    <row r="300" spans="1:4" ht="14.4">
      <c r="A300" s="33">
        <v>71003</v>
      </c>
      <c r="B300" s="11" t="s">
        <v>290</v>
      </c>
      <c r="C300">
        <v>0.12228091708434177</v>
      </c>
      <c r="D300">
        <v>0.14096337516226742</v>
      </c>
    </row>
    <row r="301" spans="1:4" ht="14.4">
      <c r="A301" s="33">
        <v>60301</v>
      </c>
      <c r="B301" s="11" t="s">
        <v>245</v>
      </c>
      <c r="C301">
        <v>0.11739276699316625</v>
      </c>
      <c r="D301">
        <v>0.144744560296618</v>
      </c>
    </row>
    <row r="302" spans="1:4" ht="14.4">
      <c r="A302" s="33">
        <v>80701</v>
      </c>
      <c r="B302" s="11" t="s">
        <v>319</v>
      </c>
      <c r="C302">
        <v>9.0731870359802624E-2</v>
      </c>
      <c r="D302">
        <v>0.14603407755581668</v>
      </c>
    </row>
    <row r="303" spans="1:4" ht="14.4">
      <c r="A303" s="33">
        <v>30903</v>
      </c>
      <c r="B303" s="11" t="s">
        <v>140</v>
      </c>
      <c r="C303">
        <v>0.14902514285662311</v>
      </c>
      <c r="D303">
        <v>0.14629557244489005</v>
      </c>
    </row>
    <row r="304" spans="1:4" ht="14.4">
      <c r="A304" s="33">
        <v>70603</v>
      </c>
      <c r="B304" s="11" t="s">
        <v>271</v>
      </c>
      <c r="C304">
        <v>0.12685701056636031</v>
      </c>
      <c r="D304">
        <v>0.14654609622107542</v>
      </c>
    </row>
    <row r="305" spans="1:4" ht="14.4">
      <c r="A305" s="33">
        <v>70401</v>
      </c>
      <c r="B305" s="11" t="s">
        <v>262</v>
      </c>
      <c r="C305">
        <v>0.11336254573937611</v>
      </c>
      <c r="D305">
        <v>0.14659093106732107</v>
      </c>
    </row>
    <row r="306" spans="1:4" ht="14.4">
      <c r="A306" s="33">
        <v>70502</v>
      </c>
      <c r="B306" s="11" t="s">
        <v>267</v>
      </c>
      <c r="C306">
        <v>0.1141864037814396</v>
      </c>
      <c r="D306">
        <v>0.14792410312872742</v>
      </c>
    </row>
    <row r="307" spans="1:4" ht="14.4">
      <c r="A307" s="33">
        <v>80401</v>
      </c>
      <c r="B307" s="11" t="s">
        <v>314</v>
      </c>
      <c r="C307">
        <v>7.9600160848708024E-2</v>
      </c>
      <c r="D307">
        <v>0.14832299867315346</v>
      </c>
    </row>
    <row r="308" spans="1:4" ht="14.4">
      <c r="A308" s="33">
        <v>60303</v>
      </c>
      <c r="B308" s="11" t="s">
        <v>247</v>
      </c>
      <c r="C308">
        <v>0.14390371757665135</v>
      </c>
      <c r="D308">
        <v>0.15025305289661611</v>
      </c>
    </row>
    <row r="309" spans="1:4" ht="14.4">
      <c r="A309" s="33">
        <v>60202</v>
      </c>
      <c r="B309" s="11" t="s">
        <v>244</v>
      </c>
      <c r="C309">
        <v>0.12295554106199752</v>
      </c>
      <c r="D309">
        <v>0.15647777116581013</v>
      </c>
    </row>
    <row r="310" spans="1:4" ht="14.4">
      <c r="A310" s="33">
        <v>80702</v>
      </c>
      <c r="B310" s="11" t="s">
        <v>295</v>
      </c>
      <c r="C310">
        <v>0.10003966502753769</v>
      </c>
      <c r="D310">
        <v>0.16151524867917655</v>
      </c>
    </row>
    <row r="311" spans="1:4" ht="14.4">
      <c r="A311" s="33">
        <v>80202</v>
      </c>
      <c r="B311" s="11" t="s">
        <v>309</v>
      </c>
      <c r="C311">
        <v>0.10944233389105114</v>
      </c>
      <c r="D311">
        <v>0.16472542647093813</v>
      </c>
    </row>
    <row r="312" spans="1:4" ht="14.4">
      <c r="A312" s="33">
        <v>30101</v>
      </c>
      <c r="B312" s="11" t="s">
        <v>117</v>
      </c>
      <c r="C312">
        <v>0.17344599449567577</v>
      </c>
      <c r="D312">
        <v>0.16741442633794429</v>
      </c>
    </row>
    <row r="313" spans="1:4" ht="14.4">
      <c r="A313" s="33">
        <v>70202</v>
      </c>
      <c r="B313" s="11" t="s">
        <v>258</v>
      </c>
      <c r="C313">
        <v>0.14090616377170737</v>
      </c>
      <c r="D313">
        <v>0.17728813877168306</v>
      </c>
    </row>
    <row r="314" spans="1:4" ht="14.4">
      <c r="A314" s="33">
        <v>70104</v>
      </c>
      <c r="B314" s="11" t="s">
        <v>255</v>
      </c>
      <c r="C314">
        <v>0.15712483986974721</v>
      </c>
      <c r="D314">
        <v>0.17786314934405589</v>
      </c>
    </row>
    <row r="315" spans="1:4" ht="14.4">
      <c r="A315" s="33">
        <v>70601</v>
      </c>
      <c r="B315" s="11" t="s">
        <v>269</v>
      </c>
      <c r="C315">
        <v>0.16573160615373034</v>
      </c>
      <c r="D315">
        <v>0.18685248999662538</v>
      </c>
    </row>
    <row r="316" spans="1:4" ht="14.4">
      <c r="A316" s="33">
        <v>71001</v>
      </c>
      <c r="B316" s="11" t="s">
        <v>288</v>
      </c>
      <c r="C316">
        <v>0.17289765925141523</v>
      </c>
      <c r="D316">
        <v>0.19398480841069937</v>
      </c>
    </row>
    <row r="317" spans="1:4" ht="14.4">
      <c r="A317" s="33">
        <v>70201</v>
      </c>
      <c r="B317" s="11" t="s">
        <v>257</v>
      </c>
      <c r="C317">
        <v>0.15874266130386872</v>
      </c>
      <c r="D317">
        <v>0.19669976462498678</v>
      </c>
    </row>
    <row r="318" spans="1:4" ht="14.4">
      <c r="A318" s="33">
        <v>20101</v>
      </c>
      <c r="B318" s="11" t="s">
        <v>30</v>
      </c>
      <c r="C318">
        <v>0.23063063559021243</v>
      </c>
      <c r="D318">
        <v>0.22885215947063167</v>
      </c>
    </row>
    <row r="319" spans="1:4" ht="14.4">
      <c r="A319" s="33">
        <v>90101</v>
      </c>
      <c r="B319" s="11" t="s">
        <v>325</v>
      </c>
      <c r="C319">
        <v>0.19324437780103401</v>
      </c>
      <c r="D319">
        <v>0.22927091120325147</v>
      </c>
    </row>
    <row r="320" spans="1:4" ht="14.4">
      <c r="A320" s="33">
        <v>80101</v>
      </c>
      <c r="B320" s="11" t="s">
        <v>307</v>
      </c>
      <c r="C320">
        <v>0.18173008683033029</v>
      </c>
      <c r="D320">
        <v>0.2408109900535878</v>
      </c>
    </row>
    <row r="321" spans="1:4" ht="14.4">
      <c r="A321" s="33">
        <v>70101</v>
      </c>
      <c r="B321" s="11" t="s">
        <v>252</v>
      </c>
      <c r="C321">
        <v>0.25993989240151805</v>
      </c>
      <c r="D321">
        <v>0.29013588035123916</v>
      </c>
    </row>
    <row r="322" spans="1:4" ht="14.4">
      <c r="A322" s="33">
        <v>70103</v>
      </c>
      <c r="B322" s="11" t="s">
        <v>254</v>
      </c>
      <c r="C322">
        <v>0.37764571422589693</v>
      </c>
      <c r="D322">
        <v>0.57415003026896139</v>
      </c>
    </row>
    <row r="323" spans="1:4" ht="14.4">
      <c r="A323" s="33">
        <v>71106</v>
      </c>
      <c r="B323" s="11" t="s">
        <v>298</v>
      </c>
      <c r="C323">
        <v>0.16250933242355139</v>
      </c>
    </row>
    <row r="324" spans="1:4" ht="14.4">
      <c r="A324" s="33">
        <v>30702</v>
      </c>
      <c r="B324" s="11" t="s">
        <v>133</v>
      </c>
      <c r="C324">
        <v>6.4919634181920371E-2</v>
      </c>
    </row>
    <row r="325" spans="1:4" ht="14.4">
      <c r="A325" s="33">
        <v>50802</v>
      </c>
      <c r="B325" s="11" t="s">
        <v>223</v>
      </c>
      <c r="C325">
        <v>5.8166127365156708E-2</v>
      </c>
    </row>
    <row r="326" spans="1:4" ht="14.4">
      <c r="A326" s="33">
        <v>21204</v>
      </c>
      <c r="B326" s="11" t="s">
        <v>93</v>
      </c>
      <c r="C326">
        <v>2.1260129171983212E-2</v>
      </c>
    </row>
    <row r="327" spans="1:4" ht="14.4">
      <c r="A327" s="33">
        <v>90501</v>
      </c>
      <c r="B327" s="11" t="s">
        <v>336</v>
      </c>
      <c r="C327">
        <v>2.0269387765491139E-2</v>
      </c>
    </row>
    <row r="328" spans="1:4" ht="14.4">
      <c r="A328" s="33">
        <v>10301</v>
      </c>
      <c r="B328" s="11" t="s">
        <v>6</v>
      </c>
      <c r="C328">
        <v>1.8040695317778948E-2</v>
      </c>
    </row>
    <row r="329" spans="1:4" ht="14.4">
      <c r="A329" s="33">
        <v>20305</v>
      </c>
      <c r="B329" s="11" t="s">
        <v>45</v>
      </c>
      <c r="C329">
        <v>1.3026491174881418E-2</v>
      </c>
    </row>
    <row r="330" spans="1:4" ht="14.4">
      <c r="A330" s="33">
        <v>90502</v>
      </c>
      <c r="B330" s="11" t="s">
        <v>337</v>
      </c>
      <c r="C330">
        <v>1.1405029607872815E-2</v>
      </c>
    </row>
    <row r="331" spans="1:4" ht="14.4">
      <c r="A331" s="33">
        <v>20806</v>
      </c>
      <c r="B331" s="11" t="s">
        <v>72</v>
      </c>
      <c r="C331">
        <v>1.0227901651412116E-2</v>
      </c>
    </row>
    <row r="332" spans="1:4" ht="14.4">
      <c r="A332" s="33">
        <v>20805</v>
      </c>
      <c r="B332" s="11" t="s">
        <v>71</v>
      </c>
      <c r="C332">
        <v>9.9558587615480153E-3</v>
      </c>
    </row>
    <row r="333" spans="1:4" ht="14.4">
      <c r="A333" s="33">
        <v>90301</v>
      </c>
      <c r="B333" s="11" t="s">
        <v>331</v>
      </c>
      <c r="C333">
        <v>7.7641903244847514E-3</v>
      </c>
    </row>
    <row r="334" spans="1:4" ht="14.4">
      <c r="A334" s="33">
        <v>20306</v>
      </c>
      <c r="B334" s="11" t="s">
        <v>46</v>
      </c>
      <c r="C334">
        <v>4.0362583843635618E-3</v>
      </c>
    </row>
    <row r="335" spans="1:4" ht="14.4">
      <c r="A335" s="33">
        <v>31304</v>
      </c>
      <c r="B335" s="11" t="s">
        <v>156</v>
      </c>
    </row>
    <row r="336" spans="1:4" ht="14.4">
      <c r="A336" s="33">
        <v>31405</v>
      </c>
      <c r="B336" s="11" t="s">
        <v>161</v>
      </c>
    </row>
    <row r="337" spans="1:2" ht="14.4">
      <c r="A337" s="33">
        <v>50204</v>
      </c>
      <c r="B337" s="11" t="s">
        <v>207</v>
      </c>
    </row>
    <row r="338" spans="1:2" ht="14.4">
      <c r="A338" s="33">
        <v>51204</v>
      </c>
      <c r="B338" s="11" t="s">
        <v>235</v>
      </c>
    </row>
    <row r="339" spans="1:2" ht="14.4">
      <c r="A339" s="33">
        <v>70805</v>
      </c>
      <c r="B339" s="11" t="s">
        <v>283</v>
      </c>
    </row>
    <row r="340" spans="1:2" ht="14.4">
      <c r="A340" s="33">
        <v>80703</v>
      </c>
      <c r="B340" s="11" t="s">
        <v>320</v>
      </c>
    </row>
    <row r="341" spans="1:2" ht="14.4">
      <c r="A341" s="33">
        <v>80901</v>
      </c>
      <c r="B341" s="11" t="s">
        <v>324</v>
      </c>
    </row>
    <row r="342" spans="1:2" ht="14.4">
      <c r="A342" s="33">
        <v>90103</v>
      </c>
      <c r="B342" s="11" t="s">
        <v>327</v>
      </c>
    </row>
    <row r="343" spans="1:2" ht="14.4">
      <c r="A343" s="33">
        <v>90402</v>
      </c>
      <c r="B343" s="11" t="s">
        <v>335</v>
      </c>
    </row>
    <row r="344" spans="1:2" ht="14.4">
      <c r="A344" s="33">
        <v>90503</v>
      </c>
      <c r="B344" s="11" t="s">
        <v>338</v>
      </c>
    </row>
    <row r="345" spans="1:2" ht="13.2">
      <c r="A345" s="1"/>
      <c r="B345" s="13"/>
    </row>
    <row r="346" spans="1:2" ht="14.4">
      <c r="A346" s="1"/>
      <c r="B346" s="14"/>
    </row>
    <row r="347" spans="1:2" ht="14.4">
      <c r="A347" s="1"/>
      <c r="B347" s="14"/>
    </row>
    <row r="348" spans="1:2" ht="13.2">
      <c r="A348" s="1"/>
      <c r="B348" s="13"/>
    </row>
    <row r="349" spans="1:2" ht="14.4">
      <c r="A349" s="1"/>
      <c r="B349" s="14"/>
    </row>
    <row r="350" spans="1:2" ht="13.2">
      <c r="A350" s="1"/>
      <c r="B350" s="13"/>
    </row>
    <row r="351" spans="1:2" ht="13.2">
      <c r="A351" s="1"/>
      <c r="B351" s="13"/>
    </row>
    <row r="352" spans="1:2" ht="13.2">
      <c r="A352" s="1"/>
      <c r="B352" s="13"/>
    </row>
    <row r="353" spans="1:2" ht="13.2">
      <c r="A353" s="1"/>
      <c r="B353" s="13"/>
    </row>
    <row r="354" spans="1:2" ht="13.2">
      <c r="A354" s="1"/>
      <c r="B354" s="13"/>
    </row>
    <row r="355" spans="1:2" ht="13.2">
      <c r="A355" s="1"/>
      <c r="B355" s="13"/>
    </row>
    <row r="356" spans="1:2" ht="13.2">
      <c r="A356" s="1"/>
      <c r="B356" s="13"/>
    </row>
    <row r="357" spans="1:2" ht="13.2">
      <c r="A357" s="1"/>
      <c r="B357" s="13"/>
    </row>
    <row r="358" spans="1:2" ht="13.2">
      <c r="A358" s="1"/>
      <c r="B358" s="13"/>
    </row>
    <row r="359" spans="1:2" ht="13.2">
      <c r="A359" s="1"/>
      <c r="B359" s="13"/>
    </row>
    <row r="360" spans="1:2" ht="13.2">
      <c r="A360" s="1"/>
      <c r="B360" s="13"/>
    </row>
    <row r="361" spans="1:2" ht="13.2">
      <c r="A361" s="1"/>
      <c r="B361" s="13"/>
    </row>
    <row r="362" spans="1:2" ht="13.2">
      <c r="A362" s="1"/>
      <c r="B362" s="13"/>
    </row>
    <row r="363" spans="1:2" ht="13.2">
      <c r="A363" s="1"/>
      <c r="B363" s="13"/>
    </row>
    <row r="364" spans="1:2" ht="13.2">
      <c r="A364" s="1"/>
      <c r="B364" s="13"/>
    </row>
    <row r="365" spans="1:2" ht="13.2">
      <c r="A365" s="1"/>
      <c r="B365" s="13"/>
    </row>
    <row r="366" spans="1:2" ht="13.2">
      <c r="A366" s="1"/>
      <c r="B366" s="13"/>
    </row>
    <row r="367" spans="1:2" ht="13.2">
      <c r="A367" s="1"/>
      <c r="B367" s="13"/>
    </row>
    <row r="368" spans="1:2" ht="13.2">
      <c r="A368" s="1"/>
      <c r="B368" s="13"/>
    </row>
    <row r="369" spans="1:2" ht="13.2">
      <c r="A369" s="1"/>
      <c r="B369" s="13"/>
    </row>
    <row r="370" spans="1:2" ht="13.2">
      <c r="A370" s="1"/>
      <c r="B370" s="13"/>
    </row>
    <row r="371" spans="1:2" ht="13.2">
      <c r="A371" s="1"/>
      <c r="B371" s="13"/>
    </row>
    <row r="372" spans="1:2" ht="13.2">
      <c r="A372" s="1"/>
      <c r="B372" s="13"/>
    </row>
    <row r="373" spans="1:2" ht="13.2">
      <c r="A373" s="1"/>
      <c r="B373" s="13"/>
    </row>
    <row r="374" spans="1:2" ht="13.2">
      <c r="A374" s="1"/>
      <c r="B374" s="13"/>
    </row>
    <row r="375" spans="1:2" ht="13.2">
      <c r="A375" s="1"/>
      <c r="B375" s="13"/>
    </row>
    <row r="376" spans="1:2" ht="13.2">
      <c r="A376" s="1"/>
      <c r="B376" s="13"/>
    </row>
    <row r="377" spans="1:2" ht="13.2">
      <c r="A377" s="1"/>
      <c r="B377" s="13"/>
    </row>
    <row r="378" spans="1:2" ht="13.2">
      <c r="A378" s="1"/>
      <c r="B378" s="13"/>
    </row>
    <row r="379" spans="1:2" ht="13.2">
      <c r="A379" s="1"/>
      <c r="B379" s="13"/>
    </row>
    <row r="380" spans="1:2" ht="13.2">
      <c r="A380" s="1"/>
      <c r="B380" s="13"/>
    </row>
    <row r="381" spans="1:2" ht="13.2">
      <c r="A381" s="1"/>
      <c r="B381" s="13"/>
    </row>
    <row r="382" spans="1:2" ht="13.2">
      <c r="A382" s="1"/>
      <c r="B382" s="13"/>
    </row>
    <row r="383" spans="1:2" ht="13.2">
      <c r="A383" s="1"/>
      <c r="B383" s="13"/>
    </row>
    <row r="384" spans="1:2" ht="13.2">
      <c r="A384" s="1"/>
      <c r="B384" s="13"/>
    </row>
    <row r="385" spans="1:2" ht="13.2">
      <c r="A385" s="1"/>
      <c r="B385" s="13"/>
    </row>
    <row r="386" spans="1:2" ht="13.2">
      <c r="A386" s="1"/>
      <c r="B386" s="13"/>
    </row>
    <row r="387" spans="1:2" ht="13.2">
      <c r="A387" s="1"/>
      <c r="B387" s="13"/>
    </row>
    <row r="388" spans="1:2" ht="13.2">
      <c r="A388" s="1"/>
      <c r="B388" s="13"/>
    </row>
    <row r="389" spans="1:2" ht="13.2">
      <c r="A389" s="1"/>
      <c r="B389" s="13"/>
    </row>
    <row r="390" spans="1:2" ht="13.2">
      <c r="A390" s="1"/>
      <c r="B390" s="13"/>
    </row>
    <row r="391" spans="1:2" ht="13.2">
      <c r="A391" s="1"/>
      <c r="B391" s="13"/>
    </row>
    <row r="392" spans="1:2" ht="13.2">
      <c r="A392" s="1"/>
      <c r="B392" s="13"/>
    </row>
    <row r="393" spans="1:2" ht="13.2">
      <c r="A393" s="1"/>
      <c r="B393" s="13"/>
    </row>
    <row r="394" spans="1:2" ht="13.2">
      <c r="A394" s="1"/>
      <c r="B394" s="13"/>
    </row>
    <row r="395" spans="1:2" ht="13.2">
      <c r="A395" s="1"/>
      <c r="B395" s="13"/>
    </row>
    <row r="396" spans="1:2" ht="13.2">
      <c r="A396" s="1"/>
      <c r="B396" s="13"/>
    </row>
    <row r="397" spans="1:2" ht="13.2">
      <c r="A397" s="1"/>
      <c r="B397" s="13"/>
    </row>
    <row r="398" spans="1:2" ht="13.2">
      <c r="A398" s="1"/>
      <c r="B398" s="13"/>
    </row>
    <row r="399" spans="1:2" ht="13.2">
      <c r="A399" s="1"/>
      <c r="B399" s="13"/>
    </row>
    <row r="400" spans="1:2" ht="13.2">
      <c r="A400" s="1"/>
      <c r="B400" s="13"/>
    </row>
    <row r="401" spans="1:2" ht="13.2">
      <c r="A401" s="1"/>
      <c r="B401" s="13"/>
    </row>
    <row r="402" spans="1:2" ht="13.2">
      <c r="A402" s="1"/>
      <c r="B402" s="13"/>
    </row>
    <row r="403" spans="1:2" ht="13.2">
      <c r="A403" s="1"/>
      <c r="B403" s="13"/>
    </row>
    <row r="404" spans="1:2" ht="13.2">
      <c r="A404" s="1"/>
      <c r="B404" s="13"/>
    </row>
    <row r="405" spans="1:2" ht="13.2">
      <c r="A405" s="1"/>
      <c r="B405" s="13"/>
    </row>
    <row r="406" spans="1:2" ht="13.2">
      <c r="A406" s="1"/>
      <c r="B406" s="13"/>
    </row>
    <row r="407" spans="1:2" ht="13.2">
      <c r="A407" s="1"/>
      <c r="B407" s="13"/>
    </row>
    <row r="408" spans="1:2" ht="13.2">
      <c r="A408" s="1"/>
      <c r="B408" s="13"/>
    </row>
    <row r="409" spans="1:2" ht="13.2">
      <c r="A409" s="1"/>
      <c r="B409" s="13"/>
    </row>
    <row r="410" spans="1:2" ht="13.2">
      <c r="A410" s="1"/>
      <c r="B410" s="13"/>
    </row>
    <row r="411" spans="1:2" ht="13.2">
      <c r="A411" s="1"/>
      <c r="B411" s="13"/>
    </row>
    <row r="412" spans="1:2" ht="13.2">
      <c r="A412" s="1"/>
      <c r="B412" s="13"/>
    </row>
    <row r="413" spans="1:2" ht="13.2">
      <c r="A413" s="1"/>
      <c r="B413" s="13"/>
    </row>
    <row r="414" spans="1:2" ht="13.2">
      <c r="A414" s="1"/>
      <c r="B414" s="13"/>
    </row>
    <row r="415" spans="1:2" ht="13.2">
      <c r="A415" s="1"/>
      <c r="B415" s="13"/>
    </row>
    <row r="416" spans="1:2" ht="13.2">
      <c r="A416" s="1"/>
      <c r="B416" s="13"/>
    </row>
    <row r="417" spans="1:2" ht="13.2">
      <c r="A417" s="1"/>
      <c r="B417" s="13"/>
    </row>
    <row r="418" spans="1:2" ht="13.2">
      <c r="A418" s="1"/>
      <c r="B418" s="13"/>
    </row>
    <row r="419" spans="1:2" ht="13.2">
      <c r="A419" s="1"/>
      <c r="B419" s="13"/>
    </row>
    <row r="420" spans="1:2" ht="13.2">
      <c r="A420" s="1"/>
      <c r="B420" s="13"/>
    </row>
    <row r="421" spans="1:2" ht="13.2">
      <c r="A421" s="1"/>
      <c r="B421" s="13"/>
    </row>
    <row r="422" spans="1:2" ht="13.2">
      <c r="A422" s="1"/>
      <c r="B422" s="13"/>
    </row>
    <row r="423" spans="1:2" ht="13.2">
      <c r="A423" s="1"/>
      <c r="B423" s="13"/>
    </row>
    <row r="424" spans="1:2" ht="13.2">
      <c r="A424" s="1"/>
      <c r="B424" s="13"/>
    </row>
    <row r="425" spans="1:2" ht="13.2">
      <c r="A425" s="1"/>
      <c r="B425" s="13"/>
    </row>
    <row r="426" spans="1:2" ht="13.2">
      <c r="A426" s="1"/>
      <c r="B426" s="13"/>
    </row>
    <row r="427" spans="1:2" ht="13.2">
      <c r="A427" s="1"/>
      <c r="B427" s="13"/>
    </row>
    <row r="428" spans="1:2" ht="13.2">
      <c r="A428" s="1"/>
      <c r="B428" s="13"/>
    </row>
    <row r="429" spans="1:2" ht="13.2">
      <c r="A429" s="1"/>
      <c r="B429" s="13"/>
    </row>
    <row r="430" spans="1:2" ht="13.2">
      <c r="A430" s="1"/>
      <c r="B430" s="13"/>
    </row>
    <row r="431" spans="1:2" ht="13.2">
      <c r="A431" s="1"/>
      <c r="B431" s="13"/>
    </row>
    <row r="432" spans="1:2" ht="13.2">
      <c r="A432" s="1"/>
      <c r="B432" s="13"/>
    </row>
    <row r="433" spans="1:2" ht="13.2">
      <c r="A433" s="1"/>
      <c r="B433" s="13"/>
    </row>
    <row r="434" spans="1:2" ht="13.2">
      <c r="A434" s="1"/>
      <c r="B434" s="13"/>
    </row>
    <row r="435" spans="1:2" ht="13.2">
      <c r="A435" s="1"/>
      <c r="B435" s="13"/>
    </row>
    <row r="436" spans="1:2" ht="13.2">
      <c r="A436" s="1"/>
      <c r="B436" s="13"/>
    </row>
    <row r="437" spans="1:2" ht="13.2">
      <c r="A437" s="1"/>
      <c r="B437" s="13"/>
    </row>
    <row r="438" spans="1:2" ht="13.2">
      <c r="A438" s="1"/>
      <c r="B438" s="13"/>
    </row>
    <row r="439" spans="1:2" ht="13.2">
      <c r="A439" s="1"/>
      <c r="B439" s="13"/>
    </row>
    <row r="440" spans="1:2" ht="13.2">
      <c r="A440" s="1"/>
      <c r="B440" s="13"/>
    </row>
    <row r="441" spans="1:2" ht="13.2">
      <c r="A441" s="1"/>
      <c r="B441" s="13"/>
    </row>
    <row r="442" spans="1:2" ht="13.2">
      <c r="A442" s="1"/>
      <c r="B442" s="13"/>
    </row>
    <row r="443" spans="1:2" ht="13.2">
      <c r="A443" s="1"/>
      <c r="B443" s="13"/>
    </row>
    <row r="444" spans="1:2" ht="13.2">
      <c r="A444" s="1"/>
      <c r="B444" s="13"/>
    </row>
    <row r="445" spans="1:2" ht="13.2">
      <c r="A445" s="1"/>
      <c r="B445" s="13"/>
    </row>
    <row r="446" spans="1:2" ht="13.2">
      <c r="A446" s="1"/>
      <c r="B446" s="13"/>
    </row>
    <row r="447" spans="1:2" ht="13.2">
      <c r="A447" s="1"/>
      <c r="B447" s="13"/>
    </row>
    <row r="448" spans="1:2" ht="13.2">
      <c r="A448" s="1"/>
      <c r="B448" s="13"/>
    </row>
    <row r="449" spans="1:2" ht="13.2">
      <c r="A449" s="1"/>
      <c r="B449" s="13"/>
    </row>
    <row r="450" spans="1:2" ht="13.2">
      <c r="A450" s="1"/>
      <c r="B450" s="13"/>
    </row>
    <row r="451" spans="1:2" ht="13.2">
      <c r="A451" s="1"/>
      <c r="B451" s="13"/>
    </row>
    <row r="452" spans="1:2" ht="13.2">
      <c r="A452" s="1"/>
      <c r="B452" s="13"/>
    </row>
    <row r="453" spans="1:2" ht="13.2">
      <c r="A453" s="1"/>
      <c r="B453" s="13"/>
    </row>
    <row r="454" spans="1:2" ht="13.2">
      <c r="A454" s="1"/>
      <c r="B454" s="13"/>
    </row>
    <row r="455" spans="1:2" ht="13.2">
      <c r="A455" s="1"/>
      <c r="B455" s="13"/>
    </row>
    <row r="456" spans="1:2" ht="13.2">
      <c r="A456" s="1"/>
      <c r="B456" s="13"/>
    </row>
    <row r="457" spans="1:2" ht="13.2">
      <c r="A457" s="1"/>
      <c r="B457" s="13"/>
    </row>
    <row r="458" spans="1:2" ht="13.2">
      <c r="A458" s="1"/>
      <c r="B458" s="13"/>
    </row>
    <row r="459" spans="1:2" ht="13.2">
      <c r="A459" s="1"/>
      <c r="B459" s="13"/>
    </row>
    <row r="460" spans="1:2" ht="13.2">
      <c r="A460" s="1"/>
      <c r="B460" s="13"/>
    </row>
    <row r="461" spans="1:2" ht="13.2">
      <c r="A461" s="1"/>
      <c r="B461" s="13"/>
    </row>
    <row r="462" spans="1:2" ht="13.2">
      <c r="A462" s="1"/>
      <c r="B462" s="13"/>
    </row>
    <row r="463" spans="1:2" ht="13.2">
      <c r="A463" s="1"/>
      <c r="B463" s="13"/>
    </row>
    <row r="464" spans="1:2" ht="13.2">
      <c r="A464" s="1"/>
      <c r="B464" s="13"/>
    </row>
    <row r="465" spans="1:2" ht="13.2">
      <c r="A465" s="1"/>
      <c r="B465" s="13"/>
    </row>
    <row r="466" spans="1:2" ht="13.2">
      <c r="A466" s="1"/>
      <c r="B466" s="13"/>
    </row>
    <row r="467" spans="1:2" ht="13.2">
      <c r="A467" s="1"/>
      <c r="B467" s="13"/>
    </row>
    <row r="468" spans="1:2" ht="13.2">
      <c r="A468" s="1"/>
      <c r="B468" s="13"/>
    </row>
    <row r="469" spans="1:2" ht="13.2">
      <c r="A469" s="1"/>
      <c r="B469" s="13"/>
    </row>
    <row r="470" spans="1:2" ht="13.2">
      <c r="A470" s="1"/>
      <c r="B470" s="13"/>
    </row>
    <row r="471" spans="1:2" ht="13.2">
      <c r="A471" s="1"/>
      <c r="B471" s="13"/>
    </row>
    <row r="472" spans="1:2" ht="13.2">
      <c r="A472" s="1"/>
      <c r="B472" s="13"/>
    </row>
    <row r="473" spans="1:2" ht="13.2">
      <c r="A473" s="1"/>
      <c r="B473" s="13"/>
    </row>
    <row r="474" spans="1:2" ht="13.2">
      <c r="A474" s="1"/>
      <c r="B474" s="13"/>
    </row>
    <row r="475" spans="1:2" ht="13.2">
      <c r="A475" s="1"/>
      <c r="B475" s="13"/>
    </row>
    <row r="476" spans="1:2" ht="13.2">
      <c r="A476" s="1"/>
      <c r="B476" s="13"/>
    </row>
    <row r="477" spans="1:2" ht="13.2">
      <c r="A477" s="1"/>
      <c r="B477" s="13"/>
    </row>
    <row r="478" spans="1:2" ht="13.2">
      <c r="A478" s="1"/>
      <c r="B478" s="13"/>
    </row>
    <row r="479" spans="1:2" ht="13.2">
      <c r="A479" s="1"/>
      <c r="B479" s="13"/>
    </row>
    <row r="480" spans="1:2" ht="13.2">
      <c r="A480" s="1"/>
      <c r="B480" s="13"/>
    </row>
    <row r="481" spans="1:2" ht="13.2">
      <c r="A481" s="1"/>
      <c r="B481" s="13"/>
    </row>
    <row r="482" spans="1:2" ht="13.2">
      <c r="A482" s="1"/>
      <c r="B482" s="13"/>
    </row>
    <row r="483" spans="1:2" ht="13.2">
      <c r="A483" s="1"/>
      <c r="B483" s="13"/>
    </row>
    <row r="484" spans="1:2" ht="13.2">
      <c r="A484" s="1"/>
      <c r="B484" s="13"/>
    </row>
    <row r="485" spans="1:2" ht="13.2">
      <c r="A485" s="1"/>
      <c r="B485" s="13"/>
    </row>
    <row r="486" spans="1:2" ht="13.2">
      <c r="A486" s="1"/>
      <c r="B486" s="13"/>
    </row>
    <row r="487" spans="1:2" ht="13.2">
      <c r="A487" s="1"/>
      <c r="B487" s="13"/>
    </row>
    <row r="488" spans="1:2" ht="13.2">
      <c r="A488" s="1"/>
      <c r="B488" s="13"/>
    </row>
    <row r="489" spans="1:2" ht="13.2">
      <c r="A489" s="1"/>
      <c r="B489" s="13"/>
    </row>
    <row r="490" spans="1:2" ht="13.2">
      <c r="A490" s="1"/>
      <c r="B490" s="13"/>
    </row>
    <row r="491" spans="1:2" ht="13.2">
      <c r="A491" s="1"/>
      <c r="B491" s="13"/>
    </row>
    <row r="492" spans="1:2" ht="13.2">
      <c r="A492" s="1"/>
      <c r="B492" s="13"/>
    </row>
    <row r="493" spans="1:2" ht="13.2">
      <c r="A493" s="1"/>
      <c r="B493" s="13"/>
    </row>
    <row r="494" spans="1:2" ht="13.2">
      <c r="A494" s="1"/>
      <c r="B494" s="13"/>
    </row>
    <row r="495" spans="1:2" ht="13.2">
      <c r="A495" s="1"/>
      <c r="B495" s="13"/>
    </row>
    <row r="496" spans="1:2" ht="13.2">
      <c r="A496" s="1"/>
      <c r="B496" s="13"/>
    </row>
    <row r="497" spans="1:2" ht="13.2">
      <c r="A497" s="1"/>
      <c r="B497" s="13"/>
    </row>
    <row r="498" spans="1:2" ht="13.2">
      <c r="A498" s="1"/>
      <c r="B498" s="13"/>
    </row>
    <row r="499" spans="1:2" ht="13.2">
      <c r="A499" s="1"/>
      <c r="B499" s="13"/>
    </row>
    <row r="500" spans="1:2" ht="13.2">
      <c r="A500" s="1"/>
      <c r="B500" s="13"/>
    </row>
    <row r="501" spans="1:2" ht="13.2">
      <c r="A501" s="1"/>
      <c r="B501" s="13"/>
    </row>
    <row r="502" spans="1:2" ht="13.2">
      <c r="A502" s="1"/>
      <c r="B502" s="13"/>
    </row>
    <row r="503" spans="1:2" ht="13.2">
      <c r="A503" s="1"/>
      <c r="B503" s="13"/>
    </row>
    <row r="504" spans="1:2" ht="13.2">
      <c r="A504" s="1"/>
      <c r="B504" s="13"/>
    </row>
    <row r="505" spans="1:2" ht="13.2">
      <c r="A505" s="1"/>
      <c r="B505" s="13"/>
    </row>
    <row r="506" spans="1:2" ht="13.2">
      <c r="A506" s="1"/>
      <c r="B506" s="13"/>
    </row>
    <row r="507" spans="1:2" ht="13.2">
      <c r="A507" s="1"/>
      <c r="B507" s="13"/>
    </row>
    <row r="508" spans="1:2" ht="13.2">
      <c r="A508" s="1"/>
      <c r="B508" s="13"/>
    </row>
    <row r="509" spans="1:2" ht="13.2">
      <c r="A509" s="1"/>
      <c r="B509" s="13"/>
    </row>
    <row r="510" spans="1:2" ht="13.2">
      <c r="A510" s="1"/>
      <c r="B510" s="13"/>
    </row>
    <row r="511" spans="1:2" ht="13.2">
      <c r="A511" s="1"/>
      <c r="B511" s="13"/>
    </row>
    <row r="512" spans="1:2" ht="13.2">
      <c r="A512" s="1"/>
      <c r="B512" s="13"/>
    </row>
    <row r="513" spans="1:2" ht="13.2">
      <c r="A513" s="1"/>
      <c r="B513" s="13"/>
    </row>
    <row r="514" spans="1:2" ht="13.2">
      <c r="A514" s="1"/>
      <c r="B514" s="13"/>
    </row>
    <row r="515" spans="1:2" ht="13.2">
      <c r="A515" s="1"/>
      <c r="B515" s="13"/>
    </row>
    <row r="516" spans="1:2" ht="13.2">
      <c r="A516" s="1"/>
      <c r="B516" s="13"/>
    </row>
    <row r="517" spans="1:2" ht="13.2">
      <c r="A517" s="1"/>
      <c r="B517" s="13"/>
    </row>
    <row r="518" spans="1:2" ht="13.2">
      <c r="A518" s="1"/>
      <c r="B518" s="13"/>
    </row>
    <row r="519" spans="1:2" ht="13.2">
      <c r="A519" s="1"/>
      <c r="B519" s="13"/>
    </row>
    <row r="520" spans="1:2" ht="13.2">
      <c r="A520" s="1"/>
      <c r="B520" s="13"/>
    </row>
    <row r="521" spans="1:2" ht="13.2">
      <c r="A521" s="1"/>
      <c r="B521" s="13"/>
    </row>
    <row r="522" spans="1:2" ht="13.2">
      <c r="A522" s="1"/>
      <c r="B522" s="13"/>
    </row>
    <row r="523" spans="1:2" ht="13.2">
      <c r="A523" s="1"/>
      <c r="B523" s="13"/>
    </row>
    <row r="524" spans="1:2" ht="13.2">
      <c r="A524" s="1"/>
      <c r="B524" s="13"/>
    </row>
    <row r="525" spans="1:2" ht="13.2">
      <c r="A525" s="1"/>
      <c r="B525" s="13"/>
    </row>
    <row r="526" spans="1:2" ht="13.2">
      <c r="A526" s="1"/>
      <c r="B526" s="13"/>
    </row>
    <row r="527" spans="1:2" ht="13.2">
      <c r="A527" s="1"/>
      <c r="B527" s="13"/>
    </row>
    <row r="528" spans="1:2" ht="13.2">
      <c r="A528" s="1"/>
      <c r="B528" s="13"/>
    </row>
    <row r="529" spans="1:2" ht="13.2">
      <c r="A529" s="1"/>
      <c r="B529" s="13"/>
    </row>
    <row r="530" spans="1:2" ht="13.2">
      <c r="A530" s="1"/>
      <c r="B530" s="13"/>
    </row>
    <row r="531" spans="1:2" ht="13.2">
      <c r="A531" s="1"/>
      <c r="B531" s="13"/>
    </row>
    <row r="532" spans="1:2" ht="13.2">
      <c r="A532" s="1"/>
      <c r="B532" s="13"/>
    </row>
    <row r="533" spans="1:2" ht="13.2">
      <c r="A533" s="1"/>
      <c r="B533" s="13"/>
    </row>
    <row r="534" spans="1:2" ht="13.2">
      <c r="A534" s="1"/>
      <c r="B534" s="13"/>
    </row>
    <row r="535" spans="1:2" ht="13.2">
      <c r="A535" s="1"/>
      <c r="B535" s="13"/>
    </row>
    <row r="536" spans="1:2" ht="13.2">
      <c r="A536" s="1"/>
      <c r="B536" s="13"/>
    </row>
    <row r="537" spans="1:2" ht="13.2">
      <c r="A537" s="1"/>
      <c r="B537" s="13"/>
    </row>
    <row r="538" spans="1:2" ht="13.2">
      <c r="A538" s="1"/>
      <c r="B538" s="13"/>
    </row>
    <row r="539" spans="1:2" ht="13.2">
      <c r="A539" s="1"/>
      <c r="B539" s="13"/>
    </row>
    <row r="540" spans="1:2" ht="13.2">
      <c r="A540" s="1"/>
      <c r="B540" s="13"/>
    </row>
    <row r="541" spans="1:2" ht="13.2">
      <c r="A541" s="1"/>
      <c r="B541" s="13"/>
    </row>
    <row r="542" spans="1:2" ht="13.2">
      <c r="A542" s="1"/>
      <c r="B542" s="13"/>
    </row>
    <row r="543" spans="1:2" ht="13.2">
      <c r="A543" s="1"/>
      <c r="B543" s="13"/>
    </row>
    <row r="544" spans="1:2" ht="13.2">
      <c r="A544" s="1"/>
      <c r="B544" s="13"/>
    </row>
    <row r="545" spans="1:2" ht="13.2">
      <c r="A545" s="1"/>
      <c r="B545" s="13"/>
    </row>
    <row r="546" spans="1:2" ht="13.2">
      <c r="A546" s="1"/>
      <c r="B546" s="13"/>
    </row>
    <row r="547" spans="1:2" ht="13.2">
      <c r="A547" s="1"/>
      <c r="B547" s="13"/>
    </row>
    <row r="548" spans="1:2" ht="13.2">
      <c r="A548" s="1"/>
      <c r="B548" s="13"/>
    </row>
    <row r="549" spans="1:2" ht="13.2">
      <c r="A549" s="1"/>
      <c r="B549" s="13"/>
    </row>
    <row r="550" spans="1:2" ht="13.2">
      <c r="A550" s="1"/>
      <c r="B550" s="13"/>
    </row>
    <row r="551" spans="1:2" ht="13.2">
      <c r="A551" s="1"/>
      <c r="B551" s="13"/>
    </row>
    <row r="552" spans="1:2" ht="13.2">
      <c r="A552" s="1"/>
      <c r="B552" s="13"/>
    </row>
    <row r="553" spans="1:2" ht="13.2">
      <c r="A553" s="1"/>
      <c r="B553" s="13"/>
    </row>
    <row r="554" spans="1:2" ht="13.2">
      <c r="A554" s="1"/>
      <c r="B554" s="13"/>
    </row>
    <row r="555" spans="1:2" ht="13.2">
      <c r="A555" s="1"/>
      <c r="B555" s="13"/>
    </row>
    <row r="556" spans="1:2" ht="13.2">
      <c r="A556" s="1"/>
      <c r="B556" s="13"/>
    </row>
    <row r="557" spans="1:2" ht="13.2">
      <c r="A557" s="1"/>
      <c r="B557" s="13"/>
    </row>
    <row r="558" spans="1:2" ht="13.2">
      <c r="A558" s="1"/>
      <c r="B558" s="13"/>
    </row>
    <row r="559" spans="1:2" ht="13.2">
      <c r="A559" s="1"/>
      <c r="B559" s="13"/>
    </row>
    <row r="560" spans="1:2" ht="13.2">
      <c r="A560" s="1"/>
      <c r="B560" s="13"/>
    </row>
    <row r="561" spans="1:2" ht="13.2">
      <c r="A561" s="1"/>
      <c r="B561" s="13"/>
    </row>
    <row r="562" spans="1:2" ht="13.2">
      <c r="A562" s="1"/>
      <c r="B562" s="13"/>
    </row>
    <row r="563" spans="1:2" ht="13.2">
      <c r="A563" s="1"/>
      <c r="B563" s="13"/>
    </row>
    <row r="564" spans="1:2" ht="13.2">
      <c r="A564" s="1"/>
      <c r="B564" s="13"/>
    </row>
    <row r="565" spans="1:2" ht="13.2">
      <c r="A565" s="1"/>
      <c r="B565" s="13"/>
    </row>
    <row r="566" spans="1:2" ht="13.2">
      <c r="A566" s="1"/>
      <c r="B566" s="13"/>
    </row>
    <row r="567" spans="1:2" ht="13.2">
      <c r="A567" s="1"/>
      <c r="B567" s="13"/>
    </row>
    <row r="568" spans="1:2" ht="13.2">
      <c r="A568" s="1"/>
      <c r="B568" s="13"/>
    </row>
    <row r="569" spans="1:2" ht="13.2">
      <c r="A569" s="1"/>
      <c r="B569" s="13"/>
    </row>
    <row r="570" spans="1:2" ht="13.2">
      <c r="A570" s="1"/>
      <c r="B570" s="13"/>
    </row>
    <row r="571" spans="1:2" ht="13.2">
      <c r="A571" s="1"/>
      <c r="B571" s="13"/>
    </row>
    <row r="572" spans="1:2" ht="13.2">
      <c r="A572" s="1"/>
      <c r="B572" s="13"/>
    </row>
    <row r="573" spans="1:2" ht="13.2">
      <c r="A573" s="1"/>
      <c r="B573" s="13"/>
    </row>
    <row r="574" spans="1:2" ht="13.2">
      <c r="A574" s="1"/>
      <c r="B574" s="13"/>
    </row>
    <row r="575" spans="1:2" ht="13.2">
      <c r="A575" s="1"/>
      <c r="B575" s="13"/>
    </row>
    <row r="576" spans="1:2" ht="13.2">
      <c r="A576" s="1"/>
      <c r="B576" s="13"/>
    </row>
    <row r="577" spans="1:2" ht="13.2">
      <c r="A577" s="1"/>
      <c r="B577" s="13"/>
    </row>
    <row r="578" spans="1:2" ht="13.2">
      <c r="A578" s="1"/>
      <c r="B578" s="13"/>
    </row>
    <row r="579" spans="1:2" ht="13.2">
      <c r="A579" s="1"/>
      <c r="B579" s="13"/>
    </row>
    <row r="580" spans="1:2" ht="13.2">
      <c r="A580" s="1"/>
      <c r="B580" s="13"/>
    </row>
    <row r="581" spans="1:2" ht="13.2">
      <c r="A581" s="1"/>
      <c r="B581" s="13"/>
    </row>
    <row r="582" spans="1:2" ht="13.2">
      <c r="A582" s="1"/>
      <c r="B582" s="13"/>
    </row>
    <row r="583" spans="1:2" ht="13.2">
      <c r="A583" s="1"/>
      <c r="B583" s="13"/>
    </row>
    <row r="584" spans="1:2" ht="13.2">
      <c r="A584" s="1"/>
      <c r="B584" s="13"/>
    </row>
    <row r="585" spans="1:2" ht="13.2">
      <c r="A585" s="1"/>
      <c r="B585" s="13"/>
    </row>
    <row r="586" spans="1:2" ht="13.2">
      <c r="A586" s="1"/>
      <c r="B586" s="13"/>
    </row>
    <row r="587" spans="1:2" ht="13.2">
      <c r="A587" s="1"/>
      <c r="B587" s="13"/>
    </row>
    <row r="588" spans="1:2" ht="13.2">
      <c r="A588" s="1"/>
      <c r="B588" s="13"/>
    </row>
    <row r="589" spans="1:2" ht="13.2">
      <c r="A589" s="1"/>
      <c r="B589" s="13"/>
    </row>
    <row r="590" spans="1:2" ht="13.2">
      <c r="A590" s="1"/>
      <c r="B590" s="13"/>
    </row>
    <row r="591" spans="1:2" ht="13.2">
      <c r="A591" s="1"/>
      <c r="B591" s="13"/>
    </row>
    <row r="592" spans="1:2" ht="13.2">
      <c r="A592" s="1"/>
      <c r="B592" s="13"/>
    </row>
    <row r="593" spans="1:2" ht="13.2">
      <c r="A593" s="1"/>
      <c r="B593" s="13"/>
    </row>
    <row r="594" spans="1:2" ht="13.2">
      <c r="A594" s="1"/>
      <c r="B594" s="13"/>
    </row>
    <row r="595" spans="1:2" ht="13.2">
      <c r="A595" s="1"/>
      <c r="B595" s="13"/>
    </row>
    <row r="596" spans="1:2" ht="13.2">
      <c r="A596" s="1"/>
      <c r="B596" s="13"/>
    </row>
    <row r="597" spans="1:2" ht="13.2">
      <c r="A597" s="1"/>
      <c r="B597" s="13"/>
    </row>
    <row r="598" spans="1:2" ht="13.2">
      <c r="A598" s="1"/>
      <c r="B598" s="13"/>
    </row>
    <row r="599" spans="1:2" ht="13.2">
      <c r="A599" s="1"/>
      <c r="B599" s="13"/>
    </row>
    <row r="600" spans="1:2" ht="13.2">
      <c r="A600" s="1"/>
      <c r="B600" s="13"/>
    </row>
    <row r="601" spans="1:2" ht="13.2">
      <c r="A601" s="1"/>
      <c r="B601" s="13"/>
    </row>
    <row r="602" spans="1:2" ht="13.2">
      <c r="A602" s="1"/>
      <c r="B602" s="13"/>
    </row>
    <row r="603" spans="1:2" ht="13.2">
      <c r="A603" s="1"/>
      <c r="B603" s="13"/>
    </row>
    <row r="604" spans="1:2" ht="13.2">
      <c r="A604" s="1"/>
      <c r="B604" s="13"/>
    </row>
    <row r="605" spans="1:2" ht="13.2">
      <c r="A605" s="1"/>
      <c r="B605" s="13"/>
    </row>
    <row r="606" spans="1:2" ht="13.2">
      <c r="A606" s="1"/>
      <c r="B606" s="13"/>
    </row>
    <row r="607" spans="1:2" ht="13.2">
      <c r="A607" s="1"/>
      <c r="B607" s="13"/>
    </row>
    <row r="608" spans="1:2" ht="13.2">
      <c r="A608" s="1"/>
      <c r="B608" s="13"/>
    </row>
    <row r="609" spans="1:2" ht="13.2">
      <c r="A609" s="1"/>
      <c r="B609" s="13"/>
    </row>
    <row r="610" spans="1:2" ht="13.2">
      <c r="A610" s="1"/>
      <c r="B610" s="13"/>
    </row>
    <row r="611" spans="1:2" ht="13.2">
      <c r="A611" s="1"/>
      <c r="B611" s="13"/>
    </row>
    <row r="612" spans="1:2" ht="13.2">
      <c r="A612" s="1"/>
      <c r="B612" s="13"/>
    </row>
    <row r="613" spans="1:2" ht="13.2">
      <c r="A613" s="1"/>
      <c r="B613" s="13"/>
    </row>
    <row r="614" spans="1:2" ht="13.2">
      <c r="A614" s="1"/>
      <c r="B614" s="13"/>
    </row>
    <row r="615" spans="1:2" ht="13.2">
      <c r="A615" s="1"/>
      <c r="B615" s="13"/>
    </row>
    <row r="616" spans="1:2" ht="13.2">
      <c r="A616" s="1"/>
      <c r="B616" s="13"/>
    </row>
    <row r="617" spans="1:2" ht="13.2">
      <c r="A617" s="1"/>
      <c r="B617" s="13"/>
    </row>
    <row r="618" spans="1:2" ht="13.2">
      <c r="A618" s="1"/>
      <c r="B618" s="13"/>
    </row>
    <row r="619" spans="1:2" ht="13.2">
      <c r="A619" s="1"/>
      <c r="B619" s="13"/>
    </row>
    <row r="620" spans="1:2" ht="13.2">
      <c r="A620" s="1"/>
      <c r="B620" s="13"/>
    </row>
    <row r="621" spans="1:2" ht="13.2">
      <c r="A621" s="1"/>
      <c r="B621" s="13"/>
    </row>
    <row r="622" spans="1:2" ht="13.2">
      <c r="A622" s="1"/>
      <c r="B622" s="13"/>
    </row>
    <row r="623" spans="1:2" ht="13.2">
      <c r="A623" s="1"/>
      <c r="B623" s="13"/>
    </row>
    <row r="624" spans="1:2" ht="13.2">
      <c r="A624" s="1"/>
      <c r="B624" s="13"/>
    </row>
    <row r="625" spans="1:2" ht="13.2">
      <c r="A625" s="1"/>
      <c r="B625" s="13"/>
    </row>
    <row r="626" spans="1:2" ht="13.2">
      <c r="A626" s="1"/>
      <c r="B626" s="13"/>
    </row>
    <row r="627" spans="1:2" ht="13.2">
      <c r="A627" s="1"/>
      <c r="B627" s="13"/>
    </row>
    <row r="628" spans="1:2" ht="13.2">
      <c r="A628" s="1"/>
      <c r="B628" s="13"/>
    </row>
    <row r="629" spans="1:2" ht="13.2">
      <c r="A629" s="1"/>
      <c r="B629" s="13"/>
    </row>
    <row r="630" spans="1:2" ht="13.2">
      <c r="A630" s="1"/>
      <c r="B630" s="13"/>
    </row>
    <row r="631" spans="1:2" ht="13.2">
      <c r="A631" s="1"/>
      <c r="B631" s="13"/>
    </row>
    <row r="632" spans="1:2" ht="13.2">
      <c r="A632" s="1"/>
      <c r="B632" s="13"/>
    </row>
    <row r="633" spans="1:2" ht="13.2">
      <c r="A633" s="1"/>
      <c r="B633" s="13"/>
    </row>
    <row r="634" spans="1:2" ht="13.2">
      <c r="A634" s="1"/>
      <c r="B634" s="13"/>
    </row>
    <row r="635" spans="1:2" ht="13.2">
      <c r="A635" s="1"/>
      <c r="B635" s="13"/>
    </row>
    <row r="636" spans="1:2" ht="13.2">
      <c r="A636" s="1"/>
      <c r="B636" s="13"/>
    </row>
    <row r="637" spans="1:2" ht="13.2">
      <c r="A637" s="1"/>
      <c r="B637" s="13"/>
    </row>
    <row r="638" spans="1:2" ht="13.2">
      <c r="A638" s="1"/>
      <c r="B638" s="13"/>
    </row>
    <row r="639" spans="1:2" ht="13.2">
      <c r="A639" s="1"/>
      <c r="B639" s="13"/>
    </row>
    <row r="640" spans="1:2" ht="13.2">
      <c r="A640" s="1"/>
      <c r="B640" s="13"/>
    </row>
    <row r="641" spans="1:2" ht="13.2">
      <c r="A641" s="1"/>
      <c r="B641" s="13"/>
    </row>
    <row r="642" spans="1:2" ht="13.2">
      <c r="A642" s="1"/>
      <c r="B642" s="13"/>
    </row>
    <row r="643" spans="1:2" ht="13.2">
      <c r="A643" s="1"/>
      <c r="B643" s="13"/>
    </row>
    <row r="644" spans="1:2" ht="13.2">
      <c r="A644" s="1"/>
      <c r="B644" s="13"/>
    </row>
    <row r="645" spans="1:2" ht="13.2">
      <c r="A645" s="1"/>
      <c r="B645" s="13"/>
    </row>
    <row r="646" spans="1:2" ht="13.2">
      <c r="A646" s="1"/>
      <c r="B646" s="13"/>
    </row>
    <row r="647" spans="1:2" ht="13.2">
      <c r="A647" s="1"/>
      <c r="B647" s="13"/>
    </row>
    <row r="648" spans="1:2" ht="13.2">
      <c r="A648" s="1"/>
      <c r="B648" s="13"/>
    </row>
    <row r="649" spans="1:2" ht="13.2">
      <c r="A649" s="1"/>
      <c r="B649" s="13"/>
    </row>
    <row r="650" spans="1:2" ht="13.2">
      <c r="A650" s="1"/>
      <c r="B650" s="13"/>
    </row>
    <row r="651" spans="1:2" ht="13.2">
      <c r="A651" s="1"/>
      <c r="B651" s="13"/>
    </row>
    <row r="652" spans="1:2" ht="13.2">
      <c r="A652" s="1"/>
      <c r="B652" s="13"/>
    </row>
    <row r="653" spans="1:2" ht="13.2">
      <c r="A653" s="1"/>
      <c r="B653" s="13"/>
    </row>
    <row r="654" spans="1:2" ht="13.2">
      <c r="A654" s="1"/>
      <c r="B654" s="13"/>
    </row>
    <row r="655" spans="1:2" ht="13.2">
      <c r="A655" s="1"/>
      <c r="B655" s="13"/>
    </row>
    <row r="656" spans="1:2" ht="13.2">
      <c r="A656" s="1"/>
      <c r="B656" s="13"/>
    </row>
    <row r="657" spans="1:2" ht="13.2">
      <c r="A657" s="1"/>
      <c r="B657" s="13"/>
    </row>
    <row r="658" spans="1:2" ht="13.2">
      <c r="A658" s="1"/>
      <c r="B658" s="13"/>
    </row>
    <row r="659" spans="1:2" ht="13.2">
      <c r="A659" s="1"/>
      <c r="B659" s="13"/>
    </row>
    <row r="660" spans="1:2" ht="13.2">
      <c r="A660" s="1"/>
      <c r="B660" s="13"/>
    </row>
    <row r="661" spans="1:2" ht="13.2">
      <c r="A661" s="1"/>
      <c r="B661" s="13"/>
    </row>
    <row r="662" spans="1:2" ht="13.2">
      <c r="A662" s="1"/>
      <c r="B662" s="13"/>
    </row>
    <row r="663" spans="1:2" ht="13.2">
      <c r="A663" s="1"/>
      <c r="B663" s="13"/>
    </row>
    <row r="664" spans="1:2" ht="13.2">
      <c r="A664" s="1"/>
      <c r="B664" s="13"/>
    </row>
    <row r="665" spans="1:2" ht="13.2">
      <c r="A665" s="1"/>
      <c r="B665" s="13"/>
    </row>
    <row r="666" spans="1:2" ht="13.2">
      <c r="A666" s="1"/>
      <c r="B666" s="13"/>
    </row>
    <row r="667" spans="1:2" ht="13.2">
      <c r="A667" s="1"/>
      <c r="B667" s="13"/>
    </row>
    <row r="668" spans="1:2" ht="13.2">
      <c r="A668" s="1"/>
      <c r="B668" s="13"/>
    </row>
    <row r="669" spans="1:2" ht="13.2">
      <c r="A669" s="1"/>
      <c r="B669" s="13"/>
    </row>
    <row r="670" spans="1:2" ht="13.2">
      <c r="A670" s="1"/>
      <c r="B670" s="13"/>
    </row>
    <row r="671" spans="1:2" ht="13.2">
      <c r="A671" s="1"/>
      <c r="B671" s="13"/>
    </row>
    <row r="672" spans="1:2" ht="13.2">
      <c r="A672" s="1"/>
      <c r="B672" s="13"/>
    </row>
    <row r="673" spans="1:2" ht="13.2">
      <c r="A673" s="1"/>
      <c r="B673" s="13"/>
    </row>
    <row r="674" spans="1:2" ht="13.2">
      <c r="A674" s="1"/>
      <c r="B674" s="13"/>
    </row>
    <row r="675" spans="1:2" ht="13.2">
      <c r="A675" s="1"/>
      <c r="B675" s="13"/>
    </row>
    <row r="676" spans="1:2" ht="13.2">
      <c r="A676" s="1"/>
      <c r="B676" s="13"/>
    </row>
    <row r="677" spans="1:2" ht="13.2">
      <c r="A677" s="1"/>
      <c r="B677" s="13"/>
    </row>
    <row r="678" spans="1:2" ht="13.2">
      <c r="A678" s="1"/>
      <c r="B678" s="13"/>
    </row>
    <row r="679" spans="1:2" ht="13.2">
      <c r="A679" s="1"/>
      <c r="B679" s="13"/>
    </row>
    <row r="680" spans="1:2" ht="13.2">
      <c r="A680" s="1"/>
      <c r="B680" s="13"/>
    </row>
    <row r="681" spans="1:2" ht="13.2">
      <c r="A681" s="1"/>
      <c r="B681" s="13"/>
    </row>
    <row r="682" spans="1:2" ht="13.2">
      <c r="A682" s="1"/>
      <c r="B682" s="13"/>
    </row>
    <row r="683" spans="1:2" ht="13.2">
      <c r="A683" s="1"/>
      <c r="B683" s="13"/>
    </row>
    <row r="684" spans="1:2" ht="13.2">
      <c r="A684" s="1"/>
      <c r="B684" s="13"/>
    </row>
    <row r="685" spans="1:2" ht="13.2">
      <c r="A685" s="1"/>
      <c r="B685" s="13"/>
    </row>
    <row r="686" spans="1:2" ht="13.2">
      <c r="A686" s="1"/>
      <c r="B686" s="13"/>
    </row>
    <row r="687" spans="1:2" ht="13.2">
      <c r="A687" s="1"/>
      <c r="B687" s="13"/>
    </row>
    <row r="688" spans="1:2" ht="13.2">
      <c r="A688" s="1"/>
      <c r="B688" s="13"/>
    </row>
    <row r="689" spans="1:2" ht="13.2">
      <c r="A689" s="1"/>
      <c r="B689" s="13"/>
    </row>
    <row r="690" spans="1:2" ht="13.2">
      <c r="A690" s="1"/>
      <c r="B690" s="13"/>
    </row>
    <row r="691" spans="1:2" ht="13.2">
      <c r="A691" s="1"/>
      <c r="B691" s="13"/>
    </row>
    <row r="692" spans="1:2" ht="13.2">
      <c r="A692" s="1"/>
      <c r="B692" s="13"/>
    </row>
    <row r="693" spans="1:2" ht="13.2">
      <c r="A693" s="1"/>
      <c r="B693" s="13"/>
    </row>
    <row r="694" spans="1:2" ht="13.2">
      <c r="A694" s="1"/>
      <c r="B694" s="13"/>
    </row>
    <row r="695" spans="1:2" ht="13.2">
      <c r="A695" s="1"/>
      <c r="B695" s="13"/>
    </row>
    <row r="696" spans="1:2" ht="13.2">
      <c r="A696" s="1"/>
      <c r="B696" s="13"/>
    </row>
    <row r="697" spans="1:2" ht="13.2">
      <c r="A697" s="1"/>
      <c r="B697" s="13"/>
    </row>
    <row r="698" spans="1:2" ht="13.2">
      <c r="A698" s="1"/>
      <c r="B698" s="13"/>
    </row>
    <row r="699" spans="1:2" ht="13.2">
      <c r="A699" s="1"/>
      <c r="B699" s="13"/>
    </row>
    <row r="700" spans="1:2" ht="13.2">
      <c r="A700" s="1"/>
      <c r="B700" s="13"/>
    </row>
    <row r="701" spans="1:2" ht="13.2">
      <c r="A701" s="1"/>
      <c r="B701" s="13"/>
    </row>
    <row r="702" spans="1:2" ht="13.2">
      <c r="A702" s="1"/>
      <c r="B702" s="13"/>
    </row>
    <row r="703" spans="1:2" ht="13.2">
      <c r="A703" s="1"/>
      <c r="B703" s="13"/>
    </row>
    <row r="704" spans="1:2" ht="13.2">
      <c r="A704" s="1"/>
      <c r="B704" s="13"/>
    </row>
    <row r="705" spans="1:2" ht="13.2">
      <c r="A705" s="1"/>
      <c r="B705" s="13"/>
    </row>
    <row r="706" spans="1:2" ht="13.2">
      <c r="A706" s="1"/>
      <c r="B706" s="13"/>
    </row>
    <row r="707" spans="1:2" ht="13.2">
      <c r="A707" s="1"/>
      <c r="B707" s="13"/>
    </row>
    <row r="708" spans="1:2" ht="13.2">
      <c r="A708" s="1"/>
      <c r="B708" s="13"/>
    </row>
    <row r="709" spans="1:2" ht="13.2">
      <c r="A709" s="1"/>
      <c r="B709" s="13"/>
    </row>
    <row r="710" spans="1:2" ht="13.2">
      <c r="A710" s="1"/>
      <c r="B710" s="13"/>
    </row>
    <row r="711" spans="1:2" ht="13.2">
      <c r="A711" s="1"/>
      <c r="B711" s="13"/>
    </row>
    <row r="712" spans="1:2" ht="13.2">
      <c r="A712" s="1"/>
      <c r="B712" s="13"/>
    </row>
    <row r="713" spans="1:2" ht="13.2">
      <c r="A713" s="1"/>
      <c r="B713" s="13"/>
    </row>
    <row r="714" spans="1:2" ht="13.2">
      <c r="A714" s="1"/>
      <c r="B714" s="13"/>
    </row>
    <row r="715" spans="1:2" ht="13.2">
      <c r="A715" s="1"/>
      <c r="B715" s="13"/>
    </row>
    <row r="716" spans="1:2" ht="13.2">
      <c r="A716" s="1"/>
      <c r="B716" s="13"/>
    </row>
    <row r="717" spans="1:2" ht="13.2">
      <c r="A717" s="1"/>
      <c r="B717" s="13"/>
    </row>
    <row r="718" spans="1:2" ht="13.2">
      <c r="A718" s="1"/>
      <c r="B718" s="13"/>
    </row>
    <row r="719" spans="1:2" ht="13.2">
      <c r="A719" s="1"/>
      <c r="B719" s="13"/>
    </row>
    <row r="720" spans="1:2" ht="13.2">
      <c r="A720" s="1"/>
      <c r="B720" s="13"/>
    </row>
    <row r="721" spans="1:2" ht="13.2">
      <c r="A721" s="1"/>
      <c r="B721" s="13"/>
    </row>
    <row r="722" spans="1:2" ht="13.2">
      <c r="A722" s="1"/>
      <c r="B722" s="13"/>
    </row>
    <row r="723" spans="1:2" ht="13.2">
      <c r="A723" s="1"/>
      <c r="B723" s="13"/>
    </row>
    <row r="724" spans="1:2" ht="13.2">
      <c r="A724" s="1"/>
      <c r="B724" s="13"/>
    </row>
    <row r="725" spans="1:2" ht="13.2">
      <c r="A725" s="1"/>
      <c r="B725" s="13"/>
    </row>
    <row r="726" spans="1:2" ht="13.2">
      <c r="A726" s="1"/>
      <c r="B726" s="13"/>
    </row>
    <row r="727" spans="1:2" ht="13.2">
      <c r="A727" s="1"/>
      <c r="B727" s="13"/>
    </row>
    <row r="728" spans="1:2" ht="13.2">
      <c r="A728" s="1"/>
      <c r="B728" s="13"/>
    </row>
    <row r="729" spans="1:2" ht="13.2">
      <c r="A729" s="1"/>
      <c r="B729" s="13"/>
    </row>
    <row r="730" spans="1:2" ht="13.2">
      <c r="A730" s="1"/>
      <c r="B730" s="13"/>
    </row>
    <row r="731" spans="1:2" ht="13.2">
      <c r="A731" s="1"/>
      <c r="B731" s="13"/>
    </row>
    <row r="732" spans="1:2" ht="13.2">
      <c r="A732" s="1"/>
      <c r="B732" s="13"/>
    </row>
    <row r="733" spans="1:2" ht="13.2">
      <c r="A733" s="1"/>
      <c r="B733" s="13"/>
    </row>
    <row r="734" spans="1:2" ht="13.2">
      <c r="A734" s="1"/>
      <c r="B734" s="13"/>
    </row>
    <row r="735" spans="1:2" ht="13.2">
      <c r="A735" s="1"/>
      <c r="B735" s="13"/>
    </row>
    <row r="736" spans="1:2" ht="13.2">
      <c r="A736" s="1"/>
      <c r="B736" s="13"/>
    </row>
    <row r="737" spans="1:2" ht="13.2">
      <c r="A737" s="1"/>
      <c r="B737" s="13"/>
    </row>
    <row r="738" spans="1:2" ht="13.2">
      <c r="A738" s="1"/>
      <c r="B738" s="13"/>
    </row>
    <row r="739" spans="1:2" ht="13.2">
      <c r="A739" s="1"/>
      <c r="B739" s="13"/>
    </row>
    <row r="740" spans="1:2" ht="13.2">
      <c r="A740" s="1"/>
      <c r="B740" s="13"/>
    </row>
    <row r="741" spans="1:2" ht="13.2">
      <c r="A741" s="1"/>
      <c r="B741" s="13"/>
    </row>
    <row r="742" spans="1:2" ht="13.2">
      <c r="A742" s="1"/>
      <c r="B742" s="13"/>
    </row>
    <row r="743" spans="1:2" ht="13.2">
      <c r="A743" s="1"/>
      <c r="B743" s="13"/>
    </row>
    <row r="744" spans="1:2" ht="13.2">
      <c r="A744" s="1"/>
      <c r="B744" s="13"/>
    </row>
    <row r="745" spans="1:2" ht="13.2">
      <c r="A745" s="1"/>
      <c r="B745" s="13"/>
    </row>
    <row r="746" spans="1:2" ht="13.2">
      <c r="A746" s="1"/>
      <c r="B746" s="13"/>
    </row>
    <row r="747" spans="1:2" ht="13.2">
      <c r="A747" s="1"/>
      <c r="B747" s="13"/>
    </row>
    <row r="748" spans="1:2" ht="13.2">
      <c r="A748" s="1"/>
      <c r="B748" s="13"/>
    </row>
    <row r="749" spans="1:2" ht="13.2">
      <c r="A749" s="1"/>
      <c r="B749" s="13"/>
    </row>
    <row r="750" spans="1:2" ht="13.2">
      <c r="A750" s="1"/>
      <c r="B750" s="13"/>
    </row>
    <row r="751" spans="1:2" ht="13.2">
      <c r="A751" s="1"/>
      <c r="B751" s="13"/>
    </row>
    <row r="752" spans="1:2" ht="13.2">
      <c r="A752" s="1"/>
      <c r="B752" s="13"/>
    </row>
    <row r="753" spans="1:2" ht="13.2">
      <c r="A753" s="1"/>
      <c r="B753" s="13"/>
    </row>
    <row r="754" spans="1:2" ht="13.2">
      <c r="A754" s="1"/>
      <c r="B754" s="13"/>
    </row>
    <row r="755" spans="1:2" ht="13.2">
      <c r="A755" s="1"/>
      <c r="B755" s="13"/>
    </row>
    <row r="756" spans="1:2" ht="13.2">
      <c r="A756" s="1"/>
      <c r="B756" s="13"/>
    </row>
    <row r="757" spans="1:2" ht="13.2">
      <c r="A757" s="1"/>
      <c r="B757" s="13"/>
    </row>
    <row r="758" spans="1:2" ht="13.2">
      <c r="A758" s="1"/>
      <c r="B758" s="13"/>
    </row>
    <row r="759" spans="1:2" ht="13.2">
      <c r="A759" s="1"/>
      <c r="B759" s="13"/>
    </row>
    <row r="760" spans="1:2" ht="13.2">
      <c r="A760" s="1"/>
      <c r="B760" s="13"/>
    </row>
    <row r="761" spans="1:2" ht="13.2">
      <c r="A761" s="1"/>
      <c r="B761" s="13"/>
    </row>
    <row r="762" spans="1:2" ht="13.2">
      <c r="A762" s="1"/>
      <c r="B762" s="13"/>
    </row>
    <row r="763" spans="1:2" ht="13.2">
      <c r="A763" s="1"/>
      <c r="B763" s="13"/>
    </row>
    <row r="764" spans="1:2" ht="13.2">
      <c r="A764" s="1"/>
      <c r="B764" s="13"/>
    </row>
    <row r="765" spans="1:2" ht="13.2">
      <c r="A765" s="1"/>
      <c r="B765" s="13"/>
    </row>
    <row r="766" spans="1:2" ht="13.2">
      <c r="A766" s="1"/>
      <c r="B766" s="13"/>
    </row>
    <row r="767" spans="1:2" ht="13.2">
      <c r="A767" s="1"/>
      <c r="B767" s="13"/>
    </row>
    <row r="768" spans="1:2" ht="13.2">
      <c r="A768" s="1"/>
      <c r="B768" s="13"/>
    </row>
    <row r="769" spans="1:2" ht="13.2">
      <c r="A769" s="1"/>
      <c r="B769" s="13"/>
    </row>
    <row r="770" spans="1:2" ht="13.2">
      <c r="A770" s="1"/>
      <c r="B770" s="13"/>
    </row>
    <row r="771" spans="1:2" ht="13.2">
      <c r="A771" s="1"/>
      <c r="B771" s="13"/>
    </row>
    <row r="772" spans="1:2" ht="13.2">
      <c r="A772" s="1"/>
      <c r="B772" s="13"/>
    </row>
    <row r="773" spans="1:2" ht="13.2">
      <c r="A773" s="1"/>
      <c r="B773" s="13"/>
    </row>
    <row r="774" spans="1:2" ht="13.2">
      <c r="A774" s="1"/>
      <c r="B774" s="13"/>
    </row>
    <row r="775" spans="1:2" ht="13.2">
      <c r="A775" s="1"/>
      <c r="B775" s="13"/>
    </row>
    <row r="776" spans="1:2" ht="13.2">
      <c r="A776" s="1"/>
      <c r="B776" s="13"/>
    </row>
    <row r="777" spans="1:2" ht="13.2">
      <c r="A777" s="1"/>
      <c r="B777" s="13"/>
    </row>
    <row r="778" spans="1:2" ht="13.2">
      <c r="A778" s="1"/>
      <c r="B778" s="13"/>
    </row>
    <row r="779" spans="1:2" ht="13.2">
      <c r="A779" s="1"/>
      <c r="B779" s="13"/>
    </row>
    <row r="780" spans="1:2" ht="13.2">
      <c r="A780" s="1"/>
      <c r="B780" s="13"/>
    </row>
    <row r="781" spans="1:2" ht="13.2">
      <c r="A781" s="1"/>
      <c r="B781" s="13"/>
    </row>
    <row r="782" spans="1:2" ht="13.2">
      <c r="A782" s="1"/>
      <c r="B782" s="13"/>
    </row>
    <row r="783" spans="1:2" ht="13.2">
      <c r="A783" s="1"/>
      <c r="B783" s="13"/>
    </row>
    <row r="784" spans="1:2" ht="13.2">
      <c r="A784" s="1"/>
      <c r="B784" s="13"/>
    </row>
    <row r="785" spans="1:2" ht="13.2">
      <c r="A785" s="1"/>
      <c r="B785" s="13"/>
    </row>
    <row r="786" spans="1:2" ht="13.2">
      <c r="A786" s="1"/>
      <c r="B786" s="13"/>
    </row>
    <row r="787" spans="1:2" ht="13.2">
      <c r="A787" s="1"/>
      <c r="B787" s="13"/>
    </row>
    <row r="788" spans="1:2" ht="13.2">
      <c r="A788" s="1"/>
      <c r="B788" s="13"/>
    </row>
    <row r="789" spans="1:2" ht="13.2">
      <c r="A789" s="1"/>
      <c r="B789" s="13"/>
    </row>
    <row r="790" spans="1:2" ht="13.2">
      <c r="A790" s="1"/>
      <c r="B790" s="13"/>
    </row>
    <row r="791" spans="1:2" ht="13.2">
      <c r="A791" s="1"/>
      <c r="B791" s="13"/>
    </row>
    <row r="792" spans="1:2" ht="13.2">
      <c r="A792" s="1"/>
      <c r="B792" s="13"/>
    </row>
    <row r="793" spans="1:2" ht="13.2">
      <c r="A793" s="1"/>
      <c r="B793" s="13"/>
    </row>
    <row r="794" spans="1:2" ht="13.2">
      <c r="A794" s="1"/>
      <c r="B794" s="13"/>
    </row>
    <row r="795" spans="1:2" ht="13.2">
      <c r="A795" s="1"/>
      <c r="B795" s="13"/>
    </row>
    <row r="796" spans="1:2" ht="13.2">
      <c r="A796" s="1"/>
      <c r="B796" s="13"/>
    </row>
    <row r="797" spans="1:2" ht="13.2">
      <c r="A797" s="1"/>
      <c r="B797" s="13"/>
    </row>
    <row r="798" spans="1:2" ht="13.2">
      <c r="A798" s="1"/>
      <c r="B798" s="13"/>
    </row>
    <row r="799" spans="1:2" ht="13.2">
      <c r="A799" s="1"/>
      <c r="B799" s="13"/>
    </row>
    <row r="800" spans="1:2" ht="13.2">
      <c r="A800" s="1"/>
      <c r="B800" s="13"/>
    </row>
    <row r="801" spans="1:2" ht="13.2">
      <c r="A801" s="1"/>
      <c r="B801" s="13"/>
    </row>
    <row r="802" spans="1:2" ht="13.2">
      <c r="A802" s="1"/>
      <c r="B802" s="13"/>
    </row>
    <row r="803" spans="1:2" ht="13.2">
      <c r="A803" s="1"/>
      <c r="B803" s="13"/>
    </row>
    <row r="804" spans="1:2" ht="13.2">
      <c r="A804" s="1"/>
      <c r="B804" s="13"/>
    </row>
    <row r="805" spans="1:2" ht="13.2">
      <c r="A805" s="1"/>
      <c r="B805" s="13"/>
    </row>
    <row r="806" spans="1:2" ht="13.2">
      <c r="A806" s="1"/>
      <c r="B806" s="13"/>
    </row>
    <row r="807" spans="1:2" ht="13.2">
      <c r="A807" s="1"/>
      <c r="B807" s="13"/>
    </row>
    <row r="808" spans="1:2" ht="13.2">
      <c r="A808" s="1"/>
      <c r="B808" s="13"/>
    </row>
    <row r="809" spans="1:2" ht="13.2">
      <c r="A809" s="1"/>
      <c r="B809" s="13"/>
    </row>
    <row r="810" spans="1:2" ht="13.2">
      <c r="A810" s="1"/>
      <c r="B810" s="13"/>
    </row>
    <row r="811" spans="1:2" ht="13.2">
      <c r="A811" s="1"/>
      <c r="B811" s="13"/>
    </row>
    <row r="812" spans="1:2" ht="13.2">
      <c r="A812" s="1"/>
      <c r="B812" s="13"/>
    </row>
    <row r="813" spans="1:2" ht="13.2">
      <c r="A813" s="1"/>
      <c r="B813" s="13"/>
    </row>
    <row r="814" spans="1:2" ht="13.2">
      <c r="A814" s="1"/>
      <c r="B814" s="13"/>
    </row>
    <row r="815" spans="1:2" ht="13.2">
      <c r="A815" s="1"/>
      <c r="B815" s="13"/>
    </row>
    <row r="816" spans="1:2" ht="13.2">
      <c r="A816" s="1"/>
      <c r="B816" s="13"/>
    </row>
    <row r="817" spans="1:2" ht="13.2">
      <c r="A817" s="1"/>
      <c r="B817" s="13"/>
    </row>
    <row r="818" spans="1:2" ht="13.2">
      <c r="A818" s="1"/>
      <c r="B818" s="13"/>
    </row>
    <row r="819" spans="1:2" ht="13.2">
      <c r="A819" s="1"/>
      <c r="B819" s="13"/>
    </row>
    <row r="820" spans="1:2" ht="13.2">
      <c r="A820" s="1"/>
      <c r="B820" s="13"/>
    </row>
    <row r="821" spans="1:2" ht="13.2">
      <c r="A821" s="1"/>
      <c r="B821" s="13"/>
    </row>
    <row r="822" spans="1:2" ht="13.2">
      <c r="A822" s="1"/>
      <c r="B822" s="13"/>
    </row>
    <row r="823" spans="1:2" ht="13.2">
      <c r="A823" s="1"/>
      <c r="B823" s="13"/>
    </row>
    <row r="824" spans="1:2" ht="13.2">
      <c r="A824" s="1"/>
      <c r="B824" s="13"/>
    </row>
    <row r="825" spans="1:2" ht="13.2">
      <c r="A825" s="1"/>
      <c r="B825" s="13"/>
    </row>
    <row r="826" spans="1:2" ht="13.2">
      <c r="A826" s="1"/>
      <c r="B826" s="13"/>
    </row>
    <row r="827" spans="1:2" ht="13.2">
      <c r="A827" s="1"/>
      <c r="B827" s="13"/>
    </row>
    <row r="828" spans="1:2" ht="13.2">
      <c r="A828" s="1"/>
      <c r="B828" s="13"/>
    </row>
    <row r="829" spans="1:2" ht="13.2">
      <c r="A829" s="1"/>
      <c r="B829" s="13"/>
    </row>
    <row r="830" spans="1:2" ht="13.2">
      <c r="A830" s="1"/>
      <c r="B830" s="13"/>
    </row>
    <row r="831" spans="1:2" ht="13.2">
      <c r="A831" s="1"/>
      <c r="B831" s="13"/>
    </row>
    <row r="832" spans="1:2" ht="13.2">
      <c r="A832" s="1"/>
      <c r="B832" s="13"/>
    </row>
    <row r="833" spans="1:2" ht="13.2">
      <c r="A833" s="1"/>
      <c r="B833" s="13"/>
    </row>
    <row r="834" spans="1:2" ht="13.2">
      <c r="A834" s="1"/>
      <c r="B834" s="13"/>
    </row>
    <row r="835" spans="1:2" ht="13.2">
      <c r="A835" s="1"/>
      <c r="B835" s="13"/>
    </row>
    <row r="836" spans="1:2" ht="13.2">
      <c r="A836" s="1"/>
      <c r="B836" s="13"/>
    </row>
    <row r="837" spans="1:2" ht="13.2">
      <c r="A837" s="1"/>
      <c r="B837" s="13"/>
    </row>
    <row r="838" spans="1:2" ht="13.2">
      <c r="A838" s="1"/>
      <c r="B838" s="13"/>
    </row>
    <row r="839" spans="1:2" ht="13.2">
      <c r="A839" s="1"/>
      <c r="B839" s="13"/>
    </row>
    <row r="840" spans="1:2" ht="13.2">
      <c r="A840" s="1"/>
      <c r="B840" s="13"/>
    </row>
    <row r="841" spans="1:2" ht="13.2">
      <c r="A841" s="1"/>
      <c r="B841" s="13"/>
    </row>
    <row r="842" spans="1:2" ht="13.2">
      <c r="A842" s="1"/>
      <c r="B842" s="13"/>
    </row>
    <row r="843" spans="1:2" ht="13.2">
      <c r="A843" s="1"/>
      <c r="B843" s="13"/>
    </row>
    <row r="844" spans="1:2" ht="13.2">
      <c r="A844" s="1"/>
      <c r="B844" s="13"/>
    </row>
    <row r="845" spans="1:2" ht="13.2">
      <c r="A845" s="1"/>
      <c r="B845" s="13"/>
    </row>
    <row r="846" spans="1:2" ht="13.2">
      <c r="A846" s="1"/>
      <c r="B846" s="13"/>
    </row>
    <row r="847" spans="1:2" ht="13.2">
      <c r="A847" s="1"/>
      <c r="B847" s="13"/>
    </row>
    <row r="848" spans="1:2" ht="13.2">
      <c r="A848" s="1"/>
      <c r="B848" s="13"/>
    </row>
    <row r="849" spans="1:2" ht="13.2">
      <c r="A849" s="1"/>
      <c r="B849" s="13"/>
    </row>
    <row r="850" spans="1:2" ht="13.2">
      <c r="A850" s="1"/>
      <c r="B850" s="13"/>
    </row>
    <row r="851" spans="1:2" ht="13.2">
      <c r="A851" s="1"/>
      <c r="B851" s="13"/>
    </row>
    <row r="852" spans="1:2" ht="13.2">
      <c r="A852" s="1"/>
      <c r="B852" s="13"/>
    </row>
    <row r="853" spans="1:2" ht="13.2">
      <c r="A853" s="1"/>
      <c r="B853" s="13"/>
    </row>
    <row r="854" spans="1:2" ht="13.2">
      <c r="A854" s="1"/>
      <c r="B854" s="13"/>
    </row>
    <row r="855" spans="1:2" ht="13.2">
      <c r="A855" s="1"/>
      <c r="B855" s="13"/>
    </row>
    <row r="856" spans="1:2" ht="13.2">
      <c r="A856" s="1"/>
      <c r="B856" s="13"/>
    </row>
    <row r="857" spans="1:2" ht="13.2">
      <c r="A857" s="1"/>
      <c r="B857" s="13"/>
    </row>
    <row r="858" spans="1:2" ht="13.2">
      <c r="A858" s="1"/>
      <c r="B858" s="13"/>
    </row>
    <row r="859" spans="1:2" ht="13.2">
      <c r="A859" s="1"/>
      <c r="B859" s="13"/>
    </row>
    <row r="860" spans="1:2" ht="13.2">
      <c r="A860" s="1"/>
      <c r="B860" s="13"/>
    </row>
    <row r="861" spans="1:2" ht="13.2">
      <c r="A861" s="1"/>
      <c r="B861" s="13"/>
    </row>
    <row r="862" spans="1:2" ht="13.2">
      <c r="A862" s="1"/>
      <c r="B862" s="13"/>
    </row>
    <row r="863" spans="1:2" ht="13.2">
      <c r="A863" s="1"/>
      <c r="B863" s="13"/>
    </row>
    <row r="864" spans="1:2" ht="13.2">
      <c r="A864" s="1"/>
      <c r="B864" s="13"/>
    </row>
    <row r="865" spans="1:2" ht="13.2">
      <c r="A865" s="1"/>
      <c r="B865" s="13"/>
    </row>
    <row r="866" spans="1:2" ht="13.2">
      <c r="A866" s="1"/>
      <c r="B866" s="13"/>
    </row>
    <row r="867" spans="1:2" ht="13.2">
      <c r="A867" s="1"/>
      <c r="B867" s="13"/>
    </row>
    <row r="868" spans="1:2" ht="13.2">
      <c r="A868" s="1"/>
      <c r="B868" s="13"/>
    </row>
    <row r="869" spans="1:2" ht="13.2">
      <c r="A869" s="1"/>
      <c r="B869" s="13"/>
    </row>
    <row r="870" spans="1:2" ht="13.2">
      <c r="A870" s="1"/>
      <c r="B870" s="13"/>
    </row>
    <row r="871" spans="1:2" ht="13.2">
      <c r="A871" s="1"/>
      <c r="B871" s="13"/>
    </row>
    <row r="872" spans="1:2" ht="13.2">
      <c r="A872" s="1"/>
      <c r="B872" s="13"/>
    </row>
    <row r="873" spans="1:2" ht="13.2">
      <c r="A873" s="1"/>
      <c r="B873" s="13"/>
    </row>
    <row r="874" spans="1:2" ht="13.2">
      <c r="A874" s="1"/>
      <c r="B874" s="13"/>
    </row>
    <row r="875" spans="1:2" ht="13.2">
      <c r="A875" s="1"/>
      <c r="B875" s="13"/>
    </row>
    <row r="876" spans="1:2" ht="13.2">
      <c r="A876" s="1"/>
      <c r="B876" s="13"/>
    </row>
    <row r="877" spans="1:2" ht="13.2">
      <c r="A877" s="1"/>
      <c r="B877" s="13"/>
    </row>
    <row r="878" spans="1:2" ht="13.2">
      <c r="A878" s="1"/>
      <c r="B878" s="13"/>
    </row>
    <row r="879" spans="1:2" ht="13.2">
      <c r="A879" s="1"/>
      <c r="B879" s="13"/>
    </row>
    <row r="880" spans="1:2" ht="13.2">
      <c r="A880" s="1"/>
      <c r="B880" s="13"/>
    </row>
    <row r="881" spans="1:2" ht="13.2">
      <c r="A881" s="1"/>
      <c r="B881" s="13"/>
    </row>
    <row r="882" spans="1:2" ht="13.2">
      <c r="A882" s="1"/>
      <c r="B882" s="13"/>
    </row>
    <row r="883" spans="1:2" ht="13.2">
      <c r="A883" s="1"/>
      <c r="B883" s="13"/>
    </row>
    <row r="884" spans="1:2" ht="13.2">
      <c r="A884" s="1"/>
      <c r="B884" s="13"/>
    </row>
    <row r="885" spans="1:2" ht="13.2">
      <c r="A885" s="1"/>
      <c r="B885" s="13"/>
    </row>
    <row r="886" spans="1:2" ht="13.2">
      <c r="A886" s="1"/>
      <c r="B886" s="13"/>
    </row>
    <row r="887" spans="1:2" ht="13.2">
      <c r="A887" s="1"/>
      <c r="B887" s="13"/>
    </row>
    <row r="888" spans="1:2" ht="13.2">
      <c r="A888" s="1"/>
      <c r="B888" s="13"/>
    </row>
    <row r="889" spans="1:2" ht="13.2">
      <c r="A889" s="1"/>
      <c r="B889" s="13"/>
    </row>
    <row r="890" spans="1:2" ht="13.2">
      <c r="A890" s="1"/>
      <c r="B890" s="13"/>
    </row>
    <row r="891" spans="1:2" ht="13.2">
      <c r="A891" s="1"/>
      <c r="B891" s="13"/>
    </row>
    <row r="892" spans="1:2" ht="13.2">
      <c r="A892" s="1"/>
      <c r="B892" s="13"/>
    </row>
    <row r="893" spans="1:2" ht="13.2">
      <c r="A893" s="1"/>
      <c r="B893" s="13"/>
    </row>
    <row r="894" spans="1:2" ht="13.2">
      <c r="A894" s="1"/>
      <c r="B894" s="13"/>
    </row>
    <row r="895" spans="1:2" ht="13.2">
      <c r="A895" s="1"/>
      <c r="B895" s="13"/>
    </row>
    <row r="896" spans="1:2" ht="13.2">
      <c r="A896" s="1"/>
      <c r="B896" s="13"/>
    </row>
    <row r="897" spans="1:2" ht="13.2">
      <c r="A897" s="1"/>
      <c r="B897" s="13"/>
    </row>
    <row r="898" spans="1:2" ht="13.2">
      <c r="A898" s="1"/>
      <c r="B898" s="13"/>
    </row>
    <row r="899" spans="1:2" ht="13.2">
      <c r="A899" s="1"/>
      <c r="B899" s="13"/>
    </row>
    <row r="900" spans="1:2" ht="13.2">
      <c r="A900" s="1"/>
      <c r="B900" s="13"/>
    </row>
    <row r="901" spans="1:2" ht="13.2">
      <c r="A901" s="1"/>
      <c r="B901" s="13"/>
    </row>
    <row r="902" spans="1:2" ht="13.2">
      <c r="A902" s="1"/>
      <c r="B902" s="13"/>
    </row>
    <row r="903" spans="1:2" ht="13.2">
      <c r="A903" s="1"/>
      <c r="B903" s="13"/>
    </row>
    <row r="904" spans="1:2" ht="13.2">
      <c r="A904" s="1"/>
      <c r="B904" s="13"/>
    </row>
    <row r="905" spans="1:2" ht="13.2">
      <c r="A905" s="1"/>
      <c r="B905" s="13"/>
    </row>
    <row r="906" spans="1:2" ht="13.2">
      <c r="A906" s="1"/>
      <c r="B906" s="13"/>
    </row>
    <row r="907" spans="1:2" ht="13.2">
      <c r="A907" s="1"/>
      <c r="B907" s="13"/>
    </row>
    <row r="908" spans="1:2" ht="13.2">
      <c r="A908" s="1"/>
      <c r="B908" s="13"/>
    </row>
    <row r="909" spans="1:2" ht="13.2">
      <c r="A909" s="1"/>
      <c r="B909" s="13"/>
    </row>
    <row r="910" spans="1:2" ht="13.2">
      <c r="A910" s="1"/>
      <c r="B910" s="13"/>
    </row>
    <row r="911" spans="1:2" ht="13.2">
      <c r="A911" s="1"/>
      <c r="B911" s="13"/>
    </row>
    <row r="912" spans="1:2" ht="13.2">
      <c r="A912" s="1"/>
      <c r="B912" s="13"/>
    </row>
    <row r="913" spans="1:2" ht="13.2">
      <c r="A913" s="1"/>
      <c r="B913" s="13"/>
    </row>
    <row r="914" spans="1:2" ht="13.2">
      <c r="A914" s="1"/>
      <c r="B914" s="13"/>
    </row>
    <row r="915" spans="1:2" ht="13.2">
      <c r="A915" s="1"/>
      <c r="B915" s="13"/>
    </row>
    <row r="916" spans="1:2" ht="13.2">
      <c r="A916" s="1"/>
      <c r="B916" s="13"/>
    </row>
    <row r="917" spans="1:2" ht="13.2">
      <c r="A917" s="1"/>
      <c r="B917" s="13"/>
    </row>
    <row r="918" spans="1:2" ht="13.2">
      <c r="A918" s="1"/>
      <c r="B918" s="13"/>
    </row>
    <row r="919" spans="1:2" ht="13.2">
      <c r="A919" s="1"/>
      <c r="B919" s="13"/>
    </row>
    <row r="920" spans="1:2" ht="13.2">
      <c r="A920" s="1"/>
      <c r="B920" s="13"/>
    </row>
    <row r="921" spans="1:2" ht="13.2">
      <c r="A921" s="1"/>
      <c r="B921" s="13"/>
    </row>
    <row r="922" spans="1:2" ht="13.2">
      <c r="A922" s="1"/>
      <c r="B922" s="13"/>
    </row>
    <row r="923" spans="1:2" ht="13.2">
      <c r="A923" s="1"/>
      <c r="B923" s="13"/>
    </row>
    <row r="924" spans="1:2" ht="13.2">
      <c r="A924" s="1"/>
      <c r="B924" s="13"/>
    </row>
    <row r="925" spans="1:2" ht="13.2">
      <c r="A925" s="1"/>
      <c r="B925" s="13"/>
    </row>
    <row r="926" spans="1:2" ht="13.2">
      <c r="A926" s="1"/>
      <c r="B926" s="13"/>
    </row>
    <row r="927" spans="1:2" ht="13.2">
      <c r="A927" s="1"/>
      <c r="B927" s="13"/>
    </row>
    <row r="928" spans="1:2" ht="13.2">
      <c r="A928" s="1"/>
      <c r="B928" s="13"/>
    </row>
    <row r="929" spans="1:2" ht="13.2">
      <c r="A929" s="1"/>
      <c r="B929" s="13"/>
    </row>
    <row r="930" spans="1:2" ht="13.2">
      <c r="A930" s="1"/>
      <c r="B930" s="13"/>
    </row>
    <row r="931" spans="1:2" ht="13.2">
      <c r="A931" s="1"/>
      <c r="B931" s="13"/>
    </row>
    <row r="932" spans="1:2" ht="13.2">
      <c r="A932" s="1"/>
      <c r="B932" s="13"/>
    </row>
    <row r="933" spans="1:2" ht="13.2">
      <c r="A933" s="1"/>
      <c r="B933" s="13"/>
    </row>
    <row r="934" spans="1:2" ht="13.2">
      <c r="A934" s="1"/>
      <c r="B934" s="13"/>
    </row>
    <row r="935" spans="1:2" ht="13.2">
      <c r="A935" s="1"/>
      <c r="B935" s="13"/>
    </row>
    <row r="936" spans="1:2" ht="13.2">
      <c r="A936" s="1"/>
      <c r="B936" s="13"/>
    </row>
    <row r="937" spans="1:2" ht="13.2">
      <c r="A937" s="1"/>
      <c r="B937" s="13"/>
    </row>
    <row r="938" spans="1:2" ht="13.2">
      <c r="A938" s="1"/>
      <c r="B938" s="13"/>
    </row>
    <row r="939" spans="1:2" ht="13.2">
      <c r="A939" s="1"/>
      <c r="B939" s="13"/>
    </row>
    <row r="940" spans="1:2" ht="13.2">
      <c r="A940" s="1"/>
      <c r="B940" s="13"/>
    </row>
    <row r="941" spans="1:2" ht="13.2">
      <c r="A941" s="1"/>
      <c r="B941" s="13"/>
    </row>
    <row r="942" spans="1:2" ht="13.2">
      <c r="A942" s="1"/>
      <c r="B942" s="13"/>
    </row>
    <row r="943" spans="1:2" ht="13.2">
      <c r="A943" s="1"/>
      <c r="B943" s="13"/>
    </row>
    <row r="944" spans="1:2" ht="13.2">
      <c r="A944" s="1"/>
      <c r="B944" s="13"/>
    </row>
    <row r="945" spans="1:2" ht="13.2">
      <c r="A945" s="1"/>
      <c r="B945" s="13"/>
    </row>
    <row r="946" spans="1:2" ht="13.2">
      <c r="A946" s="1"/>
      <c r="B946" s="13"/>
    </row>
    <row r="947" spans="1:2" ht="13.2">
      <c r="A947" s="1"/>
      <c r="B947" s="13"/>
    </row>
    <row r="948" spans="1:2" ht="13.2">
      <c r="A948" s="1"/>
      <c r="B948" s="13"/>
    </row>
    <row r="949" spans="1:2" ht="13.2">
      <c r="A949" s="1"/>
      <c r="B949" s="13"/>
    </row>
    <row r="950" spans="1:2" ht="13.2">
      <c r="A950" s="1"/>
      <c r="B950" s="13"/>
    </row>
    <row r="951" spans="1:2" ht="13.2">
      <c r="A951" s="1"/>
      <c r="B951" s="13"/>
    </row>
    <row r="952" spans="1:2" ht="13.2">
      <c r="A952" s="1"/>
      <c r="B952" s="13"/>
    </row>
    <row r="953" spans="1:2" ht="13.2">
      <c r="A953" s="1"/>
      <c r="B953" s="13"/>
    </row>
    <row r="954" spans="1:2" ht="13.2">
      <c r="A954" s="1"/>
      <c r="B954" s="13"/>
    </row>
    <row r="955" spans="1:2" ht="13.2">
      <c r="A955" s="1"/>
      <c r="B955" s="13"/>
    </row>
    <row r="956" spans="1:2" ht="13.2">
      <c r="A956" s="1"/>
      <c r="B956" s="13"/>
    </row>
    <row r="957" spans="1:2" ht="13.2">
      <c r="A957" s="1"/>
      <c r="B957" s="13"/>
    </row>
    <row r="958" spans="1:2" ht="13.2">
      <c r="A958" s="1"/>
      <c r="B958" s="13"/>
    </row>
    <row r="959" spans="1:2" ht="13.2">
      <c r="A959" s="1"/>
      <c r="B959" s="13"/>
    </row>
    <row r="960" spans="1:2" ht="13.2">
      <c r="A960" s="1"/>
      <c r="B960" s="13"/>
    </row>
    <row r="961" spans="1:2" ht="13.2">
      <c r="A961" s="1"/>
      <c r="B961" s="13"/>
    </row>
    <row r="962" spans="1:2" ht="13.2">
      <c r="A962" s="1"/>
      <c r="B962" s="13"/>
    </row>
    <row r="963" spans="1:2" ht="13.2">
      <c r="A963" s="1"/>
      <c r="B963" s="13"/>
    </row>
    <row r="964" spans="1:2" ht="13.2">
      <c r="A964" s="1"/>
      <c r="B964" s="13"/>
    </row>
    <row r="965" spans="1:2" ht="13.2">
      <c r="A965" s="1"/>
      <c r="B965" s="13"/>
    </row>
    <row r="966" spans="1:2" ht="13.2">
      <c r="A966" s="1"/>
      <c r="B966" s="13"/>
    </row>
    <row r="967" spans="1:2" ht="13.2">
      <c r="A967" s="1"/>
      <c r="B967" s="13"/>
    </row>
    <row r="968" spans="1:2" ht="13.2">
      <c r="A968" s="1"/>
      <c r="B968" s="13"/>
    </row>
    <row r="969" spans="1:2" ht="13.2">
      <c r="A969" s="1"/>
      <c r="B969" s="13"/>
    </row>
    <row r="970" spans="1:2" ht="13.2">
      <c r="A970" s="1"/>
      <c r="B970" s="13"/>
    </row>
    <row r="971" spans="1:2" ht="13.2">
      <c r="A971" s="1"/>
      <c r="B971" s="13"/>
    </row>
    <row r="972" spans="1:2" ht="13.2">
      <c r="A972" s="1"/>
      <c r="B972" s="13"/>
    </row>
    <row r="973" spans="1:2" ht="13.2">
      <c r="A973" s="1"/>
      <c r="B973" s="13"/>
    </row>
    <row r="974" spans="1:2" ht="13.2">
      <c r="A974" s="1"/>
      <c r="B974" s="13"/>
    </row>
    <row r="975" spans="1:2" ht="13.2">
      <c r="A975" s="1"/>
      <c r="B975" s="13"/>
    </row>
    <row r="976" spans="1:2" ht="13.2">
      <c r="A976" s="1"/>
      <c r="B976" s="13"/>
    </row>
    <row r="977" spans="1:2" ht="13.2">
      <c r="A977" s="1"/>
      <c r="B977" s="13"/>
    </row>
    <row r="978" spans="1:2" ht="13.2">
      <c r="A978" s="1"/>
      <c r="B978" s="13"/>
    </row>
    <row r="979" spans="1:2" ht="13.2">
      <c r="A979" s="1"/>
      <c r="B979" s="13"/>
    </row>
    <row r="980" spans="1:2" ht="13.2">
      <c r="A980" s="1"/>
      <c r="B980" s="13"/>
    </row>
    <row r="981" spans="1:2" ht="13.2">
      <c r="A981" s="1"/>
      <c r="B981" s="13"/>
    </row>
    <row r="982" spans="1:2" ht="13.2">
      <c r="A982" s="1"/>
      <c r="B982" s="13"/>
    </row>
    <row r="983" spans="1:2" ht="13.2">
      <c r="A983" s="1"/>
      <c r="B983" s="13"/>
    </row>
    <row r="984" spans="1:2" ht="13.2">
      <c r="A984" s="1"/>
      <c r="B984" s="13"/>
    </row>
    <row r="985" spans="1:2" ht="13.2">
      <c r="A985" s="1"/>
      <c r="B985" s="13"/>
    </row>
    <row r="986" spans="1:2" ht="13.2">
      <c r="A986" s="1"/>
      <c r="B986" s="13"/>
    </row>
    <row r="987" spans="1:2" ht="13.2">
      <c r="A987" s="1"/>
      <c r="B987" s="13"/>
    </row>
    <row r="988" spans="1:2" ht="13.2">
      <c r="A988" s="1"/>
      <c r="B988" s="13"/>
    </row>
    <row r="989" spans="1:2" ht="13.2">
      <c r="A989" s="1"/>
      <c r="B989" s="13"/>
    </row>
    <row r="990" spans="1:2" ht="13.2">
      <c r="A990" s="1"/>
      <c r="B990" s="13"/>
    </row>
    <row r="991" spans="1:2" ht="13.2">
      <c r="A991" s="1"/>
      <c r="B991" s="13"/>
    </row>
    <row r="992" spans="1:2" ht="13.2">
      <c r="A992" s="1"/>
      <c r="B992" s="13"/>
    </row>
    <row r="993" spans="1:2" ht="13.2">
      <c r="A993" s="1"/>
      <c r="B993" s="13"/>
    </row>
    <row r="994" spans="1:2" ht="13.2">
      <c r="A994" s="1"/>
      <c r="B994" s="13"/>
    </row>
    <row r="995" spans="1:2" ht="13.2">
      <c r="A995" s="1"/>
      <c r="B995" s="13"/>
    </row>
    <row r="996" spans="1:2" ht="13.2">
      <c r="A996" s="1"/>
      <c r="B996" s="13"/>
    </row>
    <row r="997" spans="1:2" ht="13.2">
      <c r="A997" s="1"/>
      <c r="B997" s="13"/>
    </row>
    <row r="998" spans="1:2" ht="13.2">
      <c r="A998" s="1"/>
      <c r="B998" s="13"/>
    </row>
    <row r="999" spans="1:2" ht="13.2">
      <c r="A999" s="1"/>
      <c r="B999" s="13"/>
    </row>
    <row r="1000" spans="1:2" ht="13.2">
      <c r="A1000" s="1"/>
      <c r="B1000" s="13"/>
    </row>
    <row r="1001" spans="1:2" ht="13.2">
      <c r="A1001" s="1"/>
      <c r="B1001" s="13"/>
    </row>
    <row r="1002" spans="1:2" ht="13.2">
      <c r="A1002" s="1"/>
      <c r="B1002" s="13"/>
    </row>
    <row r="1003" spans="1:2" ht="13.2">
      <c r="A1003" s="1"/>
      <c r="B1003" s="13"/>
    </row>
    <row r="1004" spans="1:2" ht="13.2">
      <c r="A1004" s="1"/>
      <c r="B1004" s="13"/>
    </row>
    <row r="1005" spans="1:2" ht="13.2">
      <c r="A1005" s="1"/>
      <c r="B1005" s="13"/>
    </row>
    <row r="1006" spans="1:2" ht="13.2">
      <c r="A1006" s="1"/>
      <c r="B1006" s="13"/>
    </row>
    <row r="1007" spans="1:2" ht="13.2">
      <c r="A1007" s="1"/>
      <c r="B1007" s="13"/>
    </row>
    <row r="1008" spans="1:2" ht="13.2">
      <c r="A1008" s="1"/>
      <c r="B1008" s="13"/>
    </row>
    <row r="1009" spans="1:2" ht="13.2">
      <c r="A1009" s="1"/>
      <c r="B1009" s="13"/>
    </row>
    <row r="1010" spans="1:2" ht="13.2">
      <c r="A1010" s="1"/>
      <c r="B1010" s="13"/>
    </row>
    <row r="1011" spans="1:2" ht="13.2">
      <c r="A1011" s="1"/>
      <c r="B1011" s="13"/>
    </row>
    <row r="1012" spans="1:2" ht="13.2">
      <c r="A1012" s="1"/>
      <c r="B1012" s="13"/>
    </row>
    <row r="1013" spans="1:2" ht="13.2">
      <c r="A1013" s="1"/>
      <c r="B1013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X1015"/>
  <sheetViews>
    <sheetView workbookViewId="0">
      <selection activeCell="C318" sqref="C1:C1048576"/>
    </sheetView>
  </sheetViews>
  <sheetFormatPr baseColWidth="10" defaultColWidth="12.6640625" defaultRowHeight="15.75" customHeight="1"/>
  <cols>
    <col min="3" max="4" width="21.44140625" customWidth="1"/>
  </cols>
  <sheetData>
    <row r="1" spans="1:4" ht="15.75" customHeight="1">
      <c r="A1" s="32" t="s">
        <v>339</v>
      </c>
      <c r="B1" s="11" t="s">
        <v>0</v>
      </c>
      <c r="C1" t="s">
        <v>368</v>
      </c>
      <c r="D1" t="s">
        <v>369</v>
      </c>
    </row>
    <row r="2" spans="1:4" ht="15.75" customHeight="1">
      <c r="A2" s="33">
        <v>40503</v>
      </c>
      <c r="B2" s="11" t="s">
        <v>177</v>
      </c>
      <c r="C2">
        <v>5.7708001477975399</v>
      </c>
      <c r="D2">
        <v>0.69400000000000006</v>
      </c>
    </row>
    <row r="3" spans="1:4" ht="15.75" customHeight="1">
      <c r="A3" s="33">
        <v>40504</v>
      </c>
      <c r="B3" s="11" t="s">
        <v>178</v>
      </c>
      <c r="C3">
        <v>4.3303999784708029</v>
      </c>
      <c r="D3">
        <v>3.2324000000000002</v>
      </c>
    </row>
    <row r="4" spans="1:4" ht="15.75" customHeight="1">
      <c r="A4" s="33">
        <v>20307</v>
      </c>
      <c r="B4" s="11" t="s">
        <v>47</v>
      </c>
      <c r="C4">
        <v>4.1055999908909202</v>
      </c>
      <c r="D4">
        <v>6.7280000000000006</v>
      </c>
    </row>
    <row r="5" spans="1:4" ht="15.75" customHeight="1">
      <c r="A5" s="33">
        <v>70804</v>
      </c>
      <c r="B5" s="11" t="s">
        <v>282</v>
      </c>
      <c r="C5">
        <v>78.529200006095692</v>
      </c>
      <c r="D5">
        <v>8.5272000000000006</v>
      </c>
    </row>
    <row r="6" spans="1:4" ht="15.75" customHeight="1">
      <c r="A6" s="33">
        <v>40202</v>
      </c>
      <c r="B6" s="11" t="s">
        <v>170</v>
      </c>
      <c r="C6">
        <v>25.11600001681261</v>
      </c>
      <c r="D6">
        <v>9.7396000000000011</v>
      </c>
    </row>
    <row r="7" spans="1:4" ht="15.75" customHeight="1">
      <c r="A7" s="33">
        <v>41502</v>
      </c>
      <c r="B7" s="11" t="s">
        <v>197</v>
      </c>
      <c r="C7">
        <v>2.1703999999362975</v>
      </c>
      <c r="D7">
        <v>11.778400000000001</v>
      </c>
    </row>
    <row r="8" spans="1:4" ht="15.75" customHeight="1">
      <c r="A8" s="33">
        <v>40505</v>
      </c>
      <c r="B8" s="11" t="s">
        <v>179</v>
      </c>
      <c r="C8">
        <v>5.0000000429630278</v>
      </c>
      <c r="D8">
        <v>11.89</v>
      </c>
    </row>
    <row r="9" spans="1:4" ht="15.75" customHeight="1">
      <c r="A9" s="33">
        <v>51002</v>
      </c>
      <c r="B9" s="11" t="s">
        <v>227</v>
      </c>
      <c r="D9">
        <v>11.978400000000001</v>
      </c>
    </row>
    <row r="10" spans="1:4" ht="15.75" customHeight="1">
      <c r="A10" s="33">
        <v>40603</v>
      </c>
      <c r="B10" s="11" t="s">
        <v>182</v>
      </c>
      <c r="C10">
        <v>1.0056000022768974</v>
      </c>
      <c r="D10">
        <v>12.522400000000001</v>
      </c>
    </row>
    <row r="11" spans="1:4" ht="15.75" customHeight="1">
      <c r="A11" s="33">
        <v>41202</v>
      </c>
      <c r="B11" s="11" t="s">
        <v>193</v>
      </c>
      <c r="C11">
        <v>19.644800052747502</v>
      </c>
      <c r="D11">
        <v>13.420400000000001</v>
      </c>
    </row>
    <row r="12" spans="1:4" ht="15.75" customHeight="1">
      <c r="A12" s="33">
        <v>70802</v>
      </c>
      <c r="B12" s="11" t="s">
        <v>280</v>
      </c>
      <c r="C12">
        <v>129.53160037777982</v>
      </c>
      <c r="D12">
        <v>14.5288</v>
      </c>
    </row>
    <row r="13" spans="1:4" ht="15.75" customHeight="1">
      <c r="A13" s="33">
        <v>50104</v>
      </c>
      <c r="B13" s="11" t="s">
        <v>203</v>
      </c>
      <c r="C13">
        <v>14.749999965074659</v>
      </c>
      <c r="D13">
        <v>15.352400000000001</v>
      </c>
    </row>
    <row r="14" spans="1:4" ht="15.75" customHeight="1">
      <c r="A14" s="33">
        <v>40502</v>
      </c>
      <c r="B14" s="11" t="s">
        <v>176</v>
      </c>
      <c r="C14">
        <v>3.3159999909296634</v>
      </c>
      <c r="D14">
        <v>17.369199999999999</v>
      </c>
    </row>
    <row r="15" spans="1:4" ht="15.75" customHeight="1">
      <c r="A15" s="33">
        <v>70904</v>
      </c>
      <c r="B15" s="11" t="s">
        <v>287</v>
      </c>
      <c r="C15">
        <v>82.952799971177427</v>
      </c>
      <c r="D15">
        <v>17.490400000000001</v>
      </c>
    </row>
    <row r="16" spans="1:4" ht="15.75" customHeight="1">
      <c r="A16" s="33">
        <v>31303</v>
      </c>
      <c r="B16" s="11" t="s">
        <v>155</v>
      </c>
      <c r="C16">
        <v>22.949000026620926</v>
      </c>
      <c r="D16">
        <v>18.151199999999999</v>
      </c>
    </row>
    <row r="17" spans="1:4" ht="15.75" customHeight="1">
      <c r="A17" s="33">
        <v>41501</v>
      </c>
      <c r="B17" s="11" t="s">
        <v>196</v>
      </c>
      <c r="C17">
        <v>3.3156000050850216</v>
      </c>
      <c r="D17">
        <v>18.891999999999999</v>
      </c>
    </row>
    <row r="18" spans="1:4" ht="15.75" customHeight="1">
      <c r="A18" s="33">
        <v>21803</v>
      </c>
      <c r="B18" s="11" t="s">
        <v>112</v>
      </c>
      <c r="C18">
        <v>15.424400063721464</v>
      </c>
      <c r="D18">
        <v>18.923200000000001</v>
      </c>
    </row>
    <row r="19" spans="1:4" ht="15.75" customHeight="1">
      <c r="A19" s="33">
        <v>40902</v>
      </c>
      <c r="B19" s="11" t="s">
        <v>188</v>
      </c>
      <c r="C19">
        <v>33.064400097239016</v>
      </c>
      <c r="D19">
        <v>19.698399999999999</v>
      </c>
    </row>
    <row r="20" spans="1:4" ht="15.75" customHeight="1">
      <c r="A20" s="33">
        <v>21902</v>
      </c>
      <c r="B20" s="11" t="s">
        <v>114</v>
      </c>
      <c r="C20">
        <v>12.432399950926751</v>
      </c>
      <c r="D20">
        <v>20.2896</v>
      </c>
    </row>
    <row r="21" spans="1:4" ht="15.75" customHeight="1">
      <c r="A21" s="33">
        <v>40103</v>
      </c>
      <c r="B21" s="11" t="s">
        <v>167</v>
      </c>
      <c r="C21">
        <v>32.621599744921923</v>
      </c>
      <c r="D21">
        <v>22.232400000000002</v>
      </c>
    </row>
    <row r="22" spans="1:4" ht="15.75" customHeight="1">
      <c r="A22" s="33">
        <v>40802</v>
      </c>
      <c r="B22" s="11" t="s">
        <v>186</v>
      </c>
      <c r="C22">
        <v>18.823999981561304</v>
      </c>
      <c r="D22">
        <v>22.3324</v>
      </c>
    </row>
    <row r="23" spans="1:4" ht="15.75" customHeight="1">
      <c r="A23" s="33">
        <v>70803</v>
      </c>
      <c r="B23" s="11" t="s">
        <v>281</v>
      </c>
      <c r="C23">
        <v>102.0967997821726</v>
      </c>
      <c r="D23">
        <v>22.6432</v>
      </c>
    </row>
    <row r="24" spans="1:4" ht="15.75" customHeight="1">
      <c r="A24" s="33">
        <v>20904</v>
      </c>
      <c r="B24" s="11" t="s">
        <v>77</v>
      </c>
      <c r="C24">
        <v>23.316399983411657</v>
      </c>
      <c r="D24">
        <v>29.026400000000002</v>
      </c>
    </row>
    <row r="25" spans="1:4" ht="15.75" customHeight="1">
      <c r="A25" s="33">
        <v>51003</v>
      </c>
      <c r="B25" s="11" t="s">
        <v>228</v>
      </c>
      <c r="C25">
        <v>34.158399893319611</v>
      </c>
      <c r="D25">
        <v>29.039200000000001</v>
      </c>
    </row>
    <row r="26" spans="1:4" ht="15.75" customHeight="1">
      <c r="A26" s="33">
        <v>20605</v>
      </c>
      <c r="B26" s="11" t="s">
        <v>61</v>
      </c>
      <c r="C26">
        <v>41.91119986327589</v>
      </c>
      <c r="D26">
        <v>32.322400000000002</v>
      </c>
    </row>
    <row r="27" spans="1:4" ht="14.4">
      <c r="A27" s="33">
        <v>11002</v>
      </c>
      <c r="B27" s="11" t="s">
        <v>28</v>
      </c>
      <c r="C27">
        <v>75.588000067805126</v>
      </c>
      <c r="D27">
        <v>34.589600000000004</v>
      </c>
    </row>
    <row r="28" spans="1:4" ht="14.4">
      <c r="A28" s="33">
        <v>21703</v>
      </c>
      <c r="B28" s="11" t="s">
        <v>109</v>
      </c>
      <c r="C28">
        <v>32.027600005906073</v>
      </c>
      <c r="D28">
        <v>36.573599999999999</v>
      </c>
    </row>
    <row r="29" spans="1:4" ht="14.4">
      <c r="A29" s="33">
        <v>71302</v>
      </c>
      <c r="B29" s="11" t="s">
        <v>301</v>
      </c>
      <c r="C29">
        <v>321.46720031197299</v>
      </c>
      <c r="D29">
        <v>37.358000000000004</v>
      </c>
    </row>
    <row r="30" spans="1:4" ht="14.4">
      <c r="A30" s="33">
        <v>31404</v>
      </c>
      <c r="B30" s="11" t="s">
        <v>160</v>
      </c>
      <c r="C30">
        <v>35.321599970092997</v>
      </c>
      <c r="D30">
        <v>37.5124</v>
      </c>
    </row>
    <row r="31" spans="1:4" ht="14.4">
      <c r="A31" s="33">
        <v>40903</v>
      </c>
      <c r="B31" s="11" t="s">
        <v>189</v>
      </c>
      <c r="C31">
        <v>33.830400012310221</v>
      </c>
      <c r="D31">
        <v>37.801600000000001</v>
      </c>
    </row>
    <row r="32" spans="1:4" ht="14.4">
      <c r="A32" s="33">
        <v>51402</v>
      </c>
      <c r="B32" s="11" t="s">
        <v>239</v>
      </c>
      <c r="C32">
        <v>34.141600091019647</v>
      </c>
      <c r="D32">
        <v>38.378399999999999</v>
      </c>
    </row>
    <row r="33" spans="1:4" ht="14.4">
      <c r="A33" s="33">
        <v>20308</v>
      </c>
      <c r="B33" s="11" t="s">
        <v>48</v>
      </c>
      <c r="C33">
        <v>37.80800003749691</v>
      </c>
      <c r="D33">
        <v>40.9268</v>
      </c>
    </row>
    <row r="34" spans="1:4" ht="14.4">
      <c r="A34" s="33">
        <v>40302</v>
      </c>
      <c r="B34" s="11" t="s">
        <v>172</v>
      </c>
      <c r="C34">
        <v>18.89879996676445</v>
      </c>
      <c r="D34">
        <v>41.168400000000005</v>
      </c>
    </row>
    <row r="35" spans="1:4" ht="14.4">
      <c r="A35" s="33">
        <v>71502</v>
      </c>
      <c r="B35" s="11" t="s">
        <v>306</v>
      </c>
      <c r="C35">
        <v>342.22759992636929</v>
      </c>
      <c r="D35">
        <v>41.502800000000001</v>
      </c>
    </row>
    <row r="36" spans="1:4" ht="14.4">
      <c r="A36" s="33">
        <v>51301</v>
      </c>
      <c r="B36" s="11" t="s">
        <v>236</v>
      </c>
      <c r="C36">
        <v>41.418800060542303</v>
      </c>
      <c r="D36">
        <v>43.212000000000003</v>
      </c>
    </row>
    <row r="37" spans="1:4" ht="14.4">
      <c r="A37" s="33">
        <v>40601</v>
      </c>
      <c r="B37" s="11" t="s">
        <v>180</v>
      </c>
      <c r="C37">
        <v>5.4676000191252685</v>
      </c>
      <c r="D37">
        <v>43.233200000000004</v>
      </c>
    </row>
    <row r="38" spans="1:4" ht="14.4">
      <c r="A38" s="33">
        <v>31302</v>
      </c>
      <c r="B38" s="11" t="s">
        <v>154</v>
      </c>
      <c r="C38">
        <v>43.746000025419896</v>
      </c>
      <c r="D38">
        <v>44.933999998800005</v>
      </c>
    </row>
    <row r="39" spans="1:4" ht="14.4">
      <c r="A39" s="33">
        <v>70701</v>
      </c>
      <c r="B39" s="11" t="s">
        <v>272</v>
      </c>
      <c r="C39">
        <v>303.76439984700903</v>
      </c>
      <c r="D39">
        <v>46.670400000000001</v>
      </c>
    </row>
    <row r="40" spans="1:4" ht="14.4">
      <c r="A40" s="33">
        <v>40402</v>
      </c>
      <c r="B40" s="11" t="s">
        <v>174</v>
      </c>
      <c r="C40">
        <v>47.142000074969232</v>
      </c>
      <c r="D40">
        <v>46.7712</v>
      </c>
    </row>
    <row r="41" spans="1:4" ht="14.4">
      <c r="A41" s="33">
        <v>30404</v>
      </c>
      <c r="B41" s="11" t="s">
        <v>127</v>
      </c>
      <c r="C41">
        <v>89.642800200866546</v>
      </c>
      <c r="D41">
        <v>46.915600000000005</v>
      </c>
    </row>
    <row r="42" spans="1:4" ht="14.4">
      <c r="A42" s="33">
        <v>31501</v>
      </c>
      <c r="B42" s="11" t="s">
        <v>162</v>
      </c>
      <c r="C42">
        <v>68.024400101523852</v>
      </c>
      <c r="D42">
        <v>52.114400000000003</v>
      </c>
    </row>
    <row r="43" spans="1:4" ht="14.4">
      <c r="A43" s="33">
        <v>41301</v>
      </c>
      <c r="B43" s="11" t="s">
        <v>194</v>
      </c>
      <c r="C43">
        <v>6.2428000033419586</v>
      </c>
      <c r="D43">
        <v>53.302599999000016</v>
      </c>
    </row>
    <row r="44" spans="1:4" ht="14.4">
      <c r="A44" s="33">
        <v>30602</v>
      </c>
      <c r="B44" s="11" t="s">
        <v>131</v>
      </c>
      <c r="C44">
        <v>59.36800003016964</v>
      </c>
      <c r="D44">
        <v>54.038000000000004</v>
      </c>
    </row>
    <row r="45" spans="1:4" ht="14.4">
      <c r="A45" s="33">
        <v>20404</v>
      </c>
      <c r="B45" s="11" t="s">
        <v>52</v>
      </c>
      <c r="C45">
        <v>59.980800035768375</v>
      </c>
      <c r="D45">
        <v>54.518800000000006</v>
      </c>
    </row>
    <row r="46" spans="1:4" ht="14.4">
      <c r="A46" s="33">
        <v>70704</v>
      </c>
      <c r="B46" s="11" t="s">
        <v>275</v>
      </c>
      <c r="C46">
        <v>210.52280010438153</v>
      </c>
      <c r="D46">
        <v>56.167200000000001</v>
      </c>
    </row>
    <row r="47" spans="1:4" ht="14.4">
      <c r="A47" s="33">
        <v>51001</v>
      </c>
      <c r="B47" s="11" t="s">
        <v>226</v>
      </c>
      <c r="C47">
        <v>89.988399903329835</v>
      </c>
      <c r="D47">
        <v>56.220800000000004</v>
      </c>
    </row>
    <row r="48" spans="1:4" ht="14.4">
      <c r="A48" s="33">
        <v>21602</v>
      </c>
      <c r="B48" s="11" t="s">
        <v>106</v>
      </c>
      <c r="C48">
        <v>19.599999933832514</v>
      </c>
      <c r="D48">
        <v>57.614400000000003</v>
      </c>
    </row>
    <row r="49" spans="1:4" ht="14.4">
      <c r="A49" s="33">
        <v>20303</v>
      </c>
      <c r="B49" s="11" t="s">
        <v>43</v>
      </c>
      <c r="C49">
        <v>53.318800044729933</v>
      </c>
      <c r="D49">
        <v>62.0244</v>
      </c>
    </row>
    <row r="50" spans="1:4" ht="14.4">
      <c r="A50" s="33">
        <v>41601</v>
      </c>
      <c r="B50" s="11" t="s">
        <v>199</v>
      </c>
      <c r="C50">
        <v>12.041199961397798</v>
      </c>
      <c r="D50">
        <v>62.478199999120022</v>
      </c>
    </row>
    <row r="51" spans="1:4" ht="14.4">
      <c r="A51" s="33">
        <v>41201</v>
      </c>
      <c r="B51" s="11" t="s">
        <v>192</v>
      </c>
      <c r="C51">
        <v>76.478399907183274</v>
      </c>
      <c r="D51">
        <v>63.999600000000001</v>
      </c>
    </row>
    <row r="52" spans="1:4" ht="14.4">
      <c r="A52" s="33">
        <v>20304</v>
      </c>
      <c r="B52" s="11" t="s">
        <v>44</v>
      </c>
      <c r="C52">
        <v>52.327999880338091</v>
      </c>
      <c r="D52">
        <v>64.154800000000009</v>
      </c>
    </row>
    <row r="53" spans="1:4" ht="14.4">
      <c r="A53" s="33">
        <v>21005</v>
      </c>
      <c r="B53" s="11" t="s">
        <v>83</v>
      </c>
      <c r="C53">
        <v>59.092000113133345</v>
      </c>
      <c r="D53">
        <v>64.421999999999997</v>
      </c>
    </row>
    <row r="54" spans="1:4" ht="14.4">
      <c r="A54" s="33">
        <v>21307</v>
      </c>
      <c r="B54" s="11" t="s">
        <v>100</v>
      </c>
      <c r="C54">
        <v>53.852000040469697</v>
      </c>
      <c r="D54">
        <v>68.981999999999999</v>
      </c>
    </row>
    <row r="55" spans="1:4" ht="14.4">
      <c r="A55" s="33">
        <v>50702</v>
      </c>
      <c r="B55" s="11" t="s">
        <v>221</v>
      </c>
      <c r="C55">
        <v>82.688000088892508</v>
      </c>
      <c r="D55">
        <v>71.82480000000001</v>
      </c>
    </row>
    <row r="56" spans="1:4" ht="14.4">
      <c r="A56" s="33">
        <v>21802</v>
      </c>
      <c r="B56" s="11" t="s">
        <v>111</v>
      </c>
      <c r="C56">
        <v>5.9916000231903048</v>
      </c>
      <c r="D56">
        <v>72.124199995440009</v>
      </c>
    </row>
    <row r="57" spans="1:4" ht="14.4">
      <c r="A57" s="33">
        <v>51302</v>
      </c>
      <c r="B57" s="11" t="s">
        <v>237</v>
      </c>
      <c r="C57">
        <v>64.297599877437946</v>
      </c>
      <c r="D57">
        <v>72.187200000000004</v>
      </c>
    </row>
    <row r="58" spans="1:4" ht="14.4">
      <c r="A58" s="33">
        <v>40501</v>
      </c>
      <c r="B58" s="11" t="s">
        <v>175</v>
      </c>
      <c r="C58">
        <v>73.510800054952128</v>
      </c>
      <c r="D58">
        <v>74.848799999999997</v>
      </c>
    </row>
    <row r="59" spans="1:4" ht="14.4">
      <c r="A59" s="33">
        <v>40401</v>
      </c>
      <c r="B59" s="11" t="s">
        <v>173</v>
      </c>
      <c r="C59">
        <v>57.502400035863374</v>
      </c>
      <c r="D59">
        <v>75.021000007519987</v>
      </c>
    </row>
    <row r="60" spans="1:4" ht="14.4">
      <c r="A60" s="33">
        <v>50902</v>
      </c>
      <c r="B60" s="11" t="s">
        <v>225</v>
      </c>
      <c r="C60">
        <v>66.951599930686129</v>
      </c>
      <c r="D60">
        <v>75.467200000000005</v>
      </c>
    </row>
    <row r="61" spans="1:4" ht="14.4">
      <c r="A61" s="33">
        <v>70902</v>
      </c>
      <c r="B61" s="11" t="s">
        <v>285</v>
      </c>
      <c r="C61">
        <v>588.08520056192026</v>
      </c>
      <c r="D61">
        <v>76.60560000000001</v>
      </c>
    </row>
    <row r="62" spans="1:4" ht="14.4">
      <c r="A62" s="33">
        <v>51103</v>
      </c>
      <c r="B62" s="11" t="s">
        <v>231</v>
      </c>
      <c r="C62">
        <v>87.574400023004785</v>
      </c>
      <c r="D62">
        <v>83.878399999999999</v>
      </c>
    </row>
    <row r="63" spans="1:4" ht="14.4">
      <c r="A63" s="33">
        <v>20604</v>
      </c>
      <c r="B63" s="11" t="s">
        <v>60</v>
      </c>
      <c r="C63">
        <v>67.549599887390812</v>
      </c>
      <c r="D63">
        <v>84.016000000000005</v>
      </c>
    </row>
    <row r="64" spans="1:4" ht="14.4">
      <c r="A64" s="33">
        <v>50202</v>
      </c>
      <c r="B64" s="11" t="s">
        <v>205</v>
      </c>
      <c r="C64">
        <v>76.454000097086663</v>
      </c>
      <c r="D64">
        <v>84.6464</v>
      </c>
    </row>
    <row r="65" spans="1:4" ht="14.4">
      <c r="A65" s="33">
        <v>70705</v>
      </c>
      <c r="B65" s="11" t="s">
        <v>276</v>
      </c>
      <c r="C65">
        <v>400.5827997768626</v>
      </c>
      <c r="D65">
        <v>88.504800000000003</v>
      </c>
    </row>
    <row r="66" spans="1:4" ht="14.4">
      <c r="A66" s="33">
        <v>20903</v>
      </c>
      <c r="B66" s="11" t="s">
        <v>76</v>
      </c>
      <c r="C66">
        <v>96.673200406823312</v>
      </c>
      <c r="D66">
        <v>90.755200000000002</v>
      </c>
    </row>
    <row r="67" spans="1:4" ht="14.4">
      <c r="A67" s="33">
        <v>21901</v>
      </c>
      <c r="B67" s="11" t="s">
        <v>113</v>
      </c>
      <c r="C67">
        <v>56.656000123622647</v>
      </c>
      <c r="D67">
        <v>91.448800000000006</v>
      </c>
    </row>
    <row r="68" spans="1:4" ht="14.4">
      <c r="A68" s="33">
        <v>71201</v>
      </c>
      <c r="B68" s="11" t="s">
        <v>299</v>
      </c>
      <c r="C68">
        <v>1303.663199237184</v>
      </c>
      <c r="D68">
        <v>92.527200000000008</v>
      </c>
    </row>
    <row r="69" spans="1:4" ht="14.4">
      <c r="A69" s="33">
        <v>70903</v>
      </c>
      <c r="B69" s="11" t="s">
        <v>286</v>
      </c>
      <c r="C69">
        <v>909.80679935137368</v>
      </c>
      <c r="D69">
        <v>92.960800000000006</v>
      </c>
    </row>
    <row r="70" spans="1:4" ht="14.4">
      <c r="A70" s="33">
        <v>30601</v>
      </c>
      <c r="B70" s="11" t="s">
        <v>130</v>
      </c>
      <c r="C70">
        <v>82.44040001105779</v>
      </c>
      <c r="D70">
        <v>94.179600000000008</v>
      </c>
    </row>
    <row r="71" spans="1:4" ht="14.4">
      <c r="A71" s="33">
        <v>41001</v>
      </c>
      <c r="B71" s="11" t="s">
        <v>190</v>
      </c>
      <c r="C71">
        <v>81.501200122866777</v>
      </c>
      <c r="D71">
        <v>96.007399999560008</v>
      </c>
    </row>
    <row r="72" spans="1:4" ht="14.4">
      <c r="A72" s="33">
        <v>41503</v>
      </c>
      <c r="B72" s="11" t="s">
        <v>198</v>
      </c>
      <c r="C72">
        <v>1.9116000235550106</v>
      </c>
      <c r="D72">
        <v>96.484000000000009</v>
      </c>
    </row>
    <row r="73" spans="1:4" ht="14.4">
      <c r="A73" s="33">
        <v>21801</v>
      </c>
      <c r="B73" s="11" t="s">
        <v>110</v>
      </c>
      <c r="C73">
        <v>13.304400034062565</v>
      </c>
      <c r="D73">
        <v>96.993799994240021</v>
      </c>
    </row>
    <row r="74" spans="1:4" ht="14.4">
      <c r="A74" s="33">
        <v>50303</v>
      </c>
      <c r="B74" s="11" t="s">
        <v>210</v>
      </c>
      <c r="C74">
        <v>104.73360009295867</v>
      </c>
      <c r="D74">
        <v>100.32560000000001</v>
      </c>
    </row>
    <row r="75" spans="1:4" ht="14.4">
      <c r="A75" s="33">
        <v>50405</v>
      </c>
      <c r="B75" s="11" t="s">
        <v>215</v>
      </c>
      <c r="C75">
        <v>502.74900108694811</v>
      </c>
      <c r="D75">
        <v>100.53</v>
      </c>
    </row>
    <row r="76" spans="1:4" ht="14.4">
      <c r="A76" s="33">
        <v>51601</v>
      </c>
      <c r="B76" s="11" t="s">
        <v>241</v>
      </c>
      <c r="C76">
        <v>56.768399865653372</v>
      </c>
      <c r="D76">
        <v>104.9016</v>
      </c>
    </row>
    <row r="77" spans="1:4" ht="14.4">
      <c r="A77" s="33">
        <v>20807</v>
      </c>
      <c r="B77" s="11" t="s">
        <v>73</v>
      </c>
      <c r="C77">
        <v>100.95840008477569</v>
      </c>
      <c r="D77">
        <v>105.81320000000001</v>
      </c>
    </row>
    <row r="78" spans="1:4" ht="14.4">
      <c r="A78" s="33">
        <v>20502</v>
      </c>
      <c r="B78" s="11" t="s">
        <v>55</v>
      </c>
      <c r="C78">
        <v>112.35359996617065</v>
      </c>
      <c r="D78">
        <v>105.9136</v>
      </c>
    </row>
    <row r="79" spans="1:4" ht="14.4">
      <c r="A79" s="33">
        <v>71103</v>
      </c>
      <c r="B79" s="11" t="s">
        <v>295</v>
      </c>
      <c r="C79">
        <v>825.44479967858047</v>
      </c>
      <c r="D79">
        <v>106.75160000000001</v>
      </c>
    </row>
    <row r="80" spans="1:4" ht="14.4">
      <c r="A80" s="33">
        <v>30703</v>
      </c>
      <c r="B80" s="11" t="s">
        <v>134</v>
      </c>
      <c r="C80">
        <v>83.240400031539053</v>
      </c>
      <c r="D80">
        <v>107.3768</v>
      </c>
    </row>
    <row r="81" spans="1:4" ht="14.4">
      <c r="A81" s="33">
        <v>70707</v>
      </c>
      <c r="B81" s="11" t="s">
        <v>278</v>
      </c>
      <c r="C81">
        <v>386.2424008484241</v>
      </c>
      <c r="D81">
        <v>108.82440000000001</v>
      </c>
    </row>
    <row r="82" spans="1:4" ht="14.4">
      <c r="A82" s="33">
        <v>30302</v>
      </c>
      <c r="B82" s="11" t="s">
        <v>122</v>
      </c>
      <c r="C82">
        <v>121.99400017668941</v>
      </c>
      <c r="D82">
        <v>110.10120000000001</v>
      </c>
    </row>
    <row r="83" spans="1:4" ht="14.4">
      <c r="A83" s="33">
        <v>20206</v>
      </c>
      <c r="B83" s="11" t="s">
        <v>40</v>
      </c>
      <c r="C83">
        <v>75.717599924676122</v>
      </c>
      <c r="D83">
        <v>110.8772</v>
      </c>
    </row>
    <row r="84" spans="1:4" ht="14.4">
      <c r="A84" s="33">
        <v>21004</v>
      </c>
      <c r="B84" s="11" t="s">
        <v>82</v>
      </c>
      <c r="C84">
        <v>123.78400003810451</v>
      </c>
      <c r="D84">
        <v>115.19160000000001</v>
      </c>
    </row>
    <row r="85" spans="1:4" ht="14.4">
      <c r="A85" s="33">
        <v>41101</v>
      </c>
      <c r="B85" s="11" t="s">
        <v>191</v>
      </c>
      <c r="C85">
        <v>18.129200091539325</v>
      </c>
      <c r="D85">
        <v>118.02460002064002</v>
      </c>
    </row>
    <row r="86" spans="1:4" ht="14.4">
      <c r="A86" s="33">
        <v>50103</v>
      </c>
      <c r="B86" s="11" t="s">
        <v>202</v>
      </c>
      <c r="C86">
        <v>123.03399998818041</v>
      </c>
      <c r="D86">
        <v>119.05200000000001</v>
      </c>
    </row>
    <row r="87" spans="1:4" ht="14.4">
      <c r="A87" s="33">
        <v>30402</v>
      </c>
      <c r="B87" s="11" t="s">
        <v>125</v>
      </c>
      <c r="C87">
        <v>108.57440018205718</v>
      </c>
      <c r="D87">
        <v>122.396</v>
      </c>
    </row>
    <row r="88" spans="1:4" ht="14.4">
      <c r="A88" s="33">
        <v>60402</v>
      </c>
      <c r="B88" s="11" t="s">
        <v>249</v>
      </c>
      <c r="C88">
        <v>61.488000009060656</v>
      </c>
      <c r="D88">
        <v>122.42400000000001</v>
      </c>
    </row>
    <row r="89" spans="1:4" ht="14.4">
      <c r="A89" s="33">
        <v>71301</v>
      </c>
      <c r="B89" s="11" t="s">
        <v>300</v>
      </c>
      <c r="C89">
        <v>986.95840012335339</v>
      </c>
      <c r="D89">
        <v>129.19040000000001</v>
      </c>
    </row>
    <row r="90" spans="1:4" ht="14.4">
      <c r="A90" s="33">
        <v>20203</v>
      </c>
      <c r="B90" s="11" t="s">
        <v>37</v>
      </c>
      <c r="C90">
        <v>144.53479998002538</v>
      </c>
      <c r="D90">
        <v>130.27000000000001</v>
      </c>
    </row>
    <row r="91" spans="1:4" ht="14.4">
      <c r="A91" s="33">
        <v>50404</v>
      </c>
      <c r="B91" s="11" t="s">
        <v>214</v>
      </c>
      <c r="C91">
        <v>117.11520014170968</v>
      </c>
      <c r="D91">
        <v>130.75200000000001</v>
      </c>
    </row>
    <row r="92" spans="1:4" ht="14.4">
      <c r="A92" s="33">
        <v>10404</v>
      </c>
      <c r="B92" s="11" t="s">
        <v>13</v>
      </c>
      <c r="C92">
        <v>96.071600236250831</v>
      </c>
      <c r="D92">
        <v>131.22280000000001</v>
      </c>
    </row>
    <row r="93" spans="1:4" ht="14.4">
      <c r="A93" s="33">
        <v>10901</v>
      </c>
      <c r="B93" s="11" t="s">
        <v>24</v>
      </c>
      <c r="C93">
        <v>90.469000139585518</v>
      </c>
      <c r="D93">
        <v>131.268</v>
      </c>
    </row>
    <row r="94" spans="1:4" ht="14.4">
      <c r="A94" s="33">
        <v>21302</v>
      </c>
      <c r="B94" s="11" t="s">
        <v>95</v>
      </c>
      <c r="C94">
        <v>135.71520016322918</v>
      </c>
      <c r="D94">
        <v>135.23400000000001</v>
      </c>
    </row>
    <row r="95" spans="1:4" ht="14.4">
      <c r="A95" s="33">
        <v>10405</v>
      </c>
      <c r="B95" s="11" t="s">
        <v>14</v>
      </c>
      <c r="C95">
        <v>88.32799999254793</v>
      </c>
      <c r="D95">
        <v>136.71039999999999</v>
      </c>
    </row>
    <row r="96" spans="1:4" ht="14.4">
      <c r="A96" s="33">
        <v>20302</v>
      </c>
      <c r="B96" s="11" t="s">
        <v>42</v>
      </c>
      <c r="C96">
        <v>135.32920017185623</v>
      </c>
      <c r="D96">
        <v>137.56720000000001</v>
      </c>
    </row>
    <row r="97" spans="1:4" ht="14.4">
      <c r="A97" s="33">
        <v>40301</v>
      </c>
      <c r="B97" s="11" t="s">
        <v>171</v>
      </c>
      <c r="C97">
        <v>105.71919986213111</v>
      </c>
      <c r="D97">
        <v>138.58520000000001</v>
      </c>
    </row>
    <row r="98" spans="1:4" ht="14.4">
      <c r="A98" s="33">
        <v>21006</v>
      </c>
      <c r="B98" s="11" t="s">
        <v>84</v>
      </c>
      <c r="C98">
        <v>86.305199933674558</v>
      </c>
      <c r="D98">
        <v>140.286</v>
      </c>
    </row>
    <row r="99" spans="1:4" ht="14.4">
      <c r="A99" s="33">
        <v>30202</v>
      </c>
      <c r="B99" s="11" t="s">
        <v>119</v>
      </c>
      <c r="C99">
        <v>101.68280004247949</v>
      </c>
      <c r="D99">
        <v>144.09880000000001</v>
      </c>
    </row>
    <row r="100" spans="1:4" ht="14.4">
      <c r="A100" s="33">
        <v>90202</v>
      </c>
      <c r="B100" s="11" t="s">
        <v>292</v>
      </c>
      <c r="C100">
        <v>32.73399995034039</v>
      </c>
      <c r="D100">
        <v>145.69480000000001</v>
      </c>
    </row>
    <row r="101" spans="1:4" ht="14.4">
      <c r="A101" s="33">
        <v>21702</v>
      </c>
      <c r="B101" s="11" t="s">
        <v>108</v>
      </c>
      <c r="C101">
        <v>189.61880046843328</v>
      </c>
      <c r="D101">
        <v>147.2012</v>
      </c>
    </row>
    <row r="102" spans="1:4" ht="14.4">
      <c r="A102" s="33">
        <v>20405</v>
      </c>
      <c r="B102" s="11" t="s">
        <v>53</v>
      </c>
      <c r="C102">
        <v>118.28240007551165</v>
      </c>
      <c r="D102">
        <v>149.1996</v>
      </c>
    </row>
    <row r="103" spans="1:4" ht="14.4">
      <c r="A103" s="33">
        <v>10304</v>
      </c>
      <c r="B103" s="11" t="s">
        <v>9</v>
      </c>
      <c r="C103">
        <v>116.97040026674382</v>
      </c>
      <c r="D103">
        <v>150.1232</v>
      </c>
    </row>
    <row r="104" spans="1:4" ht="14.4">
      <c r="A104" s="33">
        <v>20402</v>
      </c>
      <c r="B104" s="11" t="s">
        <v>50</v>
      </c>
      <c r="C104">
        <v>175.6480001355514</v>
      </c>
      <c r="D104">
        <v>150.97720000000001</v>
      </c>
    </row>
    <row r="105" spans="1:4" ht="14.4">
      <c r="A105" s="33">
        <v>10903</v>
      </c>
      <c r="B105" s="11" t="s">
        <v>26</v>
      </c>
      <c r="C105">
        <v>105.99819994128869</v>
      </c>
      <c r="D105">
        <v>153.49</v>
      </c>
    </row>
    <row r="106" spans="1:4" ht="14.4">
      <c r="A106" s="33">
        <v>10103</v>
      </c>
      <c r="B106" s="11" t="s">
        <v>3</v>
      </c>
      <c r="C106">
        <v>65.619200005108496</v>
      </c>
      <c r="D106">
        <v>153.99360000000001</v>
      </c>
    </row>
    <row r="107" spans="1:4" ht="14.4">
      <c r="A107" s="33">
        <v>30502</v>
      </c>
      <c r="B107" s="11" t="s">
        <v>129</v>
      </c>
      <c r="C107">
        <v>120.88920010210686</v>
      </c>
      <c r="D107">
        <v>155.57320000000001</v>
      </c>
    </row>
    <row r="108" spans="1:4" ht="14.4">
      <c r="A108" s="33">
        <v>21303</v>
      </c>
      <c r="B108" s="11" t="s">
        <v>96</v>
      </c>
      <c r="C108">
        <v>137.71639995268322</v>
      </c>
      <c r="D108">
        <v>160.136</v>
      </c>
    </row>
    <row r="109" spans="1:4" ht="14.4">
      <c r="A109" s="33">
        <v>50402</v>
      </c>
      <c r="B109" s="11" t="s">
        <v>212</v>
      </c>
      <c r="C109">
        <v>174.22400018579327</v>
      </c>
      <c r="D109">
        <v>165.5</v>
      </c>
    </row>
    <row r="110" spans="1:4" ht="14.4">
      <c r="A110" s="33">
        <v>30303</v>
      </c>
      <c r="B110" s="11" t="s">
        <v>123</v>
      </c>
      <c r="C110">
        <v>158.62359990334326</v>
      </c>
      <c r="D110">
        <v>165.6908</v>
      </c>
    </row>
    <row r="111" spans="1:4" ht="14.4">
      <c r="A111" s="33">
        <v>20205</v>
      </c>
      <c r="B111" s="11" t="s">
        <v>39</v>
      </c>
      <c r="C111">
        <v>158.58399989810809</v>
      </c>
      <c r="D111">
        <v>166.66200000000001</v>
      </c>
    </row>
    <row r="112" spans="1:4" ht="14.4">
      <c r="A112" s="33">
        <v>10302</v>
      </c>
      <c r="B112" s="11" t="s">
        <v>7</v>
      </c>
      <c r="C112">
        <v>120.55279987343103</v>
      </c>
      <c r="D112">
        <v>169.5196</v>
      </c>
    </row>
    <row r="113" spans="1:4" ht="14.4">
      <c r="A113" s="33">
        <v>10201</v>
      </c>
      <c r="B113" s="11" t="s">
        <v>4</v>
      </c>
      <c r="C113">
        <v>133.0491999429662</v>
      </c>
      <c r="D113">
        <v>170.71200000000002</v>
      </c>
    </row>
    <row r="114" spans="1:4" ht="14.4">
      <c r="A114" s="33">
        <v>51202</v>
      </c>
      <c r="B114" s="11" t="s">
        <v>233</v>
      </c>
      <c r="C114">
        <v>156.02680019648002</v>
      </c>
      <c r="D114">
        <v>170.8</v>
      </c>
    </row>
    <row r="115" spans="1:4" ht="14.4">
      <c r="A115" s="33">
        <v>10703</v>
      </c>
      <c r="B115" s="11" t="s">
        <v>21</v>
      </c>
      <c r="C115">
        <v>126.00984029574357</v>
      </c>
      <c r="D115">
        <v>172.3776</v>
      </c>
    </row>
    <row r="116" spans="1:4" ht="14.4">
      <c r="A116" s="33">
        <v>90401</v>
      </c>
      <c r="B116" s="11" t="s">
        <v>334</v>
      </c>
      <c r="D116">
        <v>182.18200000000002</v>
      </c>
    </row>
    <row r="117" spans="1:4" ht="14.4">
      <c r="A117" s="33">
        <v>40602</v>
      </c>
      <c r="B117" s="11" t="s">
        <v>181</v>
      </c>
      <c r="C117">
        <v>78.212000088498002</v>
      </c>
      <c r="D117">
        <v>184.0976</v>
      </c>
    </row>
    <row r="118" spans="1:4" ht="14.4">
      <c r="A118" s="33">
        <v>20202</v>
      </c>
      <c r="B118" s="11" t="s">
        <v>36</v>
      </c>
      <c r="C118">
        <v>242.4011996252928</v>
      </c>
      <c r="D118">
        <v>189.47480000000002</v>
      </c>
    </row>
    <row r="119" spans="1:4" ht="14.4">
      <c r="A119" s="33">
        <v>20401</v>
      </c>
      <c r="B119" s="11" t="s">
        <v>49</v>
      </c>
      <c r="C119">
        <v>175.41160009311662</v>
      </c>
      <c r="D119">
        <v>192.61800000000002</v>
      </c>
    </row>
    <row r="120" spans="1:4" ht="14.4">
      <c r="A120" s="33">
        <v>10202</v>
      </c>
      <c r="B120" s="11" t="s">
        <v>5</v>
      </c>
      <c r="C120">
        <v>147.57519997958988</v>
      </c>
      <c r="D120">
        <v>196.0016</v>
      </c>
    </row>
    <row r="121" spans="1:4" ht="14.4">
      <c r="A121" s="33">
        <v>71102</v>
      </c>
      <c r="B121" s="11" t="s">
        <v>294</v>
      </c>
      <c r="C121">
        <v>1060.5660002434872</v>
      </c>
      <c r="D121">
        <v>197.74800000000002</v>
      </c>
    </row>
    <row r="122" spans="1:4" ht="14.4">
      <c r="A122" s="33">
        <v>50102</v>
      </c>
      <c r="B122" s="11" t="s">
        <v>201</v>
      </c>
      <c r="C122">
        <v>158.90240012920128</v>
      </c>
      <c r="D122">
        <v>200.76440000000002</v>
      </c>
    </row>
    <row r="123" spans="1:4" ht="14.4">
      <c r="A123" s="33">
        <v>31101</v>
      </c>
      <c r="B123" s="11" t="s">
        <v>146</v>
      </c>
      <c r="C123">
        <v>221.5972000049893</v>
      </c>
      <c r="D123">
        <v>202.63040000000001</v>
      </c>
    </row>
    <row r="124" spans="1:4" ht="14.4">
      <c r="A124" s="33">
        <v>50302</v>
      </c>
      <c r="B124" s="11" t="s">
        <v>209</v>
      </c>
      <c r="C124">
        <v>231.24160000460225</v>
      </c>
      <c r="D124">
        <v>202.81200000000001</v>
      </c>
    </row>
    <row r="125" spans="1:4" ht="14.4">
      <c r="A125" s="33">
        <v>10403</v>
      </c>
      <c r="B125" s="11" t="s">
        <v>12</v>
      </c>
      <c r="C125">
        <v>163.90799976420442</v>
      </c>
      <c r="D125">
        <v>203.04040000000001</v>
      </c>
    </row>
    <row r="126" spans="1:4" ht="14.4">
      <c r="A126" s="33">
        <v>51401</v>
      </c>
      <c r="B126" s="11" t="s">
        <v>238</v>
      </c>
      <c r="C126">
        <v>168.68920014963115</v>
      </c>
      <c r="D126">
        <v>206.61360000000002</v>
      </c>
    </row>
    <row r="127" spans="1:4" ht="14.4">
      <c r="A127" s="33">
        <v>20204</v>
      </c>
      <c r="B127" s="11" t="s">
        <v>38</v>
      </c>
      <c r="C127">
        <v>203.17120016777665</v>
      </c>
      <c r="D127">
        <v>206.97400000000002</v>
      </c>
    </row>
    <row r="128" spans="1:4" ht="14.4">
      <c r="A128" s="33">
        <v>20503</v>
      </c>
      <c r="B128" s="11" t="s">
        <v>56</v>
      </c>
      <c r="C128">
        <v>94.297200047568978</v>
      </c>
      <c r="D128">
        <v>207.7928</v>
      </c>
    </row>
    <row r="129" spans="1:4" ht="14.4">
      <c r="A129" s="33">
        <v>21601</v>
      </c>
      <c r="B129" s="11" t="s">
        <v>105</v>
      </c>
      <c r="C129">
        <v>120.42040002309308</v>
      </c>
      <c r="D129">
        <v>210.62800000000001</v>
      </c>
    </row>
    <row r="130" spans="1:4" ht="14.4">
      <c r="A130" s="33">
        <v>90302</v>
      </c>
      <c r="B130" s="11" t="s">
        <v>332</v>
      </c>
      <c r="C130">
        <v>121.42820010423959</v>
      </c>
      <c r="D130">
        <v>211.43580000012</v>
      </c>
    </row>
    <row r="131" spans="1:4" ht="14.4">
      <c r="A131" s="33">
        <v>20501</v>
      </c>
      <c r="B131" s="11" t="s">
        <v>54</v>
      </c>
      <c r="C131">
        <v>173.93200005527027</v>
      </c>
      <c r="D131">
        <v>215.20000000000002</v>
      </c>
    </row>
    <row r="132" spans="1:4" ht="14.4">
      <c r="A132" s="33">
        <v>50602</v>
      </c>
      <c r="B132" s="11" t="s">
        <v>219</v>
      </c>
      <c r="C132">
        <v>201.53879983048327</v>
      </c>
      <c r="D132">
        <v>215.3304</v>
      </c>
    </row>
    <row r="133" spans="1:4" ht="14.4">
      <c r="A133" s="33">
        <v>70303</v>
      </c>
      <c r="B133" s="11" t="s">
        <v>261</v>
      </c>
      <c r="C133">
        <v>387.43679983226582</v>
      </c>
      <c r="D133">
        <v>220.20960000000002</v>
      </c>
    </row>
    <row r="134" spans="1:4" ht="14.4">
      <c r="A134" s="33">
        <v>10602</v>
      </c>
      <c r="B134" s="11" t="s">
        <v>18</v>
      </c>
      <c r="C134">
        <v>171.58359970039317</v>
      </c>
      <c r="D134">
        <v>223.91800000000001</v>
      </c>
    </row>
    <row r="135" spans="1:4" ht="14.4">
      <c r="A135" s="33">
        <v>20702</v>
      </c>
      <c r="B135" s="11" t="s">
        <v>66</v>
      </c>
      <c r="C135">
        <v>169.08399975315854</v>
      </c>
      <c r="D135">
        <v>227.9864</v>
      </c>
    </row>
    <row r="136" spans="1:4" ht="14.4">
      <c r="A136" s="33">
        <v>40801</v>
      </c>
      <c r="B136" s="11" t="s">
        <v>185</v>
      </c>
      <c r="C136">
        <v>271.13240032226634</v>
      </c>
      <c r="D136">
        <v>228.05160000000001</v>
      </c>
    </row>
    <row r="137" spans="1:4" ht="14.4">
      <c r="A137" s="33">
        <v>50701</v>
      </c>
      <c r="B137" s="11" t="s">
        <v>220</v>
      </c>
      <c r="C137">
        <v>229.71000006453397</v>
      </c>
      <c r="D137">
        <v>233.0472</v>
      </c>
    </row>
    <row r="138" spans="1:4" ht="14.4">
      <c r="A138" s="33">
        <v>41401</v>
      </c>
      <c r="B138" s="11" t="s">
        <v>195</v>
      </c>
      <c r="C138">
        <v>217.05519962910751</v>
      </c>
      <c r="D138">
        <v>233.52280000000002</v>
      </c>
    </row>
    <row r="139" spans="1:4" ht="14.4">
      <c r="A139" s="33">
        <v>71401</v>
      </c>
      <c r="B139" s="11" t="s">
        <v>302</v>
      </c>
      <c r="C139">
        <v>3089.0720019334749</v>
      </c>
      <c r="D139">
        <v>234.4624</v>
      </c>
    </row>
    <row r="140" spans="1:4" ht="14.4">
      <c r="A140" s="33">
        <v>20301</v>
      </c>
      <c r="B140" s="11" t="s">
        <v>41</v>
      </c>
      <c r="C140">
        <v>234.8387997358177</v>
      </c>
      <c r="D140">
        <v>234.84320000000002</v>
      </c>
    </row>
    <row r="141" spans="1:4" ht="14.4">
      <c r="A141" s="33">
        <v>21306</v>
      </c>
      <c r="B141" s="11" t="s">
        <v>99</v>
      </c>
      <c r="C141">
        <v>205.53799972533659</v>
      </c>
      <c r="D141">
        <v>237.6568</v>
      </c>
    </row>
    <row r="142" spans="1:4" ht="14.4">
      <c r="A142" s="33">
        <v>40901</v>
      </c>
      <c r="B142" s="11" t="s">
        <v>187</v>
      </c>
      <c r="C142">
        <v>130.8131998089552</v>
      </c>
      <c r="D142">
        <v>238.65280000000001</v>
      </c>
    </row>
    <row r="143" spans="1:4" ht="14.4">
      <c r="A143" s="33">
        <v>30301</v>
      </c>
      <c r="B143" s="11" t="s">
        <v>121</v>
      </c>
      <c r="C143">
        <v>239.55480011810178</v>
      </c>
      <c r="D143">
        <v>241.7818</v>
      </c>
    </row>
    <row r="144" spans="1:4" ht="14.4">
      <c r="A144" s="33">
        <v>70302</v>
      </c>
      <c r="B144" s="11" t="s">
        <v>260</v>
      </c>
      <c r="C144">
        <v>727.68399990530054</v>
      </c>
      <c r="D144">
        <v>244.58320000000001</v>
      </c>
    </row>
    <row r="145" spans="1:4" ht="14.4">
      <c r="A145" s="33">
        <v>10303</v>
      </c>
      <c r="B145" s="11" t="s">
        <v>8</v>
      </c>
      <c r="C145">
        <v>190.8672003042642</v>
      </c>
      <c r="D145">
        <v>247.02760000000001</v>
      </c>
    </row>
    <row r="146" spans="1:4" ht="14.4">
      <c r="A146" s="33">
        <v>20802</v>
      </c>
      <c r="B146" s="11" t="s">
        <v>68</v>
      </c>
      <c r="C146">
        <v>231.45000055654162</v>
      </c>
      <c r="D146">
        <v>252.64000000000001</v>
      </c>
    </row>
    <row r="147" spans="1:4" ht="14.4">
      <c r="A147" s="33">
        <v>20403</v>
      </c>
      <c r="B147" s="11" t="s">
        <v>51</v>
      </c>
      <c r="C147">
        <v>251.3044003545549</v>
      </c>
      <c r="D147">
        <v>255.1652</v>
      </c>
    </row>
    <row r="148" spans="1:4" ht="14.4">
      <c r="A148" s="33">
        <v>40702</v>
      </c>
      <c r="B148" s="11" t="s">
        <v>184</v>
      </c>
      <c r="C148">
        <v>212.25640011772401</v>
      </c>
      <c r="D148">
        <v>255.21960000000001</v>
      </c>
    </row>
    <row r="149" spans="1:4" ht="14.4">
      <c r="A149" s="33">
        <v>30802</v>
      </c>
      <c r="B149" s="11" t="s">
        <v>136</v>
      </c>
      <c r="C149">
        <v>293.2962000065744</v>
      </c>
      <c r="D149">
        <v>256.27120000000002</v>
      </c>
    </row>
    <row r="150" spans="1:4" ht="14.4">
      <c r="A150" s="33">
        <v>50501</v>
      </c>
      <c r="B150" s="11" t="s">
        <v>216</v>
      </c>
      <c r="C150">
        <v>164.5536001568187</v>
      </c>
      <c r="D150">
        <v>262.61920000000003</v>
      </c>
    </row>
    <row r="151" spans="1:4" ht="14.4">
      <c r="A151" s="33">
        <v>71105</v>
      </c>
      <c r="B151" s="11" t="s">
        <v>297</v>
      </c>
      <c r="C151">
        <v>283.36599998892586</v>
      </c>
      <c r="D151">
        <v>264.84320000000002</v>
      </c>
    </row>
    <row r="152" spans="1:4" ht="14.4">
      <c r="A152" s="33">
        <v>30203</v>
      </c>
      <c r="B152" s="11" t="s">
        <v>120</v>
      </c>
      <c r="C152">
        <v>245.64920000411013</v>
      </c>
      <c r="D152">
        <v>267.32080000000002</v>
      </c>
    </row>
    <row r="153" spans="1:4" ht="14.4">
      <c r="A153" s="33">
        <v>70901</v>
      </c>
      <c r="B153" s="11" t="s">
        <v>284</v>
      </c>
      <c r="C153">
        <v>1084.9992019580968</v>
      </c>
      <c r="D153">
        <v>267.58879999999999</v>
      </c>
    </row>
    <row r="154" spans="1:4" ht="14.4">
      <c r="A154" s="33">
        <v>10704</v>
      </c>
      <c r="B154" s="11" t="s">
        <v>22</v>
      </c>
      <c r="C154">
        <v>192.1633318808716</v>
      </c>
      <c r="D154">
        <v>268.89280000000002</v>
      </c>
    </row>
    <row r="155" spans="1:4" ht="14.4">
      <c r="A155" s="33">
        <v>21001</v>
      </c>
      <c r="B155" s="11" t="s">
        <v>79</v>
      </c>
      <c r="C155">
        <v>183.58200009519607</v>
      </c>
      <c r="D155">
        <v>269.60320000000002</v>
      </c>
    </row>
    <row r="156" spans="1:4" ht="14.4">
      <c r="A156" s="33">
        <v>70801</v>
      </c>
      <c r="B156" s="11" t="s">
        <v>279</v>
      </c>
      <c r="C156">
        <v>1393.5796013149668</v>
      </c>
      <c r="D156">
        <v>272.46320000000003</v>
      </c>
    </row>
    <row r="157" spans="1:4" ht="14.4">
      <c r="A157" s="33">
        <v>50502</v>
      </c>
      <c r="B157" s="11" t="s">
        <v>217</v>
      </c>
      <c r="C157">
        <v>144.20760009349326</v>
      </c>
      <c r="D157">
        <v>273.52760000000001</v>
      </c>
    </row>
    <row r="158" spans="1:4" ht="14.4">
      <c r="A158" s="33">
        <v>40104</v>
      </c>
      <c r="B158" s="11" t="s">
        <v>168</v>
      </c>
      <c r="C158">
        <v>207.81559998862073</v>
      </c>
      <c r="D158">
        <v>283.53980000000001</v>
      </c>
    </row>
    <row r="159" spans="1:4" ht="14.4">
      <c r="A159" s="33">
        <v>80102</v>
      </c>
      <c r="B159" s="11" t="s">
        <v>294</v>
      </c>
      <c r="C159">
        <v>124.9332001039248</v>
      </c>
      <c r="D159">
        <v>284.49520000000001</v>
      </c>
    </row>
    <row r="160" spans="1:4" ht="14.4">
      <c r="A160" s="33">
        <v>80601</v>
      </c>
      <c r="B160" s="11" t="s">
        <v>317</v>
      </c>
      <c r="C160">
        <v>95.973199990240488</v>
      </c>
      <c r="D160">
        <v>289.83440000000002</v>
      </c>
    </row>
    <row r="161" spans="1:4" ht="14.4">
      <c r="A161" s="33">
        <v>20803</v>
      </c>
      <c r="B161" s="11" t="s">
        <v>69</v>
      </c>
      <c r="C161">
        <v>258.51600015696476</v>
      </c>
      <c r="D161">
        <v>290.06479999999999</v>
      </c>
    </row>
    <row r="162" spans="1:4" ht="14.4">
      <c r="A162" s="33">
        <v>71403</v>
      </c>
      <c r="B162" s="11" t="s">
        <v>304</v>
      </c>
      <c r="C162">
        <v>551.65359996701</v>
      </c>
      <c r="D162">
        <v>293.47680000000003</v>
      </c>
    </row>
    <row r="163" spans="1:4" ht="14.4">
      <c r="A163" s="33">
        <v>10402</v>
      </c>
      <c r="B163" s="11" t="s">
        <v>11</v>
      </c>
      <c r="C163">
        <v>237.72759976529517</v>
      </c>
      <c r="D163">
        <v>301.46000000000004</v>
      </c>
    </row>
    <row r="164" spans="1:4" ht="14.4">
      <c r="A164" s="33">
        <v>21304</v>
      </c>
      <c r="B164" s="11" t="s">
        <v>97</v>
      </c>
      <c r="C164">
        <v>255.53879991034233</v>
      </c>
      <c r="D164">
        <v>315.42920000000004</v>
      </c>
    </row>
    <row r="165" spans="1:4" ht="14.4">
      <c r="A165" s="33">
        <v>20905</v>
      </c>
      <c r="B165" s="11" t="s">
        <v>78</v>
      </c>
      <c r="C165">
        <v>231.94719983736053</v>
      </c>
      <c r="D165">
        <v>318.2688</v>
      </c>
    </row>
    <row r="166" spans="1:4" ht="14.4">
      <c r="A166" s="33">
        <v>31202</v>
      </c>
      <c r="B166" s="11" t="s">
        <v>148</v>
      </c>
      <c r="C166">
        <v>283.86400011080991</v>
      </c>
      <c r="D166">
        <v>319.6592</v>
      </c>
    </row>
    <row r="167" spans="1:4" ht="14.4">
      <c r="A167" s="33">
        <v>70503</v>
      </c>
      <c r="B167" s="11" t="s">
        <v>268</v>
      </c>
      <c r="C167">
        <v>1776.6572002565947</v>
      </c>
      <c r="D167">
        <v>320.8836</v>
      </c>
    </row>
    <row r="168" spans="1:4" ht="14.4">
      <c r="A168" s="33">
        <v>10601</v>
      </c>
      <c r="B168" s="11" t="s">
        <v>17</v>
      </c>
      <c r="C168">
        <v>267.11800009600933</v>
      </c>
      <c r="D168">
        <v>322.40480000000002</v>
      </c>
    </row>
    <row r="169" spans="1:4" ht="14.4">
      <c r="A169" s="33">
        <v>50403</v>
      </c>
      <c r="B169" s="11" t="s">
        <v>213</v>
      </c>
      <c r="C169">
        <v>340.27219977235535</v>
      </c>
      <c r="D169">
        <v>329.35120000000001</v>
      </c>
    </row>
    <row r="170" spans="1:4" ht="14.4">
      <c r="A170" s="33">
        <v>80803</v>
      </c>
      <c r="B170" s="11" t="s">
        <v>323</v>
      </c>
      <c r="C170">
        <v>50.866800048431756</v>
      </c>
      <c r="D170">
        <v>331.95600000000002</v>
      </c>
    </row>
    <row r="171" spans="1:4" ht="14.4">
      <c r="A171" s="33">
        <v>90104</v>
      </c>
      <c r="B171" s="11" t="s">
        <v>328</v>
      </c>
      <c r="C171">
        <v>74.368399828908963</v>
      </c>
      <c r="D171">
        <v>340.08540000240004</v>
      </c>
    </row>
    <row r="172" spans="1:4" ht="14.4">
      <c r="A172" s="33">
        <v>31203</v>
      </c>
      <c r="B172" s="11" t="s">
        <v>149</v>
      </c>
      <c r="C172">
        <v>366.85119964345472</v>
      </c>
      <c r="D172">
        <v>345.04759999999999</v>
      </c>
    </row>
    <row r="173" spans="1:4" ht="14.4">
      <c r="A173" s="33">
        <v>20901</v>
      </c>
      <c r="B173" s="11" t="s">
        <v>74</v>
      </c>
      <c r="C173">
        <v>259.59240015039705</v>
      </c>
      <c r="D173">
        <v>347.75800000000004</v>
      </c>
    </row>
    <row r="174" spans="1:4" ht="14.4">
      <c r="A174" s="33">
        <v>80402</v>
      </c>
      <c r="B174" s="11" t="s">
        <v>315</v>
      </c>
      <c r="D174">
        <v>375.70120000000003</v>
      </c>
    </row>
    <row r="175" spans="1:4" ht="14.4">
      <c r="A175" s="33">
        <v>51102</v>
      </c>
      <c r="B175" s="11" t="s">
        <v>230</v>
      </c>
      <c r="C175">
        <v>313.19200009903574</v>
      </c>
      <c r="D175">
        <v>381.74119999999999</v>
      </c>
    </row>
    <row r="176" spans="1:4" ht="14.4">
      <c r="A176" s="33">
        <v>71402</v>
      </c>
      <c r="B176" s="11" t="s">
        <v>303</v>
      </c>
      <c r="C176">
        <v>3440.0484025386454</v>
      </c>
      <c r="D176">
        <v>391.57240000000002</v>
      </c>
    </row>
    <row r="177" spans="1:4" ht="14.4">
      <c r="A177" s="33">
        <v>31402</v>
      </c>
      <c r="B177" s="11" t="s">
        <v>158</v>
      </c>
      <c r="C177">
        <v>413.64800015612843</v>
      </c>
      <c r="D177">
        <v>394.59219999999999</v>
      </c>
    </row>
    <row r="178" spans="1:4" ht="14.4">
      <c r="A178" s="33">
        <v>20603</v>
      </c>
      <c r="B178" s="11" t="s">
        <v>59</v>
      </c>
      <c r="C178">
        <v>277.09760063831772</v>
      </c>
      <c r="D178">
        <v>395.0412</v>
      </c>
    </row>
    <row r="179" spans="1:4" ht="14.4">
      <c r="A179" s="33">
        <v>20902</v>
      </c>
      <c r="B179" s="11" t="s">
        <v>75</v>
      </c>
      <c r="C179">
        <v>321.80560000704344</v>
      </c>
      <c r="D179">
        <v>400.58160000000004</v>
      </c>
    </row>
    <row r="180" spans="1:4" ht="14.4">
      <c r="A180" s="33">
        <v>10902</v>
      </c>
      <c r="B180" s="11" t="s">
        <v>25</v>
      </c>
      <c r="C180">
        <v>313.3489475750182</v>
      </c>
      <c r="D180">
        <v>409.81760000000003</v>
      </c>
    </row>
    <row r="181" spans="1:4" ht="14.4">
      <c r="A181" s="33">
        <v>20804</v>
      </c>
      <c r="B181" s="11" t="s">
        <v>70</v>
      </c>
      <c r="C181">
        <v>333.80680034857915</v>
      </c>
      <c r="D181">
        <v>412.08920000000001</v>
      </c>
    </row>
    <row r="182" spans="1:4" ht="14.4">
      <c r="A182" s="33">
        <v>10502</v>
      </c>
      <c r="B182" s="11" t="s">
        <v>16</v>
      </c>
      <c r="C182">
        <v>278.48079993738571</v>
      </c>
      <c r="D182">
        <v>415.88800000000003</v>
      </c>
    </row>
    <row r="183" spans="1:4" ht="14.4">
      <c r="A183" s="33">
        <v>21103</v>
      </c>
      <c r="B183" s="11" t="s">
        <v>87</v>
      </c>
      <c r="C183">
        <v>307.71079978160748</v>
      </c>
      <c r="D183">
        <v>418.38440000000003</v>
      </c>
    </row>
    <row r="184" spans="1:4" ht="14.4">
      <c r="A184" s="33">
        <v>31201</v>
      </c>
      <c r="B184" s="11" t="s">
        <v>147</v>
      </c>
      <c r="C184">
        <v>326.90960008518397</v>
      </c>
      <c r="D184">
        <v>419.15960000000001</v>
      </c>
    </row>
    <row r="185" spans="1:4" ht="14.4">
      <c r="A185" s="33">
        <v>11003</v>
      </c>
      <c r="B185" s="11" t="s">
        <v>29</v>
      </c>
      <c r="C185">
        <v>361.93079972700332</v>
      </c>
      <c r="D185">
        <v>432.10840000000002</v>
      </c>
    </row>
    <row r="186" spans="1:4" ht="14.4">
      <c r="A186" s="33">
        <v>50401</v>
      </c>
      <c r="B186" s="11" t="s">
        <v>211</v>
      </c>
      <c r="C186">
        <v>502.74900108694811</v>
      </c>
      <c r="D186">
        <v>465.47400000000005</v>
      </c>
    </row>
    <row r="187" spans="1:4" ht="14.4">
      <c r="A187" s="33">
        <v>60502</v>
      </c>
      <c r="B187" s="11" t="s">
        <v>251</v>
      </c>
      <c r="C187">
        <v>322.5420001489066</v>
      </c>
      <c r="D187">
        <v>466.0976</v>
      </c>
    </row>
    <row r="188" spans="1:4" ht="14.4">
      <c r="A188" s="33">
        <v>51101</v>
      </c>
      <c r="B188" s="11" t="s">
        <v>229</v>
      </c>
      <c r="C188">
        <v>486.16159962876702</v>
      </c>
      <c r="D188">
        <v>490.08000000000004</v>
      </c>
    </row>
    <row r="189" spans="1:4" ht="14.4">
      <c r="A189" s="33">
        <v>21002</v>
      </c>
      <c r="B189" s="11" t="s">
        <v>80</v>
      </c>
      <c r="C189">
        <v>280.81960045697468</v>
      </c>
      <c r="D189">
        <v>492.47320000000002</v>
      </c>
    </row>
    <row r="190" spans="1:4" ht="14.4">
      <c r="A190" s="33">
        <v>10801</v>
      </c>
      <c r="B190" s="11" t="s">
        <v>23</v>
      </c>
      <c r="C190">
        <v>381.00760028325732</v>
      </c>
      <c r="D190">
        <v>515.33440000000007</v>
      </c>
    </row>
    <row r="191" spans="1:4" ht="14.4">
      <c r="A191" s="33">
        <v>22002</v>
      </c>
      <c r="B191" s="11" t="s">
        <v>116</v>
      </c>
      <c r="C191">
        <v>282.78319993414954</v>
      </c>
      <c r="D191">
        <v>528.90560000000005</v>
      </c>
    </row>
    <row r="192" spans="1:4" ht="14.4">
      <c r="A192" s="33">
        <v>90203</v>
      </c>
      <c r="B192" s="11" t="s">
        <v>330</v>
      </c>
      <c r="C192">
        <v>377.80839995308372</v>
      </c>
      <c r="D192">
        <v>542.75040000000001</v>
      </c>
    </row>
    <row r="193" spans="1:4" ht="14.4">
      <c r="A193" s="33">
        <v>30401</v>
      </c>
      <c r="B193" s="11" t="s">
        <v>124</v>
      </c>
      <c r="C193">
        <v>608.05680013435631</v>
      </c>
      <c r="D193">
        <v>549.7192</v>
      </c>
    </row>
    <row r="194" spans="1:4" ht="14.4">
      <c r="A194" s="33">
        <v>10401</v>
      </c>
      <c r="B194" s="11" t="s">
        <v>10</v>
      </c>
      <c r="C194">
        <v>434.05559949508648</v>
      </c>
      <c r="D194">
        <v>549.76560000000006</v>
      </c>
    </row>
    <row r="195" spans="1:4" ht="14.4">
      <c r="A195" s="33">
        <v>71503</v>
      </c>
      <c r="B195" s="11" t="s">
        <v>251</v>
      </c>
      <c r="C195">
        <v>848.56199979458302</v>
      </c>
      <c r="D195">
        <v>554.16320000000007</v>
      </c>
    </row>
    <row r="196" spans="1:4" ht="14.4">
      <c r="A196" s="33">
        <v>31601</v>
      </c>
      <c r="B196" s="11" t="s">
        <v>163</v>
      </c>
      <c r="C196">
        <v>710.33839976206798</v>
      </c>
      <c r="D196">
        <v>556.13459999999998</v>
      </c>
    </row>
    <row r="197" spans="1:4" ht="14.4">
      <c r="A197" s="33">
        <v>10702</v>
      </c>
      <c r="B197" s="11" t="s">
        <v>20</v>
      </c>
      <c r="C197">
        <v>426.47000057652781</v>
      </c>
      <c r="D197">
        <v>572.08600000000001</v>
      </c>
    </row>
    <row r="198" spans="1:4" ht="14.4">
      <c r="A198" s="33">
        <v>71101</v>
      </c>
      <c r="B198" s="11" t="s">
        <v>293</v>
      </c>
      <c r="C198">
        <v>1512.4224004144069</v>
      </c>
      <c r="D198">
        <v>595.74200000000008</v>
      </c>
    </row>
    <row r="199" spans="1:4" ht="14.4">
      <c r="A199" s="33">
        <v>30803</v>
      </c>
      <c r="B199" s="11" t="s">
        <v>137</v>
      </c>
      <c r="C199">
        <v>637.27199969764433</v>
      </c>
      <c r="D199">
        <v>598.18920000000003</v>
      </c>
    </row>
    <row r="200" spans="1:4" ht="14.4">
      <c r="A200" s="33">
        <v>21301</v>
      </c>
      <c r="B200" s="11" t="s">
        <v>94</v>
      </c>
      <c r="C200">
        <v>534.5984009882078</v>
      </c>
      <c r="D200">
        <v>605.15199999880008</v>
      </c>
    </row>
    <row r="201" spans="1:4" ht="14.4">
      <c r="A201" s="33">
        <v>90201</v>
      </c>
      <c r="B201" s="11" t="s">
        <v>329</v>
      </c>
      <c r="C201">
        <v>365.92204449641332</v>
      </c>
      <c r="D201">
        <v>606.9692</v>
      </c>
    </row>
    <row r="202" spans="1:4" ht="14.4">
      <c r="A202" s="33">
        <v>30501</v>
      </c>
      <c r="B202" s="11" t="s">
        <v>128</v>
      </c>
      <c r="C202">
        <v>763.14059918075395</v>
      </c>
      <c r="D202">
        <v>635.71640000000002</v>
      </c>
    </row>
    <row r="203" spans="1:4" ht="14.4">
      <c r="A203" s="33">
        <v>71104</v>
      </c>
      <c r="B203" s="11" t="s">
        <v>296</v>
      </c>
      <c r="C203">
        <v>4073.7228011976258</v>
      </c>
      <c r="D203">
        <v>638.39960000000008</v>
      </c>
    </row>
    <row r="204" spans="1:4" ht="14.4">
      <c r="A204" s="33">
        <v>21203</v>
      </c>
      <c r="B204" s="11" t="s">
        <v>92</v>
      </c>
      <c r="C204">
        <v>600.42200040768682</v>
      </c>
      <c r="D204">
        <v>639.30320000000006</v>
      </c>
    </row>
    <row r="205" spans="1:4" ht="14.4">
      <c r="A205" s="33">
        <v>80802</v>
      </c>
      <c r="B205" s="11" t="s">
        <v>322</v>
      </c>
      <c r="C205">
        <v>92.751199846405541</v>
      </c>
      <c r="D205">
        <v>640.69119999999998</v>
      </c>
    </row>
    <row r="206" spans="1:4" ht="14.4">
      <c r="A206" s="33">
        <v>40102</v>
      </c>
      <c r="B206" s="11" t="s">
        <v>166</v>
      </c>
      <c r="C206">
        <v>503.14200034740981</v>
      </c>
      <c r="D206">
        <v>654.22840001323993</v>
      </c>
    </row>
    <row r="207" spans="1:4" ht="14.4">
      <c r="A207" s="33">
        <v>90303</v>
      </c>
      <c r="B207" s="11" t="s">
        <v>333</v>
      </c>
      <c r="C207">
        <v>289.52819981368521</v>
      </c>
      <c r="D207">
        <v>668.15620000000001</v>
      </c>
    </row>
    <row r="208" spans="1:4" ht="14.4">
      <c r="A208" s="33">
        <v>11001</v>
      </c>
      <c r="B208" s="11" t="s">
        <v>27</v>
      </c>
      <c r="C208">
        <v>292.69479975059704</v>
      </c>
      <c r="D208">
        <v>668.88480000000004</v>
      </c>
    </row>
    <row r="209" spans="1:4" ht="14.4">
      <c r="A209" s="33">
        <v>71501</v>
      </c>
      <c r="B209" s="11" t="s">
        <v>305</v>
      </c>
      <c r="C209">
        <v>2522.3927989569688</v>
      </c>
      <c r="D209">
        <v>672.70720000000006</v>
      </c>
    </row>
    <row r="210" spans="1:4" ht="14.4">
      <c r="A210" s="33">
        <v>51203</v>
      </c>
      <c r="B210" s="11" t="s">
        <v>234</v>
      </c>
      <c r="C210">
        <v>555.4444006383527</v>
      </c>
      <c r="D210">
        <v>705.41680000000008</v>
      </c>
    </row>
    <row r="211" spans="1:4" ht="14.4">
      <c r="A211" s="33">
        <v>90102</v>
      </c>
      <c r="B211" s="11" t="s">
        <v>326</v>
      </c>
      <c r="C211">
        <v>515.8996683370035</v>
      </c>
      <c r="D211">
        <v>744.32419999800004</v>
      </c>
    </row>
    <row r="212" spans="1:4" ht="14.4">
      <c r="A212" s="33">
        <v>21501</v>
      </c>
      <c r="B212" s="11" t="s">
        <v>103</v>
      </c>
      <c r="C212">
        <v>411.43959998226205</v>
      </c>
      <c r="D212">
        <v>744.38319999999999</v>
      </c>
    </row>
    <row r="213" spans="1:4" ht="14.4">
      <c r="A213" s="33">
        <v>21502</v>
      </c>
      <c r="B213" s="11" t="s">
        <v>104</v>
      </c>
      <c r="C213">
        <v>414.3540000453234</v>
      </c>
      <c r="D213">
        <v>754.45640000000003</v>
      </c>
    </row>
    <row r="214" spans="1:4" ht="14.4">
      <c r="A214" s="33">
        <v>10102</v>
      </c>
      <c r="B214" s="11" t="s">
        <v>2</v>
      </c>
      <c r="C214">
        <v>605.85800028244034</v>
      </c>
      <c r="D214">
        <v>755.55160000000001</v>
      </c>
    </row>
    <row r="215" spans="1:4" ht="14.4">
      <c r="A215" s="33">
        <v>20102</v>
      </c>
      <c r="B215" s="11" t="s">
        <v>31</v>
      </c>
      <c r="C215">
        <v>505.53000028651809</v>
      </c>
      <c r="D215">
        <v>777.60239999999999</v>
      </c>
    </row>
    <row r="216" spans="1:4" ht="14.4">
      <c r="A216" s="33">
        <v>21701</v>
      </c>
      <c r="B216" s="11" t="s">
        <v>107</v>
      </c>
      <c r="C216">
        <v>846.18999936180307</v>
      </c>
      <c r="D216">
        <v>784.16600000000005</v>
      </c>
    </row>
    <row r="217" spans="1:4" ht="14.4">
      <c r="A217" s="33">
        <v>80602</v>
      </c>
      <c r="B217" s="11" t="s">
        <v>318</v>
      </c>
      <c r="C217">
        <v>477.67080037443156</v>
      </c>
      <c r="D217">
        <v>789.79920000000004</v>
      </c>
    </row>
    <row r="218" spans="1:4" ht="14.4">
      <c r="A218" s="33">
        <v>50901</v>
      </c>
      <c r="B218" s="11" t="s">
        <v>224</v>
      </c>
      <c r="C218">
        <v>376.51040086137988</v>
      </c>
      <c r="D218">
        <v>790.96600000000001</v>
      </c>
    </row>
    <row r="219" spans="1:4" ht="14.4">
      <c r="A219" s="33">
        <v>70301</v>
      </c>
      <c r="B219" s="11" t="s">
        <v>259</v>
      </c>
      <c r="C219">
        <v>4053.9287984115708</v>
      </c>
      <c r="D219">
        <v>822.44360000000006</v>
      </c>
    </row>
    <row r="220" spans="1:4" ht="14.4">
      <c r="A220" s="33">
        <v>50601</v>
      </c>
      <c r="B220" s="11" t="s">
        <v>218</v>
      </c>
      <c r="C220">
        <v>754.77890790170693</v>
      </c>
      <c r="D220">
        <v>839.76200000000006</v>
      </c>
    </row>
    <row r="221" spans="1:4" ht="14.4">
      <c r="A221" s="33">
        <v>10701</v>
      </c>
      <c r="B221" s="11" t="s">
        <v>19</v>
      </c>
      <c r="C221">
        <v>654.80353143220589</v>
      </c>
      <c r="D221">
        <v>866.85200000000009</v>
      </c>
    </row>
    <row r="222" spans="1:4" ht="14.4">
      <c r="A222" s="33">
        <v>50201</v>
      </c>
      <c r="B222" s="11" t="s">
        <v>204</v>
      </c>
      <c r="C222">
        <v>570.42880036085285</v>
      </c>
      <c r="D222">
        <v>873.04840000000002</v>
      </c>
    </row>
    <row r="223" spans="1:4" ht="14.4">
      <c r="A223" s="33">
        <v>70603</v>
      </c>
      <c r="B223" s="11" t="s">
        <v>271</v>
      </c>
      <c r="C223">
        <v>767.23119990534713</v>
      </c>
      <c r="D223">
        <v>880.30240000000003</v>
      </c>
    </row>
    <row r="224" spans="1:4" ht="14.4">
      <c r="A224" s="33">
        <v>21003</v>
      </c>
      <c r="B224" s="11" t="s">
        <v>81</v>
      </c>
      <c r="C224">
        <v>726.33879930150329</v>
      </c>
      <c r="D224">
        <v>884.69680000000005</v>
      </c>
    </row>
    <row r="225" spans="1:4" ht="14.4">
      <c r="A225" s="33">
        <v>80702</v>
      </c>
      <c r="B225" s="11" t="s">
        <v>295</v>
      </c>
      <c r="C225">
        <v>513.50360058635101</v>
      </c>
      <c r="D225">
        <v>886.55720000000008</v>
      </c>
    </row>
    <row r="226" spans="1:4" ht="14.4">
      <c r="A226" s="33">
        <v>70706</v>
      </c>
      <c r="B226" s="11" t="s">
        <v>277</v>
      </c>
      <c r="C226">
        <v>5069.4868023625095</v>
      </c>
      <c r="D226">
        <v>906.91840000000002</v>
      </c>
    </row>
    <row r="227" spans="1:4" ht="14.4">
      <c r="A227" s="33">
        <v>20606</v>
      </c>
      <c r="B227" s="11" t="s">
        <v>62</v>
      </c>
      <c r="C227">
        <v>582.68680044005623</v>
      </c>
      <c r="D227">
        <v>913.14359999999999</v>
      </c>
    </row>
    <row r="228" spans="1:4" ht="14.4">
      <c r="A228" s="33">
        <v>31002</v>
      </c>
      <c r="B228" s="11" t="s">
        <v>144</v>
      </c>
      <c r="C228">
        <v>973.44199927217403</v>
      </c>
      <c r="D228">
        <v>920.90280000000007</v>
      </c>
    </row>
    <row r="229" spans="1:4" ht="14.4">
      <c r="A229" s="33">
        <v>50301</v>
      </c>
      <c r="B229" s="11" t="s">
        <v>208</v>
      </c>
      <c r="C229">
        <v>828.38719985779153</v>
      </c>
      <c r="D229">
        <v>955.6228000000001</v>
      </c>
    </row>
    <row r="230" spans="1:4" ht="14.4">
      <c r="A230" s="33">
        <v>80701</v>
      </c>
      <c r="B230" s="11" t="s">
        <v>319</v>
      </c>
      <c r="C230">
        <v>624.32599994580187</v>
      </c>
      <c r="D230">
        <v>994.2</v>
      </c>
    </row>
    <row r="231" spans="1:4" ht="14.4">
      <c r="A231" s="33">
        <v>30201</v>
      </c>
      <c r="B231" s="11" t="s">
        <v>118</v>
      </c>
      <c r="C231">
        <v>1023.822400203566</v>
      </c>
      <c r="D231">
        <v>1024.25</v>
      </c>
    </row>
    <row r="232" spans="1:4" ht="14.4">
      <c r="A232" s="33">
        <v>30403</v>
      </c>
      <c r="B232" s="11" t="s">
        <v>126</v>
      </c>
      <c r="C232">
        <v>1006.7013992858656</v>
      </c>
      <c r="D232">
        <v>1031.6822000016</v>
      </c>
    </row>
    <row r="233" spans="1:4" ht="14.4">
      <c r="A233" s="33">
        <v>31301</v>
      </c>
      <c r="B233" s="11" t="s">
        <v>153</v>
      </c>
      <c r="C233">
        <v>1009.3610000612475</v>
      </c>
      <c r="D233">
        <v>1045.1468</v>
      </c>
    </row>
    <row r="234" spans="1:4" ht="14.4">
      <c r="A234" s="33">
        <v>20701</v>
      </c>
      <c r="B234" s="11" t="s">
        <v>65</v>
      </c>
      <c r="C234">
        <v>428.61800038512018</v>
      </c>
      <c r="D234">
        <v>1046.2684000000002</v>
      </c>
    </row>
    <row r="235" spans="1:4" ht="14.4">
      <c r="A235" s="33">
        <v>70702</v>
      </c>
      <c r="B235" s="11" t="s">
        <v>273</v>
      </c>
      <c r="C235">
        <v>1168.6672006459703</v>
      </c>
      <c r="D235">
        <v>1073.3796</v>
      </c>
    </row>
    <row r="236" spans="1:4" ht="14.4">
      <c r="A236" s="33">
        <v>21202</v>
      </c>
      <c r="B236" s="11" t="s">
        <v>91</v>
      </c>
      <c r="C236">
        <v>674.11039957209869</v>
      </c>
      <c r="D236">
        <v>1076.53</v>
      </c>
    </row>
    <row r="237" spans="1:4" ht="14.4">
      <c r="A237" s="33">
        <v>31403</v>
      </c>
      <c r="B237" s="11" t="s">
        <v>159</v>
      </c>
      <c r="C237">
        <v>1244.2374006186706</v>
      </c>
      <c r="D237">
        <v>1085.2532000000001</v>
      </c>
    </row>
    <row r="238" spans="1:4" ht="14.4">
      <c r="A238" s="33">
        <v>60201</v>
      </c>
      <c r="B238" s="11" t="s">
        <v>243</v>
      </c>
      <c r="C238">
        <v>886.42080051776031</v>
      </c>
      <c r="D238">
        <v>1100.742</v>
      </c>
    </row>
    <row r="239" spans="1:4" ht="14.4">
      <c r="A239" s="33">
        <v>20601</v>
      </c>
      <c r="B239" s="11" t="s">
        <v>57</v>
      </c>
      <c r="C239">
        <v>730.49680047107859</v>
      </c>
      <c r="D239">
        <v>1139.8668</v>
      </c>
    </row>
    <row r="240" spans="1:4" ht="14.4">
      <c r="A240" s="33">
        <v>80301</v>
      </c>
      <c r="B240" s="11" t="s">
        <v>310</v>
      </c>
      <c r="C240">
        <v>771.01560029675625</v>
      </c>
      <c r="D240">
        <v>1171.6072000000001</v>
      </c>
    </row>
    <row r="241" spans="1:4" ht="14.4">
      <c r="A241" s="33">
        <v>20608</v>
      </c>
      <c r="B241" s="11" t="s">
        <v>64</v>
      </c>
      <c r="C241">
        <v>488.1815994659953</v>
      </c>
      <c r="D241">
        <v>1208.2604000000001</v>
      </c>
    </row>
    <row r="242" spans="1:4" ht="14.4">
      <c r="A242" s="33">
        <v>80303</v>
      </c>
      <c r="B242" s="11" t="s">
        <v>312</v>
      </c>
      <c r="C242">
        <v>583.28120019062533</v>
      </c>
      <c r="D242">
        <v>1214.8464000000001</v>
      </c>
    </row>
    <row r="243" spans="1:4" ht="14.4">
      <c r="A243" s="33">
        <v>60401</v>
      </c>
      <c r="B243" s="11" t="s">
        <v>248</v>
      </c>
      <c r="C243">
        <v>978.39639993695585</v>
      </c>
      <c r="D243">
        <v>1227.298</v>
      </c>
    </row>
    <row r="244" spans="1:4" ht="14.4">
      <c r="A244" s="33">
        <v>21305</v>
      </c>
      <c r="B244" s="11" t="s">
        <v>98</v>
      </c>
      <c r="C244">
        <v>991.11840008966624</v>
      </c>
      <c r="D244">
        <v>1245.4564</v>
      </c>
    </row>
    <row r="245" spans="1:4" ht="14.4">
      <c r="A245" s="33">
        <v>21102</v>
      </c>
      <c r="B245" s="11" t="s">
        <v>86</v>
      </c>
      <c r="C245">
        <v>785.1540000902545</v>
      </c>
      <c r="D245">
        <v>1311.8751999999999</v>
      </c>
    </row>
    <row r="246" spans="1:4" ht="14.4">
      <c r="A246" s="33">
        <v>70404</v>
      </c>
      <c r="B246" s="11" t="s">
        <v>265</v>
      </c>
      <c r="C246">
        <v>1079.5891993078812</v>
      </c>
      <c r="D246">
        <v>1316.0884000000001</v>
      </c>
    </row>
    <row r="247" spans="1:4" ht="14.4">
      <c r="A247" s="33">
        <v>30701</v>
      </c>
      <c r="B247" s="11" t="s">
        <v>132</v>
      </c>
      <c r="C247">
        <v>1391.4884006956668</v>
      </c>
      <c r="D247">
        <v>1316.4038000008002</v>
      </c>
    </row>
    <row r="248" spans="1:4" ht="14.4">
      <c r="A248" s="33">
        <v>80801</v>
      </c>
      <c r="B248" s="11" t="s">
        <v>321</v>
      </c>
      <c r="C248">
        <v>666.10759963720147</v>
      </c>
      <c r="D248">
        <v>1334.268</v>
      </c>
    </row>
    <row r="249" spans="1:4" ht="14.4">
      <c r="A249" s="33">
        <v>40201</v>
      </c>
      <c r="B249" s="11" t="s">
        <v>169</v>
      </c>
      <c r="C249">
        <v>1001.9832003167406</v>
      </c>
      <c r="D249">
        <v>1368.1136000000001</v>
      </c>
    </row>
    <row r="250" spans="1:4" ht="14.4">
      <c r="A250" s="33">
        <v>70501</v>
      </c>
      <c r="B250" s="11" t="s">
        <v>266</v>
      </c>
      <c r="C250">
        <v>2442.3400003577435</v>
      </c>
      <c r="D250">
        <v>1390.326</v>
      </c>
    </row>
    <row r="251" spans="1:4" ht="14.4">
      <c r="A251" s="33">
        <v>21402</v>
      </c>
      <c r="B251" s="11" t="s">
        <v>102</v>
      </c>
      <c r="C251">
        <v>1265.6444001304988</v>
      </c>
      <c r="D251">
        <v>1400.4848000000002</v>
      </c>
    </row>
    <row r="252" spans="1:4" ht="14.4">
      <c r="A252" s="33">
        <v>60302</v>
      </c>
      <c r="B252" s="11" t="s">
        <v>246</v>
      </c>
      <c r="C252">
        <v>1308.077200263815</v>
      </c>
      <c r="D252">
        <v>1423.5864000000001</v>
      </c>
    </row>
    <row r="253" spans="1:4" ht="14.4">
      <c r="A253" s="33">
        <v>20201</v>
      </c>
      <c r="B253" s="11" t="s">
        <v>35</v>
      </c>
      <c r="C253">
        <v>1521.7983996167868</v>
      </c>
      <c r="D253">
        <v>1509.4628</v>
      </c>
    </row>
    <row r="254" spans="1:4" ht="14.4">
      <c r="A254" s="33">
        <v>60601</v>
      </c>
      <c r="B254" s="11" t="s">
        <v>152</v>
      </c>
      <c r="C254">
        <v>1181.8108007578612</v>
      </c>
      <c r="D254">
        <v>1573.0128</v>
      </c>
    </row>
    <row r="255" spans="1:4" ht="14.4">
      <c r="A255" s="33">
        <v>71004</v>
      </c>
      <c r="B255" s="11" t="s">
        <v>291</v>
      </c>
      <c r="C255">
        <v>1330.7220013072529</v>
      </c>
      <c r="D255">
        <v>1630.7084</v>
      </c>
    </row>
    <row r="256" spans="1:4" ht="14.4">
      <c r="A256" s="33">
        <v>71002</v>
      </c>
      <c r="B256" s="11" t="s">
        <v>289</v>
      </c>
      <c r="C256">
        <v>1349.2783982481546</v>
      </c>
      <c r="D256">
        <v>1634.2724000000001</v>
      </c>
    </row>
    <row r="257" spans="1:4" ht="14.4">
      <c r="A257" s="33">
        <v>30801</v>
      </c>
      <c r="B257" s="11" t="s">
        <v>135</v>
      </c>
      <c r="C257">
        <v>1938.5803993453765</v>
      </c>
      <c r="D257">
        <v>1704.2345999959998</v>
      </c>
    </row>
    <row r="258" spans="1:4" ht="14.4">
      <c r="A258" s="33">
        <v>21101</v>
      </c>
      <c r="B258" s="11" t="s">
        <v>85</v>
      </c>
      <c r="C258">
        <v>1118.0655999604314</v>
      </c>
      <c r="D258">
        <v>1738.7208000000001</v>
      </c>
    </row>
    <row r="259" spans="1:4" ht="14.4">
      <c r="A259" s="33">
        <v>80501</v>
      </c>
      <c r="B259" s="11" t="s">
        <v>316</v>
      </c>
      <c r="C259">
        <v>1022.3691997038947</v>
      </c>
      <c r="D259">
        <v>1817.924</v>
      </c>
    </row>
    <row r="260" spans="1:4" ht="14.4">
      <c r="A260" s="33">
        <v>40701</v>
      </c>
      <c r="B260" s="11" t="s">
        <v>183</v>
      </c>
      <c r="C260">
        <v>2022.2219997054767</v>
      </c>
      <c r="D260">
        <v>1825.1752000000001</v>
      </c>
    </row>
    <row r="261" spans="1:4" ht="14.4">
      <c r="A261" s="33">
        <v>21104</v>
      </c>
      <c r="B261" s="11" t="s">
        <v>88</v>
      </c>
      <c r="C261">
        <v>1051.0248000221395</v>
      </c>
      <c r="D261">
        <v>1845.8212000000001</v>
      </c>
    </row>
    <row r="262" spans="1:4" ht="14.4">
      <c r="A262" s="33">
        <v>70202</v>
      </c>
      <c r="B262" s="11" t="s">
        <v>258</v>
      </c>
      <c r="C262">
        <v>1673.4016009527968</v>
      </c>
      <c r="D262">
        <v>1890.778</v>
      </c>
    </row>
    <row r="263" spans="1:4" ht="14.4">
      <c r="A263" s="33">
        <v>21401</v>
      </c>
      <c r="B263" s="11" t="s">
        <v>101</v>
      </c>
      <c r="C263">
        <v>1034.6852001764357</v>
      </c>
      <c r="D263">
        <v>1903.154</v>
      </c>
    </row>
    <row r="264" spans="1:4" ht="14.4">
      <c r="A264" s="33">
        <v>70602</v>
      </c>
      <c r="B264" s="11" t="s">
        <v>270</v>
      </c>
      <c r="C264">
        <v>1468.0776011409491</v>
      </c>
      <c r="D264">
        <v>1918.5808000000002</v>
      </c>
    </row>
    <row r="265" spans="1:4" ht="14.4">
      <c r="A265" s="33">
        <v>70401</v>
      </c>
      <c r="B265" s="11" t="s">
        <v>262</v>
      </c>
      <c r="C265">
        <v>1489.1304008324446</v>
      </c>
      <c r="D265">
        <v>2001.1128000000001</v>
      </c>
    </row>
    <row r="266" spans="1:4" ht="14.4">
      <c r="A266" s="33">
        <v>10501</v>
      </c>
      <c r="B266" s="11" t="s">
        <v>15</v>
      </c>
      <c r="C266">
        <v>1537.6972007547267</v>
      </c>
      <c r="D266">
        <v>2006.1464000000001</v>
      </c>
    </row>
    <row r="267" spans="1:4" ht="14.4">
      <c r="A267" s="33">
        <v>20602</v>
      </c>
      <c r="B267" s="11" t="s">
        <v>58</v>
      </c>
      <c r="C267">
        <v>1064.5443991509367</v>
      </c>
      <c r="D267">
        <v>2021.5516</v>
      </c>
    </row>
    <row r="268" spans="1:4" ht="14.4">
      <c r="A268" s="33">
        <v>71005</v>
      </c>
      <c r="B268" s="11" t="s">
        <v>292</v>
      </c>
      <c r="C268">
        <v>1560.8764029083734</v>
      </c>
      <c r="D268">
        <v>2039.0928000000001</v>
      </c>
    </row>
    <row r="269" spans="1:4" ht="14.4">
      <c r="A269" s="33">
        <v>50203</v>
      </c>
      <c r="B269" s="11" t="s">
        <v>206</v>
      </c>
      <c r="C269">
        <v>2024.2316005280927</v>
      </c>
      <c r="D269">
        <v>2103.5691999999999</v>
      </c>
    </row>
    <row r="270" spans="1:4" ht="14.4">
      <c r="A270" s="33">
        <v>31204</v>
      </c>
      <c r="B270" s="11" t="s">
        <v>150</v>
      </c>
      <c r="C270">
        <v>1520.476399515152</v>
      </c>
      <c r="D270">
        <v>2201.6424000000002</v>
      </c>
    </row>
    <row r="271" spans="1:4" ht="14.4">
      <c r="A271" s="33">
        <v>31602</v>
      </c>
      <c r="B271" s="11" t="s">
        <v>164</v>
      </c>
      <c r="C271">
        <v>1434.0604011356254</v>
      </c>
      <c r="D271">
        <v>2265.0712000000003</v>
      </c>
    </row>
    <row r="272" spans="1:4" ht="14.4">
      <c r="A272" s="33">
        <v>70402</v>
      </c>
      <c r="B272" s="11" t="s">
        <v>263</v>
      </c>
      <c r="C272">
        <v>2026.9212015839746</v>
      </c>
      <c r="D272">
        <v>2332.1824000000001</v>
      </c>
    </row>
    <row r="273" spans="1:4" ht="14.4">
      <c r="A273" s="33">
        <v>20607</v>
      </c>
      <c r="B273" s="11" t="s">
        <v>63</v>
      </c>
      <c r="C273">
        <v>606.73240068917721</v>
      </c>
      <c r="D273">
        <v>2480.8679999999999</v>
      </c>
    </row>
    <row r="274" spans="1:4" ht="14.4">
      <c r="A274" s="33">
        <v>20104</v>
      </c>
      <c r="B274" s="11" t="s">
        <v>33</v>
      </c>
      <c r="C274">
        <v>1326.2880020452469</v>
      </c>
      <c r="D274">
        <v>2508.9860000000003</v>
      </c>
    </row>
    <row r="275" spans="1:4" ht="14.4">
      <c r="A275" s="33">
        <v>51201</v>
      </c>
      <c r="B275" s="11" t="s">
        <v>232</v>
      </c>
      <c r="C275">
        <v>2297.4063163427249</v>
      </c>
      <c r="D275">
        <v>2510.5680000000002</v>
      </c>
    </row>
    <row r="276" spans="1:4" ht="14.4">
      <c r="A276" s="33">
        <v>80304</v>
      </c>
      <c r="B276" s="11" t="s">
        <v>313</v>
      </c>
      <c r="C276">
        <v>1720.823201517044</v>
      </c>
      <c r="D276">
        <v>2549.3376000000003</v>
      </c>
    </row>
    <row r="277" spans="1:4" ht="14.4">
      <c r="A277" s="33">
        <v>20103</v>
      </c>
      <c r="B277" s="11" t="s">
        <v>32</v>
      </c>
      <c r="C277">
        <v>1304.5948004044556</v>
      </c>
      <c r="D277">
        <v>2624.636</v>
      </c>
    </row>
    <row r="278" spans="1:4" ht="14.4">
      <c r="A278" s="33">
        <v>80401</v>
      </c>
      <c r="B278" s="11" t="s">
        <v>314</v>
      </c>
      <c r="C278">
        <v>1385.759200215158</v>
      </c>
      <c r="D278">
        <v>2682.8664000000003</v>
      </c>
    </row>
    <row r="279" spans="1:4" ht="14.4">
      <c r="A279" s="33">
        <v>60501</v>
      </c>
      <c r="B279" s="11" t="s">
        <v>250</v>
      </c>
      <c r="C279">
        <v>1979.1464005162247</v>
      </c>
      <c r="D279">
        <v>2738.384</v>
      </c>
    </row>
    <row r="280" spans="1:4" ht="14.4">
      <c r="A280" s="33">
        <v>31401</v>
      </c>
      <c r="B280" s="11" t="s">
        <v>157</v>
      </c>
      <c r="C280">
        <v>2870.3450011580458</v>
      </c>
      <c r="D280">
        <v>2771.1352000000002</v>
      </c>
    </row>
    <row r="281" spans="1:4" ht="14.4">
      <c r="A281" s="33">
        <v>51501</v>
      </c>
      <c r="B281" s="11" t="s">
        <v>240</v>
      </c>
      <c r="C281">
        <v>2503.5028011309264</v>
      </c>
      <c r="D281">
        <v>3062.1128000000003</v>
      </c>
    </row>
    <row r="282" spans="1:4" ht="14.4">
      <c r="A282" s="33">
        <v>70703</v>
      </c>
      <c r="B282" s="11" t="s">
        <v>274</v>
      </c>
      <c r="C282">
        <v>2153.3307961449605</v>
      </c>
      <c r="D282">
        <v>3225.5588000000002</v>
      </c>
    </row>
    <row r="283" spans="1:4" ht="14.4">
      <c r="A283" s="33">
        <v>71003</v>
      </c>
      <c r="B283" s="11" t="s">
        <v>290</v>
      </c>
      <c r="C283">
        <v>2837.4064000250664</v>
      </c>
      <c r="D283">
        <v>3257.6636000000003</v>
      </c>
    </row>
    <row r="284" spans="1:4" ht="14.4">
      <c r="A284" s="33">
        <v>21201</v>
      </c>
      <c r="B284" s="11" t="s">
        <v>90</v>
      </c>
      <c r="C284">
        <v>722.74920003711395</v>
      </c>
      <c r="D284">
        <v>3277.6716000000001</v>
      </c>
    </row>
    <row r="285" spans="1:4" ht="14.4">
      <c r="A285" s="33">
        <v>21105</v>
      </c>
      <c r="B285" s="11" t="s">
        <v>89</v>
      </c>
      <c r="C285">
        <v>1565.2888002790753</v>
      </c>
      <c r="D285">
        <v>3472.0548000000003</v>
      </c>
    </row>
    <row r="286" spans="1:4" ht="14.4">
      <c r="A286" s="33">
        <v>50801</v>
      </c>
      <c r="B286" s="11" t="s">
        <v>222</v>
      </c>
      <c r="C286">
        <v>3099.6467996943106</v>
      </c>
      <c r="D286">
        <v>3637.2892000000002</v>
      </c>
    </row>
    <row r="287" spans="1:4" ht="14.4">
      <c r="A287" s="33">
        <v>30902</v>
      </c>
      <c r="B287" s="11" t="s">
        <v>139</v>
      </c>
      <c r="C287">
        <v>3644.6146016635762</v>
      </c>
      <c r="D287">
        <v>3864.7812000000004</v>
      </c>
    </row>
    <row r="288" spans="1:4" ht="14.4">
      <c r="A288" s="33">
        <v>31206</v>
      </c>
      <c r="B288" s="11" t="s">
        <v>152</v>
      </c>
      <c r="C288">
        <v>2799.6372006147526</v>
      </c>
      <c r="D288">
        <v>3870.7464</v>
      </c>
    </row>
    <row r="289" spans="1:4" ht="14.4">
      <c r="A289" s="33">
        <v>70601</v>
      </c>
      <c r="B289" s="11" t="s">
        <v>269</v>
      </c>
      <c r="C289">
        <v>3122.051996723972</v>
      </c>
      <c r="D289">
        <v>3875.8812000000003</v>
      </c>
    </row>
    <row r="290" spans="1:4" ht="14.4">
      <c r="A290" s="33">
        <v>80302</v>
      </c>
      <c r="B290" s="11" t="s">
        <v>311</v>
      </c>
      <c r="C290">
        <v>2632.8572004570483</v>
      </c>
      <c r="D290">
        <v>3996.9872</v>
      </c>
    </row>
    <row r="291" spans="1:4" ht="14.4">
      <c r="A291" s="33">
        <v>22001</v>
      </c>
      <c r="B291" s="11" t="s">
        <v>115</v>
      </c>
      <c r="C291">
        <v>1924.8847993263507</v>
      </c>
      <c r="D291">
        <v>4043.212</v>
      </c>
    </row>
    <row r="292" spans="1:4" ht="14.4">
      <c r="A292" s="33">
        <v>31205</v>
      </c>
      <c r="B292" s="11" t="s">
        <v>151</v>
      </c>
      <c r="C292">
        <v>3459.6660015984776</v>
      </c>
      <c r="D292">
        <v>4778.2484000000004</v>
      </c>
    </row>
    <row r="293" spans="1:4" ht="14.4">
      <c r="A293" s="33">
        <v>30904</v>
      </c>
      <c r="B293" s="11" t="s">
        <v>141</v>
      </c>
      <c r="C293">
        <v>5064.7319999357587</v>
      </c>
      <c r="D293">
        <v>5610.7094000019997</v>
      </c>
    </row>
    <row r="294" spans="1:4" ht="14.4">
      <c r="A294" s="33">
        <v>60202</v>
      </c>
      <c r="B294" s="11" t="s">
        <v>244</v>
      </c>
      <c r="C294">
        <v>4343.6503990971869</v>
      </c>
      <c r="D294">
        <v>5784.9832000000006</v>
      </c>
    </row>
    <row r="295" spans="1:4" ht="14.4">
      <c r="A295" s="33">
        <v>31003</v>
      </c>
      <c r="B295" s="11" t="s">
        <v>145</v>
      </c>
      <c r="C295">
        <v>4144.4786002780902</v>
      </c>
      <c r="D295">
        <v>6387.8208000000004</v>
      </c>
    </row>
    <row r="296" spans="1:4" ht="14.4">
      <c r="A296" s="33">
        <v>60303</v>
      </c>
      <c r="B296" s="11" t="s">
        <v>247</v>
      </c>
      <c r="C296">
        <v>6034.6023965768745</v>
      </c>
      <c r="D296">
        <v>6922.3083999999999</v>
      </c>
    </row>
    <row r="297" spans="1:4" ht="14.4">
      <c r="A297" s="33">
        <v>80202</v>
      </c>
      <c r="B297" s="11" t="s">
        <v>309</v>
      </c>
      <c r="C297">
        <v>4584.1015973605681</v>
      </c>
      <c r="D297">
        <v>6923.5744000000004</v>
      </c>
    </row>
    <row r="298" spans="1:4" ht="14.4">
      <c r="A298" s="33">
        <v>70403</v>
      </c>
      <c r="B298" s="11" t="s">
        <v>264</v>
      </c>
      <c r="C298">
        <v>5390.3279958848434</v>
      </c>
      <c r="D298">
        <v>7434.4092000000001</v>
      </c>
    </row>
    <row r="299" spans="1:4" ht="14.4">
      <c r="A299" s="33">
        <v>70105</v>
      </c>
      <c r="B299" s="11" t="s">
        <v>256</v>
      </c>
      <c r="C299">
        <v>5793.2275971716153</v>
      </c>
      <c r="D299">
        <v>7745.4800000000005</v>
      </c>
    </row>
    <row r="300" spans="1:4" ht="14.4">
      <c r="A300" s="33">
        <v>70502</v>
      </c>
      <c r="B300" s="11" t="s">
        <v>267</v>
      </c>
      <c r="C300">
        <v>4956.7176017485117</v>
      </c>
      <c r="D300">
        <v>8061.1240000000007</v>
      </c>
    </row>
    <row r="301" spans="1:4" ht="14.4">
      <c r="A301" s="33">
        <v>30905</v>
      </c>
      <c r="B301" s="11" t="s">
        <v>142</v>
      </c>
      <c r="C301">
        <v>8439.8431982889451</v>
      </c>
      <c r="D301">
        <v>8837.0105999999996</v>
      </c>
    </row>
    <row r="302" spans="1:4" ht="14.4">
      <c r="A302" s="33">
        <v>20801</v>
      </c>
      <c r="B302" s="11" t="s">
        <v>67</v>
      </c>
      <c r="C302">
        <v>6163.7176021878458</v>
      </c>
      <c r="D302">
        <v>8997.7608</v>
      </c>
    </row>
    <row r="303" spans="1:4" ht="14.4">
      <c r="A303" s="33">
        <v>30903</v>
      </c>
      <c r="B303" s="11" t="s">
        <v>140</v>
      </c>
      <c r="C303">
        <v>8427.2228033991796</v>
      </c>
      <c r="D303">
        <v>9046.9181999920002</v>
      </c>
    </row>
    <row r="304" spans="1:4" ht="14.4">
      <c r="A304" s="33">
        <v>80201</v>
      </c>
      <c r="B304" s="11" t="s">
        <v>308</v>
      </c>
      <c r="C304">
        <v>8135.2484030283422</v>
      </c>
      <c r="D304">
        <v>11978.888000000001</v>
      </c>
    </row>
    <row r="305" spans="1:4" ht="14.4">
      <c r="A305" s="33">
        <v>90101</v>
      </c>
      <c r="B305" s="11" t="s">
        <v>325</v>
      </c>
      <c r="C305">
        <v>9510.7152978556915</v>
      </c>
      <c r="D305">
        <v>12636.037000056001</v>
      </c>
    </row>
    <row r="306" spans="1:4" ht="14.4">
      <c r="A306" s="33">
        <v>70103</v>
      </c>
      <c r="B306" s="11" t="s">
        <v>254</v>
      </c>
      <c r="C306">
        <v>6767.4111989280736</v>
      </c>
      <c r="D306">
        <v>13277.793600000001</v>
      </c>
    </row>
    <row r="307" spans="1:4" ht="14.4">
      <c r="A307" s="33">
        <v>60301</v>
      </c>
      <c r="B307" s="11" t="s">
        <v>245</v>
      </c>
      <c r="C307">
        <v>11039.733200804347</v>
      </c>
      <c r="D307">
        <v>14131.990400000001</v>
      </c>
    </row>
    <row r="308" spans="1:4" ht="14.4">
      <c r="A308" s="33">
        <v>70102</v>
      </c>
      <c r="B308" s="11" t="s">
        <v>253</v>
      </c>
      <c r="C308">
        <v>8492.776406543393</v>
      </c>
      <c r="D308">
        <v>14255.900000000001</v>
      </c>
    </row>
    <row r="309" spans="1:4" ht="14.4">
      <c r="A309" s="33">
        <v>30901</v>
      </c>
      <c r="B309" s="11" t="s">
        <v>138</v>
      </c>
      <c r="C309">
        <v>19491.994399198073</v>
      </c>
      <c r="D309">
        <v>19941.457400002881</v>
      </c>
    </row>
    <row r="310" spans="1:4" ht="14.4">
      <c r="A310" s="33">
        <v>31001</v>
      </c>
      <c r="B310" s="11" t="s">
        <v>143</v>
      </c>
      <c r="C310">
        <v>20067.264194253828</v>
      </c>
      <c r="D310">
        <v>21534.537800000799</v>
      </c>
    </row>
    <row r="311" spans="1:4" ht="14.4">
      <c r="A311" s="33">
        <v>50101</v>
      </c>
      <c r="B311" s="11" t="s">
        <v>200</v>
      </c>
      <c r="C311">
        <v>17351.006800562314</v>
      </c>
      <c r="D311">
        <v>21596.828000000001</v>
      </c>
    </row>
    <row r="312" spans="1:4" ht="14.4">
      <c r="A312" s="33">
        <v>71001</v>
      </c>
      <c r="B312" s="11" t="s">
        <v>288</v>
      </c>
      <c r="C312">
        <v>19936.310395302935</v>
      </c>
      <c r="D312">
        <v>24613.956400000003</v>
      </c>
    </row>
    <row r="313" spans="1:4" ht="14.4">
      <c r="A313" s="33">
        <v>70104</v>
      </c>
      <c r="B313" s="11" t="s">
        <v>255</v>
      </c>
      <c r="C313">
        <v>17089.683208433056</v>
      </c>
      <c r="D313">
        <v>26275.011600000002</v>
      </c>
    </row>
    <row r="314" spans="1:4" ht="14.4">
      <c r="A314" s="33">
        <v>70201</v>
      </c>
      <c r="B314" s="11" t="s">
        <v>257</v>
      </c>
      <c r="C314">
        <v>18205.719596956791</v>
      </c>
      <c r="D314">
        <v>29750.446</v>
      </c>
    </row>
    <row r="315" spans="1:4" ht="14.4">
      <c r="A315" s="33">
        <v>80101</v>
      </c>
      <c r="B315" s="11" t="s">
        <v>307</v>
      </c>
      <c r="C315">
        <v>20703.96360231904</v>
      </c>
      <c r="D315">
        <v>30965.644400000801</v>
      </c>
    </row>
    <row r="316" spans="1:4" ht="14.4">
      <c r="A316" s="33">
        <v>60101</v>
      </c>
      <c r="B316" s="11" t="s">
        <v>242</v>
      </c>
      <c r="C316">
        <v>29103.294391629017</v>
      </c>
      <c r="D316">
        <v>32824.994400000003</v>
      </c>
    </row>
    <row r="317" spans="1:4" ht="14.4">
      <c r="A317" s="33">
        <v>40101</v>
      </c>
      <c r="B317" s="11" t="s">
        <v>165</v>
      </c>
      <c r="C317">
        <v>34163.265201009621</v>
      </c>
      <c r="D317">
        <v>37726.839599999999</v>
      </c>
    </row>
    <row r="318" spans="1:4" ht="14.4">
      <c r="A318" s="33">
        <v>10101</v>
      </c>
      <c r="B318" s="11" t="s">
        <v>1</v>
      </c>
      <c r="C318">
        <v>34887.524412655643</v>
      </c>
      <c r="D318">
        <v>40694.538400000005</v>
      </c>
    </row>
    <row r="319" spans="1:4" ht="14.4">
      <c r="A319" s="33">
        <v>30101</v>
      </c>
      <c r="B319" s="11" t="s">
        <v>117</v>
      </c>
      <c r="C319">
        <v>111556.47440174525</v>
      </c>
      <c r="D319">
        <v>111415.13780003363</v>
      </c>
    </row>
    <row r="320" spans="1:4" ht="14.4">
      <c r="A320" s="33">
        <v>20105</v>
      </c>
      <c r="B320" s="11" t="s">
        <v>34</v>
      </c>
      <c r="C320">
        <v>97698.670396790301</v>
      </c>
      <c r="D320">
        <v>120175.708</v>
      </c>
    </row>
    <row r="321" spans="1:4" ht="14.4">
      <c r="A321" s="33">
        <v>20101</v>
      </c>
      <c r="B321" s="11" t="s">
        <v>30</v>
      </c>
      <c r="C321">
        <v>176076.34252516122</v>
      </c>
      <c r="D321">
        <v>173339.72</v>
      </c>
    </row>
    <row r="322" spans="1:4" ht="14.4">
      <c r="A322" s="33">
        <v>70101</v>
      </c>
      <c r="B322" s="11" t="s">
        <v>252</v>
      </c>
      <c r="C322">
        <v>389895.28196830262</v>
      </c>
      <c r="D322">
        <v>467403.68080000003</v>
      </c>
    </row>
    <row r="323" spans="1:4" ht="14.4">
      <c r="A323" s="33">
        <v>20306</v>
      </c>
      <c r="B323" s="11" t="s">
        <v>46</v>
      </c>
      <c r="C323">
        <v>22.308400090377408</v>
      </c>
    </row>
    <row r="324" spans="1:4" ht="14.4">
      <c r="A324" s="33">
        <v>90502</v>
      </c>
      <c r="B324" s="11" t="s">
        <v>337</v>
      </c>
      <c r="C324">
        <v>30.839200059688093</v>
      </c>
    </row>
    <row r="325" spans="1:4" ht="14.4">
      <c r="A325" s="33">
        <v>90501</v>
      </c>
      <c r="B325" s="11" t="s">
        <v>336</v>
      </c>
      <c r="C325">
        <v>38.734800019853566</v>
      </c>
    </row>
    <row r="326" spans="1:4" ht="14.4">
      <c r="A326" s="33">
        <v>20305</v>
      </c>
      <c r="B326" s="11" t="s">
        <v>45</v>
      </c>
      <c r="C326">
        <v>46.517599985501548</v>
      </c>
    </row>
    <row r="327" spans="1:4" ht="14.4">
      <c r="A327" s="33">
        <v>20805</v>
      </c>
      <c r="B327" s="11" t="s">
        <v>71</v>
      </c>
      <c r="C327">
        <v>67.122399770356722</v>
      </c>
    </row>
    <row r="328" spans="1:4" ht="14.4">
      <c r="A328" s="33">
        <v>90301</v>
      </c>
      <c r="B328" s="11" t="s">
        <v>331</v>
      </c>
      <c r="C328">
        <v>74.412000069861861</v>
      </c>
    </row>
    <row r="329" spans="1:4" ht="14.4">
      <c r="A329" s="33">
        <v>21204</v>
      </c>
      <c r="B329" s="11" t="s">
        <v>93</v>
      </c>
      <c r="C329">
        <v>148.07679968286305</v>
      </c>
    </row>
    <row r="330" spans="1:4" ht="14.4">
      <c r="A330" s="33">
        <v>20806</v>
      </c>
      <c r="B330" s="11" t="s">
        <v>72</v>
      </c>
      <c r="C330">
        <v>160.55760012386739</v>
      </c>
    </row>
    <row r="331" spans="1:4" ht="14.4">
      <c r="A331" s="33">
        <v>10301</v>
      </c>
      <c r="B331" s="11" t="s">
        <v>6</v>
      </c>
      <c r="C331">
        <v>218.99600046251865</v>
      </c>
    </row>
    <row r="332" spans="1:4" ht="14.4">
      <c r="A332" s="33">
        <v>30702</v>
      </c>
      <c r="B332" s="11" t="s">
        <v>133</v>
      </c>
      <c r="C332">
        <v>454.30760000507871</v>
      </c>
    </row>
    <row r="333" spans="1:4" ht="14.4">
      <c r="A333" s="33">
        <v>50802</v>
      </c>
      <c r="B333" s="11" t="s">
        <v>223</v>
      </c>
      <c r="C333">
        <v>621.97039991562076</v>
      </c>
    </row>
    <row r="334" spans="1:4" ht="14.4">
      <c r="A334" s="33">
        <v>71106</v>
      </c>
      <c r="B334" s="11" t="s">
        <v>298</v>
      </c>
      <c r="C334">
        <v>3843.1832024845671</v>
      </c>
    </row>
    <row r="335" spans="1:4" ht="14.4">
      <c r="A335" s="33">
        <v>31304</v>
      </c>
      <c r="B335" s="11" t="s">
        <v>156</v>
      </c>
    </row>
    <row r="336" spans="1:4" ht="14.4">
      <c r="A336" s="33">
        <v>31405</v>
      </c>
      <c r="B336" s="11" t="s">
        <v>161</v>
      </c>
    </row>
    <row r="337" spans="1:24" ht="14.4">
      <c r="A337" s="33">
        <v>50204</v>
      </c>
      <c r="B337" s="11" t="s">
        <v>207</v>
      </c>
    </row>
    <row r="338" spans="1:24" ht="14.4">
      <c r="A338" s="33">
        <v>51204</v>
      </c>
      <c r="B338" s="11" t="s">
        <v>235</v>
      </c>
    </row>
    <row r="339" spans="1:24" ht="14.4">
      <c r="A339" s="33">
        <v>70805</v>
      </c>
      <c r="B339" s="11" t="s">
        <v>283</v>
      </c>
    </row>
    <row r="340" spans="1:24" ht="14.4">
      <c r="A340" s="33">
        <v>80703</v>
      </c>
      <c r="B340" s="11" t="s">
        <v>320</v>
      </c>
    </row>
    <row r="341" spans="1:24" ht="14.4">
      <c r="A341" s="33">
        <v>80901</v>
      </c>
      <c r="B341" s="11" t="s">
        <v>324</v>
      </c>
    </row>
    <row r="342" spans="1:24" ht="14.4">
      <c r="A342" s="33">
        <v>90103</v>
      </c>
      <c r="B342" s="11" t="s">
        <v>327</v>
      </c>
    </row>
    <row r="343" spans="1:24" ht="14.4">
      <c r="A343" s="33">
        <v>90402</v>
      </c>
      <c r="B343" s="11" t="s">
        <v>335</v>
      </c>
    </row>
    <row r="344" spans="1:24" ht="14.4">
      <c r="A344" s="33">
        <v>90503</v>
      </c>
      <c r="B344" s="11" t="s">
        <v>338</v>
      </c>
    </row>
    <row r="345" spans="1:24" ht="13.2">
      <c r="A345" s="1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2">
      <c r="A346" s="1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2">
      <c r="A347" s="1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4.4">
      <c r="A348" s="1"/>
      <c r="B348" s="14"/>
    </row>
    <row r="349" spans="1:24" ht="14.4">
      <c r="A349" s="1"/>
      <c r="B349" s="14"/>
    </row>
    <row r="350" spans="1:24" ht="13.2">
      <c r="A350" s="1"/>
      <c r="B350" s="13"/>
    </row>
    <row r="351" spans="1:24" ht="14.4">
      <c r="A351" s="1"/>
      <c r="B351" s="14"/>
    </row>
    <row r="352" spans="1:24" ht="13.2">
      <c r="A352" s="1"/>
      <c r="B352" s="13"/>
    </row>
    <row r="353" spans="1:2" ht="13.2">
      <c r="A353" s="1"/>
      <c r="B353" s="13"/>
    </row>
    <row r="354" spans="1:2" ht="13.2">
      <c r="A354" s="1"/>
      <c r="B354" s="13"/>
    </row>
    <row r="355" spans="1:2" ht="13.2">
      <c r="A355" s="1"/>
      <c r="B355" s="13"/>
    </row>
    <row r="356" spans="1:2" ht="13.2">
      <c r="A356" s="1"/>
      <c r="B356" s="13"/>
    </row>
    <row r="357" spans="1:2" ht="13.2">
      <c r="A357" s="1"/>
      <c r="B357" s="13"/>
    </row>
    <row r="358" spans="1:2" ht="13.2">
      <c r="A358" s="1"/>
      <c r="B358" s="13"/>
    </row>
    <row r="359" spans="1:2" ht="13.2">
      <c r="A359" s="1"/>
      <c r="B359" s="13"/>
    </row>
    <row r="360" spans="1:2" ht="13.2">
      <c r="A360" s="1"/>
      <c r="B360" s="13"/>
    </row>
    <row r="361" spans="1:2" ht="13.2">
      <c r="A361" s="1"/>
      <c r="B361" s="13"/>
    </row>
    <row r="362" spans="1:2" ht="13.2">
      <c r="A362" s="1"/>
      <c r="B362" s="13"/>
    </row>
    <row r="363" spans="1:2" ht="13.2">
      <c r="A363" s="1"/>
      <c r="B363" s="13"/>
    </row>
    <row r="364" spans="1:2" ht="13.2">
      <c r="A364" s="1"/>
      <c r="B364" s="13"/>
    </row>
    <row r="365" spans="1:2" ht="13.2">
      <c r="A365" s="1"/>
      <c r="B365" s="13"/>
    </row>
    <row r="366" spans="1:2" ht="13.2">
      <c r="A366" s="1"/>
      <c r="B366" s="13"/>
    </row>
    <row r="367" spans="1:2" ht="13.2">
      <c r="A367" s="1"/>
      <c r="B367" s="13"/>
    </row>
    <row r="368" spans="1:2" ht="13.2">
      <c r="A368" s="1"/>
      <c r="B368" s="13"/>
    </row>
    <row r="369" spans="1:2" ht="13.2">
      <c r="A369" s="1"/>
      <c r="B369" s="13"/>
    </row>
    <row r="370" spans="1:2" ht="13.2">
      <c r="A370" s="1"/>
      <c r="B370" s="13"/>
    </row>
    <row r="371" spans="1:2" ht="13.2">
      <c r="A371" s="1"/>
      <c r="B371" s="13"/>
    </row>
    <row r="372" spans="1:2" ht="13.2">
      <c r="A372" s="1"/>
      <c r="B372" s="13"/>
    </row>
    <row r="373" spans="1:2" ht="13.2">
      <c r="A373" s="1"/>
      <c r="B373" s="13"/>
    </row>
    <row r="374" spans="1:2" ht="13.2">
      <c r="A374" s="1"/>
      <c r="B374" s="13"/>
    </row>
    <row r="375" spans="1:2" ht="13.2">
      <c r="A375" s="1"/>
      <c r="B375" s="13"/>
    </row>
    <row r="376" spans="1:2" ht="13.2">
      <c r="A376" s="1"/>
      <c r="B376" s="13"/>
    </row>
    <row r="377" spans="1:2" ht="13.2">
      <c r="A377" s="1"/>
      <c r="B377" s="13"/>
    </row>
    <row r="378" spans="1:2" ht="13.2">
      <c r="A378" s="1"/>
      <c r="B378" s="13"/>
    </row>
    <row r="379" spans="1:2" ht="13.2">
      <c r="A379" s="1"/>
      <c r="B379" s="13"/>
    </row>
    <row r="380" spans="1:2" ht="13.2">
      <c r="A380" s="1"/>
      <c r="B380" s="13"/>
    </row>
    <row r="381" spans="1:2" ht="13.2">
      <c r="A381" s="1"/>
      <c r="B381" s="13"/>
    </row>
    <row r="382" spans="1:2" ht="13.2">
      <c r="A382" s="1"/>
      <c r="B382" s="13"/>
    </row>
    <row r="383" spans="1:2" ht="13.2">
      <c r="A383" s="1"/>
      <c r="B383" s="13"/>
    </row>
    <row r="384" spans="1:2" ht="13.2">
      <c r="A384" s="1"/>
      <c r="B384" s="13"/>
    </row>
    <row r="385" spans="1:2" ht="13.2">
      <c r="A385" s="1"/>
      <c r="B385" s="13"/>
    </row>
    <row r="386" spans="1:2" ht="13.2">
      <c r="A386" s="1"/>
      <c r="B386" s="13"/>
    </row>
    <row r="387" spans="1:2" ht="13.2">
      <c r="A387" s="1"/>
      <c r="B387" s="13"/>
    </row>
    <row r="388" spans="1:2" ht="13.2">
      <c r="A388" s="1"/>
      <c r="B388" s="13"/>
    </row>
    <row r="389" spans="1:2" ht="13.2">
      <c r="A389" s="1"/>
      <c r="B389" s="13"/>
    </row>
    <row r="390" spans="1:2" ht="13.2">
      <c r="A390" s="1"/>
      <c r="B390" s="13"/>
    </row>
    <row r="391" spans="1:2" ht="13.2">
      <c r="A391" s="1"/>
      <c r="B391" s="13"/>
    </row>
    <row r="392" spans="1:2" ht="13.2">
      <c r="A392" s="1"/>
      <c r="B392" s="13"/>
    </row>
    <row r="393" spans="1:2" ht="13.2">
      <c r="A393" s="1"/>
      <c r="B393" s="13"/>
    </row>
    <row r="394" spans="1:2" ht="13.2">
      <c r="A394" s="1"/>
      <c r="B394" s="13"/>
    </row>
    <row r="395" spans="1:2" ht="13.2">
      <c r="A395" s="1"/>
      <c r="B395" s="13"/>
    </row>
    <row r="396" spans="1:2" ht="13.2">
      <c r="A396" s="1"/>
      <c r="B396" s="13"/>
    </row>
    <row r="397" spans="1:2" ht="13.2">
      <c r="A397" s="1"/>
      <c r="B397" s="13"/>
    </row>
    <row r="398" spans="1:2" ht="13.2">
      <c r="A398" s="1"/>
      <c r="B398" s="13"/>
    </row>
    <row r="399" spans="1:2" ht="13.2">
      <c r="A399" s="1"/>
      <c r="B399" s="13"/>
    </row>
    <row r="400" spans="1:2" ht="13.2">
      <c r="A400" s="1"/>
      <c r="B400" s="13"/>
    </row>
    <row r="401" spans="1:2" ht="13.2">
      <c r="A401" s="1"/>
      <c r="B401" s="13"/>
    </row>
    <row r="402" spans="1:2" ht="13.2">
      <c r="A402" s="1"/>
      <c r="B402" s="13"/>
    </row>
    <row r="403" spans="1:2" ht="13.2">
      <c r="A403" s="1"/>
      <c r="B403" s="13"/>
    </row>
    <row r="404" spans="1:2" ht="13.2">
      <c r="A404" s="1"/>
      <c r="B404" s="13"/>
    </row>
    <row r="405" spans="1:2" ht="13.2">
      <c r="A405" s="1"/>
      <c r="B405" s="13"/>
    </row>
    <row r="406" spans="1:2" ht="13.2">
      <c r="A406" s="1"/>
      <c r="B406" s="13"/>
    </row>
    <row r="407" spans="1:2" ht="13.2">
      <c r="A407" s="1"/>
      <c r="B407" s="13"/>
    </row>
    <row r="408" spans="1:2" ht="13.2">
      <c r="A408" s="1"/>
      <c r="B408" s="13"/>
    </row>
    <row r="409" spans="1:2" ht="13.2">
      <c r="A409" s="1"/>
      <c r="B409" s="13"/>
    </row>
    <row r="410" spans="1:2" ht="13.2">
      <c r="A410" s="1"/>
      <c r="B410" s="13"/>
    </row>
    <row r="411" spans="1:2" ht="13.2">
      <c r="A411" s="1"/>
      <c r="B411" s="13"/>
    </row>
    <row r="412" spans="1:2" ht="13.2">
      <c r="A412" s="1"/>
      <c r="B412" s="13"/>
    </row>
    <row r="413" spans="1:2" ht="13.2">
      <c r="A413" s="1"/>
      <c r="B413" s="13"/>
    </row>
    <row r="414" spans="1:2" ht="13.2">
      <c r="A414" s="1"/>
      <c r="B414" s="13"/>
    </row>
    <row r="415" spans="1:2" ht="13.2">
      <c r="A415" s="1"/>
      <c r="B415" s="13"/>
    </row>
    <row r="416" spans="1:2" ht="13.2">
      <c r="A416" s="1"/>
      <c r="B416" s="13"/>
    </row>
    <row r="417" spans="1:2" ht="13.2">
      <c r="A417" s="1"/>
      <c r="B417" s="13"/>
    </row>
    <row r="418" spans="1:2" ht="13.2">
      <c r="A418" s="1"/>
      <c r="B418" s="13"/>
    </row>
    <row r="419" spans="1:2" ht="13.2">
      <c r="A419" s="1"/>
      <c r="B419" s="13"/>
    </row>
    <row r="420" spans="1:2" ht="13.2">
      <c r="A420" s="1"/>
      <c r="B420" s="13"/>
    </row>
    <row r="421" spans="1:2" ht="13.2">
      <c r="A421" s="1"/>
      <c r="B421" s="13"/>
    </row>
    <row r="422" spans="1:2" ht="13.2">
      <c r="A422" s="1"/>
      <c r="B422" s="13"/>
    </row>
    <row r="423" spans="1:2" ht="13.2">
      <c r="A423" s="1"/>
      <c r="B423" s="13"/>
    </row>
    <row r="424" spans="1:2" ht="13.2">
      <c r="A424" s="1"/>
      <c r="B424" s="13"/>
    </row>
    <row r="425" spans="1:2" ht="13.2">
      <c r="A425" s="1"/>
      <c r="B425" s="13"/>
    </row>
    <row r="426" spans="1:2" ht="13.2">
      <c r="A426" s="1"/>
      <c r="B426" s="13"/>
    </row>
    <row r="427" spans="1:2" ht="13.2">
      <c r="A427" s="1"/>
      <c r="B427" s="13"/>
    </row>
    <row r="428" spans="1:2" ht="13.2">
      <c r="A428" s="1"/>
      <c r="B428" s="13"/>
    </row>
    <row r="429" spans="1:2" ht="13.2">
      <c r="A429" s="1"/>
      <c r="B429" s="13"/>
    </row>
    <row r="430" spans="1:2" ht="13.2">
      <c r="A430" s="1"/>
      <c r="B430" s="13"/>
    </row>
    <row r="431" spans="1:2" ht="13.2">
      <c r="A431" s="1"/>
      <c r="B431" s="13"/>
    </row>
    <row r="432" spans="1:2" ht="13.2">
      <c r="A432" s="1"/>
      <c r="B432" s="13"/>
    </row>
    <row r="433" spans="1:2" ht="13.2">
      <c r="A433" s="1"/>
      <c r="B433" s="13"/>
    </row>
    <row r="434" spans="1:2" ht="13.2">
      <c r="A434" s="1"/>
      <c r="B434" s="13"/>
    </row>
    <row r="435" spans="1:2" ht="13.2">
      <c r="A435" s="1"/>
      <c r="B435" s="13"/>
    </row>
    <row r="436" spans="1:2" ht="13.2">
      <c r="A436" s="1"/>
      <c r="B436" s="13"/>
    </row>
    <row r="437" spans="1:2" ht="13.2">
      <c r="A437" s="1"/>
      <c r="B437" s="13"/>
    </row>
    <row r="438" spans="1:2" ht="13.2">
      <c r="A438" s="1"/>
      <c r="B438" s="13"/>
    </row>
    <row r="439" spans="1:2" ht="13.2">
      <c r="A439" s="1"/>
      <c r="B439" s="13"/>
    </row>
    <row r="440" spans="1:2" ht="13.2">
      <c r="A440" s="1"/>
      <c r="B440" s="13"/>
    </row>
    <row r="441" spans="1:2" ht="13.2">
      <c r="A441" s="1"/>
      <c r="B441" s="13"/>
    </row>
    <row r="442" spans="1:2" ht="13.2">
      <c r="A442" s="1"/>
      <c r="B442" s="13"/>
    </row>
    <row r="443" spans="1:2" ht="13.2">
      <c r="A443" s="1"/>
      <c r="B443" s="13"/>
    </row>
    <row r="444" spans="1:2" ht="13.2">
      <c r="A444" s="1"/>
      <c r="B444" s="13"/>
    </row>
    <row r="445" spans="1:2" ht="13.2">
      <c r="A445" s="1"/>
      <c r="B445" s="13"/>
    </row>
    <row r="446" spans="1:2" ht="13.2">
      <c r="A446" s="1"/>
      <c r="B446" s="13"/>
    </row>
    <row r="447" spans="1:2" ht="13.2">
      <c r="A447" s="1"/>
      <c r="B447" s="13"/>
    </row>
    <row r="448" spans="1:2" ht="13.2">
      <c r="A448" s="1"/>
      <c r="B448" s="13"/>
    </row>
    <row r="449" spans="1:2" ht="13.2">
      <c r="A449" s="1"/>
      <c r="B449" s="13"/>
    </row>
    <row r="450" spans="1:2" ht="13.2">
      <c r="A450" s="1"/>
      <c r="B450" s="13"/>
    </row>
    <row r="451" spans="1:2" ht="13.2">
      <c r="A451" s="1"/>
      <c r="B451" s="13"/>
    </row>
    <row r="452" spans="1:2" ht="13.2">
      <c r="A452" s="1"/>
      <c r="B452" s="13"/>
    </row>
    <row r="453" spans="1:2" ht="13.2">
      <c r="A453" s="1"/>
      <c r="B453" s="13"/>
    </row>
    <row r="454" spans="1:2" ht="13.2">
      <c r="A454" s="1"/>
      <c r="B454" s="13"/>
    </row>
    <row r="455" spans="1:2" ht="13.2">
      <c r="A455" s="1"/>
      <c r="B455" s="13"/>
    </row>
    <row r="456" spans="1:2" ht="13.2">
      <c r="A456" s="1"/>
      <c r="B456" s="13"/>
    </row>
    <row r="457" spans="1:2" ht="13.2">
      <c r="A457" s="1"/>
      <c r="B457" s="13"/>
    </row>
    <row r="458" spans="1:2" ht="13.2">
      <c r="A458" s="1"/>
      <c r="B458" s="13"/>
    </row>
    <row r="459" spans="1:2" ht="13.2">
      <c r="A459" s="1"/>
      <c r="B459" s="13"/>
    </row>
    <row r="460" spans="1:2" ht="13.2">
      <c r="A460" s="1"/>
      <c r="B460" s="13"/>
    </row>
    <row r="461" spans="1:2" ht="13.2">
      <c r="A461" s="1"/>
      <c r="B461" s="13"/>
    </row>
    <row r="462" spans="1:2" ht="13.2">
      <c r="A462" s="1"/>
      <c r="B462" s="13"/>
    </row>
    <row r="463" spans="1:2" ht="13.2">
      <c r="A463" s="1"/>
      <c r="B463" s="13"/>
    </row>
    <row r="464" spans="1:2" ht="13.2">
      <c r="A464" s="1"/>
      <c r="B464" s="13"/>
    </row>
    <row r="465" spans="1:2" ht="13.2">
      <c r="A465" s="1"/>
      <c r="B465" s="13"/>
    </row>
    <row r="466" spans="1:2" ht="13.2">
      <c r="A466" s="1"/>
      <c r="B466" s="13"/>
    </row>
    <row r="467" spans="1:2" ht="13.2">
      <c r="A467" s="1"/>
      <c r="B467" s="13"/>
    </row>
    <row r="468" spans="1:2" ht="13.2">
      <c r="A468" s="1"/>
      <c r="B468" s="13"/>
    </row>
    <row r="469" spans="1:2" ht="13.2">
      <c r="A469" s="1"/>
      <c r="B469" s="13"/>
    </row>
    <row r="470" spans="1:2" ht="13.2">
      <c r="A470" s="1"/>
      <c r="B470" s="13"/>
    </row>
    <row r="471" spans="1:2" ht="13.2">
      <c r="A471" s="1"/>
      <c r="B471" s="13"/>
    </row>
    <row r="472" spans="1:2" ht="13.2">
      <c r="A472" s="1"/>
      <c r="B472" s="13"/>
    </row>
    <row r="473" spans="1:2" ht="13.2">
      <c r="A473" s="1"/>
      <c r="B473" s="13"/>
    </row>
    <row r="474" spans="1:2" ht="13.2">
      <c r="A474" s="1"/>
      <c r="B474" s="13"/>
    </row>
    <row r="475" spans="1:2" ht="13.2">
      <c r="A475" s="1"/>
      <c r="B475" s="13"/>
    </row>
    <row r="476" spans="1:2" ht="13.2">
      <c r="A476" s="1"/>
      <c r="B476" s="13"/>
    </row>
    <row r="477" spans="1:2" ht="13.2">
      <c r="A477" s="1"/>
      <c r="B477" s="13"/>
    </row>
    <row r="478" spans="1:2" ht="13.2">
      <c r="A478" s="1"/>
      <c r="B478" s="13"/>
    </row>
    <row r="479" spans="1:2" ht="13.2">
      <c r="A479" s="1"/>
      <c r="B479" s="13"/>
    </row>
    <row r="480" spans="1:2" ht="13.2">
      <c r="A480" s="1"/>
      <c r="B480" s="13"/>
    </row>
    <row r="481" spans="1:2" ht="13.2">
      <c r="A481" s="1"/>
      <c r="B481" s="13"/>
    </row>
    <row r="482" spans="1:2" ht="13.2">
      <c r="A482" s="1"/>
      <c r="B482" s="13"/>
    </row>
    <row r="483" spans="1:2" ht="13.2">
      <c r="A483" s="1"/>
      <c r="B483" s="13"/>
    </row>
    <row r="484" spans="1:2" ht="13.2">
      <c r="A484" s="1"/>
      <c r="B484" s="13"/>
    </row>
    <row r="485" spans="1:2" ht="13.2">
      <c r="A485" s="1"/>
      <c r="B485" s="13"/>
    </row>
    <row r="486" spans="1:2" ht="13.2">
      <c r="A486" s="1"/>
      <c r="B486" s="13"/>
    </row>
    <row r="487" spans="1:2" ht="13.2">
      <c r="A487" s="1"/>
      <c r="B487" s="13"/>
    </row>
    <row r="488" spans="1:2" ht="13.2">
      <c r="A488" s="1"/>
      <c r="B488" s="13"/>
    </row>
    <row r="489" spans="1:2" ht="13.2">
      <c r="A489" s="1"/>
      <c r="B489" s="13"/>
    </row>
    <row r="490" spans="1:2" ht="13.2">
      <c r="A490" s="1"/>
      <c r="B490" s="13"/>
    </row>
    <row r="491" spans="1:2" ht="13.2">
      <c r="A491" s="1"/>
      <c r="B491" s="13"/>
    </row>
    <row r="492" spans="1:2" ht="13.2">
      <c r="A492" s="1"/>
      <c r="B492" s="13"/>
    </row>
    <row r="493" spans="1:2" ht="13.2">
      <c r="A493" s="1"/>
      <c r="B493" s="13"/>
    </row>
    <row r="494" spans="1:2" ht="13.2">
      <c r="A494" s="1"/>
      <c r="B494" s="13"/>
    </row>
    <row r="495" spans="1:2" ht="13.2">
      <c r="A495" s="1"/>
      <c r="B495" s="13"/>
    </row>
    <row r="496" spans="1:2" ht="13.2">
      <c r="A496" s="1"/>
      <c r="B496" s="13"/>
    </row>
    <row r="497" spans="1:2" ht="13.2">
      <c r="A497" s="1"/>
      <c r="B497" s="13"/>
    </row>
    <row r="498" spans="1:2" ht="13.2">
      <c r="A498" s="1"/>
      <c r="B498" s="13"/>
    </row>
    <row r="499" spans="1:2" ht="13.2">
      <c r="A499" s="1"/>
      <c r="B499" s="13"/>
    </row>
    <row r="500" spans="1:2" ht="13.2">
      <c r="A500" s="1"/>
      <c r="B500" s="13"/>
    </row>
    <row r="501" spans="1:2" ht="13.2">
      <c r="A501" s="1"/>
      <c r="B501" s="13"/>
    </row>
    <row r="502" spans="1:2" ht="13.2">
      <c r="A502" s="1"/>
      <c r="B502" s="13"/>
    </row>
    <row r="503" spans="1:2" ht="13.2">
      <c r="A503" s="1"/>
      <c r="B503" s="13"/>
    </row>
    <row r="504" spans="1:2" ht="13.2">
      <c r="A504" s="1"/>
      <c r="B504" s="13"/>
    </row>
    <row r="505" spans="1:2" ht="13.2">
      <c r="A505" s="1"/>
      <c r="B505" s="13"/>
    </row>
    <row r="506" spans="1:2" ht="13.2">
      <c r="A506" s="1"/>
      <c r="B506" s="13"/>
    </row>
    <row r="507" spans="1:2" ht="13.2">
      <c r="A507" s="1"/>
      <c r="B507" s="13"/>
    </row>
    <row r="508" spans="1:2" ht="13.2">
      <c r="A508" s="1"/>
      <c r="B508" s="13"/>
    </row>
    <row r="509" spans="1:2" ht="13.2">
      <c r="A509" s="1"/>
      <c r="B509" s="13"/>
    </row>
    <row r="510" spans="1:2" ht="13.2">
      <c r="A510" s="1"/>
      <c r="B510" s="13"/>
    </row>
    <row r="511" spans="1:2" ht="13.2">
      <c r="A511" s="1"/>
      <c r="B511" s="13"/>
    </row>
    <row r="512" spans="1:2" ht="13.2">
      <c r="A512" s="1"/>
      <c r="B512" s="13"/>
    </row>
    <row r="513" spans="1:2" ht="13.2">
      <c r="A513" s="1"/>
      <c r="B513" s="13"/>
    </row>
    <row r="514" spans="1:2" ht="13.2">
      <c r="A514" s="1"/>
      <c r="B514" s="13"/>
    </row>
    <row r="515" spans="1:2" ht="13.2">
      <c r="A515" s="1"/>
      <c r="B515" s="13"/>
    </row>
    <row r="516" spans="1:2" ht="13.2">
      <c r="A516" s="1"/>
      <c r="B516" s="13"/>
    </row>
    <row r="517" spans="1:2" ht="13.2">
      <c r="A517" s="1"/>
      <c r="B517" s="13"/>
    </row>
    <row r="518" spans="1:2" ht="13.2">
      <c r="A518" s="1"/>
      <c r="B518" s="13"/>
    </row>
    <row r="519" spans="1:2" ht="13.2">
      <c r="A519" s="1"/>
      <c r="B519" s="13"/>
    </row>
    <row r="520" spans="1:2" ht="13.2">
      <c r="A520" s="1"/>
      <c r="B520" s="13"/>
    </row>
    <row r="521" spans="1:2" ht="13.2">
      <c r="A521" s="1"/>
      <c r="B521" s="13"/>
    </row>
    <row r="522" spans="1:2" ht="13.2">
      <c r="A522" s="1"/>
      <c r="B522" s="13"/>
    </row>
    <row r="523" spans="1:2" ht="13.2">
      <c r="A523" s="1"/>
      <c r="B523" s="13"/>
    </row>
    <row r="524" spans="1:2" ht="13.2">
      <c r="A524" s="1"/>
      <c r="B524" s="13"/>
    </row>
    <row r="525" spans="1:2" ht="13.2">
      <c r="A525" s="1"/>
      <c r="B525" s="13"/>
    </row>
    <row r="526" spans="1:2" ht="13.2">
      <c r="A526" s="1"/>
      <c r="B526" s="13"/>
    </row>
    <row r="527" spans="1:2" ht="13.2">
      <c r="A527" s="1"/>
      <c r="B527" s="13"/>
    </row>
    <row r="528" spans="1:2" ht="13.2">
      <c r="A528" s="1"/>
      <c r="B528" s="13"/>
    </row>
    <row r="529" spans="1:2" ht="13.2">
      <c r="A529" s="1"/>
      <c r="B529" s="13"/>
    </row>
    <row r="530" spans="1:2" ht="13.2">
      <c r="A530" s="1"/>
      <c r="B530" s="13"/>
    </row>
    <row r="531" spans="1:2" ht="13.2">
      <c r="A531" s="1"/>
      <c r="B531" s="13"/>
    </row>
    <row r="532" spans="1:2" ht="13.2">
      <c r="A532" s="1"/>
      <c r="B532" s="13"/>
    </row>
    <row r="533" spans="1:2" ht="13.2">
      <c r="A533" s="1"/>
      <c r="B533" s="13"/>
    </row>
    <row r="534" spans="1:2" ht="13.2">
      <c r="A534" s="1"/>
      <c r="B534" s="13"/>
    </row>
    <row r="535" spans="1:2" ht="13.2">
      <c r="A535" s="1"/>
      <c r="B535" s="13"/>
    </row>
    <row r="536" spans="1:2" ht="13.2">
      <c r="A536" s="1"/>
      <c r="B536" s="13"/>
    </row>
    <row r="537" spans="1:2" ht="13.2">
      <c r="A537" s="1"/>
      <c r="B537" s="13"/>
    </row>
    <row r="538" spans="1:2" ht="13.2">
      <c r="A538" s="1"/>
      <c r="B538" s="13"/>
    </row>
    <row r="539" spans="1:2" ht="13.2">
      <c r="A539" s="1"/>
      <c r="B539" s="13"/>
    </row>
    <row r="540" spans="1:2" ht="13.2">
      <c r="A540" s="1"/>
      <c r="B540" s="13"/>
    </row>
    <row r="541" spans="1:2" ht="13.2">
      <c r="A541" s="1"/>
      <c r="B541" s="13"/>
    </row>
    <row r="542" spans="1:2" ht="13.2">
      <c r="A542" s="1"/>
      <c r="B542" s="13"/>
    </row>
    <row r="543" spans="1:2" ht="13.2">
      <c r="A543" s="1"/>
      <c r="B543" s="13"/>
    </row>
    <row r="544" spans="1:2" ht="13.2">
      <c r="A544" s="1"/>
      <c r="B544" s="13"/>
    </row>
    <row r="545" spans="1:2" ht="13.2">
      <c r="A545" s="1"/>
      <c r="B545" s="13"/>
    </row>
    <row r="546" spans="1:2" ht="13.2">
      <c r="A546" s="1"/>
      <c r="B546" s="13"/>
    </row>
    <row r="547" spans="1:2" ht="13.2">
      <c r="A547" s="1"/>
      <c r="B547" s="13"/>
    </row>
    <row r="548" spans="1:2" ht="13.2">
      <c r="A548" s="1"/>
      <c r="B548" s="13"/>
    </row>
    <row r="549" spans="1:2" ht="13.2">
      <c r="A549" s="1"/>
      <c r="B549" s="13"/>
    </row>
    <row r="550" spans="1:2" ht="13.2">
      <c r="A550" s="1"/>
      <c r="B550" s="13"/>
    </row>
    <row r="551" spans="1:2" ht="13.2">
      <c r="A551" s="1"/>
      <c r="B551" s="13"/>
    </row>
    <row r="552" spans="1:2" ht="13.2">
      <c r="A552" s="1"/>
      <c r="B552" s="13"/>
    </row>
    <row r="553" spans="1:2" ht="13.2">
      <c r="A553" s="1"/>
      <c r="B553" s="13"/>
    </row>
    <row r="554" spans="1:2" ht="13.2">
      <c r="A554" s="1"/>
      <c r="B554" s="13"/>
    </row>
    <row r="555" spans="1:2" ht="13.2">
      <c r="A555" s="1"/>
      <c r="B555" s="13"/>
    </row>
    <row r="556" spans="1:2" ht="13.2">
      <c r="A556" s="1"/>
      <c r="B556" s="13"/>
    </row>
    <row r="557" spans="1:2" ht="13.2">
      <c r="A557" s="1"/>
      <c r="B557" s="13"/>
    </row>
    <row r="558" spans="1:2" ht="13.2">
      <c r="A558" s="1"/>
      <c r="B558" s="13"/>
    </row>
    <row r="559" spans="1:2" ht="13.2">
      <c r="A559" s="1"/>
      <c r="B559" s="13"/>
    </row>
    <row r="560" spans="1:2" ht="13.2">
      <c r="A560" s="1"/>
      <c r="B560" s="13"/>
    </row>
    <row r="561" spans="1:2" ht="13.2">
      <c r="A561" s="1"/>
      <c r="B561" s="13"/>
    </row>
    <row r="562" spans="1:2" ht="13.2">
      <c r="A562" s="1"/>
      <c r="B562" s="13"/>
    </row>
    <row r="563" spans="1:2" ht="13.2">
      <c r="A563" s="1"/>
      <c r="B563" s="13"/>
    </row>
    <row r="564" spans="1:2" ht="13.2">
      <c r="A564" s="1"/>
      <c r="B564" s="13"/>
    </row>
    <row r="565" spans="1:2" ht="13.2">
      <c r="A565" s="1"/>
      <c r="B565" s="13"/>
    </row>
    <row r="566" spans="1:2" ht="13.2">
      <c r="A566" s="1"/>
      <c r="B566" s="13"/>
    </row>
    <row r="567" spans="1:2" ht="13.2">
      <c r="A567" s="1"/>
      <c r="B567" s="13"/>
    </row>
    <row r="568" spans="1:2" ht="13.2">
      <c r="A568" s="1"/>
      <c r="B568" s="13"/>
    </row>
    <row r="569" spans="1:2" ht="13.2">
      <c r="A569" s="1"/>
      <c r="B569" s="13"/>
    </row>
    <row r="570" spans="1:2" ht="13.2">
      <c r="A570" s="1"/>
      <c r="B570" s="13"/>
    </row>
    <row r="571" spans="1:2" ht="13.2">
      <c r="A571" s="1"/>
      <c r="B571" s="13"/>
    </row>
    <row r="572" spans="1:2" ht="13.2">
      <c r="A572" s="1"/>
      <c r="B572" s="13"/>
    </row>
    <row r="573" spans="1:2" ht="13.2">
      <c r="A573" s="1"/>
      <c r="B573" s="13"/>
    </row>
    <row r="574" spans="1:2" ht="13.2">
      <c r="A574" s="1"/>
      <c r="B574" s="13"/>
    </row>
    <row r="575" spans="1:2" ht="13.2">
      <c r="A575" s="1"/>
      <c r="B575" s="13"/>
    </row>
    <row r="576" spans="1:2" ht="13.2">
      <c r="A576" s="1"/>
      <c r="B576" s="13"/>
    </row>
    <row r="577" spans="1:2" ht="13.2">
      <c r="A577" s="1"/>
      <c r="B577" s="13"/>
    </row>
    <row r="578" spans="1:2" ht="13.2">
      <c r="A578" s="1"/>
      <c r="B578" s="13"/>
    </row>
    <row r="579" spans="1:2" ht="13.2">
      <c r="A579" s="1"/>
      <c r="B579" s="13"/>
    </row>
    <row r="580" spans="1:2" ht="13.2">
      <c r="A580" s="1"/>
      <c r="B580" s="13"/>
    </row>
    <row r="581" spans="1:2" ht="13.2">
      <c r="A581" s="1"/>
      <c r="B581" s="13"/>
    </row>
    <row r="582" spans="1:2" ht="13.2">
      <c r="A582" s="1"/>
      <c r="B582" s="13"/>
    </row>
    <row r="583" spans="1:2" ht="13.2">
      <c r="A583" s="1"/>
      <c r="B583" s="13"/>
    </row>
    <row r="584" spans="1:2" ht="13.2">
      <c r="A584" s="1"/>
      <c r="B584" s="13"/>
    </row>
    <row r="585" spans="1:2" ht="13.2">
      <c r="A585" s="1"/>
      <c r="B585" s="13"/>
    </row>
    <row r="586" spans="1:2" ht="13.2">
      <c r="A586" s="1"/>
      <c r="B586" s="13"/>
    </row>
    <row r="587" spans="1:2" ht="13.2">
      <c r="A587" s="1"/>
      <c r="B587" s="13"/>
    </row>
    <row r="588" spans="1:2" ht="13.2">
      <c r="A588" s="1"/>
      <c r="B588" s="13"/>
    </row>
    <row r="589" spans="1:2" ht="13.2">
      <c r="A589" s="1"/>
      <c r="B589" s="13"/>
    </row>
    <row r="590" spans="1:2" ht="13.2">
      <c r="A590" s="1"/>
      <c r="B590" s="13"/>
    </row>
    <row r="591" spans="1:2" ht="13.2">
      <c r="A591" s="1"/>
      <c r="B591" s="13"/>
    </row>
    <row r="592" spans="1:2" ht="13.2">
      <c r="A592" s="1"/>
      <c r="B592" s="13"/>
    </row>
    <row r="593" spans="1:2" ht="13.2">
      <c r="A593" s="1"/>
      <c r="B593" s="13"/>
    </row>
    <row r="594" spans="1:2" ht="13.2">
      <c r="A594" s="1"/>
      <c r="B594" s="13"/>
    </row>
    <row r="595" spans="1:2" ht="13.2">
      <c r="A595" s="1"/>
      <c r="B595" s="13"/>
    </row>
    <row r="596" spans="1:2" ht="13.2">
      <c r="A596" s="1"/>
      <c r="B596" s="13"/>
    </row>
    <row r="597" spans="1:2" ht="13.2">
      <c r="A597" s="1"/>
      <c r="B597" s="13"/>
    </row>
    <row r="598" spans="1:2" ht="13.2">
      <c r="A598" s="1"/>
      <c r="B598" s="13"/>
    </row>
    <row r="599" spans="1:2" ht="13.2">
      <c r="A599" s="1"/>
      <c r="B599" s="13"/>
    </row>
    <row r="600" spans="1:2" ht="13.2">
      <c r="A600" s="1"/>
      <c r="B600" s="13"/>
    </row>
    <row r="601" spans="1:2" ht="13.2">
      <c r="A601" s="1"/>
      <c r="B601" s="13"/>
    </row>
    <row r="602" spans="1:2" ht="13.2">
      <c r="A602" s="1"/>
      <c r="B602" s="13"/>
    </row>
    <row r="603" spans="1:2" ht="13.2">
      <c r="A603" s="1"/>
      <c r="B603" s="13"/>
    </row>
    <row r="604" spans="1:2" ht="13.2">
      <c r="A604" s="1"/>
      <c r="B604" s="13"/>
    </row>
    <row r="605" spans="1:2" ht="13.2">
      <c r="A605" s="1"/>
      <c r="B605" s="13"/>
    </row>
    <row r="606" spans="1:2" ht="13.2">
      <c r="A606" s="1"/>
      <c r="B606" s="13"/>
    </row>
    <row r="607" spans="1:2" ht="13.2">
      <c r="A607" s="1"/>
      <c r="B607" s="13"/>
    </row>
    <row r="608" spans="1:2" ht="13.2">
      <c r="A608" s="1"/>
      <c r="B608" s="13"/>
    </row>
    <row r="609" spans="1:2" ht="13.2">
      <c r="A609" s="1"/>
      <c r="B609" s="13"/>
    </row>
    <row r="610" spans="1:2" ht="13.2">
      <c r="A610" s="1"/>
      <c r="B610" s="13"/>
    </row>
    <row r="611" spans="1:2" ht="13.2">
      <c r="A611" s="1"/>
      <c r="B611" s="13"/>
    </row>
    <row r="612" spans="1:2" ht="13.2">
      <c r="A612" s="1"/>
      <c r="B612" s="13"/>
    </row>
    <row r="613" spans="1:2" ht="13.2">
      <c r="A613" s="1"/>
      <c r="B613" s="13"/>
    </row>
    <row r="614" spans="1:2" ht="13.2">
      <c r="A614" s="1"/>
      <c r="B614" s="13"/>
    </row>
    <row r="615" spans="1:2" ht="13.2">
      <c r="A615" s="1"/>
      <c r="B615" s="13"/>
    </row>
    <row r="616" spans="1:2" ht="13.2">
      <c r="A616" s="1"/>
      <c r="B616" s="13"/>
    </row>
    <row r="617" spans="1:2" ht="13.2">
      <c r="A617" s="1"/>
      <c r="B617" s="13"/>
    </row>
    <row r="618" spans="1:2" ht="13.2">
      <c r="A618" s="1"/>
      <c r="B618" s="13"/>
    </row>
    <row r="619" spans="1:2" ht="13.2">
      <c r="A619" s="1"/>
      <c r="B619" s="13"/>
    </row>
    <row r="620" spans="1:2" ht="13.2">
      <c r="A620" s="1"/>
      <c r="B620" s="13"/>
    </row>
    <row r="621" spans="1:2" ht="13.2">
      <c r="A621" s="1"/>
      <c r="B621" s="13"/>
    </row>
    <row r="622" spans="1:2" ht="13.2">
      <c r="A622" s="1"/>
      <c r="B622" s="13"/>
    </row>
    <row r="623" spans="1:2" ht="13.2">
      <c r="A623" s="1"/>
      <c r="B623" s="13"/>
    </row>
    <row r="624" spans="1:2" ht="13.2">
      <c r="A624" s="1"/>
      <c r="B624" s="13"/>
    </row>
    <row r="625" spans="1:2" ht="13.2">
      <c r="A625" s="1"/>
      <c r="B625" s="13"/>
    </row>
    <row r="626" spans="1:2" ht="13.2">
      <c r="A626" s="1"/>
      <c r="B626" s="13"/>
    </row>
    <row r="627" spans="1:2" ht="13.2">
      <c r="A627" s="1"/>
      <c r="B627" s="13"/>
    </row>
    <row r="628" spans="1:2" ht="13.2">
      <c r="A628" s="1"/>
      <c r="B628" s="13"/>
    </row>
    <row r="629" spans="1:2" ht="13.2">
      <c r="A629" s="1"/>
      <c r="B629" s="13"/>
    </row>
    <row r="630" spans="1:2" ht="13.2">
      <c r="A630" s="1"/>
      <c r="B630" s="13"/>
    </row>
    <row r="631" spans="1:2" ht="13.2">
      <c r="A631" s="1"/>
      <c r="B631" s="13"/>
    </row>
    <row r="632" spans="1:2" ht="13.2">
      <c r="A632" s="1"/>
      <c r="B632" s="13"/>
    </row>
    <row r="633" spans="1:2" ht="13.2">
      <c r="A633" s="1"/>
      <c r="B633" s="13"/>
    </row>
    <row r="634" spans="1:2" ht="13.2">
      <c r="A634" s="1"/>
      <c r="B634" s="13"/>
    </row>
    <row r="635" spans="1:2" ht="13.2">
      <c r="A635" s="1"/>
      <c r="B635" s="13"/>
    </row>
    <row r="636" spans="1:2" ht="13.2">
      <c r="A636" s="1"/>
      <c r="B636" s="13"/>
    </row>
    <row r="637" spans="1:2" ht="13.2">
      <c r="A637" s="1"/>
      <c r="B637" s="13"/>
    </row>
    <row r="638" spans="1:2" ht="13.2">
      <c r="A638" s="1"/>
      <c r="B638" s="13"/>
    </row>
    <row r="639" spans="1:2" ht="13.2">
      <c r="A639" s="1"/>
      <c r="B639" s="13"/>
    </row>
    <row r="640" spans="1:2" ht="13.2">
      <c r="A640" s="1"/>
      <c r="B640" s="13"/>
    </row>
    <row r="641" spans="1:2" ht="13.2">
      <c r="A641" s="1"/>
      <c r="B641" s="13"/>
    </row>
    <row r="642" spans="1:2" ht="13.2">
      <c r="A642" s="1"/>
      <c r="B642" s="13"/>
    </row>
    <row r="643" spans="1:2" ht="13.2">
      <c r="A643" s="1"/>
      <c r="B643" s="13"/>
    </row>
    <row r="644" spans="1:2" ht="13.2">
      <c r="A644" s="1"/>
      <c r="B644" s="13"/>
    </row>
    <row r="645" spans="1:2" ht="13.2">
      <c r="A645" s="1"/>
      <c r="B645" s="13"/>
    </row>
    <row r="646" spans="1:2" ht="13.2">
      <c r="A646" s="1"/>
      <c r="B646" s="13"/>
    </row>
    <row r="647" spans="1:2" ht="13.2">
      <c r="A647" s="1"/>
      <c r="B647" s="13"/>
    </row>
    <row r="648" spans="1:2" ht="13.2">
      <c r="A648" s="1"/>
      <c r="B648" s="13"/>
    </row>
    <row r="649" spans="1:2" ht="13.2">
      <c r="A649" s="1"/>
      <c r="B649" s="13"/>
    </row>
    <row r="650" spans="1:2" ht="13.2">
      <c r="A650" s="1"/>
      <c r="B650" s="13"/>
    </row>
    <row r="651" spans="1:2" ht="13.2">
      <c r="A651" s="1"/>
      <c r="B651" s="13"/>
    </row>
    <row r="652" spans="1:2" ht="13.2">
      <c r="A652" s="1"/>
      <c r="B652" s="13"/>
    </row>
    <row r="653" spans="1:2" ht="13.2">
      <c r="A653" s="1"/>
      <c r="B653" s="13"/>
    </row>
    <row r="654" spans="1:2" ht="13.2">
      <c r="A654" s="1"/>
      <c r="B654" s="13"/>
    </row>
    <row r="655" spans="1:2" ht="13.2">
      <c r="A655" s="1"/>
      <c r="B655" s="13"/>
    </row>
    <row r="656" spans="1:2" ht="13.2">
      <c r="A656" s="1"/>
      <c r="B656" s="13"/>
    </row>
    <row r="657" spans="1:2" ht="13.2">
      <c r="A657" s="1"/>
      <c r="B657" s="13"/>
    </row>
    <row r="658" spans="1:2" ht="13.2">
      <c r="A658" s="1"/>
      <c r="B658" s="13"/>
    </row>
    <row r="659" spans="1:2" ht="13.2">
      <c r="A659" s="1"/>
      <c r="B659" s="13"/>
    </row>
    <row r="660" spans="1:2" ht="13.2">
      <c r="A660" s="1"/>
      <c r="B660" s="13"/>
    </row>
    <row r="661" spans="1:2" ht="13.2">
      <c r="A661" s="1"/>
      <c r="B661" s="13"/>
    </row>
    <row r="662" spans="1:2" ht="13.2">
      <c r="A662" s="1"/>
      <c r="B662" s="13"/>
    </row>
    <row r="663" spans="1:2" ht="13.2">
      <c r="A663" s="1"/>
      <c r="B663" s="13"/>
    </row>
    <row r="664" spans="1:2" ht="13.2">
      <c r="A664" s="1"/>
      <c r="B664" s="13"/>
    </row>
    <row r="665" spans="1:2" ht="13.2">
      <c r="A665" s="1"/>
      <c r="B665" s="13"/>
    </row>
    <row r="666" spans="1:2" ht="13.2">
      <c r="A666" s="1"/>
      <c r="B666" s="13"/>
    </row>
    <row r="667" spans="1:2" ht="13.2">
      <c r="A667" s="1"/>
      <c r="B667" s="13"/>
    </row>
    <row r="668" spans="1:2" ht="13.2">
      <c r="A668" s="1"/>
      <c r="B668" s="13"/>
    </row>
    <row r="669" spans="1:2" ht="13.2">
      <c r="A669" s="1"/>
      <c r="B669" s="13"/>
    </row>
    <row r="670" spans="1:2" ht="13.2">
      <c r="A670" s="1"/>
      <c r="B670" s="13"/>
    </row>
    <row r="671" spans="1:2" ht="13.2">
      <c r="A671" s="1"/>
      <c r="B671" s="13"/>
    </row>
    <row r="672" spans="1:2" ht="13.2">
      <c r="A672" s="1"/>
      <c r="B672" s="13"/>
    </row>
    <row r="673" spans="1:2" ht="13.2">
      <c r="A673" s="1"/>
      <c r="B673" s="13"/>
    </row>
    <row r="674" spans="1:2" ht="13.2">
      <c r="A674" s="1"/>
      <c r="B674" s="13"/>
    </row>
    <row r="675" spans="1:2" ht="13.2">
      <c r="A675" s="1"/>
      <c r="B675" s="13"/>
    </row>
    <row r="676" spans="1:2" ht="13.2">
      <c r="A676" s="1"/>
      <c r="B676" s="13"/>
    </row>
    <row r="677" spans="1:2" ht="13.2">
      <c r="A677" s="1"/>
      <c r="B677" s="13"/>
    </row>
    <row r="678" spans="1:2" ht="13.2">
      <c r="A678" s="1"/>
      <c r="B678" s="13"/>
    </row>
    <row r="679" spans="1:2" ht="13.2">
      <c r="A679" s="1"/>
      <c r="B679" s="13"/>
    </row>
    <row r="680" spans="1:2" ht="13.2">
      <c r="A680" s="1"/>
      <c r="B680" s="13"/>
    </row>
    <row r="681" spans="1:2" ht="13.2">
      <c r="A681" s="1"/>
      <c r="B681" s="13"/>
    </row>
    <row r="682" spans="1:2" ht="13.2">
      <c r="A682" s="1"/>
      <c r="B682" s="13"/>
    </row>
    <row r="683" spans="1:2" ht="13.2">
      <c r="A683" s="1"/>
      <c r="B683" s="13"/>
    </row>
    <row r="684" spans="1:2" ht="13.2">
      <c r="A684" s="1"/>
      <c r="B684" s="13"/>
    </row>
    <row r="685" spans="1:2" ht="13.2">
      <c r="A685" s="1"/>
      <c r="B685" s="13"/>
    </row>
    <row r="686" spans="1:2" ht="13.2">
      <c r="A686" s="1"/>
      <c r="B686" s="13"/>
    </row>
    <row r="687" spans="1:2" ht="13.2">
      <c r="A687" s="1"/>
      <c r="B687" s="13"/>
    </row>
    <row r="688" spans="1:2" ht="13.2">
      <c r="A688" s="1"/>
      <c r="B688" s="13"/>
    </row>
    <row r="689" spans="1:2" ht="13.2">
      <c r="A689" s="1"/>
      <c r="B689" s="13"/>
    </row>
    <row r="690" spans="1:2" ht="13.2">
      <c r="A690" s="1"/>
      <c r="B690" s="13"/>
    </row>
    <row r="691" spans="1:2" ht="13.2">
      <c r="A691" s="1"/>
      <c r="B691" s="13"/>
    </row>
    <row r="692" spans="1:2" ht="13.2">
      <c r="A692" s="1"/>
      <c r="B692" s="13"/>
    </row>
    <row r="693" spans="1:2" ht="13.2">
      <c r="A693" s="1"/>
      <c r="B693" s="13"/>
    </row>
    <row r="694" spans="1:2" ht="13.2">
      <c r="A694" s="1"/>
      <c r="B694" s="13"/>
    </row>
    <row r="695" spans="1:2" ht="13.2">
      <c r="A695" s="1"/>
      <c r="B695" s="13"/>
    </row>
    <row r="696" spans="1:2" ht="13.2">
      <c r="A696" s="1"/>
      <c r="B696" s="13"/>
    </row>
    <row r="697" spans="1:2" ht="13.2">
      <c r="A697" s="1"/>
      <c r="B697" s="13"/>
    </row>
    <row r="698" spans="1:2" ht="13.2">
      <c r="A698" s="1"/>
      <c r="B698" s="13"/>
    </row>
    <row r="699" spans="1:2" ht="13.2">
      <c r="A699" s="1"/>
      <c r="B699" s="13"/>
    </row>
    <row r="700" spans="1:2" ht="13.2">
      <c r="A700" s="1"/>
      <c r="B700" s="13"/>
    </row>
    <row r="701" spans="1:2" ht="13.2">
      <c r="A701" s="1"/>
      <c r="B701" s="13"/>
    </row>
    <row r="702" spans="1:2" ht="13.2">
      <c r="A702" s="1"/>
      <c r="B702" s="13"/>
    </row>
    <row r="703" spans="1:2" ht="13.2">
      <c r="A703" s="1"/>
      <c r="B703" s="13"/>
    </row>
    <row r="704" spans="1:2" ht="13.2">
      <c r="A704" s="1"/>
      <c r="B704" s="13"/>
    </row>
    <row r="705" spans="1:2" ht="13.2">
      <c r="A705" s="1"/>
      <c r="B705" s="13"/>
    </row>
    <row r="706" spans="1:2" ht="13.2">
      <c r="A706" s="1"/>
      <c r="B706" s="13"/>
    </row>
    <row r="707" spans="1:2" ht="13.2">
      <c r="A707" s="1"/>
      <c r="B707" s="13"/>
    </row>
    <row r="708" spans="1:2" ht="13.2">
      <c r="A708" s="1"/>
      <c r="B708" s="13"/>
    </row>
    <row r="709" spans="1:2" ht="13.2">
      <c r="A709" s="1"/>
      <c r="B709" s="13"/>
    </row>
    <row r="710" spans="1:2" ht="13.2">
      <c r="A710" s="1"/>
      <c r="B710" s="13"/>
    </row>
    <row r="711" spans="1:2" ht="13.2">
      <c r="A711" s="1"/>
      <c r="B711" s="13"/>
    </row>
    <row r="712" spans="1:2" ht="13.2">
      <c r="A712" s="1"/>
      <c r="B712" s="13"/>
    </row>
    <row r="713" spans="1:2" ht="13.2">
      <c r="A713" s="1"/>
      <c r="B713" s="13"/>
    </row>
    <row r="714" spans="1:2" ht="13.2">
      <c r="A714" s="1"/>
      <c r="B714" s="13"/>
    </row>
    <row r="715" spans="1:2" ht="13.2">
      <c r="A715" s="1"/>
      <c r="B715" s="13"/>
    </row>
    <row r="716" spans="1:2" ht="13.2">
      <c r="A716" s="1"/>
      <c r="B716" s="13"/>
    </row>
    <row r="717" spans="1:2" ht="13.2">
      <c r="A717" s="1"/>
      <c r="B717" s="13"/>
    </row>
    <row r="718" spans="1:2" ht="13.2">
      <c r="A718" s="1"/>
      <c r="B718" s="13"/>
    </row>
    <row r="719" spans="1:2" ht="13.2">
      <c r="A719" s="1"/>
      <c r="B719" s="13"/>
    </row>
    <row r="720" spans="1:2" ht="13.2">
      <c r="A720" s="1"/>
      <c r="B720" s="13"/>
    </row>
    <row r="721" spans="1:2" ht="13.2">
      <c r="A721" s="1"/>
      <c r="B721" s="13"/>
    </row>
    <row r="722" spans="1:2" ht="13.2">
      <c r="A722" s="1"/>
      <c r="B722" s="13"/>
    </row>
    <row r="723" spans="1:2" ht="13.2">
      <c r="A723" s="1"/>
      <c r="B723" s="13"/>
    </row>
    <row r="724" spans="1:2" ht="13.2">
      <c r="A724" s="1"/>
      <c r="B724" s="13"/>
    </row>
    <row r="725" spans="1:2" ht="13.2">
      <c r="A725" s="1"/>
      <c r="B725" s="13"/>
    </row>
    <row r="726" spans="1:2" ht="13.2">
      <c r="A726" s="1"/>
      <c r="B726" s="13"/>
    </row>
    <row r="727" spans="1:2" ht="13.2">
      <c r="A727" s="1"/>
      <c r="B727" s="13"/>
    </row>
    <row r="728" spans="1:2" ht="13.2">
      <c r="A728" s="1"/>
      <c r="B728" s="13"/>
    </row>
    <row r="729" spans="1:2" ht="13.2">
      <c r="A729" s="1"/>
      <c r="B729" s="13"/>
    </row>
    <row r="730" spans="1:2" ht="13.2">
      <c r="A730" s="1"/>
      <c r="B730" s="13"/>
    </row>
    <row r="731" spans="1:2" ht="13.2">
      <c r="A731" s="1"/>
      <c r="B731" s="13"/>
    </row>
    <row r="732" spans="1:2" ht="13.2">
      <c r="A732" s="1"/>
      <c r="B732" s="13"/>
    </row>
    <row r="733" spans="1:2" ht="13.2">
      <c r="A733" s="1"/>
      <c r="B733" s="13"/>
    </row>
    <row r="734" spans="1:2" ht="13.2">
      <c r="A734" s="1"/>
      <c r="B734" s="13"/>
    </row>
    <row r="735" spans="1:2" ht="13.2">
      <c r="A735" s="1"/>
      <c r="B735" s="13"/>
    </row>
    <row r="736" spans="1:2" ht="13.2">
      <c r="A736" s="1"/>
      <c r="B736" s="13"/>
    </row>
    <row r="737" spans="1:2" ht="13.2">
      <c r="A737" s="1"/>
      <c r="B737" s="13"/>
    </row>
    <row r="738" spans="1:2" ht="13.2">
      <c r="A738" s="1"/>
      <c r="B738" s="13"/>
    </row>
    <row r="739" spans="1:2" ht="13.2">
      <c r="A739" s="1"/>
      <c r="B739" s="13"/>
    </row>
    <row r="740" spans="1:2" ht="13.2">
      <c r="A740" s="1"/>
      <c r="B740" s="13"/>
    </row>
    <row r="741" spans="1:2" ht="13.2">
      <c r="A741" s="1"/>
      <c r="B741" s="13"/>
    </row>
    <row r="742" spans="1:2" ht="13.2">
      <c r="A742" s="1"/>
      <c r="B742" s="13"/>
    </row>
    <row r="743" spans="1:2" ht="13.2">
      <c r="A743" s="1"/>
      <c r="B743" s="13"/>
    </row>
    <row r="744" spans="1:2" ht="13.2">
      <c r="A744" s="1"/>
      <c r="B744" s="13"/>
    </row>
    <row r="745" spans="1:2" ht="13.2">
      <c r="A745" s="1"/>
      <c r="B745" s="13"/>
    </row>
    <row r="746" spans="1:2" ht="13.2">
      <c r="A746" s="1"/>
      <c r="B746" s="13"/>
    </row>
    <row r="747" spans="1:2" ht="13.2">
      <c r="A747" s="1"/>
      <c r="B747" s="13"/>
    </row>
    <row r="748" spans="1:2" ht="13.2">
      <c r="A748" s="1"/>
      <c r="B748" s="13"/>
    </row>
    <row r="749" spans="1:2" ht="13.2">
      <c r="A749" s="1"/>
      <c r="B749" s="13"/>
    </row>
    <row r="750" spans="1:2" ht="13.2">
      <c r="A750" s="1"/>
      <c r="B750" s="13"/>
    </row>
    <row r="751" spans="1:2" ht="13.2">
      <c r="A751" s="1"/>
      <c r="B751" s="13"/>
    </row>
    <row r="752" spans="1:2" ht="13.2">
      <c r="A752" s="1"/>
      <c r="B752" s="13"/>
    </row>
    <row r="753" spans="1:2" ht="13.2">
      <c r="A753" s="1"/>
      <c r="B753" s="13"/>
    </row>
    <row r="754" spans="1:2" ht="13.2">
      <c r="A754" s="1"/>
      <c r="B754" s="13"/>
    </row>
    <row r="755" spans="1:2" ht="13.2">
      <c r="A755" s="1"/>
      <c r="B755" s="13"/>
    </row>
    <row r="756" spans="1:2" ht="13.2">
      <c r="A756" s="1"/>
      <c r="B756" s="13"/>
    </row>
    <row r="757" spans="1:2" ht="13.2">
      <c r="A757" s="1"/>
      <c r="B757" s="13"/>
    </row>
    <row r="758" spans="1:2" ht="13.2">
      <c r="A758" s="1"/>
      <c r="B758" s="13"/>
    </row>
    <row r="759" spans="1:2" ht="13.2">
      <c r="A759" s="1"/>
      <c r="B759" s="13"/>
    </row>
    <row r="760" spans="1:2" ht="13.2">
      <c r="A760" s="1"/>
      <c r="B760" s="13"/>
    </row>
    <row r="761" spans="1:2" ht="13.2">
      <c r="A761" s="1"/>
      <c r="B761" s="13"/>
    </row>
    <row r="762" spans="1:2" ht="13.2">
      <c r="A762" s="1"/>
      <c r="B762" s="13"/>
    </row>
    <row r="763" spans="1:2" ht="13.2">
      <c r="A763" s="1"/>
      <c r="B763" s="13"/>
    </row>
    <row r="764" spans="1:2" ht="13.2">
      <c r="A764" s="1"/>
      <c r="B764" s="13"/>
    </row>
    <row r="765" spans="1:2" ht="13.2">
      <c r="A765" s="1"/>
      <c r="B765" s="13"/>
    </row>
    <row r="766" spans="1:2" ht="13.2">
      <c r="A766" s="1"/>
      <c r="B766" s="13"/>
    </row>
    <row r="767" spans="1:2" ht="13.2">
      <c r="A767" s="1"/>
      <c r="B767" s="13"/>
    </row>
    <row r="768" spans="1:2" ht="13.2">
      <c r="A768" s="1"/>
      <c r="B768" s="13"/>
    </row>
    <row r="769" spans="1:2" ht="13.2">
      <c r="A769" s="1"/>
      <c r="B769" s="13"/>
    </row>
    <row r="770" spans="1:2" ht="13.2">
      <c r="A770" s="1"/>
      <c r="B770" s="13"/>
    </row>
    <row r="771" spans="1:2" ht="13.2">
      <c r="A771" s="1"/>
      <c r="B771" s="13"/>
    </row>
    <row r="772" spans="1:2" ht="13.2">
      <c r="A772" s="1"/>
      <c r="B772" s="13"/>
    </row>
    <row r="773" spans="1:2" ht="13.2">
      <c r="A773" s="1"/>
      <c r="B773" s="13"/>
    </row>
    <row r="774" spans="1:2" ht="13.2">
      <c r="A774" s="1"/>
      <c r="B774" s="13"/>
    </row>
    <row r="775" spans="1:2" ht="13.2">
      <c r="A775" s="1"/>
      <c r="B775" s="13"/>
    </row>
    <row r="776" spans="1:2" ht="13.2">
      <c r="A776" s="1"/>
      <c r="B776" s="13"/>
    </row>
    <row r="777" spans="1:2" ht="13.2">
      <c r="A777" s="1"/>
      <c r="B777" s="13"/>
    </row>
    <row r="778" spans="1:2" ht="13.2">
      <c r="A778" s="1"/>
      <c r="B778" s="13"/>
    </row>
    <row r="779" spans="1:2" ht="13.2">
      <c r="A779" s="1"/>
      <c r="B779" s="13"/>
    </row>
    <row r="780" spans="1:2" ht="13.2">
      <c r="A780" s="1"/>
      <c r="B780" s="13"/>
    </row>
    <row r="781" spans="1:2" ht="13.2">
      <c r="A781" s="1"/>
      <c r="B781" s="13"/>
    </row>
    <row r="782" spans="1:2" ht="13.2">
      <c r="A782" s="1"/>
      <c r="B782" s="13"/>
    </row>
    <row r="783" spans="1:2" ht="13.2">
      <c r="A783" s="1"/>
      <c r="B783" s="13"/>
    </row>
    <row r="784" spans="1:2" ht="13.2">
      <c r="A784" s="1"/>
      <c r="B784" s="13"/>
    </row>
    <row r="785" spans="1:2" ht="13.2">
      <c r="A785" s="1"/>
      <c r="B785" s="13"/>
    </row>
    <row r="786" spans="1:2" ht="13.2">
      <c r="A786" s="1"/>
      <c r="B786" s="13"/>
    </row>
    <row r="787" spans="1:2" ht="13.2">
      <c r="A787" s="1"/>
      <c r="B787" s="13"/>
    </row>
    <row r="788" spans="1:2" ht="13.2">
      <c r="A788" s="1"/>
      <c r="B788" s="13"/>
    </row>
    <row r="789" spans="1:2" ht="13.2">
      <c r="A789" s="1"/>
      <c r="B789" s="13"/>
    </row>
    <row r="790" spans="1:2" ht="13.2">
      <c r="A790" s="1"/>
      <c r="B790" s="13"/>
    </row>
    <row r="791" spans="1:2" ht="13.2">
      <c r="A791" s="1"/>
      <c r="B791" s="13"/>
    </row>
    <row r="792" spans="1:2" ht="13.2">
      <c r="A792" s="1"/>
      <c r="B792" s="13"/>
    </row>
    <row r="793" spans="1:2" ht="13.2">
      <c r="A793" s="1"/>
      <c r="B793" s="13"/>
    </row>
    <row r="794" spans="1:2" ht="13.2">
      <c r="A794" s="1"/>
      <c r="B794" s="13"/>
    </row>
    <row r="795" spans="1:2" ht="13.2">
      <c r="A795" s="1"/>
      <c r="B795" s="13"/>
    </row>
    <row r="796" spans="1:2" ht="13.2">
      <c r="A796" s="1"/>
      <c r="B796" s="13"/>
    </row>
    <row r="797" spans="1:2" ht="13.2">
      <c r="A797" s="1"/>
      <c r="B797" s="13"/>
    </row>
    <row r="798" spans="1:2" ht="13.2">
      <c r="A798" s="1"/>
      <c r="B798" s="13"/>
    </row>
    <row r="799" spans="1:2" ht="13.2">
      <c r="A799" s="1"/>
      <c r="B799" s="13"/>
    </row>
    <row r="800" spans="1:2" ht="13.2">
      <c r="A800" s="1"/>
      <c r="B800" s="13"/>
    </row>
    <row r="801" spans="1:2" ht="13.2">
      <c r="A801" s="1"/>
      <c r="B801" s="13"/>
    </row>
    <row r="802" spans="1:2" ht="13.2">
      <c r="A802" s="1"/>
      <c r="B802" s="13"/>
    </row>
    <row r="803" spans="1:2" ht="13.2">
      <c r="A803" s="1"/>
      <c r="B803" s="13"/>
    </row>
    <row r="804" spans="1:2" ht="13.2">
      <c r="A804" s="1"/>
      <c r="B804" s="13"/>
    </row>
    <row r="805" spans="1:2" ht="13.2">
      <c r="A805" s="1"/>
      <c r="B805" s="13"/>
    </row>
    <row r="806" spans="1:2" ht="13.2">
      <c r="A806" s="1"/>
      <c r="B806" s="13"/>
    </row>
    <row r="807" spans="1:2" ht="13.2">
      <c r="A807" s="1"/>
      <c r="B807" s="13"/>
    </row>
    <row r="808" spans="1:2" ht="13.2">
      <c r="A808" s="1"/>
      <c r="B808" s="13"/>
    </row>
    <row r="809" spans="1:2" ht="13.2">
      <c r="A809" s="1"/>
      <c r="B809" s="13"/>
    </row>
    <row r="810" spans="1:2" ht="13.2">
      <c r="A810" s="1"/>
      <c r="B810" s="13"/>
    </row>
    <row r="811" spans="1:2" ht="13.2">
      <c r="A811" s="1"/>
      <c r="B811" s="13"/>
    </row>
    <row r="812" spans="1:2" ht="13.2">
      <c r="A812" s="1"/>
      <c r="B812" s="13"/>
    </row>
    <row r="813" spans="1:2" ht="13.2">
      <c r="A813" s="1"/>
      <c r="B813" s="13"/>
    </row>
    <row r="814" spans="1:2" ht="13.2">
      <c r="A814" s="1"/>
      <c r="B814" s="13"/>
    </row>
    <row r="815" spans="1:2" ht="13.2">
      <c r="A815" s="1"/>
      <c r="B815" s="13"/>
    </row>
    <row r="816" spans="1:2" ht="13.2">
      <c r="A816" s="1"/>
      <c r="B816" s="13"/>
    </row>
    <row r="817" spans="1:2" ht="13.2">
      <c r="A817" s="1"/>
      <c r="B817" s="13"/>
    </row>
    <row r="818" spans="1:2" ht="13.2">
      <c r="A818" s="1"/>
      <c r="B818" s="13"/>
    </row>
    <row r="819" spans="1:2" ht="13.2">
      <c r="A819" s="1"/>
      <c r="B819" s="13"/>
    </row>
    <row r="820" spans="1:2" ht="13.2">
      <c r="A820" s="1"/>
      <c r="B820" s="13"/>
    </row>
    <row r="821" spans="1:2" ht="13.2">
      <c r="A821" s="1"/>
      <c r="B821" s="13"/>
    </row>
    <row r="822" spans="1:2" ht="13.2">
      <c r="A822" s="1"/>
      <c r="B822" s="13"/>
    </row>
    <row r="823" spans="1:2" ht="13.2">
      <c r="A823" s="1"/>
      <c r="B823" s="13"/>
    </row>
    <row r="824" spans="1:2" ht="13.2">
      <c r="A824" s="1"/>
      <c r="B824" s="13"/>
    </row>
    <row r="825" spans="1:2" ht="13.2">
      <c r="A825" s="1"/>
      <c r="B825" s="13"/>
    </row>
    <row r="826" spans="1:2" ht="13.2">
      <c r="A826" s="1"/>
      <c r="B826" s="13"/>
    </row>
    <row r="827" spans="1:2" ht="13.2">
      <c r="A827" s="1"/>
      <c r="B827" s="13"/>
    </row>
    <row r="828" spans="1:2" ht="13.2">
      <c r="A828" s="1"/>
      <c r="B828" s="13"/>
    </row>
    <row r="829" spans="1:2" ht="13.2">
      <c r="A829" s="1"/>
      <c r="B829" s="13"/>
    </row>
    <row r="830" spans="1:2" ht="13.2">
      <c r="A830" s="1"/>
      <c r="B830" s="13"/>
    </row>
    <row r="831" spans="1:2" ht="13.2">
      <c r="A831" s="1"/>
      <c r="B831" s="13"/>
    </row>
    <row r="832" spans="1:2" ht="13.2">
      <c r="A832" s="1"/>
      <c r="B832" s="13"/>
    </row>
    <row r="833" spans="1:2" ht="13.2">
      <c r="A833" s="1"/>
      <c r="B833" s="13"/>
    </row>
    <row r="834" spans="1:2" ht="13.2">
      <c r="A834" s="1"/>
      <c r="B834" s="13"/>
    </row>
    <row r="835" spans="1:2" ht="13.2">
      <c r="A835" s="1"/>
      <c r="B835" s="13"/>
    </row>
    <row r="836" spans="1:2" ht="13.2">
      <c r="A836" s="1"/>
      <c r="B836" s="13"/>
    </row>
    <row r="837" spans="1:2" ht="13.2">
      <c r="A837" s="1"/>
      <c r="B837" s="13"/>
    </row>
    <row r="838" spans="1:2" ht="13.2">
      <c r="A838" s="1"/>
      <c r="B838" s="13"/>
    </row>
    <row r="839" spans="1:2" ht="13.2">
      <c r="A839" s="1"/>
      <c r="B839" s="13"/>
    </row>
    <row r="840" spans="1:2" ht="13.2">
      <c r="A840" s="1"/>
      <c r="B840" s="13"/>
    </row>
    <row r="841" spans="1:2" ht="13.2">
      <c r="A841" s="1"/>
      <c r="B841" s="13"/>
    </row>
    <row r="842" spans="1:2" ht="13.2">
      <c r="A842" s="1"/>
      <c r="B842" s="13"/>
    </row>
    <row r="843" spans="1:2" ht="13.2">
      <c r="A843" s="1"/>
      <c r="B843" s="13"/>
    </row>
    <row r="844" spans="1:2" ht="13.2">
      <c r="A844" s="1"/>
      <c r="B844" s="13"/>
    </row>
    <row r="845" spans="1:2" ht="13.2">
      <c r="A845" s="1"/>
      <c r="B845" s="13"/>
    </row>
    <row r="846" spans="1:2" ht="13.2">
      <c r="A846" s="1"/>
      <c r="B846" s="13"/>
    </row>
    <row r="847" spans="1:2" ht="13.2">
      <c r="A847" s="1"/>
      <c r="B847" s="13"/>
    </row>
    <row r="848" spans="1:2" ht="13.2">
      <c r="A848" s="1"/>
      <c r="B848" s="13"/>
    </row>
    <row r="849" spans="1:2" ht="13.2">
      <c r="A849" s="1"/>
      <c r="B849" s="13"/>
    </row>
    <row r="850" spans="1:2" ht="13.2">
      <c r="A850" s="1"/>
      <c r="B850" s="13"/>
    </row>
    <row r="851" spans="1:2" ht="13.2">
      <c r="A851" s="1"/>
      <c r="B851" s="13"/>
    </row>
    <row r="852" spans="1:2" ht="13.2">
      <c r="A852" s="1"/>
      <c r="B852" s="13"/>
    </row>
    <row r="853" spans="1:2" ht="13.2">
      <c r="A853" s="1"/>
      <c r="B853" s="13"/>
    </row>
    <row r="854" spans="1:2" ht="13.2">
      <c r="A854" s="1"/>
      <c r="B854" s="13"/>
    </row>
    <row r="855" spans="1:2" ht="13.2">
      <c r="A855" s="1"/>
      <c r="B855" s="13"/>
    </row>
    <row r="856" spans="1:2" ht="13.2">
      <c r="A856" s="1"/>
      <c r="B856" s="13"/>
    </row>
    <row r="857" spans="1:2" ht="13.2">
      <c r="A857" s="1"/>
      <c r="B857" s="13"/>
    </row>
    <row r="858" spans="1:2" ht="13.2">
      <c r="A858" s="1"/>
      <c r="B858" s="13"/>
    </row>
    <row r="859" spans="1:2" ht="13.2">
      <c r="A859" s="1"/>
      <c r="B859" s="13"/>
    </row>
    <row r="860" spans="1:2" ht="13.2">
      <c r="A860" s="1"/>
      <c r="B860" s="13"/>
    </row>
    <row r="861" spans="1:2" ht="13.2">
      <c r="A861" s="1"/>
      <c r="B861" s="13"/>
    </row>
    <row r="862" spans="1:2" ht="13.2">
      <c r="A862" s="1"/>
      <c r="B862" s="13"/>
    </row>
    <row r="863" spans="1:2" ht="13.2">
      <c r="A863" s="1"/>
      <c r="B863" s="13"/>
    </row>
    <row r="864" spans="1:2" ht="13.2">
      <c r="A864" s="1"/>
      <c r="B864" s="13"/>
    </row>
    <row r="865" spans="1:2" ht="13.2">
      <c r="A865" s="1"/>
      <c r="B865" s="13"/>
    </row>
    <row r="866" spans="1:2" ht="13.2">
      <c r="A866" s="1"/>
      <c r="B866" s="13"/>
    </row>
    <row r="867" spans="1:2" ht="13.2">
      <c r="A867" s="1"/>
      <c r="B867" s="13"/>
    </row>
    <row r="868" spans="1:2" ht="13.2">
      <c r="A868" s="1"/>
      <c r="B868" s="13"/>
    </row>
    <row r="869" spans="1:2" ht="13.2">
      <c r="A869" s="1"/>
      <c r="B869" s="13"/>
    </row>
    <row r="870" spans="1:2" ht="13.2">
      <c r="A870" s="1"/>
      <c r="B870" s="13"/>
    </row>
    <row r="871" spans="1:2" ht="13.2">
      <c r="A871" s="1"/>
      <c r="B871" s="13"/>
    </row>
    <row r="872" spans="1:2" ht="13.2">
      <c r="A872" s="1"/>
      <c r="B872" s="13"/>
    </row>
    <row r="873" spans="1:2" ht="13.2">
      <c r="A873" s="1"/>
      <c r="B873" s="13"/>
    </row>
    <row r="874" spans="1:2" ht="13.2">
      <c r="A874" s="1"/>
      <c r="B874" s="13"/>
    </row>
    <row r="875" spans="1:2" ht="13.2">
      <c r="A875" s="1"/>
      <c r="B875" s="13"/>
    </row>
    <row r="876" spans="1:2" ht="13.2">
      <c r="A876" s="1"/>
      <c r="B876" s="13"/>
    </row>
    <row r="877" spans="1:2" ht="13.2">
      <c r="A877" s="1"/>
      <c r="B877" s="13"/>
    </row>
    <row r="878" spans="1:2" ht="13.2">
      <c r="A878" s="1"/>
      <c r="B878" s="13"/>
    </row>
    <row r="879" spans="1:2" ht="13.2">
      <c r="A879" s="1"/>
      <c r="B879" s="13"/>
    </row>
    <row r="880" spans="1:2" ht="13.2">
      <c r="A880" s="1"/>
      <c r="B880" s="13"/>
    </row>
    <row r="881" spans="1:2" ht="13.2">
      <c r="A881" s="1"/>
      <c r="B881" s="13"/>
    </row>
    <row r="882" spans="1:2" ht="13.2">
      <c r="A882" s="1"/>
      <c r="B882" s="13"/>
    </row>
    <row r="883" spans="1:2" ht="13.2">
      <c r="A883" s="1"/>
      <c r="B883" s="13"/>
    </row>
    <row r="884" spans="1:2" ht="13.2">
      <c r="A884" s="1"/>
      <c r="B884" s="13"/>
    </row>
    <row r="885" spans="1:2" ht="13.2">
      <c r="A885" s="1"/>
      <c r="B885" s="13"/>
    </row>
    <row r="886" spans="1:2" ht="13.2">
      <c r="A886" s="1"/>
      <c r="B886" s="13"/>
    </row>
    <row r="887" spans="1:2" ht="13.2">
      <c r="A887" s="1"/>
      <c r="B887" s="13"/>
    </row>
    <row r="888" spans="1:2" ht="13.2">
      <c r="A888" s="1"/>
      <c r="B888" s="13"/>
    </row>
    <row r="889" spans="1:2" ht="13.2">
      <c r="A889" s="1"/>
      <c r="B889" s="13"/>
    </row>
    <row r="890" spans="1:2" ht="13.2">
      <c r="A890" s="1"/>
      <c r="B890" s="13"/>
    </row>
    <row r="891" spans="1:2" ht="13.2">
      <c r="A891" s="1"/>
      <c r="B891" s="13"/>
    </row>
    <row r="892" spans="1:2" ht="13.2">
      <c r="A892" s="1"/>
      <c r="B892" s="13"/>
    </row>
    <row r="893" spans="1:2" ht="13.2">
      <c r="A893" s="1"/>
      <c r="B893" s="13"/>
    </row>
    <row r="894" spans="1:2" ht="13.2">
      <c r="A894" s="1"/>
      <c r="B894" s="13"/>
    </row>
    <row r="895" spans="1:2" ht="13.2">
      <c r="A895" s="1"/>
      <c r="B895" s="13"/>
    </row>
    <row r="896" spans="1:2" ht="13.2">
      <c r="A896" s="1"/>
      <c r="B896" s="13"/>
    </row>
    <row r="897" spans="1:2" ht="13.2">
      <c r="A897" s="1"/>
      <c r="B897" s="13"/>
    </row>
    <row r="898" spans="1:2" ht="13.2">
      <c r="A898" s="1"/>
      <c r="B898" s="13"/>
    </row>
    <row r="899" spans="1:2" ht="13.2">
      <c r="A899" s="1"/>
      <c r="B899" s="13"/>
    </row>
    <row r="900" spans="1:2" ht="13.2">
      <c r="A900" s="1"/>
      <c r="B900" s="13"/>
    </row>
    <row r="901" spans="1:2" ht="13.2">
      <c r="A901" s="1"/>
      <c r="B901" s="13"/>
    </row>
    <row r="902" spans="1:2" ht="13.2">
      <c r="A902" s="1"/>
      <c r="B902" s="13"/>
    </row>
    <row r="903" spans="1:2" ht="13.2">
      <c r="A903" s="1"/>
      <c r="B903" s="13"/>
    </row>
    <row r="904" spans="1:2" ht="13.2">
      <c r="A904" s="1"/>
      <c r="B904" s="13"/>
    </row>
    <row r="905" spans="1:2" ht="13.2">
      <c r="A905" s="1"/>
      <c r="B905" s="13"/>
    </row>
    <row r="906" spans="1:2" ht="13.2">
      <c r="A906" s="1"/>
      <c r="B906" s="13"/>
    </row>
    <row r="907" spans="1:2" ht="13.2">
      <c r="A907" s="1"/>
      <c r="B907" s="13"/>
    </row>
    <row r="908" spans="1:2" ht="13.2">
      <c r="A908" s="1"/>
      <c r="B908" s="13"/>
    </row>
    <row r="909" spans="1:2" ht="13.2">
      <c r="A909" s="1"/>
      <c r="B909" s="13"/>
    </row>
    <row r="910" spans="1:2" ht="13.2">
      <c r="A910" s="1"/>
      <c r="B910" s="13"/>
    </row>
    <row r="911" spans="1:2" ht="13.2">
      <c r="A911" s="1"/>
      <c r="B911" s="13"/>
    </row>
    <row r="912" spans="1:2" ht="13.2">
      <c r="A912" s="1"/>
      <c r="B912" s="13"/>
    </row>
    <row r="913" spans="1:2" ht="13.2">
      <c r="A913" s="1"/>
      <c r="B913" s="13"/>
    </row>
    <row r="914" spans="1:2" ht="13.2">
      <c r="A914" s="1"/>
      <c r="B914" s="13"/>
    </row>
    <row r="915" spans="1:2" ht="13.2">
      <c r="A915" s="1"/>
      <c r="B915" s="13"/>
    </row>
    <row r="916" spans="1:2" ht="13.2">
      <c r="A916" s="1"/>
      <c r="B916" s="13"/>
    </row>
    <row r="917" spans="1:2" ht="13.2">
      <c r="A917" s="1"/>
      <c r="B917" s="13"/>
    </row>
    <row r="918" spans="1:2" ht="13.2">
      <c r="A918" s="1"/>
      <c r="B918" s="13"/>
    </row>
    <row r="919" spans="1:2" ht="13.2">
      <c r="A919" s="1"/>
      <c r="B919" s="13"/>
    </row>
    <row r="920" spans="1:2" ht="13.2">
      <c r="A920" s="1"/>
      <c r="B920" s="13"/>
    </row>
    <row r="921" spans="1:2" ht="13.2">
      <c r="A921" s="1"/>
      <c r="B921" s="13"/>
    </row>
    <row r="922" spans="1:2" ht="13.2">
      <c r="A922" s="1"/>
      <c r="B922" s="13"/>
    </row>
    <row r="923" spans="1:2" ht="13.2">
      <c r="A923" s="1"/>
      <c r="B923" s="13"/>
    </row>
    <row r="924" spans="1:2" ht="13.2">
      <c r="A924" s="1"/>
      <c r="B924" s="13"/>
    </row>
    <row r="925" spans="1:2" ht="13.2">
      <c r="A925" s="1"/>
      <c r="B925" s="13"/>
    </row>
    <row r="926" spans="1:2" ht="13.2">
      <c r="A926" s="1"/>
      <c r="B926" s="13"/>
    </row>
    <row r="927" spans="1:2" ht="13.2">
      <c r="A927" s="1"/>
      <c r="B927" s="13"/>
    </row>
    <row r="928" spans="1:2" ht="13.2">
      <c r="A928" s="1"/>
      <c r="B928" s="13"/>
    </row>
    <row r="929" spans="1:2" ht="13.2">
      <c r="A929" s="1"/>
      <c r="B929" s="13"/>
    </row>
    <row r="930" spans="1:2" ht="13.2">
      <c r="A930" s="1"/>
      <c r="B930" s="13"/>
    </row>
    <row r="931" spans="1:2" ht="13.2">
      <c r="A931" s="1"/>
      <c r="B931" s="13"/>
    </row>
    <row r="932" spans="1:2" ht="13.2">
      <c r="A932" s="1"/>
      <c r="B932" s="13"/>
    </row>
    <row r="933" spans="1:2" ht="13.2">
      <c r="A933" s="1"/>
      <c r="B933" s="13"/>
    </row>
    <row r="934" spans="1:2" ht="13.2">
      <c r="A934" s="1"/>
      <c r="B934" s="13"/>
    </row>
    <row r="935" spans="1:2" ht="13.2">
      <c r="A935" s="1"/>
      <c r="B935" s="13"/>
    </row>
    <row r="936" spans="1:2" ht="13.2">
      <c r="A936" s="1"/>
      <c r="B936" s="13"/>
    </row>
    <row r="937" spans="1:2" ht="13.2">
      <c r="A937" s="1"/>
      <c r="B937" s="13"/>
    </row>
    <row r="938" spans="1:2" ht="13.2">
      <c r="A938" s="1"/>
      <c r="B938" s="13"/>
    </row>
    <row r="939" spans="1:2" ht="13.2">
      <c r="A939" s="1"/>
      <c r="B939" s="13"/>
    </row>
    <row r="940" spans="1:2" ht="13.2">
      <c r="A940" s="1"/>
      <c r="B940" s="13"/>
    </row>
    <row r="941" spans="1:2" ht="13.2">
      <c r="A941" s="1"/>
      <c r="B941" s="13"/>
    </row>
    <row r="942" spans="1:2" ht="13.2">
      <c r="A942" s="1"/>
      <c r="B942" s="13"/>
    </row>
    <row r="943" spans="1:2" ht="13.2">
      <c r="A943" s="1"/>
      <c r="B943" s="13"/>
    </row>
    <row r="944" spans="1:2" ht="13.2">
      <c r="A944" s="1"/>
      <c r="B944" s="13"/>
    </row>
    <row r="945" spans="1:2" ht="13.2">
      <c r="A945" s="1"/>
      <c r="B945" s="13"/>
    </row>
    <row r="946" spans="1:2" ht="13.2">
      <c r="A946" s="1"/>
      <c r="B946" s="13"/>
    </row>
    <row r="947" spans="1:2" ht="13.2">
      <c r="A947" s="1"/>
      <c r="B947" s="13"/>
    </row>
    <row r="948" spans="1:2" ht="13.2">
      <c r="A948" s="1"/>
      <c r="B948" s="13"/>
    </row>
    <row r="949" spans="1:2" ht="13.2">
      <c r="A949" s="1"/>
      <c r="B949" s="13"/>
    </row>
    <row r="950" spans="1:2" ht="13.2">
      <c r="A950" s="1"/>
      <c r="B950" s="13"/>
    </row>
    <row r="951" spans="1:2" ht="13.2">
      <c r="A951" s="1"/>
      <c r="B951" s="13"/>
    </row>
    <row r="952" spans="1:2" ht="13.2">
      <c r="A952" s="1"/>
      <c r="B952" s="13"/>
    </row>
    <row r="953" spans="1:2" ht="13.2">
      <c r="A953" s="1"/>
      <c r="B953" s="13"/>
    </row>
    <row r="954" spans="1:2" ht="13.2">
      <c r="A954" s="1"/>
      <c r="B954" s="13"/>
    </row>
    <row r="955" spans="1:2" ht="13.2">
      <c r="A955" s="1"/>
      <c r="B955" s="13"/>
    </row>
    <row r="956" spans="1:2" ht="13.2">
      <c r="A956" s="1"/>
      <c r="B956" s="13"/>
    </row>
    <row r="957" spans="1:2" ht="13.2">
      <c r="A957" s="1"/>
      <c r="B957" s="13"/>
    </row>
    <row r="958" spans="1:2" ht="13.2">
      <c r="A958" s="1"/>
      <c r="B958" s="13"/>
    </row>
    <row r="959" spans="1:2" ht="13.2">
      <c r="A959" s="1"/>
      <c r="B959" s="13"/>
    </row>
    <row r="960" spans="1:2" ht="13.2">
      <c r="A960" s="1"/>
      <c r="B960" s="13"/>
    </row>
    <row r="961" spans="1:2" ht="13.2">
      <c r="A961" s="1"/>
      <c r="B961" s="13"/>
    </row>
    <row r="962" spans="1:2" ht="13.2">
      <c r="A962" s="1"/>
      <c r="B962" s="13"/>
    </row>
    <row r="963" spans="1:2" ht="13.2">
      <c r="A963" s="1"/>
      <c r="B963" s="13"/>
    </row>
    <row r="964" spans="1:2" ht="13.2">
      <c r="A964" s="1"/>
      <c r="B964" s="13"/>
    </row>
    <row r="965" spans="1:2" ht="13.2">
      <c r="A965" s="1"/>
      <c r="B965" s="13"/>
    </row>
    <row r="966" spans="1:2" ht="13.2">
      <c r="A966" s="1"/>
      <c r="B966" s="13"/>
    </row>
    <row r="967" spans="1:2" ht="13.2">
      <c r="A967" s="1"/>
      <c r="B967" s="13"/>
    </row>
    <row r="968" spans="1:2" ht="13.2">
      <c r="A968" s="1"/>
      <c r="B968" s="13"/>
    </row>
    <row r="969" spans="1:2" ht="13.2">
      <c r="A969" s="1"/>
      <c r="B969" s="13"/>
    </row>
    <row r="970" spans="1:2" ht="13.2">
      <c r="A970" s="1"/>
      <c r="B970" s="13"/>
    </row>
    <row r="971" spans="1:2" ht="13.2">
      <c r="A971" s="1"/>
      <c r="B971" s="13"/>
    </row>
    <row r="972" spans="1:2" ht="13.2">
      <c r="A972" s="1"/>
      <c r="B972" s="13"/>
    </row>
    <row r="973" spans="1:2" ht="13.2">
      <c r="A973" s="1"/>
      <c r="B973" s="13"/>
    </row>
    <row r="974" spans="1:2" ht="13.2">
      <c r="A974" s="1"/>
      <c r="B974" s="13"/>
    </row>
    <row r="975" spans="1:2" ht="13.2">
      <c r="A975" s="1"/>
      <c r="B975" s="13"/>
    </row>
    <row r="976" spans="1:2" ht="13.2">
      <c r="A976" s="1"/>
      <c r="B976" s="13"/>
    </row>
    <row r="977" spans="1:2" ht="13.2">
      <c r="A977" s="1"/>
      <c r="B977" s="13"/>
    </row>
    <row r="978" spans="1:2" ht="13.2">
      <c r="A978" s="1"/>
      <c r="B978" s="13"/>
    </row>
    <row r="979" spans="1:2" ht="13.2">
      <c r="A979" s="1"/>
      <c r="B979" s="13"/>
    </row>
    <row r="980" spans="1:2" ht="13.2">
      <c r="A980" s="1"/>
      <c r="B980" s="13"/>
    </row>
    <row r="981" spans="1:2" ht="13.2">
      <c r="A981" s="1"/>
      <c r="B981" s="13"/>
    </row>
    <row r="982" spans="1:2" ht="13.2">
      <c r="A982" s="1"/>
      <c r="B982" s="13"/>
    </row>
    <row r="983" spans="1:2" ht="13.2">
      <c r="A983" s="1"/>
      <c r="B983" s="13"/>
    </row>
    <row r="984" spans="1:2" ht="13.2">
      <c r="A984" s="1"/>
      <c r="B984" s="13"/>
    </row>
    <row r="985" spans="1:2" ht="13.2">
      <c r="A985" s="1"/>
      <c r="B985" s="13"/>
    </row>
    <row r="986" spans="1:2" ht="13.2">
      <c r="A986" s="1"/>
      <c r="B986" s="13"/>
    </row>
    <row r="987" spans="1:2" ht="13.2">
      <c r="A987" s="1"/>
      <c r="B987" s="13"/>
    </row>
    <row r="988" spans="1:2" ht="13.2">
      <c r="A988" s="1"/>
      <c r="B988" s="13"/>
    </row>
    <row r="989" spans="1:2" ht="13.2">
      <c r="A989" s="1"/>
      <c r="B989" s="13"/>
    </row>
    <row r="990" spans="1:2" ht="13.2">
      <c r="A990" s="1"/>
      <c r="B990" s="13"/>
    </row>
    <row r="991" spans="1:2" ht="13.2">
      <c r="A991" s="1"/>
      <c r="B991" s="13"/>
    </row>
    <row r="992" spans="1:2" ht="13.2">
      <c r="A992" s="1"/>
      <c r="B992" s="13"/>
    </row>
    <row r="993" spans="1:2" ht="13.2">
      <c r="A993" s="1"/>
      <c r="B993" s="13"/>
    </row>
    <row r="994" spans="1:2" ht="13.2">
      <c r="A994" s="1"/>
      <c r="B994" s="13"/>
    </row>
    <row r="995" spans="1:2" ht="13.2">
      <c r="A995" s="1"/>
      <c r="B995" s="13"/>
    </row>
    <row r="996" spans="1:2" ht="13.2">
      <c r="A996" s="1"/>
      <c r="B996" s="13"/>
    </row>
    <row r="997" spans="1:2" ht="13.2">
      <c r="A997" s="1"/>
      <c r="B997" s="13"/>
    </row>
    <row r="998" spans="1:2" ht="13.2">
      <c r="A998" s="1"/>
      <c r="B998" s="13"/>
    </row>
    <row r="999" spans="1:2" ht="13.2">
      <c r="A999" s="1"/>
      <c r="B999" s="13"/>
    </row>
    <row r="1000" spans="1:2" ht="13.2">
      <c r="A1000" s="1"/>
      <c r="B1000" s="13"/>
    </row>
    <row r="1001" spans="1:2" ht="13.2">
      <c r="A1001" s="1"/>
      <c r="B1001" s="13"/>
    </row>
    <row r="1002" spans="1:2" ht="13.2">
      <c r="A1002" s="1"/>
      <c r="B1002" s="13"/>
    </row>
    <row r="1003" spans="1:2" ht="13.2">
      <c r="A1003" s="1"/>
      <c r="B1003" s="13"/>
    </row>
    <row r="1004" spans="1:2" ht="13.2">
      <c r="A1004" s="1"/>
      <c r="B1004" s="13"/>
    </row>
    <row r="1005" spans="1:2" ht="13.2">
      <c r="A1005" s="1"/>
      <c r="B1005" s="13"/>
    </row>
    <row r="1006" spans="1:2" ht="13.2">
      <c r="A1006" s="1"/>
      <c r="B1006" s="13"/>
    </row>
    <row r="1007" spans="1:2" ht="13.2">
      <c r="A1007" s="1"/>
      <c r="B1007" s="13"/>
    </row>
    <row r="1008" spans="1:2" ht="13.2">
      <c r="A1008" s="1"/>
      <c r="B1008" s="13"/>
    </row>
    <row r="1009" spans="1:2" ht="13.2">
      <c r="A1009" s="1"/>
      <c r="B1009" s="13"/>
    </row>
    <row r="1010" spans="1:2" ht="13.2">
      <c r="A1010" s="1"/>
      <c r="B1010" s="13"/>
    </row>
    <row r="1011" spans="1:2" ht="13.2">
      <c r="A1011" s="1"/>
      <c r="B1011" s="13"/>
    </row>
    <row r="1012" spans="1:2" ht="13.2">
      <c r="A1012" s="1"/>
      <c r="B1012" s="13"/>
    </row>
    <row r="1013" spans="1:2" ht="13.2">
      <c r="A1013" s="1"/>
      <c r="B1013" s="13"/>
    </row>
    <row r="1014" spans="1:2" ht="13.2">
      <c r="A1014" s="1"/>
      <c r="B1014" s="13"/>
    </row>
    <row r="1015" spans="1:2" ht="13.2">
      <c r="A1015" s="1"/>
      <c r="B1015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D1000"/>
  <sheetViews>
    <sheetView workbookViewId="0">
      <selection activeCell="D2" sqref="D2"/>
    </sheetView>
  </sheetViews>
  <sheetFormatPr baseColWidth="10" defaultColWidth="12.6640625" defaultRowHeight="15.75" customHeight="1"/>
  <cols>
    <col min="1" max="1" width="14" customWidth="1"/>
  </cols>
  <sheetData>
    <row r="1" spans="1:4" ht="15.75" customHeight="1">
      <c r="A1" s="5" t="s">
        <v>348</v>
      </c>
      <c r="B1" s="11" t="s">
        <v>340</v>
      </c>
      <c r="C1" t="s">
        <v>367</v>
      </c>
      <c r="D1" t="s">
        <v>371</v>
      </c>
    </row>
    <row r="2" spans="1:4" ht="15.75" customHeight="1">
      <c r="A2" s="3">
        <v>1</v>
      </c>
      <c r="B2" s="11" t="s">
        <v>341</v>
      </c>
      <c r="C2" s="34">
        <v>7.2600145031019608E-2</v>
      </c>
      <c r="D2" s="34">
        <v>8.4243317871976003E-2</v>
      </c>
    </row>
    <row r="3" spans="1:4" ht="15.75" customHeight="1">
      <c r="A3" s="3">
        <v>2</v>
      </c>
      <c r="B3" s="11" t="s">
        <v>30</v>
      </c>
      <c r="C3" s="34">
        <v>0.11019560264230822</v>
      </c>
      <c r="D3" s="34">
        <v>0.11674279592611361</v>
      </c>
    </row>
    <row r="4" spans="1:4" ht="15.75" customHeight="1">
      <c r="A4" s="3">
        <v>3</v>
      </c>
      <c r="B4" s="11" t="s">
        <v>344</v>
      </c>
      <c r="C4" s="34">
        <v>0.11268890446831152</v>
      </c>
      <c r="D4" s="34">
        <v>0.10741768169031007</v>
      </c>
    </row>
    <row r="5" spans="1:4" ht="15.75" customHeight="1">
      <c r="A5" s="3">
        <v>4</v>
      </c>
      <c r="B5" s="11" t="s">
        <v>165</v>
      </c>
      <c r="C5" s="34">
        <v>7.593086795005996E-2</v>
      </c>
      <c r="D5" s="34">
        <v>7.7184963716512442E-2</v>
      </c>
    </row>
    <row r="6" spans="1:4" ht="15.75" customHeight="1">
      <c r="A6" s="3">
        <v>5</v>
      </c>
      <c r="B6" s="11" t="s">
        <v>200</v>
      </c>
      <c r="C6" s="34">
        <v>4.1990819174178934E-2</v>
      </c>
      <c r="D6" s="34">
        <v>4.8544036633336896E-2</v>
      </c>
    </row>
    <row r="7" spans="1:4" ht="15.75" customHeight="1">
      <c r="A7" s="3">
        <v>6</v>
      </c>
      <c r="B7" s="11" t="s">
        <v>242</v>
      </c>
      <c r="C7" s="34">
        <v>0.11438315719373082</v>
      </c>
      <c r="D7" s="34">
        <v>0.12788195878025496</v>
      </c>
    </row>
    <row r="8" spans="1:4" ht="15.75" customHeight="1">
      <c r="A8" s="3">
        <v>7</v>
      </c>
      <c r="B8" s="11" t="s">
        <v>347</v>
      </c>
      <c r="C8" s="34">
        <v>0.19329667991871977</v>
      </c>
      <c r="D8" s="34">
        <v>0.20339498181806537</v>
      </c>
    </row>
    <row r="9" spans="1:4" ht="15.75" customHeight="1">
      <c r="A9" s="3">
        <v>8</v>
      </c>
      <c r="B9" s="11" t="s">
        <v>342</v>
      </c>
      <c r="C9" s="34">
        <v>9.9496242388490849E-2</v>
      </c>
      <c r="D9" s="34">
        <v>0.14178752713718265</v>
      </c>
    </row>
    <row r="10" spans="1:4" ht="15.75" customHeight="1">
      <c r="A10" s="3">
        <v>9</v>
      </c>
      <c r="B10" s="11" t="s">
        <v>346</v>
      </c>
      <c r="C10" s="34">
        <v>9.6593245889424861E-2</v>
      </c>
      <c r="D10" s="34">
        <v>0.11980889607625171</v>
      </c>
    </row>
    <row r="11" spans="1:4" ht="15.75" customHeight="1">
      <c r="A11" s="3">
        <v>10</v>
      </c>
      <c r="B11" s="11" t="s">
        <v>345</v>
      </c>
      <c r="C11" s="34">
        <v>0.12141138922925801</v>
      </c>
      <c r="D11" s="34">
        <v>0.14113600813743218</v>
      </c>
    </row>
    <row r="12" spans="1:4" ht="15.75" customHeight="1">
      <c r="A12" s="3">
        <v>11</v>
      </c>
      <c r="B12" s="11" t="s">
        <v>343</v>
      </c>
      <c r="C12" s="34">
        <v>0.1239251814648277</v>
      </c>
      <c r="D12" s="34">
        <v>0.14009684865370861</v>
      </c>
    </row>
    <row r="13" spans="1:4" ht="13.2">
      <c r="A13" s="16"/>
      <c r="B13" s="17"/>
    </row>
    <row r="14" spans="1:4" ht="13.2">
      <c r="A14" s="16"/>
      <c r="B14" s="17"/>
    </row>
    <row r="15" spans="1:4" ht="13.2">
      <c r="A15" s="16"/>
      <c r="B15" s="17"/>
    </row>
    <row r="16" spans="1:4" ht="13.2">
      <c r="A16" s="16"/>
      <c r="B16" s="17"/>
    </row>
    <row r="17" spans="1:2" ht="13.2">
      <c r="A17" s="16"/>
      <c r="B17" s="17"/>
    </row>
    <row r="18" spans="1:2" ht="13.2">
      <c r="A18" s="16"/>
      <c r="B18" s="17"/>
    </row>
    <row r="19" spans="1:2" ht="13.2">
      <c r="A19" s="16"/>
      <c r="B19" s="17"/>
    </row>
    <row r="20" spans="1:2" ht="13.2">
      <c r="A20" s="16"/>
      <c r="B20" s="17"/>
    </row>
    <row r="21" spans="1:2" ht="13.2">
      <c r="A21" s="16"/>
      <c r="B21" s="17"/>
    </row>
    <row r="22" spans="1:2" ht="13.2">
      <c r="A22" s="16"/>
      <c r="B22" s="17"/>
    </row>
    <row r="23" spans="1:2" ht="13.2">
      <c r="A23" s="16"/>
      <c r="B23" s="17"/>
    </row>
    <row r="24" spans="1:2" ht="13.2">
      <c r="A24" s="16"/>
      <c r="B24" s="17"/>
    </row>
    <row r="25" spans="1:2" ht="13.2">
      <c r="A25" s="16"/>
      <c r="B25" s="17"/>
    </row>
    <row r="26" spans="1:2" ht="13.2">
      <c r="A26" s="16"/>
      <c r="B26" s="17"/>
    </row>
    <row r="27" spans="1:2" ht="13.2">
      <c r="A27" s="16"/>
      <c r="B27" s="17"/>
    </row>
    <row r="28" spans="1:2" ht="13.2">
      <c r="A28" s="16"/>
      <c r="B28" s="17"/>
    </row>
    <row r="29" spans="1:2" ht="13.2">
      <c r="A29" s="16"/>
      <c r="B29" s="17"/>
    </row>
    <row r="30" spans="1:2" ht="13.2">
      <c r="A30" s="16"/>
      <c r="B30" s="17"/>
    </row>
    <row r="31" spans="1:2" ht="13.2">
      <c r="A31" s="16"/>
      <c r="B31" s="17"/>
    </row>
    <row r="32" spans="1:2" ht="13.2">
      <c r="A32" s="16"/>
      <c r="B32" s="17"/>
    </row>
    <row r="33" spans="1:2" ht="13.2">
      <c r="A33" s="16"/>
      <c r="B33" s="17"/>
    </row>
    <row r="34" spans="1:2" ht="13.2">
      <c r="A34" s="16"/>
      <c r="B34" s="17"/>
    </row>
    <row r="35" spans="1:2" ht="13.2">
      <c r="A35" s="16"/>
      <c r="B35" s="17"/>
    </row>
    <row r="36" spans="1:2" ht="13.2">
      <c r="A36" s="16"/>
      <c r="B36" s="17"/>
    </row>
    <row r="37" spans="1:2" ht="13.2">
      <c r="A37" s="16"/>
      <c r="B37" s="17"/>
    </row>
    <row r="38" spans="1:2" ht="13.2">
      <c r="A38" s="16"/>
      <c r="B38" s="17"/>
    </row>
    <row r="39" spans="1:2" ht="13.2">
      <c r="A39" s="16"/>
      <c r="B39" s="17"/>
    </row>
    <row r="40" spans="1:2" ht="13.2">
      <c r="A40" s="16"/>
      <c r="B40" s="17"/>
    </row>
    <row r="41" spans="1:2" ht="13.2">
      <c r="A41" s="16"/>
      <c r="B41" s="17"/>
    </row>
    <row r="42" spans="1:2" ht="13.2">
      <c r="A42" s="16"/>
      <c r="B42" s="17"/>
    </row>
    <row r="43" spans="1:2" ht="13.2">
      <c r="A43" s="16"/>
      <c r="B43" s="17"/>
    </row>
    <row r="44" spans="1:2" ht="13.2">
      <c r="A44" s="16"/>
      <c r="B44" s="17"/>
    </row>
    <row r="45" spans="1:2" ht="13.2">
      <c r="A45" s="16"/>
      <c r="B45" s="17"/>
    </row>
    <row r="46" spans="1:2" ht="13.2">
      <c r="A46" s="16"/>
      <c r="B46" s="17"/>
    </row>
    <row r="47" spans="1:2" ht="13.2">
      <c r="A47" s="16"/>
      <c r="B47" s="17"/>
    </row>
    <row r="48" spans="1:2" ht="13.2">
      <c r="A48" s="16"/>
      <c r="B48" s="17"/>
    </row>
    <row r="49" spans="1:2" ht="13.2">
      <c r="A49" s="16"/>
      <c r="B49" s="17"/>
    </row>
    <row r="50" spans="1:2" ht="13.2">
      <c r="A50" s="16"/>
      <c r="B50" s="17"/>
    </row>
    <row r="51" spans="1:2" ht="13.2">
      <c r="A51" s="16"/>
      <c r="B51" s="17"/>
    </row>
    <row r="52" spans="1:2" ht="13.2">
      <c r="A52" s="16"/>
      <c r="B52" s="17"/>
    </row>
    <row r="53" spans="1:2" ht="13.2">
      <c r="A53" s="16"/>
      <c r="B53" s="17"/>
    </row>
    <row r="54" spans="1:2" ht="13.2">
      <c r="A54" s="16"/>
      <c r="B54" s="17"/>
    </row>
    <row r="55" spans="1:2" ht="13.2">
      <c r="A55" s="16"/>
      <c r="B55" s="17"/>
    </row>
    <row r="56" spans="1:2" ht="13.2">
      <c r="A56" s="16"/>
      <c r="B56" s="17"/>
    </row>
    <row r="57" spans="1:2" ht="13.2">
      <c r="A57" s="16"/>
      <c r="B57" s="17"/>
    </row>
    <row r="58" spans="1:2" ht="13.2">
      <c r="A58" s="16"/>
      <c r="B58" s="17"/>
    </row>
    <row r="59" spans="1:2" ht="13.2">
      <c r="A59" s="16"/>
      <c r="B59" s="17"/>
    </row>
    <row r="60" spans="1:2" ht="13.2">
      <c r="A60" s="16"/>
      <c r="B60" s="17"/>
    </row>
    <row r="61" spans="1:2" ht="13.2">
      <c r="A61" s="16"/>
      <c r="B61" s="17"/>
    </row>
    <row r="62" spans="1:2" ht="13.2">
      <c r="A62" s="16"/>
      <c r="B62" s="17"/>
    </row>
    <row r="63" spans="1:2" ht="13.2">
      <c r="A63" s="16"/>
      <c r="B63" s="17"/>
    </row>
    <row r="64" spans="1:2" ht="13.2">
      <c r="A64" s="16"/>
      <c r="B64" s="17"/>
    </row>
    <row r="65" spans="1:2" ht="13.2">
      <c r="A65" s="16"/>
      <c r="B65" s="17"/>
    </row>
    <row r="66" spans="1:2" ht="13.2">
      <c r="A66" s="16"/>
      <c r="B66" s="17"/>
    </row>
    <row r="67" spans="1:2" ht="13.2">
      <c r="A67" s="16"/>
      <c r="B67" s="17"/>
    </row>
    <row r="68" spans="1:2" ht="13.2">
      <c r="A68" s="16"/>
      <c r="B68" s="17"/>
    </row>
    <row r="69" spans="1:2" ht="13.2">
      <c r="A69" s="16"/>
      <c r="B69" s="17"/>
    </row>
    <row r="70" spans="1:2" ht="13.2">
      <c r="A70" s="16"/>
      <c r="B70" s="17"/>
    </row>
    <row r="71" spans="1:2" ht="13.2">
      <c r="A71" s="16"/>
      <c r="B71" s="17"/>
    </row>
    <row r="72" spans="1:2" ht="13.2">
      <c r="A72" s="16"/>
      <c r="B72" s="17"/>
    </row>
    <row r="73" spans="1:2" ht="13.2">
      <c r="A73" s="16"/>
      <c r="B73" s="17"/>
    </row>
    <row r="74" spans="1:2" ht="13.2">
      <c r="A74" s="16"/>
      <c r="B74" s="17"/>
    </row>
    <row r="75" spans="1:2" ht="13.2">
      <c r="A75" s="16"/>
      <c r="B75" s="17"/>
    </row>
    <row r="76" spans="1:2" ht="13.2">
      <c r="A76" s="16"/>
      <c r="B76" s="17"/>
    </row>
    <row r="77" spans="1:2" ht="13.2">
      <c r="A77" s="16"/>
      <c r="B77" s="17"/>
    </row>
    <row r="78" spans="1:2" ht="13.2">
      <c r="A78" s="16"/>
      <c r="B78" s="17"/>
    </row>
    <row r="79" spans="1:2" ht="13.2">
      <c r="A79" s="16"/>
      <c r="B79" s="17"/>
    </row>
    <row r="80" spans="1:2" ht="13.2">
      <c r="A80" s="16"/>
      <c r="B80" s="17"/>
    </row>
    <row r="81" spans="1:2" ht="13.2">
      <c r="A81" s="16"/>
      <c r="B81" s="17"/>
    </row>
    <row r="82" spans="1:2" ht="13.2">
      <c r="A82" s="16"/>
      <c r="B82" s="17"/>
    </row>
    <row r="83" spans="1:2" ht="13.2">
      <c r="A83" s="16"/>
      <c r="B83" s="17"/>
    </row>
    <row r="84" spans="1:2" ht="13.2">
      <c r="A84" s="16"/>
      <c r="B84" s="17"/>
    </row>
    <row r="85" spans="1:2" ht="13.2">
      <c r="A85" s="16"/>
      <c r="B85" s="17"/>
    </row>
    <row r="86" spans="1:2" ht="13.2">
      <c r="A86" s="16"/>
      <c r="B86" s="17"/>
    </row>
    <row r="87" spans="1:2" ht="13.2">
      <c r="A87" s="16"/>
      <c r="B87" s="17"/>
    </row>
    <row r="88" spans="1:2" ht="13.2">
      <c r="A88" s="16"/>
      <c r="B88" s="17"/>
    </row>
    <row r="89" spans="1:2" ht="13.2">
      <c r="A89" s="16"/>
      <c r="B89" s="17"/>
    </row>
    <row r="90" spans="1:2" ht="13.2">
      <c r="A90" s="16"/>
      <c r="B90" s="17"/>
    </row>
    <row r="91" spans="1:2" ht="13.2">
      <c r="A91" s="16"/>
      <c r="B91" s="17"/>
    </row>
    <row r="92" spans="1:2" ht="13.2">
      <c r="A92" s="16"/>
      <c r="B92" s="17"/>
    </row>
    <row r="93" spans="1:2" ht="13.2">
      <c r="A93" s="16"/>
      <c r="B93" s="17"/>
    </row>
    <row r="94" spans="1:2" ht="13.2">
      <c r="A94" s="16"/>
      <c r="B94" s="17"/>
    </row>
    <row r="95" spans="1:2" ht="13.2">
      <c r="A95" s="16"/>
      <c r="B95" s="17"/>
    </row>
    <row r="96" spans="1:2" ht="13.2">
      <c r="A96" s="16"/>
      <c r="B96" s="17"/>
    </row>
    <row r="97" spans="1:2" ht="13.2">
      <c r="A97" s="16"/>
      <c r="B97" s="17"/>
    </row>
    <row r="98" spans="1:2" ht="13.2">
      <c r="A98" s="16"/>
      <c r="B98" s="17"/>
    </row>
    <row r="99" spans="1:2" ht="13.2">
      <c r="A99" s="16"/>
      <c r="B99" s="17"/>
    </row>
    <row r="100" spans="1:2" ht="13.2">
      <c r="A100" s="16"/>
      <c r="B100" s="17"/>
    </row>
    <row r="101" spans="1:2" ht="13.2">
      <c r="A101" s="16"/>
      <c r="B101" s="17"/>
    </row>
    <row r="102" spans="1:2" ht="13.2">
      <c r="A102" s="16"/>
      <c r="B102" s="17"/>
    </row>
    <row r="103" spans="1:2" ht="13.2">
      <c r="A103" s="16"/>
      <c r="B103" s="17"/>
    </row>
    <row r="104" spans="1:2" ht="13.2">
      <c r="A104" s="16"/>
      <c r="B104" s="17"/>
    </row>
    <row r="105" spans="1:2" ht="13.2">
      <c r="A105" s="16"/>
      <c r="B105" s="17"/>
    </row>
    <row r="106" spans="1:2" ht="13.2">
      <c r="A106" s="16"/>
      <c r="B106" s="17"/>
    </row>
    <row r="107" spans="1:2" ht="13.2">
      <c r="A107" s="16"/>
      <c r="B107" s="17"/>
    </row>
    <row r="108" spans="1:2" ht="13.2">
      <c r="A108" s="16"/>
      <c r="B108" s="17"/>
    </row>
    <row r="109" spans="1:2" ht="13.2">
      <c r="A109" s="16"/>
      <c r="B109" s="17"/>
    </row>
    <row r="110" spans="1:2" ht="13.2">
      <c r="A110" s="16"/>
      <c r="B110" s="17"/>
    </row>
    <row r="111" spans="1:2" ht="13.2">
      <c r="A111" s="16"/>
      <c r="B111" s="17"/>
    </row>
    <row r="112" spans="1:2" ht="13.2">
      <c r="A112" s="16"/>
      <c r="B112" s="17"/>
    </row>
    <row r="113" spans="1:2" ht="13.2">
      <c r="A113" s="16"/>
      <c r="B113" s="17"/>
    </row>
    <row r="114" spans="1:2" ht="13.2">
      <c r="A114" s="16"/>
      <c r="B114" s="17"/>
    </row>
    <row r="115" spans="1:2" ht="13.2">
      <c r="A115" s="16"/>
      <c r="B115" s="17"/>
    </row>
    <row r="116" spans="1:2" ht="13.2">
      <c r="A116" s="16"/>
      <c r="B116" s="17"/>
    </row>
    <row r="117" spans="1:2" ht="13.2">
      <c r="A117" s="16"/>
      <c r="B117" s="17"/>
    </row>
    <row r="118" spans="1:2" ht="13.2">
      <c r="A118" s="16"/>
      <c r="B118" s="17"/>
    </row>
    <row r="119" spans="1:2" ht="13.2">
      <c r="A119" s="16"/>
      <c r="B119" s="17"/>
    </row>
    <row r="120" spans="1:2" ht="13.2">
      <c r="A120" s="16"/>
      <c r="B120" s="17"/>
    </row>
    <row r="121" spans="1:2" ht="13.2">
      <c r="A121" s="16"/>
      <c r="B121" s="17"/>
    </row>
    <row r="122" spans="1:2" ht="13.2">
      <c r="A122" s="16"/>
      <c r="B122" s="17"/>
    </row>
    <row r="123" spans="1:2" ht="13.2">
      <c r="A123" s="16"/>
      <c r="B123" s="17"/>
    </row>
    <row r="124" spans="1:2" ht="13.2">
      <c r="A124" s="16"/>
      <c r="B124" s="17"/>
    </row>
    <row r="125" spans="1:2" ht="13.2">
      <c r="A125" s="16"/>
      <c r="B125" s="17"/>
    </row>
    <row r="126" spans="1:2" ht="13.2">
      <c r="A126" s="16"/>
      <c r="B126" s="17"/>
    </row>
    <row r="127" spans="1:2" ht="13.2">
      <c r="A127" s="16"/>
      <c r="B127" s="17"/>
    </row>
    <row r="128" spans="1:2" ht="13.2">
      <c r="A128" s="16"/>
      <c r="B128" s="17"/>
    </row>
    <row r="129" spans="1:2" ht="13.2">
      <c r="A129" s="16"/>
      <c r="B129" s="17"/>
    </row>
    <row r="130" spans="1:2" ht="13.2">
      <c r="A130" s="16"/>
      <c r="B130" s="17"/>
    </row>
    <row r="131" spans="1:2" ht="13.2">
      <c r="A131" s="16"/>
      <c r="B131" s="17"/>
    </row>
    <row r="132" spans="1:2" ht="13.2">
      <c r="A132" s="16"/>
      <c r="B132" s="17"/>
    </row>
    <row r="133" spans="1:2" ht="13.2">
      <c r="A133" s="16"/>
      <c r="B133" s="17"/>
    </row>
    <row r="134" spans="1:2" ht="13.2">
      <c r="A134" s="16"/>
      <c r="B134" s="17"/>
    </row>
    <row r="135" spans="1:2" ht="13.2">
      <c r="A135" s="16"/>
      <c r="B135" s="17"/>
    </row>
    <row r="136" spans="1:2" ht="13.2">
      <c r="A136" s="16"/>
      <c r="B136" s="17"/>
    </row>
    <row r="137" spans="1:2" ht="13.2">
      <c r="A137" s="16"/>
      <c r="B137" s="17"/>
    </row>
    <row r="138" spans="1:2" ht="13.2">
      <c r="A138" s="16"/>
      <c r="B138" s="17"/>
    </row>
    <row r="139" spans="1:2" ht="13.2">
      <c r="A139" s="16"/>
      <c r="B139" s="17"/>
    </row>
    <row r="140" spans="1:2" ht="13.2">
      <c r="A140" s="16"/>
      <c r="B140" s="17"/>
    </row>
    <row r="141" spans="1:2" ht="13.2">
      <c r="A141" s="16"/>
      <c r="B141" s="17"/>
    </row>
    <row r="142" spans="1:2" ht="13.2">
      <c r="A142" s="16"/>
      <c r="B142" s="17"/>
    </row>
    <row r="143" spans="1:2" ht="13.2">
      <c r="A143" s="16"/>
      <c r="B143" s="17"/>
    </row>
    <row r="144" spans="1:2" ht="13.2">
      <c r="A144" s="16"/>
      <c r="B144" s="17"/>
    </row>
    <row r="145" spans="1:2" ht="13.2">
      <c r="A145" s="16"/>
      <c r="B145" s="17"/>
    </row>
    <row r="146" spans="1:2" ht="13.2">
      <c r="A146" s="16"/>
      <c r="B146" s="17"/>
    </row>
    <row r="147" spans="1:2" ht="13.2">
      <c r="A147" s="16"/>
      <c r="B147" s="17"/>
    </row>
    <row r="148" spans="1:2" ht="13.2">
      <c r="A148" s="16"/>
      <c r="B148" s="17"/>
    </row>
    <row r="149" spans="1:2" ht="13.2">
      <c r="A149" s="16"/>
      <c r="B149" s="17"/>
    </row>
    <row r="150" spans="1:2" ht="13.2">
      <c r="A150" s="16"/>
      <c r="B150" s="17"/>
    </row>
    <row r="151" spans="1:2" ht="13.2">
      <c r="A151" s="16"/>
      <c r="B151" s="17"/>
    </row>
    <row r="152" spans="1:2" ht="13.2">
      <c r="A152" s="16"/>
      <c r="B152" s="17"/>
    </row>
    <row r="153" spans="1:2" ht="13.2">
      <c r="A153" s="16"/>
      <c r="B153" s="17"/>
    </row>
    <row r="154" spans="1:2" ht="13.2">
      <c r="A154" s="16"/>
      <c r="B154" s="17"/>
    </row>
    <row r="155" spans="1:2" ht="13.2">
      <c r="A155" s="16"/>
      <c r="B155" s="17"/>
    </row>
    <row r="156" spans="1:2" ht="13.2">
      <c r="A156" s="16"/>
      <c r="B156" s="17"/>
    </row>
    <row r="157" spans="1:2" ht="13.2">
      <c r="A157" s="16"/>
      <c r="B157" s="17"/>
    </row>
    <row r="158" spans="1:2" ht="13.2">
      <c r="A158" s="16"/>
      <c r="B158" s="17"/>
    </row>
    <row r="159" spans="1:2" ht="13.2">
      <c r="A159" s="16"/>
      <c r="B159" s="17"/>
    </row>
    <row r="160" spans="1:2" ht="13.2">
      <c r="A160" s="16"/>
      <c r="B160" s="17"/>
    </row>
    <row r="161" spans="1:2" ht="13.2">
      <c r="A161" s="16"/>
      <c r="B161" s="17"/>
    </row>
    <row r="162" spans="1:2" ht="13.2">
      <c r="A162" s="16"/>
      <c r="B162" s="17"/>
    </row>
    <row r="163" spans="1:2" ht="13.2">
      <c r="A163" s="16"/>
      <c r="B163" s="17"/>
    </row>
    <row r="164" spans="1:2" ht="13.2">
      <c r="A164" s="16"/>
      <c r="B164" s="17"/>
    </row>
    <row r="165" spans="1:2" ht="13.2">
      <c r="A165" s="16"/>
      <c r="B165" s="17"/>
    </row>
    <row r="166" spans="1:2" ht="13.2">
      <c r="A166" s="16"/>
      <c r="B166" s="17"/>
    </row>
    <row r="167" spans="1:2" ht="13.2">
      <c r="A167" s="16"/>
      <c r="B167" s="17"/>
    </row>
    <row r="168" spans="1:2" ht="13.2">
      <c r="A168" s="16"/>
      <c r="B168" s="17"/>
    </row>
    <row r="169" spans="1:2" ht="13.2">
      <c r="A169" s="16"/>
      <c r="B169" s="17"/>
    </row>
    <row r="170" spans="1:2" ht="13.2">
      <c r="A170" s="16"/>
      <c r="B170" s="17"/>
    </row>
    <row r="171" spans="1:2" ht="13.2">
      <c r="A171" s="16"/>
      <c r="B171" s="17"/>
    </row>
    <row r="172" spans="1:2" ht="13.2">
      <c r="A172" s="16"/>
      <c r="B172" s="17"/>
    </row>
    <row r="173" spans="1:2" ht="13.2">
      <c r="A173" s="16"/>
      <c r="B173" s="17"/>
    </row>
    <row r="174" spans="1:2" ht="13.2">
      <c r="A174" s="16"/>
      <c r="B174" s="17"/>
    </row>
    <row r="175" spans="1:2" ht="13.2">
      <c r="A175" s="16"/>
      <c r="B175" s="17"/>
    </row>
    <row r="176" spans="1:2" ht="13.2">
      <c r="A176" s="16"/>
      <c r="B176" s="17"/>
    </row>
    <row r="177" spans="1:2" ht="13.2">
      <c r="A177" s="16"/>
      <c r="B177" s="17"/>
    </row>
    <row r="178" spans="1:2" ht="13.2">
      <c r="A178" s="16"/>
      <c r="B178" s="17"/>
    </row>
    <row r="179" spans="1:2" ht="13.2">
      <c r="A179" s="16"/>
      <c r="B179" s="17"/>
    </row>
    <row r="180" spans="1:2" ht="13.2">
      <c r="A180" s="16"/>
      <c r="B180" s="17"/>
    </row>
    <row r="181" spans="1:2" ht="13.2">
      <c r="A181" s="16"/>
      <c r="B181" s="17"/>
    </row>
    <row r="182" spans="1:2" ht="13.2">
      <c r="A182" s="16"/>
      <c r="B182" s="17"/>
    </row>
    <row r="183" spans="1:2" ht="13.2">
      <c r="A183" s="16"/>
      <c r="B183" s="17"/>
    </row>
    <row r="184" spans="1:2" ht="13.2">
      <c r="A184" s="16"/>
      <c r="B184" s="17"/>
    </row>
    <row r="185" spans="1:2" ht="13.2">
      <c r="A185" s="16"/>
      <c r="B185" s="17"/>
    </row>
    <row r="186" spans="1:2" ht="13.2">
      <c r="A186" s="16"/>
      <c r="B186" s="17"/>
    </row>
    <row r="187" spans="1:2" ht="13.2">
      <c r="A187" s="16"/>
      <c r="B187" s="17"/>
    </row>
    <row r="188" spans="1:2" ht="13.2">
      <c r="A188" s="16"/>
      <c r="B188" s="17"/>
    </row>
    <row r="189" spans="1:2" ht="13.2">
      <c r="A189" s="16"/>
      <c r="B189" s="17"/>
    </row>
    <row r="190" spans="1:2" ht="13.2">
      <c r="A190" s="16"/>
      <c r="B190" s="17"/>
    </row>
    <row r="191" spans="1:2" ht="13.2">
      <c r="A191" s="16"/>
      <c r="B191" s="17"/>
    </row>
    <row r="192" spans="1:2" ht="13.2">
      <c r="A192" s="16"/>
      <c r="B192" s="17"/>
    </row>
    <row r="193" spans="1:2" ht="13.2">
      <c r="A193" s="16"/>
      <c r="B193" s="17"/>
    </row>
    <row r="194" spans="1:2" ht="13.2">
      <c r="A194" s="16"/>
      <c r="B194" s="17"/>
    </row>
    <row r="195" spans="1:2" ht="13.2">
      <c r="A195" s="16"/>
      <c r="B195" s="17"/>
    </row>
    <row r="196" spans="1:2" ht="13.2">
      <c r="A196" s="16"/>
      <c r="B196" s="17"/>
    </row>
    <row r="197" spans="1:2" ht="13.2">
      <c r="A197" s="16"/>
      <c r="B197" s="17"/>
    </row>
    <row r="198" spans="1:2" ht="13.2">
      <c r="A198" s="16"/>
      <c r="B198" s="17"/>
    </row>
    <row r="199" spans="1:2" ht="13.2">
      <c r="A199" s="16"/>
      <c r="B199" s="17"/>
    </row>
    <row r="200" spans="1:2" ht="13.2">
      <c r="A200" s="16"/>
      <c r="B200" s="17"/>
    </row>
    <row r="201" spans="1:2" ht="13.2">
      <c r="A201" s="16"/>
      <c r="B201" s="17"/>
    </row>
    <row r="202" spans="1:2" ht="13.2">
      <c r="A202" s="16"/>
      <c r="B202" s="17"/>
    </row>
    <row r="203" spans="1:2" ht="13.2">
      <c r="A203" s="16"/>
      <c r="B203" s="17"/>
    </row>
    <row r="204" spans="1:2" ht="13.2">
      <c r="A204" s="16"/>
      <c r="B204" s="17"/>
    </row>
    <row r="205" spans="1:2" ht="13.2">
      <c r="A205" s="16"/>
      <c r="B205" s="17"/>
    </row>
    <row r="206" spans="1:2" ht="13.2">
      <c r="A206" s="16"/>
      <c r="B206" s="17"/>
    </row>
    <row r="207" spans="1:2" ht="13.2">
      <c r="A207" s="16"/>
      <c r="B207" s="17"/>
    </row>
    <row r="208" spans="1:2" ht="13.2">
      <c r="A208" s="16"/>
      <c r="B208" s="17"/>
    </row>
    <row r="209" spans="1:2" ht="13.2">
      <c r="A209" s="16"/>
      <c r="B209" s="17"/>
    </row>
    <row r="210" spans="1:2" ht="13.2">
      <c r="A210" s="16"/>
      <c r="B210" s="17"/>
    </row>
    <row r="211" spans="1:2" ht="13.2">
      <c r="A211" s="16"/>
      <c r="B211" s="17"/>
    </row>
    <row r="212" spans="1:2" ht="13.2">
      <c r="A212" s="16"/>
      <c r="B212" s="17"/>
    </row>
    <row r="213" spans="1:2" ht="13.2">
      <c r="A213" s="16"/>
      <c r="B213" s="17"/>
    </row>
    <row r="214" spans="1:2" ht="13.2">
      <c r="A214" s="16"/>
      <c r="B214" s="17"/>
    </row>
    <row r="215" spans="1:2" ht="13.2">
      <c r="A215" s="16"/>
      <c r="B215" s="17"/>
    </row>
    <row r="216" spans="1:2" ht="13.2">
      <c r="A216" s="16"/>
      <c r="B216" s="17"/>
    </row>
    <row r="217" spans="1:2" ht="13.2">
      <c r="A217" s="16"/>
      <c r="B217" s="17"/>
    </row>
    <row r="218" spans="1:2" ht="13.2">
      <c r="A218" s="16"/>
      <c r="B218" s="17"/>
    </row>
    <row r="219" spans="1:2" ht="13.2">
      <c r="A219" s="16"/>
      <c r="B219" s="17"/>
    </row>
    <row r="220" spans="1:2" ht="13.2">
      <c r="A220" s="16"/>
      <c r="B220" s="17"/>
    </row>
    <row r="221" spans="1:2" ht="13.2">
      <c r="A221" s="16"/>
      <c r="B221" s="17"/>
    </row>
    <row r="222" spans="1:2" ht="13.2">
      <c r="A222" s="16"/>
      <c r="B222" s="17"/>
    </row>
    <row r="223" spans="1:2" ht="13.2">
      <c r="A223" s="16"/>
      <c r="B223" s="17"/>
    </row>
    <row r="224" spans="1:2" ht="13.2">
      <c r="A224" s="16"/>
      <c r="B224" s="17"/>
    </row>
    <row r="225" spans="1:2" ht="13.2">
      <c r="A225" s="16"/>
      <c r="B225" s="17"/>
    </row>
    <row r="226" spans="1:2" ht="13.2">
      <c r="A226" s="16"/>
      <c r="B226" s="17"/>
    </row>
    <row r="227" spans="1:2" ht="13.2">
      <c r="A227" s="16"/>
      <c r="B227" s="17"/>
    </row>
    <row r="228" spans="1:2" ht="13.2">
      <c r="A228" s="16"/>
      <c r="B228" s="17"/>
    </row>
    <row r="229" spans="1:2" ht="13.2">
      <c r="A229" s="16"/>
      <c r="B229" s="17"/>
    </row>
    <row r="230" spans="1:2" ht="13.2">
      <c r="A230" s="16"/>
      <c r="B230" s="17"/>
    </row>
    <row r="231" spans="1:2" ht="13.2">
      <c r="A231" s="16"/>
      <c r="B231" s="17"/>
    </row>
    <row r="232" spans="1:2" ht="13.2">
      <c r="A232" s="16"/>
      <c r="B232" s="17"/>
    </row>
    <row r="233" spans="1:2" ht="13.2">
      <c r="A233" s="16"/>
      <c r="B233" s="17"/>
    </row>
    <row r="234" spans="1:2" ht="13.2">
      <c r="A234" s="16"/>
      <c r="B234" s="17"/>
    </row>
    <row r="235" spans="1:2" ht="13.2">
      <c r="A235" s="16"/>
      <c r="B235" s="17"/>
    </row>
    <row r="236" spans="1:2" ht="13.2">
      <c r="A236" s="16"/>
      <c r="B236" s="17"/>
    </row>
    <row r="237" spans="1:2" ht="13.2">
      <c r="A237" s="16"/>
      <c r="B237" s="17"/>
    </row>
    <row r="238" spans="1:2" ht="13.2">
      <c r="A238" s="16"/>
      <c r="B238" s="17"/>
    </row>
    <row r="239" spans="1:2" ht="13.2">
      <c r="A239" s="16"/>
      <c r="B239" s="17"/>
    </row>
    <row r="240" spans="1:2" ht="13.2">
      <c r="A240" s="16"/>
      <c r="B240" s="17"/>
    </row>
    <row r="241" spans="1:2" ht="13.2">
      <c r="A241" s="16"/>
      <c r="B241" s="17"/>
    </row>
    <row r="242" spans="1:2" ht="13.2">
      <c r="A242" s="16"/>
      <c r="B242" s="17"/>
    </row>
    <row r="243" spans="1:2" ht="13.2">
      <c r="A243" s="16"/>
      <c r="B243" s="17"/>
    </row>
    <row r="244" spans="1:2" ht="13.2">
      <c r="A244" s="16"/>
      <c r="B244" s="17"/>
    </row>
    <row r="245" spans="1:2" ht="13.2">
      <c r="A245" s="16"/>
      <c r="B245" s="17"/>
    </row>
    <row r="246" spans="1:2" ht="13.2">
      <c r="A246" s="16"/>
      <c r="B246" s="17"/>
    </row>
    <row r="247" spans="1:2" ht="13.2">
      <c r="A247" s="16"/>
      <c r="B247" s="17"/>
    </row>
    <row r="248" spans="1:2" ht="13.2">
      <c r="A248" s="16"/>
      <c r="B248" s="17"/>
    </row>
    <row r="249" spans="1:2" ht="13.2">
      <c r="A249" s="16"/>
      <c r="B249" s="17"/>
    </row>
    <row r="250" spans="1:2" ht="13.2">
      <c r="A250" s="16"/>
      <c r="B250" s="17"/>
    </row>
    <row r="251" spans="1:2" ht="13.2">
      <c r="A251" s="16"/>
      <c r="B251" s="17"/>
    </row>
    <row r="252" spans="1:2" ht="13.2">
      <c r="A252" s="16"/>
      <c r="B252" s="17"/>
    </row>
    <row r="253" spans="1:2" ht="13.2">
      <c r="A253" s="16"/>
      <c r="B253" s="17"/>
    </row>
    <row r="254" spans="1:2" ht="13.2">
      <c r="A254" s="16"/>
      <c r="B254" s="17"/>
    </row>
    <row r="255" spans="1:2" ht="13.2">
      <c r="A255" s="16"/>
      <c r="B255" s="17"/>
    </row>
    <row r="256" spans="1:2" ht="13.2">
      <c r="A256" s="16"/>
      <c r="B256" s="17"/>
    </row>
    <row r="257" spans="1:2" ht="13.2">
      <c r="A257" s="16"/>
      <c r="B257" s="17"/>
    </row>
    <row r="258" spans="1:2" ht="13.2">
      <c r="A258" s="16"/>
      <c r="B258" s="17"/>
    </row>
    <row r="259" spans="1:2" ht="13.2">
      <c r="A259" s="16"/>
      <c r="B259" s="17"/>
    </row>
    <row r="260" spans="1:2" ht="13.2">
      <c r="A260" s="16"/>
      <c r="B260" s="17"/>
    </row>
    <row r="261" spans="1:2" ht="13.2">
      <c r="A261" s="16"/>
      <c r="B261" s="17"/>
    </row>
    <row r="262" spans="1:2" ht="13.2">
      <c r="A262" s="16"/>
      <c r="B262" s="17"/>
    </row>
    <row r="263" spans="1:2" ht="13.2">
      <c r="A263" s="16"/>
      <c r="B263" s="17"/>
    </row>
    <row r="264" spans="1:2" ht="13.2">
      <c r="A264" s="16"/>
      <c r="B264" s="17"/>
    </row>
    <row r="265" spans="1:2" ht="13.2">
      <c r="A265" s="16"/>
      <c r="B265" s="17"/>
    </row>
    <row r="266" spans="1:2" ht="13.2">
      <c r="A266" s="16"/>
      <c r="B266" s="17"/>
    </row>
    <row r="267" spans="1:2" ht="13.2">
      <c r="A267" s="16"/>
      <c r="B267" s="17"/>
    </row>
    <row r="268" spans="1:2" ht="13.2">
      <c r="A268" s="16"/>
      <c r="B268" s="17"/>
    </row>
    <row r="269" spans="1:2" ht="13.2">
      <c r="A269" s="16"/>
      <c r="B269" s="17"/>
    </row>
    <row r="270" spans="1:2" ht="13.2">
      <c r="A270" s="16"/>
      <c r="B270" s="17"/>
    </row>
    <row r="271" spans="1:2" ht="13.2">
      <c r="A271" s="16"/>
      <c r="B271" s="17"/>
    </row>
    <row r="272" spans="1:2" ht="13.2">
      <c r="A272" s="16"/>
      <c r="B272" s="17"/>
    </row>
    <row r="273" spans="1:2" ht="13.2">
      <c r="A273" s="16"/>
      <c r="B273" s="17"/>
    </row>
    <row r="274" spans="1:2" ht="13.2">
      <c r="A274" s="16"/>
      <c r="B274" s="17"/>
    </row>
    <row r="275" spans="1:2" ht="13.2">
      <c r="A275" s="16"/>
      <c r="B275" s="17"/>
    </row>
    <row r="276" spans="1:2" ht="13.2">
      <c r="A276" s="16"/>
      <c r="B276" s="17"/>
    </row>
    <row r="277" spans="1:2" ht="13.2">
      <c r="A277" s="16"/>
      <c r="B277" s="17"/>
    </row>
    <row r="278" spans="1:2" ht="13.2">
      <c r="A278" s="16"/>
      <c r="B278" s="17"/>
    </row>
    <row r="279" spans="1:2" ht="13.2">
      <c r="A279" s="16"/>
      <c r="B279" s="17"/>
    </row>
    <row r="280" spans="1:2" ht="13.2">
      <c r="A280" s="16"/>
      <c r="B280" s="17"/>
    </row>
    <row r="281" spans="1:2" ht="13.2">
      <c r="A281" s="16"/>
      <c r="B281" s="17"/>
    </row>
    <row r="282" spans="1:2" ht="13.2">
      <c r="A282" s="16"/>
      <c r="B282" s="17"/>
    </row>
    <row r="283" spans="1:2" ht="13.2">
      <c r="A283" s="16"/>
      <c r="B283" s="17"/>
    </row>
    <row r="284" spans="1:2" ht="13.2">
      <c r="A284" s="16"/>
      <c r="B284" s="17"/>
    </row>
    <row r="285" spans="1:2" ht="13.2">
      <c r="A285" s="16"/>
      <c r="B285" s="17"/>
    </row>
    <row r="286" spans="1:2" ht="13.2">
      <c r="A286" s="16"/>
      <c r="B286" s="17"/>
    </row>
    <row r="287" spans="1:2" ht="13.2">
      <c r="A287" s="16"/>
      <c r="B287" s="17"/>
    </row>
    <row r="288" spans="1:2" ht="13.2">
      <c r="A288" s="16"/>
      <c r="B288" s="17"/>
    </row>
    <row r="289" spans="1:2" ht="13.2">
      <c r="A289" s="16"/>
      <c r="B289" s="17"/>
    </row>
    <row r="290" spans="1:2" ht="13.2">
      <c r="A290" s="16"/>
      <c r="B290" s="17"/>
    </row>
    <row r="291" spans="1:2" ht="13.2">
      <c r="A291" s="16"/>
      <c r="B291" s="17"/>
    </row>
    <row r="292" spans="1:2" ht="13.2">
      <c r="A292" s="16"/>
      <c r="B292" s="17"/>
    </row>
    <row r="293" spans="1:2" ht="13.2">
      <c r="A293" s="16"/>
      <c r="B293" s="17"/>
    </row>
    <row r="294" spans="1:2" ht="13.2">
      <c r="A294" s="16"/>
      <c r="B294" s="17"/>
    </row>
    <row r="295" spans="1:2" ht="13.2">
      <c r="A295" s="16"/>
      <c r="B295" s="17"/>
    </row>
    <row r="296" spans="1:2" ht="13.2">
      <c r="A296" s="16"/>
      <c r="B296" s="17"/>
    </row>
    <row r="297" spans="1:2" ht="13.2">
      <c r="A297" s="16"/>
      <c r="B297" s="17"/>
    </row>
    <row r="298" spans="1:2" ht="13.2">
      <c r="A298" s="16"/>
      <c r="B298" s="17"/>
    </row>
    <row r="299" spans="1:2" ht="13.2">
      <c r="A299" s="16"/>
      <c r="B299" s="17"/>
    </row>
    <row r="300" spans="1:2" ht="13.2">
      <c r="A300" s="16"/>
      <c r="B300" s="17"/>
    </row>
    <row r="301" spans="1:2" ht="13.2">
      <c r="A301" s="16"/>
      <c r="B301" s="17"/>
    </row>
    <row r="302" spans="1:2" ht="13.2">
      <c r="A302" s="16"/>
      <c r="B302" s="17"/>
    </row>
    <row r="303" spans="1:2" ht="13.2">
      <c r="A303" s="16"/>
      <c r="B303" s="17"/>
    </row>
    <row r="304" spans="1:2" ht="13.2">
      <c r="A304" s="16"/>
      <c r="B304" s="17"/>
    </row>
    <row r="305" spans="1:2" ht="13.2">
      <c r="A305" s="16"/>
      <c r="B305" s="17"/>
    </row>
    <row r="306" spans="1:2" ht="13.2">
      <c r="A306" s="16"/>
      <c r="B306" s="17"/>
    </row>
    <row r="307" spans="1:2" ht="13.2">
      <c r="A307" s="16"/>
      <c r="B307" s="17"/>
    </row>
    <row r="308" spans="1:2" ht="13.2">
      <c r="A308" s="16"/>
      <c r="B308" s="17"/>
    </row>
    <row r="309" spans="1:2" ht="13.2">
      <c r="A309" s="16"/>
      <c r="B309" s="17"/>
    </row>
    <row r="310" spans="1:2" ht="13.2">
      <c r="A310" s="16"/>
      <c r="B310" s="17"/>
    </row>
    <row r="311" spans="1:2" ht="13.2">
      <c r="A311" s="16"/>
      <c r="B311" s="17"/>
    </row>
    <row r="312" spans="1:2" ht="13.2">
      <c r="A312" s="16"/>
      <c r="B312" s="17"/>
    </row>
    <row r="313" spans="1:2" ht="13.2">
      <c r="A313" s="16"/>
      <c r="B313" s="17"/>
    </row>
    <row r="314" spans="1:2" ht="13.2">
      <c r="A314" s="16"/>
      <c r="B314" s="17"/>
    </row>
    <row r="315" spans="1:2" ht="13.2">
      <c r="A315" s="16"/>
      <c r="B315" s="17"/>
    </row>
    <row r="316" spans="1:2" ht="13.2">
      <c r="A316" s="16"/>
      <c r="B316" s="17"/>
    </row>
    <row r="317" spans="1:2" ht="13.2">
      <c r="A317" s="16"/>
      <c r="B317" s="17"/>
    </row>
    <row r="318" spans="1:2" ht="13.2">
      <c r="A318" s="16"/>
      <c r="B318" s="17"/>
    </row>
    <row r="319" spans="1:2" ht="13.2">
      <c r="A319" s="16"/>
      <c r="B319" s="17"/>
    </row>
    <row r="320" spans="1:2" ht="13.2">
      <c r="A320" s="16"/>
      <c r="B320" s="17"/>
    </row>
    <row r="321" spans="1:2" ht="13.2">
      <c r="A321" s="16"/>
      <c r="B321" s="17"/>
    </row>
    <row r="322" spans="1:2" ht="13.2">
      <c r="A322" s="16"/>
      <c r="B322" s="17"/>
    </row>
    <row r="323" spans="1:2" ht="13.2">
      <c r="A323" s="16"/>
      <c r="B323" s="17"/>
    </row>
    <row r="324" spans="1:2" ht="13.2">
      <c r="A324" s="16"/>
      <c r="B324" s="17"/>
    </row>
    <row r="325" spans="1:2" ht="13.2">
      <c r="A325" s="16"/>
      <c r="B325" s="17"/>
    </row>
    <row r="326" spans="1:2" ht="13.2">
      <c r="A326" s="16"/>
      <c r="B326" s="17"/>
    </row>
    <row r="327" spans="1:2" ht="13.2">
      <c r="A327" s="16"/>
      <c r="B327" s="17"/>
    </row>
    <row r="328" spans="1:2" ht="13.2">
      <c r="A328" s="16"/>
      <c r="B328" s="17"/>
    </row>
    <row r="329" spans="1:2" ht="13.2">
      <c r="A329" s="16"/>
      <c r="B329" s="17"/>
    </row>
    <row r="330" spans="1:2" ht="13.2">
      <c r="A330" s="16"/>
      <c r="B330" s="17"/>
    </row>
    <row r="331" spans="1:2" ht="13.2">
      <c r="A331" s="16"/>
      <c r="B331" s="17"/>
    </row>
    <row r="332" spans="1:2" ht="13.2">
      <c r="A332" s="16"/>
      <c r="B332" s="17"/>
    </row>
    <row r="333" spans="1:2" ht="13.2">
      <c r="A333" s="16"/>
      <c r="B333" s="17"/>
    </row>
    <row r="334" spans="1:2" ht="13.2">
      <c r="A334" s="16"/>
      <c r="B334" s="17"/>
    </row>
    <row r="335" spans="1:2" ht="13.2">
      <c r="A335" s="16"/>
      <c r="B335" s="17"/>
    </row>
    <row r="336" spans="1:2" ht="13.2">
      <c r="A336" s="16"/>
      <c r="B336" s="17"/>
    </row>
    <row r="337" spans="1:2" ht="13.2">
      <c r="A337" s="16"/>
      <c r="B337" s="17"/>
    </row>
    <row r="338" spans="1:2" ht="13.2">
      <c r="A338" s="16"/>
      <c r="B338" s="17"/>
    </row>
    <row r="339" spans="1:2" ht="13.2">
      <c r="A339" s="16"/>
      <c r="B339" s="17"/>
    </row>
    <row r="340" spans="1:2" ht="13.2">
      <c r="A340" s="16"/>
      <c r="B340" s="17"/>
    </row>
    <row r="341" spans="1:2" ht="13.2">
      <c r="A341" s="16"/>
      <c r="B341" s="17"/>
    </row>
    <row r="342" spans="1:2" ht="13.2">
      <c r="A342" s="16"/>
      <c r="B342" s="17"/>
    </row>
    <row r="343" spans="1:2" ht="13.2">
      <c r="A343" s="16"/>
      <c r="B343" s="17"/>
    </row>
    <row r="344" spans="1:2" ht="13.2">
      <c r="A344" s="16"/>
      <c r="B344" s="17"/>
    </row>
    <row r="345" spans="1:2" ht="13.2">
      <c r="A345" s="16"/>
      <c r="B345" s="17"/>
    </row>
    <row r="346" spans="1:2" ht="13.2">
      <c r="A346" s="16"/>
      <c r="B346" s="17"/>
    </row>
    <row r="347" spans="1:2" ht="13.2">
      <c r="A347" s="16"/>
      <c r="B347" s="17"/>
    </row>
    <row r="348" spans="1:2" ht="13.2">
      <c r="A348" s="16"/>
      <c r="B348" s="17"/>
    </row>
    <row r="349" spans="1:2" ht="13.2">
      <c r="A349" s="16"/>
      <c r="B349" s="17"/>
    </row>
    <row r="350" spans="1:2" ht="13.2">
      <c r="A350" s="16"/>
      <c r="B350" s="17"/>
    </row>
    <row r="351" spans="1:2" ht="13.2">
      <c r="A351" s="16"/>
      <c r="B351" s="17"/>
    </row>
    <row r="352" spans="1:2" ht="13.2">
      <c r="A352" s="16"/>
      <c r="B352" s="17"/>
    </row>
    <row r="353" spans="1:2" ht="13.2">
      <c r="A353" s="16"/>
      <c r="B353" s="17"/>
    </row>
    <row r="354" spans="1:2" ht="13.2">
      <c r="A354" s="16"/>
      <c r="B354" s="17"/>
    </row>
    <row r="355" spans="1:2" ht="13.2">
      <c r="A355" s="16"/>
      <c r="B355" s="17"/>
    </row>
    <row r="356" spans="1:2" ht="13.2">
      <c r="A356" s="16"/>
      <c r="B356" s="17"/>
    </row>
    <row r="357" spans="1:2" ht="13.2">
      <c r="A357" s="16"/>
      <c r="B357" s="17"/>
    </row>
    <row r="358" spans="1:2" ht="13.2">
      <c r="A358" s="16"/>
      <c r="B358" s="17"/>
    </row>
    <row r="359" spans="1:2" ht="13.2">
      <c r="A359" s="16"/>
      <c r="B359" s="17"/>
    </row>
    <row r="360" spans="1:2" ht="13.2">
      <c r="A360" s="16"/>
      <c r="B360" s="17"/>
    </row>
    <row r="361" spans="1:2" ht="13.2">
      <c r="A361" s="16"/>
      <c r="B361" s="17"/>
    </row>
    <row r="362" spans="1:2" ht="13.2">
      <c r="A362" s="16"/>
      <c r="B362" s="17"/>
    </row>
    <row r="363" spans="1:2" ht="13.2">
      <c r="A363" s="16"/>
      <c r="B363" s="17"/>
    </row>
    <row r="364" spans="1:2" ht="13.2">
      <c r="A364" s="16"/>
      <c r="B364" s="17"/>
    </row>
    <row r="365" spans="1:2" ht="13.2">
      <c r="A365" s="16"/>
      <c r="B365" s="17"/>
    </row>
    <row r="366" spans="1:2" ht="13.2">
      <c r="A366" s="16"/>
      <c r="B366" s="17"/>
    </row>
    <row r="367" spans="1:2" ht="13.2">
      <c r="A367" s="16"/>
      <c r="B367" s="17"/>
    </row>
    <row r="368" spans="1:2" ht="13.2">
      <c r="A368" s="16"/>
      <c r="B368" s="17"/>
    </row>
    <row r="369" spans="1:2" ht="13.2">
      <c r="A369" s="16"/>
      <c r="B369" s="17"/>
    </row>
    <row r="370" spans="1:2" ht="13.2">
      <c r="A370" s="16"/>
      <c r="B370" s="17"/>
    </row>
    <row r="371" spans="1:2" ht="13.2">
      <c r="A371" s="16"/>
      <c r="B371" s="17"/>
    </row>
    <row r="372" spans="1:2" ht="13.2">
      <c r="A372" s="16"/>
      <c r="B372" s="17"/>
    </row>
    <row r="373" spans="1:2" ht="13.2">
      <c r="A373" s="16"/>
      <c r="B373" s="17"/>
    </row>
    <row r="374" spans="1:2" ht="13.2">
      <c r="A374" s="16"/>
      <c r="B374" s="17"/>
    </row>
    <row r="375" spans="1:2" ht="13.2">
      <c r="A375" s="16"/>
      <c r="B375" s="17"/>
    </row>
    <row r="376" spans="1:2" ht="13.2">
      <c r="A376" s="16"/>
      <c r="B376" s="17"/>
    </row>
    <row r="377" spans="1:2" ht="13.2">
      <c r="A377" s="16"/>
      <c r="B377" s="17"/>
    </row>
    <row r="378" spans="1:2" ht="13.2">
      <c r="A378" s="16"/>
      <c r="B378" s="17"/>
    </row>
    <row r="379" spans="1:2" ht="13.2">
      <c r="A379" s="16"/>
      <c r="B379" s="17"/>
    </row>
    <row r="380" spans="1:2" ht="13.2">
      <c r="A380" s="16"/>
      <c r="B380" s="17"/>
    </row>
    <row r="381" spans="1:2" ht="13.2">
      <c r="A381" s="16"/>
      <c r="B381" s="17"/>
    </row>
    <row r="382" spans="1:2" ht="13.2">
      <c r="A382" s="16"/>
      <c r="B382" s="17"/>
    </row>
    <row r="383" spans="1:2" ht="13.2">
      <c r="A383" s="16"/>
      <c r="B383" s="17"/>
    </row>
    <row r="384" spans="1:2" ht="13.2">
      <c r="A384" s="16"/>
      <c r="B384" s="17"/>
    </row>
    <row r="385" spans="1:2" ht="13.2">
      <c r="A385" s="16"/>
      <c r="B385" s="17"/>
    </row>
    <row r="386" spans="1:2" ht="13.2">
      <c r="A386" s="16"/>
      <c r="B386" s="17"/>
    </row>
    <row r="387" spans="1:2" ht="13.2">
      <c r="A387" s="16"/>
      <c r="B387" s="17"/>
    </row>
    <row r="388" spans="1:2" ht="13.2">
      <c r="A388" s="16"/>
      <c r="B388" s="17"/>
    </row>
    <row r="389" spans="1:2" ht="13.2">
      <c r="A389" s="16"/>
      <c r="B389" s="17"/>
    </row>
    <row r="390" spans="1:2" ht="13.2">
      <c r="A390" s="16"/>
      <c r="B390" s="17"/>
    </row>
    <row r="391" spans="1:2" ht="13.2">
      <c r="A391" s="16"/>
      <c r="B391" s="17"/>
    </row>
    <row r="392" spans="1:2" ht="13.2">
      <c r="A392" s="16"/>
      <c r="B392" s="17"/>
    </row>
    <row r="393" spans="1:2" ht="13.2">
      <c r="A393" s="16"/>
      <c r="B393" s="17"/>
    </row>
    <row r="394" spans="1:2" ht="13.2">
      <c r="A394" s="16"/>
      <c r="B394" s="17"/>
    </row>
    <row r="395" spans="1:2" ht="13.2">
      <c r="A395" s="16"/>
      <c r="B395" s="17"/>
    </row>
    <row r="396" spans="1:2" ht="13.2">
      <c r="A396" s="16"/>
      <c r="B396" s="17"/>
    </row>
    <row r="397" spans="1:2" ht="13.2">
      <c r="A397" s="16"/>
      <c r="B397" s="17"/>
    </row>
    <row r="398" spans="1:2" ht="13.2">
      <c r="A398" s="16"/>
      <c r="B398" s="17"/>
    </row>
    <row r="399" spans="1:2" ht="13.2">
      <c r="A399" s="16"/>
      <c r="B399" s="17"/>
    </row>
    <row r="400" spans="1:2" ht="13.2">
      <c r="A400" s="16"/>
      <c r="B400" s="17"/>
    </row>
    <row r="401" spans="1:2" ht="13.2">
      <c r="A401" s="16"/>
      <c r="B401" s="17"/>
    </row>
    <row r="402" spans="1:2" ht="13.2">
      <c r="A402" s="16"/>
      <c r="B402" s="17"/>
    </row>
    <row r="403" spans="1:2" ht="13.2">
      <c r="A403" s="16"/>
      <c r="B403" s="17"/>
    </row>
    <row r="404" spans="1:2" ht="13.2">
      <c r="A404" s="16"/>
      <c r="B404" s="17"/>
    </row>
    <row r="405" spans="1:2" ht="13.2">
      <c r="A405" s="16"/>
      <c r="B405" s="17"/>
    </row>
    <row r="406" spans="1:2" ht="13.2">
      <c r="A406" s="16"/>
      <c r="B406" s="17"/>
    </row>
    <row r="407" spans="1:2" ht="13.2">
      <c r="A407" s="16"/>
      <c r="B407" s="17"/>
    </row>
    <row r="408" spans="1:2" ht="13.2">
      <c r="A408" s="16"/>
      <c r="B408" s="17"/>
    </row>
    <row r="409" spans="1:2" ht="13.2">
      <c r="A409" s="16"/>
      <c r="B409" s="17"/>
    </row>
    <row r="410" spans="1:2" ht="13.2">
      <c r="A410" s="16"/>
      <c r="B410" s="17"/>
    </row>
    <row r="411" spans="1:2" ht="13.2">
      <c r="A411" s="16"/>
      <c r="B411" s="17"/>
    </row>
    <row r="412" spans="1:2" ht="13.2">
      <c r="A412" s="16"/>
      <c r="B412" s="17"/>
    </row>
    <row r="413" spans="1:2" ht="13.2">
      <c r="A413" s="16"/>
      <c r="B413" s="17"/>
    </row>
    <row r="414" spans="1:2" ht="13.2">
      <c r="A414" s="16"/>
      <c r="B414" s="17"/>
    </row>
    <row r="415" spans="1:2" ht="13.2">
      <c r="A415" s="16"/>
      <c r="B415" s="17"/>
    </row>
    <row r="416" spans="1:2" ht="13.2">
      <c r="A416" s="16"/>
      <c r="B416" s="17"/>
    </row>
    <row r="417" spans="1:2" ht="13.2">
      <c r="A417" s="16"/>
      <c r="B417" s="17"/>
    </row>
    <row r="418" spans="1:2" ht="13.2">
      <c r="A418" s="16"/>
      <c r="B418" s="17"/>
    </row>
    <row r="419" spans="1:2" ht="13.2">
      <c r="A419" s="16"/>
      <c r="B419" s="17"/>
    </row>
    <row r="420" spans="1:2" ht="13.2">
      <c r="A420" s="16"/>
      <c r="B420" s="17"/>
    </row>
    <row r="421" spans="1:2" ht="13.2">
      <c r="A421" s="16"/>
      <c r="B421" s="17"/>
    </row>
    <row r="422" spans="1:2" ht="13.2">
      <c r="A422" s="16"/>
      <c r="B422" s="17"/>
    </row>
    <row r="423" spans="1:2" ht="13.2">
      <c r="A423" s="16"/>
      <c r="B423" s="17"/>
    </row>
    <row r="424" spans="1:2" ht="13.2">
      <c r="A424" s="16"/>
      <c r="B424" s="17"/>
    </row>
    <row r="425" spans="1:2" ht="13.2">
      <c r="A425" s="16"/>
      <c r="B425" s="17"/>
    </row>
    <row r="426" spans="1:2" ht="13.2">
      <c r="A426" s="16"/>
      <c r="B426" s="17"/>
    </row>
    <row r="427" spans="1:2" ht="13.2">
      <c r="A427" s="16"/>
      <c r="B427" s="17"/>
    </row>
    <row r="428" spans="1:2" ht="13.2">
      <c r="A428" s="16"/>
      <c r="B428" s="17"/>
    </row>
    <row r="429" spans="1:2" ht="13.2">
      <c r="A429" s="16"/>
      <c r="B429" s="17"/>
    </row>
    <row r="430" spans="1:2" ht="13.2">
      <c r="A430" s="16"/>
      <c r="B430" s="17"/>
    </row>
    <row r="431" spans="1:2" ht="13.2">
      <c r="A431" s="16"/>
      <c r="B431" s="17"/>
    </row>
    <row r="432" spans="1:2" ht="13.2">
      <c r="A432" s="16"/>
      <c r="B432" s="17"/>
    </row>
    <row r="433" spans="1:2" ht="13.2">
      <c r="A433" s="16"/>
      <c r="B433" s="17"/>
    </row>
    <row r="434" spans="1:2" ht="13.2">
      <c r="A434" s="16"/>
      <c r="B434" s="17"/>
    </row>
    <row r="435" spans="1:2" ht="13.2">
      <c r="A435" s="16"/>
      <c r="B435" s="17"/>
    </row>
    <row r="436" spans="1:2" ht="13.2">
      <c r="A436" s="16"/>
      <c r="B436" s="17"/>
    </row>
    <row r="437" spans="1:2" ht="13.2">
      <c r="A437" s="16"/>
      <c r="B437" s="17"/>
    </row>
    <row r="438" spans="1:2" ht="13.2">
      <c r="A438" s="16"/>
      <c r="B438" s="17"/>
    </row>
    <row r="439" spans="1:2" ht="13.2">
      <c r="A439" s="16"/>
      <c r="B439" s="17"/>
    </row>
    <row r="440" spans="1:2" ht="13.2">
      <c r="A440" s="16"/>
      <c r="B440" s="17"/>
    </row>
    <row r="441" spans="1:2" ht="13.2">
      <c r="A441" s="16"/>
      <c r="B441" s="17"/>
    </row>
    <row r="442" spans="1:2" ht="13.2">
      <c r="A442" s="16"/>
      <c r="B442" s="17"/>
    </row>
    <row r="443" spans="1:2" ht="13.2">
      <c r="A443" s="16"/>
      <c r="B443" s="17"/>
    </row>
    <row r="444" spans="1:2" ht="13.2">
      <c r="A444" s="16"/>
      <c r="B444" s="17"/>
    </row>
    <row r="445" spans="1:2" ht="13.2">
      <c r="A445" s="16"/>
      <c r="B445" s="17"/>
    </row>
    <row r="446" spans="1:2" ht="13.2">
      <c r="A446" s="16"/>
      <c r="B446" s="17"/>
    </row>
    <row r="447" spans="1:2" ht="13.2">
      <c r="A447" s="16"/>
      <c r="B447" s="17"/>
    </row>
    <row r="448" spans="1:2" ht="13.2">
      <c r="A448" s="16"/>
      <c r="B448" s="17"/>
    </row>
    <row r="449" spans="1:2" ht="13.2">
      <c r="A449" s="16"/>
      <c r="B449" s="17"/>
    </row>
    <row r="450" spans="1:2" ht="13.2">
      <c r="A450" s="16"/>
      <c r="B450" s="17"/>
    </row>
    <row r="451" spans="1:2" ht="13.2">
      <c r="A451" s="16"/>
      <c r="B451" s="17"/>
    </row>
    <row r="452" spans="1:2" ht="13.2">
      <c r="A452" s="16"/>
      <c r="B452" s="17"/>
    </row>
    <row r="453" spans="1:2" ht="13.2">
      <c r="A453" s="16"/>
      <c r="B453" s="17"/>
    </row>
    <row r="454" spans="1:2" ht="13.2">
      <c r="A454" s="16"/>
      <c r="B454" s="17"/>
    </row>
    <row r="455" spans="1:2" ht="13.2">
      <c r="A455" s="16"/>
      <c r="B455" s="17"/>
    </row>
    <row r="456" spans="1:2" ht="13.2">
      <c r="A456" s="16"/>
      <c r="B456" s="17"/>
    </row>
    <row r="457" spans="1:2" ht="13.2">
      <c r="A457" s="16"/>
      <c r="B457" s="17"/>
    </row>
    <row r="458" spans="1:2" ht="13.2">
      <c r="A458" s="16"/>
      <c r="B458" s="17"/>
    </row>
    <row r="459" spans="1:2" ht="13.2">
      <c r="A459" s="16"/>
      <c r="B459" s="17"/>
    </row>
    <row r="460" spans="1:2" ht="13.2">
      <c r="A460" s="16"/>
      <c r="B460" s="17"/>
    </row>
    <row r="461" spans="1:2" ht="13.2">
      <c r="A461" s="16"/>
      <c r="B461" s="17"/>
    </row>
    <row r="462" spans="1:2" ht="13.2">
      <c r="A462" s="16"/>
      <c r="B462" s="17"/>
    </row>
    <row r="463" spans="1:2" ht="13.2">
      <c r="A463" s="16"/>
      <c r="B463" s="17"/>
    </row>
    <row r="464" spans="1:2" ht="13.2">
      <c r="A464" s="16"/>
      <c r="B464" s="17"/>
    </row>
    <row r="465" spans="1:2" ht="13.2">
      <c r="A465" s="16"/>
      <c r="B465" s="17"/>
    </row>
    <row r="466" spans="1:2" ht="13.2">
      <c r="A466" s="16"/>
      <c r="B466" s="17"/>
    </row>
    <row r="467" spans="1:2" ht="13.2">
      <c r="A467" s="16"/>
      <c r="B467" s="17"/>
    </row>
    <row r="468" spans="1:2" ht="13.2">
      <c r="A468" s="16"/>
      <c r="B468" s="17"/>
    </row>
    <row r="469" spans="1:2" ht="13.2">
      <c r="A469" s="16"/>
      <c r="B469" s="17"/>
    </row>
    <row r="470" spans="1:2" ht="13.2">
      <c r="A470" s="16"/>
      <c r="B470" s="17"/>
    </row>
    <row r="471" spans="1:2" ht="13.2">
      <c r="A471" s="16"/>
      <c r="B471" s="17"/>
    </row>
    <row r="472" spans="1:2" ht="13.2">
      <c r="A472" s="16"/>
      <c r="B472" s="17"/>
    </row>
    <row r="473" spans="1:2" ht="13.2">
      <c r="A473" s="16"/>
      <c r="B473" s="17"/>
    </row>
    <row r="474" spans="1:2" ht="13.2">
      <c r="A474" s="16"/>
      <c r="B474" s="17"/>
    </row>
    <row r="475" spans="1:2" ht="13.2">
      <c r="A475" s="16"/>
      <c r="B475" s="17"/>
    </row>
    <row r="476" spans="1:2" ht="13.2">
      <c r="A476" s="16"/>
      <c r="B476" s="17"/>
    </row>
    <row r="477" spans="1:2" ht="13.2">
      <c r="A477" s="16"/>
      <c r="B477" s="17"/>
    </row>
    <row r="478" spans="1:2" ht="13.2">
      <c r="A478" s="16"/>
      <c r="B478" s="17"/>
    </row>
    <row r="479" spans="1:2" ht="13.2">
      <c r="A479" s="16"/>
      <c r="B479" s="17"/>
    </row>
    <row r="480" spans="1:2" ht="13.2">
      <c r="A480" s="16"/>
      <c r="B480" s="17"/>
    </row>
    <row r="481" spans="1:2" ht="13.2">
      <c r="A481" s="16"/>
      <c r="B481" s="17"/>
    </row>
    <row r="482" spans="1:2" ht="13.2">
      <c r="A482" s="16"/>
      <c r="B482" s="17"/>
    </row>
    <row r="483" spans="1:2" ht="13.2">
      <c r="A483" s="16"/>
      <c r="B483" s="17"/>
    </row>
    <row r="484" spans="1:2" ht="13.2">
      <c r="A484" s="16"/>
      <c r="B484" s="17"/>
    </row>
    <row r="485" spans="1:2" ht="13.2">
      <c r="A485" s="16"/>
      <c r="B485" s="17"/>
    </row>
    <row r="486" spans="1:2" ht="13.2">
      <c r="A486" s="16"/>
      <c r="B486" s="17"/>
    </row>
    <row r="487" spans="1:2" ht="13.2">
      <c r="A487" s="16"/>
      <c r="B487" s="17"/>
    </row>
    <row r="488" spans="1:2" ht="13.2">
      <c r="A488" s="16"/>
      <c r="B488" s="17"/>
    </row>
    <row r="489" spans="1:2" ht="13.2">
      <c r="A489" s="16"/>
      <c r="B489" s="17"/>
    </row>
    <row r="490" spans="1:2" ht="13.2">
      <c r="A490" s="16"/>
      <c r="B490" s="17"/>
    </row>
    <row r="491" spans="1:2" ht="13.2">
      <c r="A491" s="16"/>
      <c r="B491" s="17"/>
    </row>
    <row r="492" spans="1:2" ht="13.2">
      <c r="A492" s="16"/>
      <c r="B492" s="17"/>
    </row>
    <row r="493" spans="1:2" ht="13.2">
      <c r="A493" s="16"/>
      <c r="B493" s="17"/>
    </row>
    <row r="494" spans="1:2" ht="13.2">
      <c r="A494" s="16"/>
      <c r="B494" s="17"/>
    </row>
    <row r="495" spans="1:2" ht="13.2">
      <c r="A495" s="16"/>
      <c r="B495" s="17"/>
    </row>
    <row r="496" spans="1:2" ht="13.2">
      <c r="A496" s="16"/>
      <c r="B496" s="17"/>
    </row>
    <row r="497" spans="1:2" ht="13.2">
      <c r="A497" s="16"/>
      <c r="B497" s="17"/>
    </row>
    <row r="498" spans="1:2" ht="13.2">
      <c r="A498" s="16"/>
      <c r="B498" s="17"/>
    </row>
    <row r="499" spans="1:2" ht="13.2">
      <c r="A499" s="16"/>
      <c r="B499" s="17"/>
    </row>
    <row r="500" spans="1:2" ht="13.2">
      <c r="A500" s="16"/>
      <c r="B500" s="17"/>
    </row>
    <row r="501" spans="1:2" ht="13.2">
      <c r="A501" s="16"/>
      <c r="B501" s="17"/>
    </row>
    <row r="502" spans="1:2" ht="13.2">
      <c r="A502" s="16"/>
      <c r="B502" s="17"/>
    </row>
    <row r="503" spans="1:2" ht="13.2">
      <c r="A503" s="16"/>
      <c r="B503" s="17"/>
    </row>
    <row r="504" spans="1:2" ht="13.2">
      <c r="A504" s="16"/>
      <c r="B504" s="17"/>
    </row>
    <row r="505" spans="1:2" ht="13.2">
      <c r="A505" s="16"/>
      <c r="B505" s="17"/>
    </row>
    <row r="506" spans="1:2" ht="13.2">
      <c r="A506" s="16"/>
      <c r="B506" s="17"/>
    </row>
    <row r="507" spans="1:2" ht="13.2">
      <c r="A507" s="16"/>
      <c r="B507" s="17"/>
    </row>
    <row r="508" spans="1:2" ht="13.2">
      <c r="A508" s="16"/>
      <c r="B508" s="17"/>
    </row>
    <row r="509" spans="1:2" ht="13.2">
      <c r="A509" s="16"/>
      <c r="B509" s="17"/>
    </row>
    <row r="510" spans="1:2" ht="13.2">
      <c r="A510" s="16"/>
      <c r="B510" s="17"/>
    </row>
    <row r="511" spans="1:2" ht="13.2">
      <c r="A511" s="16"/>
      <c r="B511" s="17"/>
    </row>
    <row r="512" spans="1:2" ht="13.2">
      <c r="A512" s="16"/>
      <c r="B512" s="17"/>
    </row>
    <row r="513" spans="1:2" ht="13.2">
      <c r="A513" s="16"/>
      <c r="B513" s="17"/>
    </row>
    <row r="514" spans="1:2" ht="13.2">
      <c r="A514" s="16"/>
      <c r="B514" s="17"/>
    </row>
    <row r="515" spans="1:2" ht="13.2">
      <c r="A515" s="16"/>
      <c r="B515" s="17"/>
    </row>
    <row r="516" spans="1:2" ht="13.2">
      <c r="A516" s="16"/>
      <c r="B516" s="17"/>
    </row>
    <row r="517" spans="1:2" ht="13.2">
      <c r="A517" s="16"/>
      <c r="B517" s="17"/>
    </row>
    <row r="518" spans="1:2" ht="13.2">
      <c r="A518" s="16"/>
      <c r="B518" s="17"/>
    </row>
    <row r="519" spans="1:2" ht="13.2">
      <c r="A519" s="16"/>
      <c r="B519" s="17"/>
    </row>
    <row r="520" spans="1:2" ht="13.2">
      <c r="A520" s="16"/>
      <c r="B520" s="17"/>
    </row>
    <row r="521" spans="1:2" ht="13.2">
      <c r="A521" s="16"/>
      <c r="B521" s="17"/>
    </row>
    <row r="522" spans="1:2" ht="13.2">
      <c r="A522" s="16"/>
      <c r="B522" s="17"/>
    </row>
    <row r="523" spans="1:2" ht="13.2">
      <c r="A523" s="16"/>
      <c r="B523" s="17"/>
    </row>
    <row r="524" spans="1:2" ht="13.2">
      <c r="A524" s="16"/>
      <c r="B524" s="17"/>
    </row>
    <row r="525" spans="1:2" ht="13.2">
      <c r="A525" s="16"/>
      <c r="B525" s="17"/>
    </row>
    <row r="526" spans="1:2" ht="13.2">
      <c r="A526" s="16"/>
      <c r="B526" s="17"/>
    </row>
    <row r="527" spans="1:2" ht="13.2">
      <c r="A527" s="16"/>
      <c r="B527" s="17"/>
    </row>
    <row r="528" spans="1:2" ht="13.2">
      <c r="A528" s="16"/>
      <c r="B528" s="17"/>
    </row>
    <row r="529" spans="1:2" ht="13.2">
      <c r="A529" s="16"/>
      <c r="B529" s="17"/>
    </row>
    <row r="530" spans="1:2" ht="13.2">
      <c r="A530" s="16"/>
      <c r="B530" s="17"/>
    </row>
    <row r="531" spans="1:2" ht="13.2">
      <c r="A531" s="16"/>
      <c r="B531" s="17"/>
    </row>
    <row r="532" spans="1:2" ht="13.2">
      <c r="A532" s="16"/>
      <c r="B532" s="17"/>
    </row>
    <row r="533" spans="1:2" ht="13.2">
      <c r="A533" s="16"/>
      <c r="B533" s="17"/>
    </row>
    <row r="534" spans="1:2" ht="13.2">
      <c r="A534" s="16"/>
      <c r="B534" s="17"/>
    </row>
    <row r="535" spans="1:2" ht="13.2">
      <c r="A535" s="16"/>
      <c r="B535" s="17"/>
    </row>
    <row r="536" spans="1:2" ht="13.2">
      <c r="A536" s="16"/>
      <c r="B536" s="17"/>
    </row>
    <row r="537" spans="1:2" ht="13.2">
      <c r="A537" s="16"/>
      <c r="B537" s="17"/>
    </row>
    <row r="538" spans="1:2" ht="13.2">
      <c r="A538" s="16"/>
      <c r="B538" s="17"/>
    </row>
    <row r="539" spans="1:2" ht="13.2">
      <c r="A539" s="16"/>
      <c r="B539" s="17"/>
    </row>
    <row r="540" spans="1:2" ht="13.2">
      <c r="A540" s="16"/>
      <c r="B540" s="17"/>
    </row>
    <row r="541" spans="1:2" ht="13.2">
      <c r="A541" s="16"/>
      <c r="B541" s="17"/>
    </row>
    <row r="542" spans="1:2" ht="13.2">
      <c r="A542" s="16"/>
      <c r="B542" s="17"/>
    </row>
    <row r="543" spans="1:2" ht="13.2">
      <c r="A543" s="16"/>
      <c r="B543" s="17"/>
    </row>
    <row r="544" spans="1:2" ht="13.2">
      <c r="A544" s="16"/>
      <c r="B544" s="17"/>
    </row>
    <row r="545" spans="1:2" ht="13.2">
      <c r="A545" s="16"/>
      <c r="B545" s="17"/>
    </row>
    <row r="546" spans="1:2" ht="13.2">
      <c r="A546" s="16"/>
      <c r="B546" s="17"/>
    </row>
    <row r="547" spans="1:2" ht="13.2">
      <c r="A547" s="16"/>
      <c r="B547" s="17"/>
    </row>
    <row r="548" spans="1:2" ht="13.2">
      <c r="A548" s="16"/>
      <c r="B548" s="17"/>
    </row>
    <row r="549" spans="1:2" ht="13.2">
      <c r="A549" s="16"/>
      <c r="B549" s="17"/>
    </row>
    <row r="550" spans="1:2" ht="13.2">
      <c r="A550" s="16"/>
      <c r="B550" s="17"/>
    </row>
    <row r="551" spans="1:2" ht="13.2">
      <c r="A551" s="16"/>
      <c r="B551" s="17"/>
    </row>
    <row r="552" spans="1:2" ht="13.2">
      <c r="A552" s="16"/>
      <c r="B552" s="17"/>
    </row>
    <row r="553" spans="1:2" ht="13.2">
      <c r="A553" s="16"/>
      <c r="B553" s="17"/>
    </row>
    <row r="554" spans="1:2" ht="13.2">
      <c r="A554" s="16"/>
      <c r="B554" s="17"/>
    </row>
    <row r="555" spans="1:2" ht="13.2">
      <c r="A555" s="16"/>
      <c r="B555" s="17"/>
    </row>
    <row r="556" spans="1:2" ht="13.2">
      <c r="A556" s="16"/>
      <c r="B556" s="17"/>
    </row>
    <row r="557" spans="1:2" ht="13.2">
      <c r="A557" s="16"/>
      <c r="B557" s="17"/>
    </row>
    <row r="558" spans="1:2" ht="13.2">
      <c r="A558" s="16"/>
      <c r="B558" s="17"/>
    </row>
    <row r="559" spans="1:2" ht="13.2">
      <c r="A559" s="16"/>
      <c r="B559" s="17"/>
    </row>
    <row r="560" spans="1:2" ht="13.2">
      <c r="A560" s="16"/>
      <c r="B560" s="17"/>
    </row>
    <row r="561" spans="1:2" ht="13.2">
      <c r="A561" s="16"/>
      <c r="B561" s="17"/>
    </row>
    <row r="562" spans="1:2" ht="13.2">
      <c r="A562" s="16"/>
      <c r="B562" s="17"/>
    </row>
    <row r="563" spans="1:2" ht="13.2">
      <c r="A563" s="16"/>
      <c r="B563" s="17"/>
    </row>
    <row r="564" spans="1:2" ht="13.2">
      <c r="A564" s="16"/>
      <c r="B564" s="17"/>
    </row>
    <row r="565" spans="1:2" ht="13.2">
      <c r="A565" s="16"/>
      <c r="B565" s="17"/>
    </row>
    <row r="566" spans="1:2" ht="13.2">
      <c r="A566" s="16"/>
      <c r="B566" s="17"/>
    </row>
    <row r="567" spans="1:2" ht="13.2">
      <c r="A567" s="16"/>
      <c r="B567" s="17"/>
    </row>
    <row r="568" spans="1:2" ht="13.2">
      <c r="A568" s="16"/>
      <c r="B568" s="17"/>
    </row>
    <row r="569" spans="1:2" ht="13.2">
      <c r="A569" s="16"/>
      <c r="B569" s="17"/>
    </row>
    <row r="570" spans="1:2" ht="13.2">
      <c r="A570" s="16"/>
      <c r="B570" s="17"/>
    </row>
    <row r="571" spans="1:2" ht="13.2">
      <c r="A571" s="16"/>
      <c r="B571" s="17"/>
    </row>
    <row r="572" spans="1:2" ht="13.2">
      <c r="A572" s="16"/>
      <c r="B572" s="17"/>
    </row>
    <row r="573" spans="1:2" ht="13.2">
      <c r="A573" s="16"/>
      <c r="B573" s="17"/>
    </row>
    <row r="574" spans="1:2" ht="13.2">
      <c r="A574" s="16"/>
      <c r="B574" s="17"/>
    </row>
    <row r="575" spans="1:2" ht="13.2">
      <c r="A575" s="16"/>
      <c r="B575" s="17"/>
    </row>
    <row r="576" spans="1:2" ht="13.2">
      <c r="A576" s="16"/>
      <c r="B576" s="17"/>
    </row>
    <row r="577" spans="1:2" ht="13.2">
      <c r="A577" s="16"/>
      <c r="B577" s="17"/>
    </row>
    <row r="578" spans="1:2" ht="13.2">
      <c r="A578" s="16"/>
      <c r="B578" s="17"/>
    </row>
    <row r="579" spans="1:2" ht="13.2">
      <c r="A579" s="16"/>
      <c r="B579" s="17"/>
    </row>
    <row r="580" spans="1:2" ht="13.2">
      <c r="A580" s="16"/>
      <c r="B580" s="17"/>
    </row>
    <row r="581" spans="1:2" ht="13.2">
      <c r="A581" s="16"/>
      <c r="B581" s="17"/>
    </row>
    <row r="582" spans="1:2" ht="13.2">
      <c r="A582" s="16"/>
      <c r="B582" s="17"/>
    </row>
    <row r="583" spans="1:2" ht="13.2">
      <c r="A583" s="16"/>
      <c r="B583" s="17"/>
    </row>
    <row r="584" spans="1:2" ht="13.2">
      <c r="A584" s="16"/>
      <c r="B584" s="17"/>
    </row>
    <row r="585" spans="1:2" ht="13.2">
      <c r="A585" s="16"/>
      <c r="B585" s="17"/>
    </row>
    <row r="586" spans="1:2" ht="13.2">
      <c r="A586" s="16"/>
      <c r="B586" s="17"/>
    </row>
    <row r="587" spans="1:2" ht="13.2">
      <c r="A587" s="16"/>
      <c r="B587" s="17"/>
    </row>
    <row r="588" spans="1:2" ht="13.2">
      <c r="A588" s="16"/>
      <c r="B588" s="17"/>
    </row>
    <row r="589" spans="1:2" ht="13.2">
      <c r="A589" s="16"/>
      <c r="B589" s="17"/>
    </row>
    <row r="590" spans="1:2" ht="13.2">
      <c r="A590" s="16"/>
      <c r="B590" s="17"/>
    </row>
    <row r="591" spans="1:2" ht="13.2">
      <c r="A591" s="16"/>
      <c r="B591" s="17"/>
    </row>
    <row r="592" spans="1:2" ht="13.2">
      <c r="A592" s="16"/>
      <c r="B592" s="17"/>
    </row>
    <row r="593" spans="1:2" ht="13.2">
      <c r="A593" s="16"/>
      <c r="B593" s="17"/>
    </row>
    <row r="594" spans="1:2" ht="13.2">
      <c r="A594" s="16"/>
      <c r="B594" s="17"/>
    </row>
    <row r="595" spans="1:2" ht="13.2">
      <c r="A595" s="16"/>
      <c r="B595" s="17"/>
    </row>
    <row r="596" spans="1:2" ht="13.2">
      <c r="A596" s="16"/>
      <c r="B596" s="17"/>
    </row>
    <row r="597" spans="1:2" ht="13.2">
      <c r="A597" s="16"/>
      <c r="B597" s="17"/>
    </row>
    <row r="598" spans="1:2" ht="13.2">
      <c r="A598" s="16"/>
      <c r="B598" s="17"/>
    </row>
    <row r="599" spans="1:2" ht="13.2">
      <c r="A599" s="16"/>
      <c r="B599" s="17"/>
    </row>
    <row r="600" spans="1:2" ht="13.2">
      <c r="A600" s="16"/>
      <c r="B600" s="17"/>
    </row>
    <row r="601" spans="1:2" ht="13.2">
      <c r="A601" s="16"/>
      <c r="B601" s="17"/>
    </row>
    <row r="602" spans="1:2" ht="13.2">
      <c r="A602" s="16"/>
      <c r="B602" s="17"/>
    </row>
    <row r="603" spans="1:2" ht="13.2">
      <c r="A603" s="16"/>
      <c r="B603" s="17"/>
    </row>
    <row r="604" spans="1:2" ht="13.2">
      <c r="A604" s="16"/>
      <c r="B604" s="17"/>
    </row>
    <row r="605" spans="1:2" ht="13.2">
      <c r="A605" s="16"/>
      <c r="B605" s="17"/>
    </row>
    <row r="606" spans="1:2" ht="13.2">
      <c r="A606" s="16"/>
      <c r="B606" s="17"/>
    </row>
    <row r="607" spans="1:2" ht="13.2">
      <c r="A607" s="16"/>
      <c r="B607" s="17"/>
    </row>
    <row r="608" spans="1:2" ht="13.2">
      <c r="A608" s="16"/>
      <c r="B608" s="17"/>
    </row>
    <row r="609" spans="1:2" ht="13.2">
      <c r="A609" s="16"/>
      <c r="B609" s="17"/>
    </row>
    <row r="610" spans="1:2" ht="13.2">
      <c r="A610" s="16"/>
      <c r="B610" s="17"/>
    </row>
    <row r="611" spans="1:2" ht="13.2">
      <c r="A611" s="16"/>
      <c r="B611" s="17"/>
    </row>
    <row r="612" spans="1:2" ht="13.2">
      <c r="A612" s="16"/>
      <c r="B612" s="17"/>
    </row>
    <row r="613" spans="1:2" ht="13.2">
      <c r="A613" s="16"/>
      <c r="B613" s="17"/>
    </row>
    <row r="614" spans="1:2" ht="13.2">
      <c r="A614" s="16"/>
      <c r="B614" s="17"/>
    </row>
    <row r="615" spans="1:2" ht="13.2">
      <c r="A615" s="16"/>
      <c r="B615" s="17"/>
    </row>
    <row r="616" spans="1:2" ht="13.2">
      <c r="A616" s="16"/>
      <c r="B616" s="17"/>
    </row>
    <row r="617" spans="1:2" ht="13.2">
      <c r="A617" s="16"/>
      <c r="B617" s="17"/>
    </row>
    <row r="618" spans="1:2" ht="13.2">
      <c r="A618" s="16"/>
      <c r="B618" s="17"/>
    </row>
    <row r="619" spans="1:2" ht="13.2">
      <c r="A619" s="16"/>
      <c r="B619" s="17"/>
    </row>
    <row r="620" spans="1:2" ht="13.2">
      <c r="A620" s="16"/>
      <c r="B620" s="17"/>
    </row>
    <row r="621" spans="1:2" ht="13.2">
      <c r="A621" s="16"/>
      <c r="B621" s="17"/>
    </row>
    <row r="622" spans="1:2" ht="13.2">
      <c r="A622" s="16"/>
      <c r="B622" s="17"/>
    </row>
    <row r="623" spans="1:2" ht="13.2">
      <c r="A623" s="16"/>
      <c r="B623" s="17"/>
    </row>
    <row r="624" spans="1:2" ht="13.2">
      <c r="A624" s="16"/>
      <c r="B624" s="17"/>
    </row>
    <row r="625" spans="1:2" ht="13.2">
      <c r="A625" s="16"/>
      <c r="B625" s="17"/>
    </row>
    <row r="626" spans="1:2" ht="13.2">
      <c r="A626" s="16"/>
      <c r="B626" s="17"/>
    </row>
    <row r="627" spans="1:2" ht="13.2">
      <c r="A627" s="16"/>
      <c r="B627" s="17"/>
    </row>
    <row r="628" spans="1:2" ht="13.2">
      <c r="A628" s="16"/>
      <c r="B628" s="17"/>
    </row>
    <row r="629" spans="1:2" ht="13.2">
      <c r="A629" s="16"/>
      <c r="B629" s="17"/>
    </row>
    <row r="630" spans="1:2" ht="13.2">
      <c r="A630" s="16"/>
      <c r="B630" s="17"/>
    </row>
    <row r="631" spans="1:2" ht="13.2">
      <c r="A631" s="16"/>
      <c r="B631" s="17"/>
    </row>
    <row r="632" spans="1:2" ht="13.2">
      <c r="A632" s="16"/>
      <c r="B632" s="17"/>
    </row>
    <row r="633" spans="1:2" ht="13.2">
      <c r="A633" s="16"/>
      <c r="B633" s="17"/>
    </row>
    <row r="634" spans="1:2" ht="13.2">
      <c r="A634" s="16"/>
      <c r="B634" s="17"/>
    </row>
    <row r="635" spans="1:2" ht="13.2">
      <c r="A635" s="16"/>
      <c r="B635" s="17"/>
    </row>
    <row r="636" spans="1:2" ht="13.2">
      <c r="A636" s="16"/>
      <c r="B636" s="17"/>
    </row>
    <row r="637" spans="1:2" ht="13.2">
      <c r="A637" s="16"/>
      <c r="B637" s="17"/>
    </row>
    <row r="638" spans="1:2" ht="13.2">
      <c r="A638" s="16"/>
      <c r="B638" s="17"/>
    </row>
    <row r="639" spans="1:2" ht="13.2">
      <c r="A639" s="16"/>
      <c r="B639" s="17"/>
    </row>
    <row r="640" spans="1:2" ht="13.2">
      <c r="A640" s="16"/>
      <c r="B640" s="17"/>
    </row>
    <row r="641" spans="1:2" ht="13.2">
      <c r="A641" s="16"/>
      <c r="B641" s="17"/>
    </row>
    <row r="642" spans="1:2" ht="13.2">
      <c r="A642" s="16"/>
      <c r="B642" s="17"/>
    </row>
    <row r="643" spans="1:2" ht="13.2">
      <c r="A643" s="16"/>
      <c r="B643" s="17"/>
    </row>
    <row r="644" spans="1:2" ht="13.2">
      <c r="A644" s="16"/>
      <c r="B644" s="17"/>
    </row>
    <row r="645" spans="1:2" ht="13.2">
      <c r="A645" s="16"/>
      <c r="B645" s="17"/>
    </row>
    <row r="646" spans="1:2" ht="13.2">
      <c r="A646" s="16"/>
      <c r="B646" s="17"/>
    </row>
    <row r="647" spans="1:2" ht="13.2">
      <c r="A647" s="16"/>
      <c r="B647" s="17"/>
    </row>
    <row r="648" spans="1:2" ht="13.2">
      <c r="A648" s="16"/>
      <c r="B648" s="17"/>
    </row>
    <row r="649" spans="1:2" ht="13.2">
      <c r="A649" s="16"/>
      <c r="B649" s="17"/>
    </row>
    <row r="650" spans="1:2" ht="13.2">
      <c r="A650" s="16"/>
      <c r="B650" s="17"/>
    </row>
    <row r="651" spans="1:2" ht="13.2">
      <c r="A651" s="16"/>
      <c r="B651" s="17"/>
    </row>
    <row r="652" spans="1:2" ht="13.2">
      <c r="A652" s="16"/>
      <c r="B652" s="17"/>
    </row>
    <row r="653" spans="1:2" ht="13.2">
      <c r="A653" s="16"/>
      <c r="B653" s="17"/>
    </row>
    <row r="654" spans="1:2" ht="13.2">
      <c r="A654" s="16"/>
      <c r="B654" s="17"/>
    </row>
    <row r="655" spans="1:2" ht="13.2">
      <c r="A655" s="16"/>
      <c r="B655" s="17"/>
    </row>
    <row r="656" spans="1:2" ht="13.2">
      <c r="A656" s="16"/>
      <c r="B656" s="17"/>
    </row>
    <row r="657" spans="1:2" ht="13.2">
      <c r="A657" s="16"/>
      <c r="B657" s="17"/>
    </row>
    <row r="658" spans="1:2" ht="13.2">
      <c r="A658" s="16"/>
      <c r="B658" s="17"/>
    </row>
    <row r="659" spans="1:2" ht="13.2">
      <c r="A659" s="16"/>
      <c r="B659" s="17"/>
    </row>
    <row r="660" spans="1:2" ht="13.2">
      <c r="A660" s="16"/>
      <c r="B660" s="17"/>
    </row>
    <row r="661" spans="1:2" ht="13.2">
      <c r="A661" s="16"/>
      <c r="B661" s="17"/>
    </row>
    <row r="662" spans="1:2" ht="13.2">
      <c r="A662" s="16"/>
      <c r="B662" s="17"/>
    </row>
    <row r="663" spans="1:2" ht="13.2">
      <c r="A663" s="16"/>
      <c r="B663" s="17"/>
    </row>
    <row r="664" spans="1:2" ht="13.2">
      <c r="A664" s="16"/>
      <c r="B664" s="17"/>
    </row>
    <row r="665" spans="1:2" ht="13.2">
      <c r="A665" s="16"/>
      <c r="B665" s="17"/>
    </row>
    <row r="666" spans="1:2" ht="13.2">
      <c r="A666" s="16"/>
      <c r="B666" s="17"/>
    </row>
    <row r="667" spans="1:2" ht="13.2">
      <c r="A667" s="16"/>
      <c r="B667" s="17"/>
    </row>
    <row r="668" spans="1:2" ht="13.2">
      <c r="A668" s="16"/>
      <c r="B668" s="17"/>
    </row>
    <row r="669" spans="1:2" ht="13.2">
      <c r="A669" s="16"/>
      <c r="B669" s="17"/>
    </row>
    <row r="670" spans="1:2" ht="13.2">
      <c r="A670" s="16"/>
      <c r="B670" s="17"/>
    </row>
    <row r="671" spans="1:2" ht="13.2">
      <c r="A671" s="16"/>
      <c r="B671" s="17"/>
    </row>
    <row r="672" spans="1:2" ht="13.2">
      <c r="A672" s="16"/>
      <c r="B672" s="17"/>
    </row>
    <row r="673" spans="1:2" ht="13.2">
      <c r="A673" s="16"/>
      <c r="B673" s="17"/>
    </row>
    <row r="674" spans="1:2" ht="13.2">
      <c r="A674" s="16"/>
      <c r="B674" s="17"/>
    </row>
    <row r="675" spans="1:2" ht="13.2">
      <c r="A675" s="16"/>
      <c r="B675" s="17"/>
    </row>
    <row r="676" spans="1:2" ht="13.2">
      <c r="A676" s="16"/>
      <c r="B676" s="17"/>
    </row>
    <row r="677" spans="1:2" ht="13.2">
      <c r="A677" s="16"/>
      <c r="B677" s="17"/>
    </row>
    <row r="678" spans="1:2" ht="13.2">
      <c r="A678" s="16"/>
      <c r="B678" s="17"/>
    </row>
    <row r="679" spans="1:2" ht="13.2">
      <c r="A679" s="16"/>
      <c r="B679" s="17"/>
    </row>
    <row r="680" spans="1:2" ht="13.2">
      <c r="A680" s="16"/>
      <c r="B680" s="17"/>
    </row>
    <row r="681" spans="1:2" ht="13.2">
      <c r="A681" s="16"/>
      <c r="B681" s="17"/>
    </row>
    <row r="682" spans="1:2" ht="13.2">
      <c r="A682" s="16"/>
      <c r="B682" s="17"/>
    </row>
    <row r="683" spans="1:2" ht="13.2">
      <c r="A683" s="16"/>
      <c r="B683" s="17"/>
    </row>
    <row r="684" spans="1:2" ht="13.2">
      <c r="A684" s="16"/>
      <c r="B684" s="17"/>
    </row>
    <row r="685" spans="1:2" ht="13.2">
      <c r="A685" s="16"/>
      <c r="B685" s="17"/>
    </row>
    <row r="686" spans="1:2" ht="13.2">
      <c r="A686" s="16"/>
      <c r="B686" s="17"/>
    </row>
    <row r="687" spans="1:2" ht="13.2">
      <c r="A687" s="16"/>
      <c r="B687" s="17"/>
    </row>
    <row r="688" spans="1:2" ht="13.2">
      <c r="A688" s="16"/>
      <c r="B688" s="17"/>
    </row>
    <row r="689" spans="1:2" ht="13.2">
      <c r="A689" s="16"/>
      <c r="B689" s="17"/>
    </row>
    <row r="690" spans="1:2" ht="13.2">
      <c r="A690" s="16"/>
      <c r="B690" s="17"/>
    </row>
    <row r="691" spans="1:2" ht="13.2">
      <c r="A691" s="16"/>
      <c r="B691" s="17"/>
    </row>
    <row r="692" spans="1:2" ht="13.2">
      <c r="A692" s="16"/>
      <c r="B692" s="17"/>
    </row>
    <row r="693" spans="1:2" ht="13.2">
      <c r="A693" s="16"/>
      <c r="B693" s="17"/>
    </row>
    <row r="694" spans="1:2" ht="13.2">
      <c r="A694" s="16"/>
      <c r="B694" s="17"/>
    </row>
    <row r="695" spans="1:2" ht="13.2">
      <c r="A695" s="16"/>
      <c r="B695" s="17"/>
    </row>
    <row r="696" spans="1:2" ht="13.2">
      <c r="A696" s="16"/>
      <c r="B696" s="17"/>
    </row>
    <row r="697" spans="1:2" ht="13.2">
      <c r="A697" s="16"/>
      <c r="B697" s="17"/>
    </row>
    <row r="698" spans="1:2" ht="13.2">
      <c r="A698" s="16"/>
      <c r="B698" s="17"/>
    </row>
    <row r="699" spans="1:2" ht="13.2">
      <c r="A699" s="16"/>
      <c r="B699" s="17"/>
    </row>
    <row r="700" spans="1:2" ht="13.2">
      <c r="A700" s="16"/>
      <c r="B700" s="17"/>
    </row>
    <row r="701" spans="1:2" ht="13.2">
      <c r="A701" s="16"/>
      <c r="B701" s="17"/>
    </row>
    <row r="702" spans="1:2" ht="13.2">
      <c r="A702" s="16"/>
      <c r="B702" s="17"/>
    </row>
    <row r="703" spans="1:2" ht="13.2">
      <c r="A703" s="16"/>
      <c r="B703" s="17"/>
    </row>
    <row r="704" spans="1:2" ht="13.2">
      <c r="A704" s="16"/>
      <c r="B704" s="17"/>
    </row>
    <row r="705" spans="1:2" ht="13.2">
      <c r="A705" s="16"/>
      <c r="B705" s="17"/>
    </row>
    <row r="706" spans="1:2" ht="13.2">
      <c r="A706" s="16"/>
      <c r="B706" s="17"/>
    </row>
    <row r="707" spans="1:2" ht="13.2">
      <c r="A707" s="16"/>
      <c r="B707" s="17"/>
    </row>
    <row r="708" spans="1:2" ht="13.2">
      <c r="A708" s="16"/>
      <c r="B708" s="17"/>
    </row>
    <row r="709" spans="1:2" ht="13.2">
      <c r="A709" s="16"/>
      <c r="B709" s="17"/>
    </row>
    <row r="710" spans="1:2" ht="13.2">
      <c r="A710" s="16"/>
      <c r="B710" s="17"/>
    </row>
    <row r="711" spans="1:2" ht="13.2">
      <c r="A711" s="16"/>
      <c r="B711" s="17"/>
    </row>
    <row r="712" spans="1:2" ht="13.2">
      <c r="A712" s="16"/>
      <c r="B712" s="17"/>
    </row>
    <row r="713" spans="1:2" ht="13.2">
      <c r="A713" s="16"/>
      <c r="B713" s="17"/>
    </row>
    <row r="714" spans="1:2" ht="13.2">
      <c r="A714" s="16"/>
      <c r="B714" s="17"/>
    </row>
    <row r="715" spans="1:2" ht="13.2">
      <c r="A715" s="16"/>
      <c r="B715" s="17"/>
    </row>
    <row r="716" spans="1:2" ht="13.2">
      <c r="A716" s="16"/>
      <c r="B716" s="17"/>
    </row>
    <row r="717" spans="1:2" ht="13.2">
      <c r="A717" s="16"/>
      <c r="B717" s="17"/>
    </row>
    <row r="718" spans="1:2" ht="13.2">
      <c r="A718" s="16"/>
      <c r="B718" s="17"/>
    </row>
    <row r="719" spans="1:2" ht="13.2">
      <c r="A719" s="16"/>
      <c r="B719" s="17"/>
    </row>
    <row r="720" spans="1:2" ht="13.2">
      <c r="A720" s="16"/>
      <c r="B720" s="17"/>
    </row>
    <row r="721" spans="1:2" ht="13.2">
      <c r="A721" s="16"/>
      <c r="B721" s="17"/>
    </row>
    <row r="722" spans="1:2" ht="13.2">
      <c r="A722" s="16"/>
      <c r="B722" s="17"/>
    </row>
    <row r="723" spans="1:2" ht="13.2">
      <c r="A723" s="16"/>
      <c r="B723" s="17"/>
    </row>
    <row r="724" spans="1:2" ht="13.2">
      <c r="A724" s="16"/>
      <c r="B724" s="17"/>
    </row>
    <row r="725" spans="1:2" ht="13.2">
      <c r="A725" s="16"/>
      <c r="B725" s="17"/>
    </row>
    <row r="726" spans="1:2" ht="13.2">
      <c r="A726" s="16"/>
      <c r="B726" s="17"/>
    </row>
    <row r="727" spans="1:2" ht="13.2">
      <c r="A727" s="16"/>
      <c r="B727" s="17"/>
    </row>
    <row r="728" spans="1:2" ht="13.2">
      <c r="A728" s="16"/>
      <c r="B728" s="17"/>
    </row>
    <row r="729" spans="1:2" ht="13.2">
      <c r="A729" s="16"/>
      <c r="B729" s="17"/>
    </row>
    <row r="730" spans="1:2" ht="13.2">
      <c r="A730" s="16"/>
      <c r="B730" s="17"/>
    </row>
    <row r="731" spans="1:2" ht="13.2">
      <c r="A731" s="16"/>
      <c r="B731" s="17"/>
    </row>
    <row r="732" spans="1:2" ht="13.2">
      <c r="A732" s="16"/>
      <c r="B732" s="17"/>
    </row>
    <row r="733" spans="1:2" ht="13.2">
      <c r="A733" s="16"/>
      <c r="B733" s="17"/>
    </row>
    <row r="734" spans="1:2" ht="13.2">
      <c r="A734" s="16"/>
      <c r="B734" s="17"/>
    </row>
    <row r="735" spans="1:2" ht="13.2">
      <c r="A735" s="16"/>
      <c r="B735" s="17"/>
    </row>
    <row r="736" spans="1:2" ht="13.2">
      <c r="A736" s="16"/>
      <c r="B736" s="17"/>
    </row>
    <row r="737" spans="1:2" ht="13.2">
      <c r="A737" s="16"/>
      <c r="B737" s="17"/>
    </row>
    <row r="738" spans="1:2" ht="13.2">
      <c r="A738" s="16"/>
      <c r="B738" s="17"/>
    </row>
    <row r="739" spans="1:2" ht="13.2">
      <c r="A739" s="16"/>
      <c r="B739" s="17"/>
    </row>
    <row r="740" spans="1:2" ht="13.2">
      <c r="A740" s="16"/>
      <c r="B740" s="17"/>
    </row>
    <row r="741" spans="1:2" ht="13.2">
      <c r="A741" s="16"/>
      <c r="B741" s="17"/>
    </row>
    <row r="742" spans="1:2" ht="13.2">
      <c r="A742" s="16"/>
      <c r="B742" s="17"/>
    </row>
    <row r="743" spans="1:2" ht="13.2">
      <c r="A743" s="16"/>
      <c r="B743" s="17"/>
    </row>
    <row r="744" spans="1:2" ht="13.2">
      <c r="A744" s="16"/>
      <c r="B744" s="17"/>
    </row>
    <row r="745" spans="1:2" ht="13.2">
      <c r="A745" s="16"/>
      <c r="B745" s="17"/>
    </row>
    <row r="746" spans="1:2" ht="13.2">
      <c r="A746" s="16"/>
      <c r="B746" s="17"/>
    </row>
    <row r="747" spans="1:2" ht="13.2">
      <c r="A747" s="16"/>
      <c r="B747" s="17"/>
    </row>
    <row r="748" spans="1:2" ht="13.2">
      <c r="A748" s="16"/>
      <c r="B748" s="17"/>
    </row>
    <row r="749" spans="1:2" ht="13.2">
      <c r="A749" s="16"/>
      <c r="B749" s="17"/>
    </row>
    <row r="750" spans="1:2" ht="13.2">
      <c r="A750" s="16"/>
      <c r="B750" s="17"/>
    </row>
    <row r="751" spans="1:2" ht="13.2">
      <c r="A751" s="16"/>
      <c r="B751" s="17"/>
    </row>
    <row r="752" spans="1:2" ht="13.2">
      <c r="A752" s="16"/>
      <c r="B752" s="17"/>
    </row>
    <row r="753" spans="1:2" ht="13.2">
      <c r="A753" s="16"/>
      <c r="B753" s="17"/>
    </row>
    <row r="754" spans="1:2" ht="13.2">
      <c r="A754" s="16"/>
      <c r="B754" s="17"/>
    </row>
    <row r="755" spans="1:2" ht="13.2">
      <c r="A755" s="16"/>
      <c r="B755" s="17"/>
    </row>
    <row r="756" spans="1:2" ht="13.2">
      <c r="A756" s="16"/>
      <c r="B756" s="17"/>
    </row>
    <row r="757" spans="1:2" ht="13.2">
      <c r="A757" s="16"/>
      <c r="B757" s="17"/>
    </row>
    <row r="758" spans="1:2" ht="13.2">
      <c r="A758" s="16"/>
      <c r="B758" s="17"/>
    </row>
    <row r="759" spans="1:2" ht="13.2">
      <c r="A759" s="16"/>
      <c r="B759" s="17"/>
    </row>
    <row r="760" spans="1:2" ht="13.2">
      <c r="A760" s="16"/>
      <c r="B760" s="17"/>
    </row>
    <row r="761" spans="1:2" ht="13.2">
      <c r="A761" s="16"/>
      <c r="B761" s="17"/>
    </row>
    <row r="762" spans="1:2" ht="13.2">
      <c r="A762" s="16"/>
      <c r="B762" s="17"/>
    </row>
    <row r="763" spans="1:2" ht="13.2">
      <c r="A763" s="16"/>
      <c r="B763" s="17"/>
    </row>
    <row r="764" spans="1:2" ht="13.2">
      <c r="A764" s="16"/>
      <c r="B764" s="17"/>
    </row>
    <row r="765" spans="1:2" ht="13.2">
      <c r="A765" s="16"/>
      <c r="B765" s="17"/>
    </row>
    <row r="766" spans="1:2" ht="13.2">
      <c r="A766" s="16"/>
      <c r="B766" s="17"/>
    </row>
    <row r="767" spans="1:2" ht="13.2">
      <c r="A767" s="16"/>
      <c r="B767" s="17"/>
    </row>
    <row r="768" spans="1:2" ht="13.2">
      <c r="A768" s="16"/>
      <c r="B768" s="17"/>
    </row>
    <row r="769" spans="1:2" ht="13.2">
      <c r="A769" s="16"/>
      <c r="B769" s="17"/>
    </row>
    <row r="770" spans="1:2" ht="13.2">
      <c r="A770" s="16"/>
      <c r="B770" s="17"/>
    </row>
    <row r="771" spans="1:2" ht="13.2">
      <c r="A771" s="16"/>
      <c r="B771" s="17"/>
    </row>
    <row r="772" spans="1:2" ht="13.2">
      <c r="A772" s="16"/>
      <c r="B772" s="17"/>
    </row>
    <row r="773" spans="1:2" ht="13.2">
      <c r="A773" s="16"/>
      <c r="B773" s="17"/>
    </row>
    <row r="774" spans="1:2" ht="13.2">
      <c r="A774" s="16"/>
      <c r="B774" s="17"/>
    </row>
    <row r="775" spans="1:2" ht="13.2">
      <c r="A775" s="16"/>
      <c r="B775" s="17"/>
    </row>
    <row r="776" spans="1:2" ht="13.2">
      <c r="A776" s="16"/>
      <c r="B776" s="17"/>
    </row>
    <row r="777" spans="1:2" ht="13.2">
      <c r="A777" s="16"/>
      <c r="B777" s="17"/>
    </row>
    <row r="778" spans="1:2" ht="13.2">
      <c r="A778" s="16"/>
      <c r="B778" s="17"/>
    </row>
    <row r="779" spans="1:2" ht="13.2">
      <c r="A779" s="16"/>
      <c r="B779" s="17"/>
    </row>
    <row r="780" spans="1:2" ht="13.2">
      <c r="A780" s="16"/>
      <c r="B780" s="17"/>
    </row>
    <row r="781" spans="1:2" ht="13.2">
      <c r="A781" s="16"/>
      <c r="B781" s="17"/>
    </row>
    <row r="782" spans="1:2" ht="13.2">
      <c r="A782" s="16"/>
      <c r="B782" s="17"/>
    </row>
    <row r="783" spans="1:2" ht="13.2">
      <c r="A783" s="16"/>
      <c r="B783" s="17"/>
    </row>
    <row r="784" spans="1:2" ht="13.2">
      <c r="A784" s="16"/>
      <c r="B784" s="17"/>
    </row>
    <row r="785" spans="1:2" ht="13.2">
      <c r="A785" s="16"/>
      <c r="B785" s="17"/>
    </row>
    <row r="786" spans="1:2" ht="13.2">
      <c r="A786" s="16"/>
      <c r="B786" s="17"/>
    </row>
    <row r="787" spans="1:2" ht="13.2">
      <c r="A787" s="16"/>
      <c r="B787" s="17"/>
    </row>
    <row r="788" spans="1:2" ht="13.2">
      <c r="A788" s="16"/>
      <c r="B788" s="17"/>
    </row>
    <row r="789" spans="1:2" ht="13.2">
      <c r="A789" s="16"/>
      <c r="B789" s="17"/>
    </row>
    <row r="790" spans="1:2" ht="13.2">
      <c r="A790" s="16"/>
      <c r="B790" s="17"/>
    </row>
    <row r="791" spans="1:2" ht="13.2">
      <c r="A791" s="16"/>
      <c r="B791" s="17"/>
    </row>
    <row r="792" spans="1:2" ht="13.2">
      <c r="A792" s="16"/>
      <c r="B792" s="17"/>
    </row>
    <row r="793" spans="1:2" ht="13.2">
      <c r="A793" s="16"/>
      <c r="B793" s="17"/>
    </row>
    <row r="794" spans="1:2" ht="13.2">
      <c r="A794" s="16"/>
      <c r="B794" s="17"/>
    </row>
    <row r="795" spans="1:2" ht="13.2">
      <c r="A795" s="16"/>
      <c r="B795" s="17"/>
    </row>
    <row r="796" spans="1:2" ht="13.2">
      <c r="A796" s="16"/>
      <c r="B796" s="17"/>
    </row>
    <row r="797" spans="1:2" ht="13.2">
      <c r="A797" s="16"/>
      <c r="B797" s="17"/>
    </row>
    <row r="798" spans="1:2" ht="13.2">
      <c r="A798" s="16"/>
      <c r="B798" s="17"/>
    </row>
    <row r="799" spans="1:2" ht="13.2">
      <c r="A799" s="16"/>
      <c r="B799" s="17"/>
    </row>
    <row r="800" spans="1:2" ht="13.2">
      <c r="A800" s="16"/>
      <c r="B800" s="17"/>
    </row>
    <row r="801" spans="1:2" ht="13.2">
      <c r="A801" s="16"/>
      <c r="B801" s="17"/>
    </row>
    <row r="802" spans="1:2" ht="13.2">
      <c r="A802" s="16"/>
      <c r="B802" s="17"/>
    </row>
    <row r="803" spans="1:2" ht="13.2">
      <c r="A803" s="16"/>
      <c r="B803" s="17"/>
    </row>
    <row r="804" spans="1:2" ht="13.2">
      <c r="A804" s="16"/>
      <c r="B804" s="17"/>
    </row>
    <row r="805" spans="1:2" ht="13.2">
      <c r="A805" s="16"/>
      <c r="B805" s="17"/>
    </row>
    <row r="806" spans="1:2" ht="13.2">
      <c r="A806" s="16"/>
      <c r="B806" s="17"/>
    </row>
    <row r="807" spans="1:2" ht="13.2">
      <c r="A807" s="16"/>
      <c r="B807" s="17"/>
    </row>
    <row r="808" spans="1:2" ht="13.2">
      <c r="A808" s="16"/>
      <c r="B808" s="17"/>
    </row>
    <row r="809" spans="1:2" ht="13.2">
      <c r="A809" s="16"/>
      <c r="B809" s="17"/>
    </row>
    <row r="810" spans="1:2" ht="13.2">
      <c r="A810" s="16"/>
      <c r="B810" s="17"/>
    </row>
    <row r="811" spans="1:2" ht="13.2">
      <c r="A811" s="16"/>
      <c r="B811" s="17"/>
    </row>
    <row r="812" spans="1:2" ht="13.2">
      <c r="A812" s="16"/>
      <c r="B812" s="17"/>
    </row>
    <row r="813" spans="1:2" ht="13.2">
      <c r="A813" s="16"/>
      <c r="B813" s="17"/>
    </row>
    <row r="814" spans="1:2" ht="13.2">
      <c r="A814" s="16"/>
      <c r="B814" s="17"/>
    </row>
    <row r="815" spans="1:2" ht="13.2">
      <c r="A815" s="16"/>
      <c r="B815" s="17"/>
    </row>
    <row r="816" spans="1:2" ht="13.2">
      <c r="A816" s="16"/>
      <c r="B816" s="17"/>
    </row>
    <row r="817" spans="1:2" ht="13.2">
      <c r="A817" s="16"/>
      <c r="B817" s="17"/>
    </row>
    <row r="818" spans="1:2" ht="13.2">
      <c r="A818" s="16"/>
      <c r="B818" s="17"/>
    </row>
    <row r="819" spans="1:2" ht="13.2">
      <c r="A819" s="16"/>
      <c r="B819" s="17"/>
    </row>
    <row r="820" spans="1:2" ht="13.2">
      <c r="A820" s="16"/>
      <c r="B820" s="17"/>
    </row>
    <row r="821" spans="1:2" ht="13.2">
      <c r="A821" s="16"/>
      <c r="B821" s="17"/>
    </row>
    <row r="822" spans="1:2" ht="13.2">
      <c r="A822" s="16"/>
      <c r="B822" s="17"/>
    </row>
    <row r="823" spans="1:2" ht="13.2">
      <c r="A823" s="16"/>
      <c r="B823" s="17"/>
    </row>
    <row r="824" spans="1:2" ht="13.2">
      <c r="A824" s="16"/>
      <c r="B824" s="17"/>
    </row>
    <row r="825" spans="1:2" ht="13.2">
      <c r="A825" s="16"/>
      <c r="B825" s="17"/>
    </row>
    <row r="826" spans="1:2" ht="13.2">
      <c r="A826" s="16"/>
      <c r="B826" s="17"/>
    </row>
    <row r="827" spans="1:2" ht="13.2">
      <c r="A827" s="16"/>
      <c r="B827" s="17"/>
    </row>
    <row r="828" spans="1:2" ht="13.2">
      <c r="A828" s="16"/>
      <c r="B828" s="17"/>
    </row>
    <row r="829" spans="1:2" ht="13.2">
      <c r="A829" s="16"/>
      <c r="B829" s="17"/>
    </row>
    <row r="830" spans="1:2" ht="13.2">
      <c r="A830" s="16"/>
      <c r="B830" s="17"/>
    </row>
    <row r="831" spans="1:2" ht="13.2">
      <c r="A831" s="16"/>
      <c r="B831" s="17"/>
    </row>
    <row r="832" spans="1:2" ht="13.2">
      <c r="A832" s="16"/>
      <c r="B832" s="17"/>
    </row>
    <row r="833" spans="1:2" ht="13.2">
      <c r="A833" s="16"/>
      <c r="B833" s="17"/>
    </row>
    <row r="834" spans="1:2" ht="13.2">
      <c r="A834" s="16"/>
      <c r="B834" s="17"/>
    </row>
    <row r="835" spans="1:2" ht="13.2">
      <c r="A835" s="16"/>
      <c r="B835" s="17"/>
    </row>
    <row r="836" spans="1:2" ht="13.2">
      <c r="A836" s="16"/>
      <c r="B836" s="17"/>
    </row>
    <row r="837" spans="1:2" ht="13.2">
      <c r="A837" s="16"/>
      <c r="B837" s="17"/>
    </row>
    <row r="838" spans="1:2" ht="13.2">
      <c r="A838" s="16"/>
      <c r="B838" s="17"/>
    </row>
    <row r="839" spans="1:2" ht="13.2">
      <c r="A839" s="16"/>
      <c r="B839" s="17"/>
    </row>
    <row r="840" spans="1:2" ht="13.2">
      <c r="A840" s="16"/>
      <c r="B840" s="17"/>
    </row>
    <row r="841" spans="1:2" ht="13.2">
      <c r="A841" s="16"/>
      <c r="B841" s="17"/>
    </row>
    <row r="842" spans="1:2" ht="13.2">
      <c r="A842" s="16"/>
      <c r="B842" s="17"/>
    </row>
    <row r="843" spans="1:2" ht="13.2">
      <c r="A843" s="16"/>
      <c r="B843" s="17"/>
    </row>
    <row r="844" spans="1:2" ht="13.2">
      <c r="A844" s="16"/>
      <c r="B844" s="17"/>
    </row>
    <row r="845" spans="1:2" ht="13.2">
      <c r="A845" s="16"/>
      <c r="B845" s="17"/>
    </row>
    <row r="846" spans="1:2" ht="13.2">
      <c r="A846" s="16"/>
      <c r="B846" s="17"/>
    </row>
    <row r="847" spans="1:2" ht="13.2">
      <c r="A847" s="16"/>
      <c r="B847" s="17"/>
    </row>
    <row r="848" spans="1:2" ht="13.2">
      <c r="A848" s="16"/>
      <c r="B848" s="17"/>
    </row>
    <row r="849" spans="1:2" ht="13.2">
      <c r="A849" s="16"/>
      <c r="B849" s="17"/>
    </row>
    <row r="850" spans="1:2" ht="13.2">
      <c r="A850" s="16"/>
      <c r="B850" s="17"/>
    </row>
    <row r="851" spans="1:2" ht="13.2">
      <c r="A851" s="16"/>
      <c r="B851" s="17"/>
    </row>
    <row r="852" spans="1:2" ht="13.2">
      <c r="A852" s="16"/>
      <c r="B852" s="17"/>
    </row>
    <row r="853" spans="1:2" ht="13.2">
      <c r="A853" s="16"/>
      <c r="B853" s="17"/>
    </row>
    <row r="854" spans="1:2" ht="13.2">
      <c r="A854" s="16"/>
      <c r="B854" s="17"/>
    </row>
    <row r="855" spans="1:2" ht="13.2">
      <c r="A855" s="16"/>
      <c r="B855" s="17"/>
    </row>
    <row r="856" spans="1:2" ht="13.2">
      <c r="A856" s="16"/>
      <c r="B856" s="17"/>
    </row>
    <row r="857" spans="1:2" ht="13.2">
      <c r="A857" s="16"/>
      <c r="B857" s="17"/>
    </row>
    <row r="858" spans="1:2" ht="13.2">
      <c r="A858" s="16"/>
      <c r="B858" s="17"/>
    </row>
    <row r="859" spans="1:2" ht="13.2">
      <c r="A859" s="16"/>
      <c r="B859" s="17"/>
    </row>
    <row r="860" spans="1:2" ht="13.2">
      <c r="A860" s="16"/>
      <c r="B860" s="17"/>
    </row>
    <row r="861" spans="1:2" ht="13.2">
      <c r="A861" s="16"/>
      <c r="B861" s="17"/>
    </row>
    <row r="862" spans="1:2" ht="13.2">
      <c r="A862" s="16"/>
      <c r="B862" s="17"/>
    </row>
    <row r="863" spans="1:2" ht="13.2">
      <c r="A863" s="16"/>
      <c r="B863" s="17"/>
    </row>
    <row r="864" spans="1:2" ht="13.2">
      <c r="A864" s="16"/>
      <c r="B864" s="17"/>
    </row>
    <row r="865" spans="1:2" ht="13.2">
      <c r="A865" s="16"/>
      <c r="B865" s="17"/>
    </row>
    <row r="866" spans="1:2" ht="13.2">
      <c r="A866" s="16"/>
      <c r="B866" s="17"/>
    </row>
    <row r="867" spans="1:2" ht="13.2">
      <c r="A867" s="16"/>
      <c r="B867" s="17"/>
    </row>
    <row r="868" spans="1:2" ht="13.2">
      <c r="A868" s="16"/>
      <c r="B868" s="17"/>
    </row>
    <row r="869" spans="1:2" ht="13.2">
      <c r="A869" s="16"/>
      <c r="B869" s="17"/>
    </row>
    <row r="870" spans="1:2" ht="13.2">
      <c r="A870" s="16"/>
      <c r="B870" s="17"/>
    </row>
    <row r="871" spans="1:2" ht="13.2">
      <c r="A871" s="16"/>
      <c r="B871" s="17"/>
    </row>
    <row r="872" spans="1:2" ht="13.2">
      <c r="A872" s="16"/>
      <c r="B872" s="17"/>
    </row>
    <row r="873" spans="1:2" ht="13.2">
      <c r="A873" s="16"/>
      <c r="B873" s="17"/>
    </row>
    <row r="874" spans="1:2" ht="13.2">
      <c r="A874" s="16"/>
      <c r="B874" s="17"/>
    </row>
    <row r="875" spans="1:2" ht="13.2">
      <c r="A875" s="16"/>
      <c r="B875" s="17"/>
    </row>
    <row r="876" spans="1:2" ht="13.2">
      <c r="A876" s="16"/>
      <c r="B876" s="17"/>
    </row>
    <row r="877" spans="1:2" ht="13.2">
      <c r="A877" s="16"/>
      <c r="B877" s="17"/>
    </row>
    <row r="878" spans="1:2" ht="13.2">
      <c r="A878" s="16"/>
      <c r="B878" s="17"/>
    </row>
    <row r="879" spans="1:2" ht="13.2">
      <c r="A879" s="16"/>
      <c r="B879" s="17"/>
    </row>
    <row r="880" spans="1:2" ht="13.2">
      <c r="A880" s="16"/>
      <c r="B880" s="17"/>
    </row>
    <row r="881" spans="1:2" ht="13.2">
      <c r="A881" s="16"/>
      <c r="B881" s="17"/>
    </row>
    <row r="882" spans="1:2" ht="13.2">
      <c r="A882" s="16"/>
      <c r="B882" s="17"/>
    </row>
    <row r="883" spans="1:2" ht="13.2">
      <c r="A883" s="16"/>
      <c r="B883" s="17"/>
    </row>
    <row r="884" spans="1:2" ht="13.2">
      <c r="A884" s="16"/>
      <c r="B884" s="17"/>
    </row>
    <row r="885" spans="1:2" ht="13.2">
      <c r="A885" s="16"/>
      <c r="B885" s="17"/>
    </row>
    <row r="886" spans="1:2" ht="13.2">
      <c r="A886" s="16"/>
      <c r="B886" s="17"/>
    </row>
    <row r="887" spans="1:2" ht="13.2">
      <c r="A887" s="16"/>
      <c r="B887" s="17"/>
    </row>
    <row r="888" spans="1:2" ht="13.2">
      <c r="A888" s="16"/>
      <c r="B888" s="17"/>
    </row>
    <row r="889" spans="1:2" ht="13.2">
      <c r="A889" s="16"/>
      <c r="B889" s="17"/>
    </row>
    <row r="890" spans="1:2" ht="13.2">
      <c r="A890" s="16"/>
      <c r="B890" s="17"/>
    </row>
    <row r="891" spans="1:2" ht="13.2">
      <c r="A891" s="16"/>
      <c r="B891" s="17"/>
    </row>
    <row r="892" spans="1:2" ht="13.2">
      <c r="A892" s="16"/>
      <c r="B892" s="17"/>
    </row>
    <row r="893" spans="1:2" ht="13.2">
      <c r="A893" s="16"/>
      <c r="B893" s="17"/>
    </row>
    <row r="894" spans="1:2" ht="13.2">
      <c r="A894" s="16"/>
      <c r="B894" s="17"/>
    </row>
    <row r="895" spans="1:2" ht="13.2">
      <c r="A895" s="16"/>
      <c r="B895" s="17"/>
    </row>
    <row r="896" spans="1:2" ht="13.2">
      <c r="A896" s="16"/>
      <c r="B896" s="17"/>
    </row>
    <row r="897" spans="1:2" ht="13.2">
      <c r="A897" s="16"/>
      <c r="B897" s="17"/>
    </row>
    <row r="898" spans="1:2" ht="13.2">
      <c r="A898" s="16"/>
      <c r="B898" s="17"/>
    </row>
    <row r="899" spans="1:2" ht="13.2">
      <c r="A899" s="16"/>
      <c r="B899" s="17"/>
    </row>
    <row r="900" spans="1:2" ht="13.2">
      <c r="A900" s="16"/>
      <c r="B900" s="17"/>
    </row>
    <row r="901" spans="1:2" ht="13.2">
      <c r="A901" s="16"/>
      <c r="B901" s="17"/>
    </row>
    <row r="902" spans="1:2" ht="13.2">
      <c r="A902" s="16"/>
      <c r="B902" s="17"/>
    </row>
    <row r="903" spans="1:2" ht="13.2">
      <c r="A903" s="16"/>
      <c r="B903" s="17"/>
    </row>
    <row r="904" spans="1:2" ht="13.2">
      <c r="A904" s="16"/>
      <c r="B904" s="17"/>
    </row>
    <row r="905" spans="1:2" ht="13.2">
      <c r="A905" s="16"/>
      <c r="B905" s="17"/>
    </row>
    <row r="906" spans="1:2" ht="13.2">
      <c r="A906" s="16"/>
      <c r="B906" s="17"/>
    </row>
    <row r="907" spans="1:2" ht="13.2">
      <c r="A907" s="16"/>
      <c r="B907" s="17"/>
    </row>
    <row r="908" spans="1:2" ht="13.2">
      <c r="A908" s="16"/>
      <c r="B908" s="17"/>
    </row>
    <row r="909" spans="1:2" ht="13.2">
      <c r="A909" s="16"/>
      <c r="B909" s="17"/>
    </row>
    <row r="910" spans="1:2" ht="13.2">
      <c r="A910" s="16"/>
      <c r="B910" s="17"/>
    </row>
    <row r="911" spans="1:2" ht="13.2">
      <c r="A911" s="16"/>
      <c r="B911" s="17"/>
    </row>
    <row r="912" spans="1:2" ht="13.2">
      <c r="A912" s="16"/>
      <c r="B912" s="17"/>
    </row>
    <row r="913" spans="1:2" ht="13.2">
      <c r="A913" s="16"/>
      <c r="B913" s="17"/>
    </row>
    <row r="914" spans="1:2" ht="13.2">
      <c r="A914" s="16"/>
      <c r="B914" s="17"/>
    </row>
    <row r="915" spans="1:2" ht="13.2">
      <c r="A915" s="16"/>
      <c r="B915" s="17"/>
    </row>
    <row r="916" spans="1:2" ht="13.2">
      <c r="A916" s="16"/>
      <c r="B916" s="17"/>
    </row>
    <row r="917" spans="1:2" ht="13.2">
      <c r="A917" s="16"/>
      <c r="B917" s="17"/>
    </row>
    <row r="918" spans="1:2" ht="13.2">
      <c r="A918" s="16"/>
      <c r="B918" s="17"/>
    </row>
    <row r="919" spans="1:2" ht="13.2">
      <c r="A919" s="16"/>
      <c r="B919" s="17"/>
    </row>
    <row r="920" spans="1:2" ht="13.2">
      <c r="A920" s="16"/>
      <c r="B920" s="17"/>
    </row>
    <row r="921" spans="1:2" ht="13.2">
      <c r="A921" s="16"/>
      <c r="B921" s="17"/>
    </row>
    <row r="922" spans="1:2" ht="13.2">
      <c r="A922" s="16"/>
      <c r="B922" s="17"/>
    </row>
    <row r="923" spans="1:2" ht="13.2">
      <c r="A923" s="16"/>
      <c r="B923" s="17"/>
    </row>
    <row r="924" spans="1:2" ht="13.2">
      <c r="A924" s="16"/>
      <c r="B924" s="17"/>
    </row>
    <row r="925" spans="1:2" ht="13.2">
      <c r="A925" s="16"/>
      <c r="B925" s="17"/>
    </row>
    <row r="926" spans="1:2" ht="13.2">
      <c r="A926" s="16"/>
      <c r="B926" s="17"/>
    </row>
    <row r="927" spans="1:2" ht="13.2">
      <c r="A927" s="16"/>
      <c r="B927" s="17"/>
    </row>
    <row r="928" spans="1:2" ht="13.2">
      <c r="A928" s="16"/>
      <c r="B928" s="17"/>
    </row>
    <row r="929" spans="1:2" ht="13.2">
      <c r="A929" s="16"/>
      <c r="B929" s="17"/>
    </row>
    <row r="930" spans="1:2" ht="13.2">
      <c r="A930" s="16"/>
      <c r="B930" s="17"/>
    </row>
    <row r="931" spans="1:2" ht="13.2">
      <c r="A931" s="16"/>
      <c r="B931" s="17"/>
    </row>
    <row r="932" spans="1:2" ht="13.2">
      <c r="A932" s="16"/>
      <c r="B932" s="17"/>
    </row>
    <row r="933" spans="1:2" ht="13.2">
      <c r="A933" s="16"/>
      <c r="B933" s="17"/>
    </row>
    <row r="934" spans="1:2" ht="13.2">
      <c r="A934" s="16"/>
      <c r="B934" s="17"/>
    </row>
    <row r="935" spans="1:2" ht="13.2">
      <c r="A935" s="16"/>
      <c r="B935" s="17"/>
    </row>
    <row r="936" spans="1:2" ht="13.2">
      <c r="A936" s="16"/>
      <c r="B936" s="17"/>
    </row>
    <row r="937" spans="1:2" ht="13.2">
      <c r="A937" s="16"/>
      <c r="B937" s="17"/>
    </row>
    <row r="938" spans="1:2" ht="13.2">
      <c r="A938" s="16"/>
      <c r="B938" s="17"/>
    </row>
    <row r="939" spans="1:2" ht="13.2">
      <c r="A939" s="16"/>
      <c r="B939" s="17"/>
    </row>
    <row r="940" spans="1:2" ht="13.2">
      <c r="A940" s="16"/>
      <c r="B940" s="17"/>
    </row>
    <row r="941" spans="1:2" ht="13.2">
      <c r="A941" s="16"/>
      <c r="B941" s="17"/>
    </row>
    <row r="942" spans="1:2" ht="13.2">
      <c r="A942" s="16"/>
      <c r="B942" s="17"/>
    </row>
    <row r="943" spans="1:2" ht="13.2">
      <c r="A943" s="16"/>
      <c r="B943" s="17"/>
    </row>
    <row r="944" spans="1:2" ht="13.2">
      <c r="A944" s="16"/>
      <c r="B944" s="17"/>
    </row>
    <row r="945" spans="1:2" ht="13.2">
      <c r="A945" s="16"/>
      <c r="B945" s="17"/>
    </row>
    <row r="946" spans="1:2" ht="13.2">
      <c r="A946" s="16"/>
      <c r="B946" s="17"/>
    </row>
    <row r="947" spans="1:2" ht="13.2">
      <c r="A947" s="16"/>
      <c r="B947" s="17"/>
    </row>
    <row r="948" spans="1:2" ht="13.2">
      <c r="A948" s="16"/>
      <c r="B948" s="17"/>
    </row>
    <row r="949" spans="1:2" ht="13.2">
      <c r="A949" s="16"/>
      <c r="B949" s="17"/>
    </row>
    <row r="950" spans="1:2" ht="13.2">
      <c r="A950" s="16"/>
      <c r="B950" s="17"/>
    </row>
    <row r="951" spans="1:2" ht="13.2">
      <c r="A951" s="16"/>
      <c r="B951" s="17"/>
    </row>
    <row r="952" spans="1:2" ht="13.2">
      <c r="A952" s="16"/>
      <c r="B952" s="17"/>
    </row>
    <row r="953" spans="1:2" ht="13.2">
      <c r="A953" s="16"/>
      <c r="B953" s="17"/>
    </row>
    <row r="954" spans="1:2" ht="13.2">
      <c r="A954" s="16"/>
      <c r="B954" s="17"/>
    </row>
    <row r="955" spans="1:2" ht="13.2">
      <c r="A955" s="16"/>
      <c r="B955" s="17"/>
    </row>
    <row r="956" spans="1:2" ht="13.2">
      <c r="A956" s="16"/>
      <c r="B956" s="17"/>
    </row>
    <row r="957" spans="1:2" ht="13.2">
      <c r="A957" s="16"/>
      <c r="B957" s="17"/>
    </row>
    <row r="958" spans="1:2" ht="13.2">
      <c r="A958" s="16"/>
      <c r="B958" s="17"/>
    </row>
    <row r="959" spans="1:2" ht="13.2">
      <c r="A959" s="16"/>
      <c r="B959" s="17"/>
    </row>
    <row r="960" spans="1:2" ht="13.2">
      <c r="A960" s="16"/>
      <c r="B960" s="17"/>
    </row>
    <row r="961" spans="1:2" ht="13.2">
      <c r="A961" s="16"/>
      <c r="B961" s="17"/>
    </row>
    <row r="962" spans="1:2" ht="13.2">
      <c r="A962" s="16"/>
      <c r="B962" s="17"/>
    </row>
    <row r="963" spans="1:2" ht="13.2">
      <c r="A963" s="16"/>
      <c r="B963" s="17"/>
    </row>
    <row r="964" spans="1:2" ht="13.2">
      <c r="A964" s="16"/>
      <c r="B964" s="17"/>
    </row>
    <row r="965" spans="1:2" ht="13.2">
      <c r="A965" s="16"/>
      <c r="B965" s="17"/>
    </row>
    <row r="966" spans="1:2" ht="13.2">
      <c r="A966" s="16"/>
      <c r="B966" s="17"/>
    </row>
    <row r="967" spans="1:2" ht="13.2">
      <c r="A967" s="16"/>
      <c r="B967" s="17"/>
    </row>
    <row r="968" spans="1:2" ht="13.2">
      <c r="A968" s="16"/>
      <c r="B968" s="17"/>
    </row>
    <row r="969" spans="1:2" ht="13.2">
      <c r="A969" s="16"/>
      <c r="B969" s="17"/>
    </row>
    <row r="970" spans="1:2" ht="13.2">
      <c r="A970" s="16"/>
      <c r="B970" s="17"/>
    </row>
    <row r="971" spans="1:2" ht="13.2">
      <c r="A971" s="16"/>
      <c r="B971" s="17"/>
    </row>
    <row r="972" spans="1:2" ht="13.2">
      <c r="A972" s="16"/>
      <c r="B972" s="17"/>
    </row>
    <row r="973" spans="1:2" ht="13.2">
      <c r="A973" s="16"/>
      <c r="B973" s="17"/>
    </row>
    <row r="974" spans="1:2" ht="13.2">
      <c r="A974" s="16"/>
      <c r="B974" s="17"/>
    </row>
    <row r="975" spans="1:2" ht="13.2">
      <c r="A975" s="16"/>
      <c r="B975" s="17"/>
    </row>
    <row r="976" spans="1:2" ht="13.2">
      <c r="A976" s="16"/>
      <c r="B976" s="17"/>
    </row>
    <row r="977" spans="1:2" ht="13.2">
      <c r="A977" s="16"/>
      <c r="B977" s="17"/>
    </row>
    <row r="978" spans="1:2" ht="13.2">
      <c r="A978" s="16"/>
      <c r="B978" s="17"/>
    </row>
    <row r="979" spans="1:2" ht="13.2">
      <c r="A979" s="16"/>
      <c r="B979" s="17"/>
    </row>
    <row r="980" spans="1:2" ht="13.2">
      <c r="A980" s="16"/>
      <c r="B980" s="17"/>
    </row>
    <row r="981" spans="1:2" ht="13.2">
      <c r="A981" s="16"/>
      <c r="B981" s="17"/>
    </row>
    <row r="982" spans="1:2" ht="13.2">
      <c r="A982" s="16"/>
      <c r="B982" s="17"/>
    </row>
    <row r="983" spans="1:2" ht="13.2">
      <c r="A983" s="16"/>
      <c r="B983" s="17"/>
    </row>
    <row r="984" spans="1:2" ht="13.2">
      <c r="A984" s="16"/>
      <c r="B984" s="17"/>
    </row>
    <row r="985" spans="1:2" ht="13.2">
      <c r="A985" s="16"/>
      <c r="B985" s="17"/>
    </row>
    <row r="986" spans="1:2" ht="13.2">
      <c r="A986" s="16"/>
      <c r="B986" s="17"/>
    </row>
    <row r="987" spans="1:2" ht="13.2">
      <c r="A987" s="16"/>
      <c r="B987" s="17"/>
    </row>
    <row r="988" spans="1:2" ht="13.2">
      <c r="A988" s="16"/>
      <c r="B988" s="17"/>
    </row>
    <row r="989" spans="1:2" ht="13.2">
      <c r="A989" s="16"/>
      <c r="B989" s="17"/>
    </row>
    <row r="990" spans="1:2" ht="13.2">
      <c r="A990" s="16"/>
      <c r="B990" s="17"/>
    </row>
    <row r="991" spans="1:2" ht="13.2">
      <c r="A991" s="16"/>
      <c r="B991" s="17"/>
    </row>
    <row r="992" spans="1:2" ht="13.2">
      <c r="A992" s="16"/>
      <c r="B992" s="17"/>
    </row>
    <row r="993" spans="1:2" ht="13.2">
      <c r="A993" s="16"/>
      <c r="B993" s="17"/>
    </row>
    <row r="994" spans="1:2" ht="13.2">
      <c r="A994" s="16"/>
      <c r="B994" s="17"/>
    </row>
    <row r="995" spans="1:2" ht="13.2">
      <c r="A995" s="16"/>
      <c r="B995" s="17"/>
    </row>
    <row r="996" spans="1:2" ht="13.2">
      <c r="A996" s="16"/>
      <c r="B996" s="17"/>
    </row>
    <row r="997" spans="1:2" ht="13.2">
      <c r="A997" s="16"/>
      <c r="B997" s="17"/>
    </row>
    <row r="998" spans="1:2" ht="13.2">
      <c r="A998" s="16"/>
      <c r="B998" s="17"/>
    </row>
    <row r="999" spans="1:2" ht="13.2">
      <c r="A999" s="16"/>
      <c r="B999" s="17"/>
    </row>
    <row r="1000" spans="1:2" ht="13.2">
      <c r="A1000" s="16"/>
      <c r="B100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X1000"/>
  <sheetViews>
    <sheetView workbookViewId="0">
      <selection activeCell="D2" sqref="D2"/>
    </sheetView>
  </sheetViews>
  <sheetFormatPr baseColWidth="10" defaultColWidth="12.6640625" defaultRowHeight="15.75" customHeight="1"/>
  <cols>
    <col min="1" max="1" width="14" customWidth="1"/>
  </cols>
  <sheetData>
    <row r="1" spans="1:24" ht="15.75" customHeight="1">
      <c r="A1" s="6" t="s">
        <v>348</v>
      </c>
      <c r="B1" s="18" t="s">
        <v>340</v>
      </c>
      <c r="C1" s="19" t="s">
        <v>367</v>
      </c>
      <c r="D1" s="19" t="s">
        <v>371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5.75" customHeight="1">
      <c r="A2" s="3">
        <v>1</v>
      </c>
      <c r="B2" s="11" t="s">
        <v>341</v>
      </c>
      <c r="C2">
        <v>42782.46686518452</v>
      </c>
      <c r="D2">
        <v>51053.725200000001</v>
      </c>
    </row>
    <row r="3" spans="1:24" ht="15.75" customHeight="1">
      <c r="A3" s="3">
        <v>2</v>
      </c>
      <c r="B3" s="11" t="s">
        <v>30</v>
      </c>
      <c r="C3">
        <v>311103.82132918481</v>
      </c>
      <c r="D3">
        <v>353837.7247999885</v>
      </c>
    </row>
    <row r="4" spans="1:24" ht="15.75" customHeight="1">
      <c r="A4" s="3">
        <v>3</v>
      </c>
      <c r="B4" s="11" t="s">
        <v>344</v>
      </c>
      <c r="C4">
        <v>208169.42440198056</v>
      </c>
      <c r="D4">
        <v>216592.39440002851</v>
      </c>
    </row>
    <row r="5" spans="1:24" ht="15.75" customHeight="1">
      <c r="A5" s="3">
        <v>4</v>
      </c>
      <c r="B5" s="11" t="s">
        <v>165</v>
      </c>
      <c r="C5">
        <v>39500.452401531169</v>
      </c>
      <c r="D5">
        <v>44108.968400039077</v>
      </c>
    </row>
    <row r="6" spans="1:24" ht="15.75" customHeight="1">
      <c r="A6" s="3">
        <v>5</v>
      </c>
      <c r="B6" s="11" t="s">
        <v>200</v>
      </c>
      <c r="C6">
        <v>35248.857229211113</v>
      </c>
      <c r="D6">
        <v>41810.590400000001</v>
      </c>
    </row>
    <row r="7" spans="1:24" ht="15.75" customHeight="1">
      <c r="A7" s="3">
        <v>6</v>
      </c>
      <c r="B7" s="11" t="s">
        <v>242</v>
      </c>
      <c r="C7">
        <v>57239.161990258006</v>
      </c>
      <c r="D7">
        <v>68315.821200000006</v>
      </c>
    </row>
    <row r="8" spans="1:24" ht="15.75" customHeight="1">
      <c r="A8" s="3">
        <v>7</v>
      </c>
      <c r="B8" s="11" t="s">
        <v>347</v>
      </c>
      <c r="C8">
        <v>543687.11798082246</v>
      </c>
      <c r="D8">
        <v>635122.18720000004</v>
      </c>
    </row>
    <row r="9" spans="1:24" ht="15.75" customHeight="1">
      <c r="A9" s="3">
        <v>8</v>
      </c>
      <c r="B9" s="11" t="s">
        <v>342</v>
      </c>
      <c r="C9">
        <v>44185.551605621258</v>
      </c>
      <c r="D9">
        <v>69229.1780000008</v>
      </c>
    </row>
    <row r="10" spans="1:24" ht="15.75" customHeight="1">
      <c r="A10" s="3">
        <v>9</v>
      </c>
      <c r="B10" s="11" t="s">
        <v>346</v>
      </c>
      <c r="C10">
        <v>11432.390210488769</v>
      </c>
      <c r="D10">
        <v>16077.635000056522</v>
      </c>
    </row>
    <row r="11" spans="1:24" ht="15.75" customHeight="1">
      <c r="A11" s="3">
        <v>10</v>
      </c>
      <c r="B11" s="11" t="s">
        <v>345</v>
      </c>
      <c r="C11">
        <v>18382.412797645036</v>
      </c>
      <c r="D11">
        <v>22477.885200000001</v>
      </c>
    </row>
    <row r="12" spans="1:24" ht="15.75" customHeight="1">
      <c r="A12" s="3">
        <v>11</v>
      </c>
      <c r="B12" s="11" t="s">
        <v>343</v>
      </c>
      <c r="C12">
        <v>1300595.8948000001</v>
      </c>
      <c r="D12">
        <v>1592247.3372000002</v>
      </c>
    </row>
    <row r="13" spans="1:24" ht="13.2">
      <c r="A13" s="16"/>
      <c r="B13" s="17"/>
    </row>
    <row r="14" spans="1:24" ht="13.2">
      <c r="A14" s="16"/>
      <c r="B14" s="17"/>
    </row>
    <row r="15" spans="1:24" ht="13.2">
      <c r="A15" s="16"/>
      <c r="B15" s="17"/>
    </row>
    <row r="16" spans="1:24" ht="13.2">
      <c r="A16" s="16"/>
      <c r="B16" s="17"/>
    </row>
    <row r="17" spans="1:2" ht="13.2">
      <c r="A17" s="16"/>
      <c r="B17" s="17"/>
    </row>
    <row r="18" spans="1:2" ht="13.2">
      <c r="A18" s="16"/>
      <c r="B18" s="17"/>
    </row>
    <row r="19" spans="1:2" ht="13.2">
      <c r="A19" s="16"/>
      <c r="B19" s="17"/>
    </row>
    <row r="20" spans="1:2" ht="13.2">
      <c r="A20" s="16"/>
      <c r="B20" s="17"/>
    </row>
    <row r="21" spans="1:2" ht="13.2">
      <c r="A21" s="16"/>
      <c r="B21" s="17"/>
    </row>
    <row r="22" spans="1:2" ht="13.2">
      <c r="A22" s="16"/>
      <c r="B22" s="17"/>
    </row>
    <row r="23" spans="1:2" ht="13.2">
      <c r="A23" s="16"/>
      <c r="B23" s="17"/>
    </row>
    <row r="24" spans="1:2" ht="13.2">
      <c r="A24" s="16"/>
      <c r="B24" s="17"/>
    </row>
    <row r="25" spans="1:2" ht="13.2">
      <c r="A25" s="16"/>
      <c r="B25" s="17"/>
    </row>
    <row r="26" spans="1:2" ht="13.2">
      <c r="A26" s="16"/>
      <c r="B26" s="17"/>
    </row>
    <row r="27" spans="1:2" ht="13.2">
      <c r="A27" s="16"/>
      <c r="B27" s="17"/>
    </row>
    <row r="28" spans="1:2" ht="13.2">
      <c r="A28" s="16"/>
      <c r="B28" s="17"/>
    </row>
    <row r="29" spans="1:2" ht="13.2">
      <c r="A29" s="16"/>
      <c r="B29" s="17"/>
    </row>
    <row r="30" spans="1:2" ht="13.2">
      <c r="A30" s="16"/>
      <c r="B30" s="17"/>
    </row>
    <row r="31" spans="1:2" ht="13.2">
      <c r="A31" s="16"/>
      <c r="B31" s="17"/>
    </row>
    <row r="32" spans="1:2" ht="13.2">
      <c r="A32" s="16"/>
      <c r="B32" s="17"/>
    </row>
    <row r="33" spans="1:2" ht="13.2">
      <c r="A33" s="16"/>
      <c r="B33" s="17"/>
    </row>
    <row r="34" spans="1:2" ht="13.2">
      <c r="A34" s="16"/>
      <c r="B34" s="17"/>
    </row>
    <row r="35" spans="1:2" ht="13.2">
      <c r="A35" s="16"/>
      <c r="B35" s="17"/>
    </row>
    <row r="36" spans="1:2" ht="13.2">
      <c r="A36" s="16"/>
      <c r="B36" s="17"/>
    </row>
    <row r="37" spans="1:2" ht="13.2">
      <c r="A37" s="16"/>
      <c r="B37" s="17"/>
    </row>
    <row r="38" spans="1:2" ht="13.2">
      <c r="A38" s="16"/>
      <c r="B38" s="17"/>
    </row>
    <row r="39" spans="1:2" ht="13.2">
      <c r="A39" s="16"/>
      <c r="B39" s="17"/>
    </row>
    <row r="40" spans="1:2" ht="13.2">
      <c r="A40" s="16"/>
      <c r="B40" s="17"/>
    </row>
    <row r="41" spans="1:2" ht="13.2">
      <c r="A41" s="16"/>
      <c r="B41" s="17"/>
    </row>
    <row r="42" spans="1:2" ht="13.2">
      <c r="A42" s="16"/>
      <c r="B42" s="17"/>
    </row>
    <row r="43" spans="1:2" ht="13.2">
      <c r="A43" s="16"/>
      <c r="B43" s="17"/>
    </row>
    <row r="44" spans="1:2" ht="13.2">
      <c r="A44" s="16"/>
      <c r="B44" s="17"/>
    </row>
    <row r="45" spans="1:2" ht="13.2">
      <c r="A45" s="16"/>
      <c r="B45" s="17"/>
    </row>
    <row r="46" spans="1:2" ht="13.2">
      <c r="A46" s="16"/>
      <c r="B46" s="17"/>
    </row>
    <row r="47" spans="1:2" ht="13.2">
      <c r="A47" s="16"/>
      <c r="B47" s="17"/>
    </row>
    <row r="48" spans="1:2" ht="13.2">
      <c r="A48" s="16"/>
      <c r="B48" s="17"/>
    </row>
    <row r="49" spans="1:2" ht="13.2">
      <c r="A49" s="16"/>
      <c r="B49" s="17"/>
    </row>
    <row r="50" spans="1:2" ht="13.2">
      <c r="A50" s="16"/>
      <c r="B50" s="17"/>
    </row>
    <row r="51" spans="1:2" ht="13.2">
      <c r="A51" s="16"/>
      <c r="B51" s="17"/>
    </row>
    <row r="52" spans="1:2" ht="13.2">
      <c r="A52" s="16"/>
      <c r="B52" s="17"/>
    </row>
    <row r="53" spans="1:2" ht="13.2">
      <c r="A53" s="16"/>
      <c r="B53" s="17"/>
    </row>
    <row r="54" spans="1:2" ht="13.2">
      <c r="A54" s="16"/>
      <c r="B54" s="17"/>
    </row>
    <row r="55" spans="1:2" ht="13.2">
      <c r="A55" s="16"/>
      <c r="B55" s="17"/>
    </row>
    <row r="56" spans="1:2" ht="13.2">
      <c r="A56" s="16"/>
      <c r="B56" s="17"/>
    </row>
    <row r="57" spans="1:2" ht="13.2">
      <c r="A57" s="16"/>
      <c r="B57" s="17"/>
    </row>
    <row r="58" spans="1:2" ht="13.2">
      <c r="A58" s="16"/>
      <c r="B58" s="17"/>
    </row>
    <row r="59" spans="1:2" ht="13.2">
      <c r="A59" s="16"/>
      <c r="B59" s="17"/>
    </row>
    <row r="60" spans="1:2" ht="13.2">
      <c r="A60" s="16"/>
      <c r="B60" s="17"/>
    </row>
    <row r="61" spans="1:2" ht="13.2">
      <c r="A61" s="16"/>
      <c r="B61" s="17"/>
    </row>
    <row r="62" spans="1:2" ht="13.2">
      <c r="A62" s="16"/>
      <c r="B62" s="17"/>
    </row>
    <row r="63" spans="1:2" ht="13.2">
      <c r="A63" s="16"/>
      <c r="B63" s="17"/>
    </row>
    <row r="64" spans="1:2" ht="13.2">
      <c r="A64" s="16"/>
      <c r="B64" s="17"/>
    </row>
    <row r="65" spans="1:2" ht="13.2">
      <c r="A65" s="16"/>
      <c r="B65" s="17"/>
    </row>
    <row r="66" spans="1:2" ht="13.2">
      <c r="A66" s="16"/>
      <c r="B66" s="17"/>
    </row>
    <row r="67" spans="1:2" ht="13.2">
      <c r="A67" s="16"/>
      <c r="B67" s="17"/>
    </row>
    <row r="68" spans="1:2" ht="13.2">
      <c r="A68" s="16"/>
      <c r="B68" s="17"/>
    </row>
    <row r="69" spans="1:2" ht="13.2">
      <c r="A69" s="16"/>
      <c r="B69" s="17"/>
    </row>
    <row r="70" spans="1:2" ht="13.2">
      <c r="A70" s="16"/>
      <c r="B70" s="17"/>
    </row>
    <row r="71" spans="1:2" ht="13.2">
      <c r="A71" s="16"/>
      <c r="B71" s="17"/>
    </row>
    <row r="72" spans="1:2" ht="13.2">
      <c r="A72" s="16"/>
      <c r="B72" s="17"/>
    </row>
    <row r="73" spans="1:2" ht="13.2">
      <c r="A73" s="16"/>
      <c r="B73" s="17"/>
    </row>
    <row r="74" spans="1:2" ht="13.2">
      <c r="A74" s="16"/>
      <c r="B74" s="17"/>
    </row>
    <row r="75" spans="1:2" ht="13.2">
      <c r="A75" s="16"/>
      <c r="B75" s="17"/>
    </row>
    <row r="76" spans="1:2" ht="13.2">
      <c r="A76" s="16"/>
      <c r="B76" s="17"/>
    </row>
    <row r="77" spans="1:2" ht="13.2">
      <c r="A77" s="16"/>
      <c r="B77" s="17"/>
    </row>
    <row r="78" spans="1:2" ht="13.2">
      <c r="A78" s="16"/>
      <c r="B78" s="17"/>
    </row>
    <row r="79" spans="1:2" ht="13.2">
      <c r="A79" s="16"/>
      <c r="B79" s="17"/>
    </row>
    <row r="80" spans="1:2" ht="13.2">
      <c r="A80" s="16"/>
      <c r="B80" s="17"/>
    </row>
    <row r="81" spans="1:2" ht="13.2">
      <c r="A81" s="16"/>
      <c r="B81" s="17"/>
    </row>
    <row r="82" spans="1:2" ht="13.2">
      <c r="A82" s="16"/>
      <c r="B82" s="17"/>
    </row>
    <row r="83" spans="1:2" ht="13.2">
      <c r="A83" s="16"/>
      <c r="B83" s="17"/>
    </row>
    <row r="84" spans="1:2" ht="13.2">
      <c r="A84" s="16"/>
      <c r="B84" s="17"/>
    </row>
    <row r="85" spans="1:2" ht="13.2">
      <c r="A85" s="16"/>
      <c r="B85" s="17"/>
    </row>
    <row r="86" spans="1:2" ht="13.2">
      <c r="A86" s="16"/>
      <c r="B86" s="17"/>
    </row>
    <row r="87" spans="1:2" ht="13.2">
      <c r="A87" s="16"/>
      <c r="B87" s="17"/>
    </row>
    <row r="88" spans="1:2" ht="13.2">
      <c r="A88" s="16"/>
      <c r="B88" s="17"/>
    </row>
    <row r="89" spans="1:2" ht="13.2">
      <c r="A89" s="16"/>
      <c r="B89" s="17"/>
    </row>
    <row r="90" spans="1:2" ht="13.2">
      <c r="A90" s="16"/>
      <c r="B90" s="17"/>
    </row>
    <row r="91" spans="1:2" ht="13.2">
      <c r="A91" s="16"/>
      <c r="B91" s="17"/>
    </row>
    <row r="92" spans="1:2" ht="13.2">
      <c r="A92" s="16"/>
      <c r="B92" s="17"/>
    </row>
    <row r="93" spans="1:2" ht="13.2">
      <c r="A93" s="16"/>
      <c r="B93" s="17"/>
    </row>
    <row r="94" spans="1:2" ht="13.2">
      <c r="A94" s="16"/>
      <c r="B94" s="17"/>
    </row>
    <row r="95" spans="1:2" ht="13.2">
      <c r="A95" s="16"/>
      <c r="B95" s="17"/>
    </row>
    <row r="96" spans="1:2" ht="13.2">
      <c r="A96" s="16"/>
      <c r="B96" s="17"/>
    </row>
    <row r="97" spans="1:2" ht="13.2">
      <c r="A97" s="16"/>
      <c r="B97" s="17"/>
    </row>
    <row r="98" spans="1:2" ht="13.2">
      <c r="A98" s="16"/>
      <c r="B98" s="17"/>
    </row>
    <row r="99" spans="1:2" ht="13.2">
      <c r="A99" s="16"/>
      <c r="B99" s="17"/>
    </row>
    <row r="100" spans="1:2" ht="13.2">
      <c r="A100" s="16"/>
      <c r="B100" s="17"/>
    </row>
    <row r="101" spans="1:2" ht="13.2">
      <c r="A101" s="16"/>
      <c r="B101" s="17"/>
    </row>
    <row r="102" spans="1:2" ht="13.2">
      <c r="A102" s="16"/>
      <c r="B102" s="17"/>
    </row>
    <row r="103" spans="1:2" ht="13.2">
      <c r="A103" s="16"/>
      <c r="B103" s="17"/>
    </row>
    <row r="104" spans="1:2" ht="13.2">
      <c r="A104" s="16"/>
      <c r="B104" s="17"/>
    </row>
    <row r="105" spans="1:2" ht="13.2">
      <c r="A105" s="16"/>
      <c r="B105" s="17"/>
    </row>
    <row r="106" spans="1:2" ht="13.2">
      <c r="A106" s="16"/>
      <c r="B106" s="17"/>
    </row>
    <row r="107" spans="1:2" ht="13.2">
      <c r="A107" s="16"/>
      <c r="B107" s="17"/>
    </row>
    <row r="108" spans="1:2" ht="13.2">
      <c r="A108" s="16"/>
      <c r="B108" s="17"/>
    </row>
    <row r="109" spans="1:2" ht="13.2">
      <c r="A109" s="16"/>
      <c r="B109" s="17"/>
    </row>
    <row r="110" spans="1:2" ht="13.2">
      <c r="A110" s="16"/>
      <c r="B110" s="17"/>
    </row>
    <row r="111" spans="1:2" ht="13.2">
      <c r="A111" s="16"/>
      <c r="B111" s="17"/>
    </row>
    <row r="112" spans="1:2" ht="13.2">
      <c r="A112" s="16"/>
      <c r="B112" s="17"/>
    </row>
    <row r="113" spans="1:2" ht="13.2">
      <c r="A113" s="16"/>
      <c r="B113" s="17"/>
    </row>
    <row r="114" spans="1:2" ht="13.2">
      <c r="A114" s="16"/>
      <c r="B114" s="17"/>
    </row>
    <row r="115" spans="1:2" ht="13.2">
      <c r="A115" s="16"/>
      <c r="B115" s="17"/>
    </row>
    <row r="116" spans="1:2" ht="13.2">
      <c r="A116" s="16"/>
      <c r="B116" s="17"/>
    </row>
    <row r="117" spans="1:2" ht="13.2">
      <c r="A117" s="16"/>
      <c r="B117" s="17"/>
    </row>
    <row r="118" spans="1:2" ht="13.2">
      <c r="A118" s="16"/>
      <c r="B118" s="17"/>
    </row>
    <row r="119" spans="1:2" ht="13.2">
      <c r="A119" s="16"/>
      <c r="B119" s="17"/>
    </row>
    <row r="120" spans="1:2" ht="13.2">
      <c r="A120" s="16"/>
      <c r="B120" s="17"/>
    </row>
    <row r="121" spans="1:2" ht="13.2">
      <c r="A121" s="16"/>
      <c r="B121" s="17"/>
    </row>
    <row r="122" spans="1:2" ht="13.2">
      <c r="A122" s="16"/>
      <c r="B122" s="17"/>
    </row>
    <row r="123" spans="1:2" ht="13.2">
      <c r="A123" s="16"/>
      <c r="B123" s="17"/>
    </row>
    <row r="124" spans="1:2" ht="13.2">
      <c r="A124" s="16"/>
      <c r="B124" s="17"/>
    </row>
    <row r="125" spans="1:2" ht="13.2">
      <c r="A125" s="16"/>
      <c r="B125" s="17"/>
    </row>
    <row r="126" spans="1:2" ht="13.2">
      <c r="A126" s="16"/>
      <c r="B126" s="17"/>
    </row>
    <row r="127" spans="1:2" ht="13.2">
      <c r="A127" s="16"/>
      <c r="B127" s="17"/>
    </row>
    <row r="128" spans="1:2" ht="13.2">
      <c r="A128" s="16"/>
      <c r="B128" s="17"/>
    </row>
    <row r="129" spans="1:2" ht="13.2">
      <c r="A129" s="16"/>
      <c r="B129" s="17"/>
    </row>
    <row r="130" spans="1:2" ht="13.2">
      <c r="A130" s="16"/>
      <c r="B130" s="17"/>
    </row>
    <row r="131" spans="1:2" ht="13.2">
      <c r="A131" s="16"/>
      <c r="B131" s="17"/>
    </row>
    <row r="132" spans="1:2" ht="13.2">
      <c r="A132" s="16"/>
      <c r="B132" s="17"/>
    </row>
    <row r="133" spans="1:2" ht="13.2">
      <c r="A133" s="16"/>
      <c r="B133" s="17"/>
    </row>
    <row r="134" spans="1:2" ht="13.2">
      <c r="A134" s="16"/>
      <c r="B134" s="17"/>
    </row>
    <row r="135" spans="1:2" ht="13.2">
      <c r="A135" s="16"/>
      <c r="B135" s="17"/>
    </row>
    <row r="136" spans="1:2" ht="13.2">
      <c r="A136" s="16"/>
      <c r="B136" s="17"/>
    </row>
    <row r="137" spans="1:2" ht="13.2">
      <c r="A137" s="16"/>
      <c r="B137" s="17"/>
    </row>
    <row r="138" spans="1:2" ht="13.2">
      <c r="A138" s="16"/>
      <c r="B138" s="17"/>
    </row>
    <row r="139" spans="1:2" ht="13.2">
      <c r="A139" s="16"/>
      <c r="B139" s="17"/>
    </row>
    <row r="140" spans="1:2" ht="13.2">
      <c r="A140" s="16"/>
      <c r="B140" s="17"/>
    </row>
    <row r="141" spans="1:2" ht="13.2">
      <c r="A141" s="16"/>
      <c r="B141" s="17"/>
    </row>
    <row r="142" spans="1:2" ht="13.2">
      <c r="A142" s="16"/>
      <c r="B142" s="17"/>
    </row>
    <row r="143" spans="1:2" ht="13.2">
      <c r="A143" s="16"/>
      <c r="B143" s="17"/>
    </row>
    <row r="144" spans="1:2" ht="13.2">
      <c r="A144" s="16"/>
      <c r="B144" s="17"/>
    </row>
    <row r="145" spans="1:2" ht="13.2">
      <c r="A145" s="16"/>
      <c r="B145" s="17"/>
    </row>
    <row r="146" spans="1:2" ht="13.2">
      <c r="A146" s="16"/>
      <c r="B146" s="17"/>
    </row>
    <row r="147" spans="1:2" ht="13.2">
      <c r="A147" s="16"/>
      <c r="B147" s="17"/>
    </row>
    <row r="148" spans="1:2" ht="13.2">
      <c r="A148" s="16"/>
      <c r="B148" s="17"/>
    </row>
    <row r="149" spans="1:2" ht="13.2">
      <c r="A149" s="16"/>
      <c r="B149" s="17"/>
    </row>
    <row r="150" spans="1:2" ht="13.2">
      <c r="A150" s="16"/>
      <c r="B150" s="17"/>
    </row>
    <row r="151" spans="1:2" ht="13.2">
      <c r="A151" s="16"/>
      <c r="B151" s="17"/>
    </row>
    <row r="152" spans="1:2" ht="13.2">
      <c r="A152" s="16"/>
      <c r="B152" s="17"/>
    </row>
    <row r="153" spans="1:2" ht="13.2">
      <c r="A153" s="16"/>
      <c r="B153" s="17"/>
    </row>
    <row r="154" spans="1:2" ht="13.2">
      <c r="A154" s="16"/>
      <c r="B154" s="17"/>
    </row>
    <row r="155" spans="1:2" ht="13.2">
      <c r="A155" s="16"/>
      <c r="B155" s="17"/>
    </row>
    <row r="156" spans="1:2" ht="13.2">
      <c r="A156" s="16"/>
      <c r="B156" s="17"/>
    </row>
    <row r="157" spans="1:2" ht="13.2">
      <c r="A157" s="16"/>
      <c r="B157" s="17"/>
    </row>
    <row r="158" spans="1:2" ht="13.2">
      <c r="A158" s="16"/>
      <c r="B158" s="17"/>
    </row>
    <row r="159" spans="1:2" ht="13.2">
      <c r="A159" s="16"/>
      <c r="B159" s="17"/>
    </row>
    <row r="160" spans="1:2" ht="13.2">
      <c r="A160" s="16"/>
      <c r="B160" s="17"/>
    </row>
    <row r="161" spans="1:2" ht="13.2">
      <c r="A161" s="16"/>
      <c r="B161" s="17"/>
    </row>
    <row r="162" spans="1:2" ht="13.2">
      <c r="A162" s="16"/>
      <c r="B162" s="17"/>
    </row>
    <row r="163" spans="1:2" ht="13.2">
      <c r="A163" s="16"/>
      <c r="B163" s="17"/>
    </row>
    <row r="164" spans="1:2" ht="13.2">
      <c r="A164" s="16"/>
      <c r="B164" s="17"/>
    </row>
    <row r="165" spans="1:2" ht="13.2">
      <c r="A165" s="16"/>
      <c r="B165" s="17"/>
    </row>
    <row r="166" spans="1:2" ht="13.2">
      <c r="A166" s="16"/>
      <c r="B166" s="17"/>
    </row>
    <row r="167" spans="1:2" ht="13.2">
      <c r="A167" s="16"/>
      <c r="B167" s="17"/>
    </row>
    <row r="168" spans="1:2" ht="13.2">
      <c r="A168" s="16"/>
      <c r="B168" s="17"/>
    </row>
    <row r="169" spans="1:2" ht="13.2">
      <c r="A169" s="16"/>
      <c r="B169" s="17"/>
    </row>
    <row r="170" spans="1:2" ht="13.2">
      <c r="A170" s="16"/>
      <c r="B170" s="17"/>
    </row>
    <row r="171" spans="1:2" ht="13.2">
      <c r="A171" s="16"/>
      <c r="B171" s="17"/>
    </row>
    <row r="172" spans="1:2" ht="13.2">
      <c r="A172" s="16"/>
      <c r="B172" s="17"/>
    </row>
    <row r="173" spans="1:2" ht="13.2">
      <c r="A173" s="16"/>
      <c r="B173" s="17"/>
    </row>
    <row r="174" spans="1:2" ht="13.2">
      <c r="A174" s="16"/>
      <c r="B174" s="17"/>
    </row>
    <row r="175" spans="1:2" ht="13.2">
      <c r="A175" s="16"/>
      <c r="B175" s="17"/>
    </row>
    <row r="176" spans="1:2" ht="13.2">
      <c r="A176" s="16"/>
      <c r="B176" s="17"/>
    </row>
    <row r="177" spans="1:2" ht="13.2">
      <c r="A177" s="16"/>
      <c r="B177" s="17"/>
    </row>
    <row r="178" spans="1:2" ht="13.2">
      <c r="A178" s="16"/>
      <c r="B178" s="17"/>
    </row>
    <row r="179" spans="1:2" ht="13.2">
      <c r="A179" s="16"/>
      <c r="B179" s="17"/>
    </row>
    <row r="180" spans="1:2" ht="13.2">
      <c r="A180" s="16"/>
      <c r="B180" s="17"/>
    </row>
    <row r="181" spans="1:2" ht="13.2">
      <c r="A181" s="16"/>
      <c r="B181" s="17"/>
    </row>
    <row r="182" spans="1:2" ht="13.2">
      <c r="A182" s="16"/>
      <c r="B182" s="17"/>
    </row>
    <row r="183" spans="1:2" ht="13.2">
      <c r="A183" s="16"/>
      <c r="B183" s="17"/>
    </row>
    <row r="184" spans="1:2" ht="13.2">
      <c r="A184" s="16"/>
      <c r="B184" s="17"/>
    </row>
    <row r="185" spans="1:2" ht="13.2">
      <c r="A185" s="16"/>
      <c r="B185" s="17"/>
    </row>
    <row r="186" spans="1:2" ht="13.2">
      <c r="A186" s="16"/>
      <c r="B186" s="17"/>
    </row>
    <row r="187" spans="1:2" ht="13.2">
      <c r="A187" s="16"/>
      <c r="B187" s="17"/>
    </row>
    <row r="188" spans="1:2" ht="13.2">
      <c r="A188" s="16"/>
      <c r="B188" s="17"/>
    </row>
    <row r="189" spans="1:2" ht="13.2">
      <c r="A189" s="16"/>
      <c r="B189" s="17"/>
    </row>
    <row r="190" spans="1:2" ht="13.2">
      <c r="A190" s="16"/>
      <c r="B190" s="17"/>
    </row>
    <row r="191" spans="1:2" ht="13.2">
      <c r="A191" s="16"/>
      <c r="B191" s="17"/>
    </row>
    <row r="192" spans="1:2" ht="13.2">
      <c r="A192" s="16"/>
      <c r="B192" s="17"/>
    </row>
    <row r="193" spans="1:2" ht="13.2">
      <c r="A193" s="16"/>
      <c r="B193" s="17"/>
    </row>
    <row r="194" spans="1:2" ht="13.2">
      <c r="A194" s="16"/>
      <c r="B194" s="17"/>
    </row>
    <row r="195" spans="1:2" ht="13.2">
      <c r="A195" s="16"/>
      <c r="B195" s="17"/>
    </row>
    <row r="196" spans="1:2" ht="13.2">
      <c r="A196" s="16"/>
      <c r="B196" s="17"/>
    </row>
    <row r="197" spans="1:2" ht="13.2">
      <c r="A197" s="16"/>
      <c r="B197" s="17"/>
    </row>
    <row r="198" spans="1:2" ht="13.2">
      <c r="A198" s="16"/>
      <c r="B198" s="17"/>
    </row>
    <row r="199" spans="1:2" ht="13.2">
      <c r="A199" s="16"/>
      <c r="B199" s="17"/>
    </row>
    <row r="200" spans="1:2" ht="13.2">
      <c r="A200" s="16"/>
      <c r="B200" s="17"/>
    </row>
    <row r="201" spans="1:2" ht="13.2">
      <c r="A201" s="16"/>
      <c r="B201" s="17"/>
    </row>
    <row r="202" spans="1:2" ht="13.2">
      <c r="A202" s="16"/>
      <c r="B202" s="17"/>
    </row>
    <row r="203" spans="1:2" ht="13.2">
      <c r="A203" s="16"/>
      <c r="B203" s="17"/>
    </row>
    <row r="204" spans="1:2" ht="13.2">
      <c r="A204" s="16"/>
      <c r="B204" s="17"/>
    </row>
    <row r="205" spans="1:2" ht="13.2">
      <c r="A205" s="16"/>
      <c r="B205" s="17"/>
    </row>
    <row r="206" spans="1:2" ht="13.2">
      <c r="A206" s="16"/>
      <c r="B206" s="17"/>
    </row>
    <row r="207" spans="1:2" ht="13.2">
      <c r="A207" s="16"/>
      <c r="B207" s="17"/>
    </row>
    <row r="208" spans="1:2" ht="13.2">
      <c r="A208" s="16"/>
      <c r="B208" s="17"/>
    </row>
    <row r="209" spans="1:2" ht="13.2">
      <c r="A209" s="16"/>
      <c r="B209" s="17"/>
    </row>
    <row r="210" spans="1:2" ht="13.2">
      <c r="A210" s="16"/>
      <c r="B210" s="17"/>
    </row>
    <row r="211" spans="1:2" ht="13.2">
      <c r="A211" s="16"/>
      <c r="B211" s="17"/>
    </row>
    <row r="212" spans="1:2" ht="13.2">
      <c r="A212" s="16"/>
      <c r="B212" s="17"/>
    </row>
    <row r="213" spans="1:2" ht="13.2">
      <c r="A213" s="16"/>
      <c r="B213" s="17"/>
    </row>
    <row r="214" spans="1:2" ht="13.2">
      <c r="A214" s="16"/>
      <c r="B214" s="17"/>
    </row>
    <row r="215" spans="1:2" ht="13.2">
      <c r="A215" s="16"/>
      <c r="B215" s="17"/>
    </row>
    <row r="216" spans="1:2" ht="13.2">
      <c r="A216" s="16"/>
      <c r="B216" s="17"/>
    </row>
    <row r="217" spans="1:2" ht="13.2">
      <c r="A217" s="16"/>
      <c r="B217" s="17"/>
    </row>
    <row r="218" spans="1:2" ht="13.2">
      <c r="A218" s="16"/>
      <c r="B218" s="17"/>
    </row>
    <row r="219" spans="1:2" ht="13.2">
      <c r="A219" s="16"/>
      <c r="B219" s="17"/>
    </row>
    <row r="220" spans="1:2" ht="13.2">
      <c r="A220" s="16"/>
      <c r="B220" s="17"/>
    </row>
    <row r="221" spans="1:2" ht="13.2">
      <c r="A221" s="16"/>
      <c r="B221" s="17"/>
    </row>
    <row r="222" spans="1:2" ht="13.2">
      <c r="A222" s="16"/>
      <c r="B222" s="17"/>
    </row>
    <row r="223" spans="1:2" ht="13.2">
      <c r="A223" s="16"/>
      <c r="B223" s="17"/>
    </row>
    <row r="224" spans="1:2" ht="13.2">
      <c r="A224" s="16"/>
      <c r="B224" s="17"/>
    </row>
    <row r="225" spans="1:2" ht="13.2">
      <c r="A225" s="16"/>
      <c r="B225" s="17"/>
    </row>
    <row r="226" spans="1:2" ht="13.2">
      <c r="A226" s="16"/>
      <c r="B226" s="17"/>
    </row>
    <row r="227" spans="1:2" ht="13.2">
      <c r="A227" s="16"/>
      <c r="B227" s="17"/>
    </row>
    <row r="228" spans="1:2" ht="13.2">
      <c r="A228" s="16"/>
      <c r="B228" s="17"/>
    </row>
    <row r="229" spans="1:2" ht="13.2">
      <c r="A229" s="16"/>
      <c r="B229" s="17"/>
    </row>
    <row r="230" spans="1:2" ht="13.2">
      <c r="A230" s="16"/>
      <c r="B230" s="17"/>
    </row>
    <row r="231" spans="1:2" ht="13.2">
      <c r="A231" s="16"/>
      <c r="B231" s="17"/>
    </row>
    <row r="232" spans="1:2" ht="13.2">
      <c r="A232" s="16"/>
      <c r="B232" s="17"/>
    </row>
    <row r="233" spans="1:2" ht="13.2">
      <c r="A233" s="16"/>
      <c r="B233" s="17"/>
    </row>
    <row r="234" spans="1:2" ht="13.2">
      <c r="A234" s="16"/>
      <c r="B234" s="17"/>
    </row>
    <row r="235" spans="1:2" ht="13.2">
      <c r="A235" s="16"/>
      <c r="B235" s="17"/>
    </row>
    <row r="236" spans="1:2" ht="13.2">
      <c r="A236" s="16"/>
      <c r="B236" s="17"/>
    </row>
    <row r="237" spans="1:2" ht="13.2">
      <c r="A237" s="16"/>
      <c r="B237" s="17"/>
    </row>
    <row r="238" spans="1:2" ht="13.2">
      <c r="A238" s="16"/>
      <c r="B238" s="17"/>
    </row>
    <row r="239" spans="1:2" ht="13.2">
      <c r="A239" s="16"/>
      <c r="B239" s="17"/>
    </row>
    <row r="240" spans="1:2" ht="13.2">
      <c r="A240" s="16"/>
      <c r="B240" s="17"/>
    </row>
    <row r="241" spans="1:2" ht="13.2">
      <c r="A241" s="16"/>
      <c r="B241" s="17"/>
    </row>
    <row r="242" spans="1:2" ht="13.2">
      <c r="A242" s="16"/>
      <c r="B242" s="17"/>
    </row>
    <row r="243" spans="1:2" ht="13.2">
      <c r="A243" s="16"/>
      <c r="B243" s="17"/>
    </row>
    <row r="244" spans="1:2" ht="13.2">
      <c r="A244" s="16"/>
      <c r="B244" s="17"/>
    </row>
    <row r="245" spans="1:2" ht="13.2">
      <c r="A245" s="16"/>
      <c r="B245" s="17"/>
    </row>
    <row r="246" spans="1:2" ht="13.2">
      <c r="A246" s="16"/>
      <c r="B246" s="17"/>
    </row>
    <row r="247" spans="1:2" ht="13.2">
      <c r="A247" s="16"/>
      <c r="B247" s="17"/>
    </row>
    <row r="248" spans="1:2" ht="13.2">
      <c r="A248" s="16"/>
      <c r="B248" s="17"/>
    </row>
    <row r="249" spans="1:2" ht="13.2">
      <c r="A249" s="16"/>
      <c r="B249" s="17"/>
    </row>
    <row r="250" spans="1:2" ht="13.2">
      <c r="A250" s="16"/>
      <c r="B250" s="17"/>
    </row>
    <row r="251" spans="1:2" ht="13.2">
      <c r="A251" s="16"/>
      <c r="B251" s="17"/>
    </row>
    <row r="252" spans="1:2" ht="13.2">
      <c r="A252" s="16"/>
      <c r="B252" s="17"/>
    </row>
    <row r="253" spans="1:2" ht="13.2">
      <c r="A253" s="16"/>
      <c r="B253" s="17"/>
    </row>
    <row r="254" spans="1:2" ht="13.2">
      <c r="A254" s="16"/>
      <c r="B254" s="17"/>
    </row>
    <row r="255" spans="1:2" ht="13.2">
      <c r="A255" s="16"/>
      <c r="B255" s="17"/>
    </row>
    <row r="256" spans="1:2" ht="13.2">
      <c r="A256" s="16"/>
      <c r="B256" s="17"/>
    </row>
    <row r="257" spans="1:2" ht="13.2">
      <c r="A257" s="16"/>
      <c r="B257" s="17"/>
    </row>
    <row r="258" spans="1:2" ht="13.2">
      <c r="A258" s="16"/>
      <c r="B258" s="17"/>
    </row>
    <row r="259" spans="1:2" ht="13.2">
      <c r="A259" s="16"/>
      <c r="B259" s="17"/>
    </row>
    <row r="260" spans="1:2" ht="13.2">
      <c r="A260" s="16"/>
      <c r="B260" s="17"/>
    </row>
    <row r="261" spans="1:2" ht="13.2">
      <c r="A261" s="16"/>
      <c r="B261" s="17"/>
    </row>
    <row r="262" spans="1:2" ht="13.2">
      <c r="A262" s="16"/>
      <c r="B262" s="17"/>
    </row>
    <row r="263" spans="1:2" ht="13.2">
      <c r="A263" s="16"/>
      <c r="B263" s="17"/>
    </row>
    <row r="264" spans="1:2" ht="13.2">
      <c r="A264" s="16"/>
      <c r="B264" s="17"/>
    </row>
    <row r="265" spans="1:2" ht="13.2">
      <c r="A265" s="16"/>
      <c r="B265" s="17"/>
    </row>
    <row r="266" spans="1:2" ht="13.2">
      <c r="A266" s="16"/>
      <c r="B266" s="17"/>
    </row>
    <row r="267" spans="1:2" ht="13.2">
      <c r="A267" s="16"/>
      <c r="B267" s="17"/>
    </row>
    <row r="268" spans="1:2" ht="13.2">
      <c r="A268" s="16"/>
      <c r="B268" s="17"/>
    </row>
    <row r="269" spans="1:2" ht="13.2">
      <c r="A269" s="16"/>
      <c r="B269" s="17"/>
    </row>
    <row r="270" spans="1:2" ht="13.2">
      <c r="A270" s="16"/>
      <c r="B270" s="17"/>
    </row>
    <row r="271" spans="1:2" ht="13.2">
      <c r="A271" s="16"/>
      <c r="B271" s="17"/>
    </row>
    <row r="272" spans="1:2" ht="13.2">
      <c r="A272" s="16"/>
      <c r="B272" s="17"/>
    </row>
    <row r="273" spans="1:2" ht="13.2">
      <c r="A273" s="16"/>
      <c r="B273" s="17"/>
    </row>
    <row r="274" spans="1:2" ht="13.2">
      <c r="A274" s="16"/>
      <c r="B274" s="17"/>
    </row>
    <row r="275" spans="1:2" ht="13.2">
      <c r="A275" s="16"/>
      <c r="B275" s="17"/>
    </row>
    <row r="276" spans="1:2" ht="13.2">
      <c r="A276" s="16"/>
      <c r="B276" s="17"/>
    </row>
    <row r="277" spans="1:2" ht="13.2">
      <c r="A277" s="16"/>
      <c r="B277" s="17"/>
    </row>
    <row r="278" spans="1:2" ht="13.2">
      <c r="A278" s="16"/>
      <c r="B278" s="17"/>
    </row>
    <row r="279" spans="1:2" ht="13.2">
      <c r="A279" s="16"/>
      <c r="B279" s="17"/>
    </row>
    <row r="280" spans="1:2" ht="13.2">
      <c r="A280" s="16"/>
      <c r="B280" s="17"/>
    </row>
    <row r="281" spans="1:2" ht="13.2">
      <c r="A281" s="16"/>
      <c r="B281" s="17"/>
    </row>
    <row r="282" spans="1:2" ht="13.2">
      <c r="A282" s="16"/>
      <c r="B282" s="17"/>
    </row>
    <row r="283" spans="1:2" ht="13.2">
      <c r="A283" s="16"/>
      <c r="B283" s="17"/>
    </row>
    <row r="284" spans="1:2" ht="13.2">
      <c r="A284" s="16"/>
      <c r="B284" s="17"/>
    </row>
    <row r="285" spans="1:2" ht="13.2">
      <c r="A285" s="16"/>
      <c r="B285" s="17"/>
    </row>
    <row r="286" spans="1:2" ht="13.2">
      <c r="A286" s="16"/>
      <c r="B286" s="17"/>
    </row>
    <row r="287" spans="1:2" ht="13.2">
      <c r="A287" s="16"/>
      <c r="B287" s="17"/>
    </row>
    <row r="288" spans="1:2" ht="13.2">
      <c r="A288" s="16"/>
      <c r="B288" s="17"/>
    </row>
    <row r="289" spans="1:2" ht="13.2">
      <c r="A289" s="16"/>
      <c r="B289" s="17"/>
    </row>
    <row r="290" spans="1:2" ht="13.2">
      <c r="A290" s="16"/>
      <c r="B290" s="17"/>
    </row>
    <row r="291" spans="1:2" ht="13.2">
      <c r="A291" s="16"/>
      <c r="B291" s="17"/>
    </row>
    <row r="292" spans="1:2" ht="13.2">
      <c r="A292" s="16"/>
      <c r="B292" s="17"/>
    </row>
    <row r="293" spans="1:2" ht="13.2">
      <c r="A293" s="16"/>
      <c r="B293" s="17"/>
    </row>
    <row r="294" spans="1:2" ht="13.2">
      <c r="A294" s="16"/>
      <c r="B294" s="17"/>
    </row>
    <row r="295" spans="1:2" ht="13.2">
      <c r="A295" s="16"/>
      <c r="B295" s="17"/>
    </row>
    <row r="296" spans="1:2" ht="13.2">
      <c r="A296" s="16"/>
      <c r="B296" s="17"/>
    </row>
    <row r="297" spans="1:2" ht="13.2">
      <c r="A297" s="16"/>
      <c r="B297" s="17"/>
    </row>
    <row r="298" spans="1:2" ht="13.2">
      <c r="A298" s="16"/>
      <c r="B298" s="17"/>
    </row>
    <row r="299" spans="1:2" ht="13.2">
      <c r="A299" s="16"/>
      <c r="B299" s="17"/>
    </row>
    <row r="300" spans="1:2" ht="13.2">
      <c r="A300" s="16"/>
      <c r="B300" s="17"/>
    </row>
    <row r="301" spans="1:2" ht="13.2">
      <c r="A301" s="16"/>
      <c r="B301" s="17"/>
    </row>
    <row r="302" spans="1:2" ht="13.2">
      <c r="A302" s="16"/>
      <c r="B302" s="17"/>
    </row>
    <row r="303" spans="1:2" ht="13.2">
      <c r="A303" s="16"/>
      <c r="B303" s="17"/>
    </row>
    <row r="304" spans="1:2" ht="13.2">
      <c r="A304" s="16"/>
      <c r="B304" s="17"/>
    </row>
    <row r="305" spans="1:2" ht="13.2">
      <c r="A305" s="16"/>
      <c r="B305" s="17"/>
    </row>
    <row r="306" spans="1:2" ht="13.2">
      <c r="A306" s="16"/>
      <c r="B306" s="17"/>
    </row>
    <row r="307" spans="1:2" ht="13.2">
      <c r="A307" s="16"/>
      <c r="B307" s="17"/>
    </row>
    <row r="308" spans="1:2" ht="13.2">
      <c r="A308" s="16"/>
      <c r="B308" s="17"/>
    </row>
    <row r="309" spans="1:2" ht="13.2">
      <c r="A309" s="16"/>
      <c r="B309" s="17"/>
    </row>
    <row r="310" spans="1:2" ht="13.2">
      <c r="A310" s="16"/>
      <c r="B310" s="17"/>
    </row>
    <row r="311" spans="1:2" ht="13.2">
      <c r="A311" s="16"/>
      <c r="B311" s="17"/>
    </row>
    <row r="312" spans="1:2" ht="13.2">
      <c r="A312" s="16"/>
      <c r="B312" s="17"/>
    </row>
    <row r="313" spans="1:2" ht="13.2">
      <c r="A313" s="16"/>
      <c r="B313" s="17"/>
    </row>
    <row r="314" spans="1:2" ht="13.2">
      <c r="A314" s="16"/>
      <c r="B314" s="17"/>
    </row>
    <row r="315" spans="1:2" ht="13.2">
      <c r="A315" s="16"/>
      <c r="B315" s="17"/>
    </row>
    <row r="316" spans="1:2" ht="13.2">
      <c r="A316" s="16"/>
      <c r="B316" s="17"/>
    </row>
    <row r="317" spans="1:2" ht="13.2">
      <c r="A317" s="16"/>
      <c r="B317" s="17"/>
    </row>
    <row r="318" spans="1:2" ht="13.2">
      <c r="A318" s="16"/>
      <c r="B318" s="17"/>
    </row>
    <row r="319" spans="1:2" ht="13.2">
      <c r="A319" s="16"/>
      <c r="B319" s="17"/>
    </row>
    <row r="320" spans="1:2" ht="13.2">
      <c r="A320" s="16"/>
      <c r="B320" s="17"/>
    </row>
    <row r="321" spans="1:2" ht="13.2">
      <c r="A321" s="16"/>
      <c r="B321" s="17"/>
    </row>
    <row r="322" spans="1:2" ht="13.2">
      <c r="A322" s="16"/>
      <c r="B322" s="17"/>
    </row>
    <row r="323" spans="1:2" ht="13.2">
      <c r="A323" s="16"/>
      <c r="B323" s="17"/>
    </row>
    <row r="324" spans="1:2" ht="13.2">
      <c r="A324" s="16"/>
      <c r="B324" s="17"/>
    </row>
    <row r="325" spans="1:2" ht="13.2">
      <c r="A325" s="16"/>
      <c r="B325" s="17"/>
    </row>
    <row r="326" spans="1:2" ht="13.2">
      <c r="A326" s="16"/>
      <c r="B326" s="17"/>
    </row>
    <row r="327" spans="1:2" ht="13.2">
      <c r="A327" s="16"/>
      <c r="B327" s="17"/>
    </row>
    <row r="328" spans="1:2" ht="13.2">
      <c r="A328" s="16"/>
      <c r="B328" s="17"/>
    </row>
    <row r="329" spans="1:2" ht="13.2">
      <c r="A329" s="16"/>
      <c r="B329" s="17"/>
    </row>
    <row r="330" spans="1:2" ht="13.2">
      <c r="A330" s="16"/>
      <c r="B330" s="17"/>
    </row>
    <row r="331" spans="1:2" ht="13.2">
      <c r="A331" s="16"/>
      <c r="B331" s="17"/>
    </row>
    <row r="332" spans="1:2" ht="13.2">
      <c r="A332" s="16"/>
      <c r="B332" s="17"/>
    </row>
    <row r="333" spans="1:2" ht="13.2">
      <c r="A333" s="16"/>
      <c r="B333" s="17"/>
    </row>
    <row r="334" spans="1:2" ht="13.2">
      <c r="A334" s="16"/>
      <c r="B334" s="17"/>
    </row>
    <row r="335" spans="1:2" ht="13.2">
      <c r="A335" s="16"/>
      <c r="B335" s="17"/>
    </row>
    <row r="336" spans="1:2" ht="13.2">
      <c r="A336" s="16"/>
      <c r="B336" s="17"/>
    </row>
    <row r="337" spans="1:2" ht="13.2">
      <c r="A337" s="16"/>
      <c r="B337" s="17"/>
    </row>
    <row r="338" spans="1:2" ht="13.2">
      <c r="A338" s="16"/>
      <c r="B338" s="17"/>
    </row>
    <row r="339" spans="1:2" ht="13.2">
      <c r="A339" s="16"/>
      <c r="B339" s="17"/>
    </row>
    <row r="340" spans="1:2" ht="13.2">
      <c r="A340" s="16"/>
      <c r="B340" s="17"/>
    </row>
    <row r="341" spans="1:2" ht="13.2">
      <c r="A341" s="16"/>
      <c r="B341" s="17"/>
    </row>
    <row r="342" spans="1:2" ht="13.2">
      <c r="A342" s="16"/>
      <c r="B342" s="17"/>
    </row>
    <row r="343" spans="1:2" ht="13.2">
      <c r="A343" s="16"/>
      <c r="B343" s="17"/>
    </row>
    <row r="344" spans="1:2" ht="13.2">
      <c r="A344" s="16"/>
      <c r="B344" s="17"/>
    </row>
    <row r="345" spans="1:2" ht="13.2">
      <c r="A345" s="16"/>
      <c r="B345" s="17"/>
    </row>
    <row r="346" spans="1:2" ht="13.2">
      <c r="A346" s="16"/>
      <c r="B346" s="17"/>
    </row>
    <row r="347" spans="1:2" ht="13.2">
      <c r="A347" s="16"/>
      <c r="B347" s="17"/>
    </row>
    <row r="348" spans="1:2" ht="13.2">
      <c r="A348" s="16"/>
      <c r="B348" s="17"/>
    </row>
    <row r="349" spans="1:2" ht="13.2">
      <c r="A349" s="16"/>
      <c r="B349" s="17"/>
    </row>
    <row r="350" spans="1:2" ht="13.2">
      <c r="A350" s="16"/>
      <c r="B350" s="17"/>
    </row>
    <row r="351" spans="1:2" ht="13.2">
      <c r="A351" s="16"/>
      <c r="B351" s="17"/>
    </row>
    <row r="352" spans="1:2" ht="13.2">
      <c r="A352" s="16"/>
      <c r="B352" s="17"/>
    </row>
    <row r="353" spans="1:2" ht="13.2">
      <c r="A353" s="16"/>
      <c r="B353" s="17"/>
    </row>
    <row r="354" spans="1:2" ht="13.2">
      <c r="A354" s="16"/>
      <c r="B354" s="17"/>
    </row>
    <row r="355" spans="1:2" ht="13.2">
      <c r="A355" s="16"/>
      <c r="B355" s="17"/>
    </row>
    <row r="356" spans="1:2" ht="13.2">
      <c r="A356" s="16"/>
      <c r="B356" s="17"/>
    </row>
    <row r="357" spans="1:2" ht="13.2">
      <c r="A357" s="16"/>
      <c r="B357" s="17"/>
    </row>
    <row r="358" spans="1:2" ht="13.2">
      <c r="A358" s="16"/>
      <c r="B358" s="17"/>
    </row>
    <row r="359" spans="1:2" ht="13.2">
      <c r="A359" s="16"/>
      <c r="B359" s="17"/>
    </row>
    <row r="360" spans="1:2" ht="13.2">
      <c r="A360" s="16"/>
      <c r="B360" s="17"/>
    </row>
    <row r="361" spans="1:2" ht="13.2">
      <c r="A361" s="16"/>
      <c r="B361" s="17"/>
    </row>
    <row r="362" spans="1:2" ht="13.2">
      <c r="A362" s="16"/>
      <c r="B362" s="17"/>
    </row>
    <row r="363" spans="1:2" ht="13.2">
      <c r="A363" s="16"/>
      <c r="B363" s="17"/>
    </row>
    <row r="364" spans="1:2" ht="13.2">
      <c r="A364" s="16"/>
      <c r="B364" s="17"/>
    </row>
    <row r="365" spans="1:2" ht="13.2">
      <c r="A365" s="16"/>
      <c r="B365" s="17"/>
    </row>
    <row r="366" spans="1:2" ht="13.2">
      <c r="A366" s="16"/>
      <c r="B366" s="17"/>
    </row>
    <row r="367" spans="1:2" ht="13.2">
      <c r="A367" s="16"/>
      <c r="B367" s="17"/>
    </row>
    <row r="368" spans="1:2" ht="13.2">
      <c r="A368" s="16"/>
      <c r="B368" s="17"/>
    </row>
    <row r="369" spans="1:2" ht="13.2">
      <c r="A369" s="16"/>
      <c r="B369" s="17"/>
    </row>
    <row r="370" spans="1:2" ht="13.2">
      <c r="A370" s="16"/>
      <c r="B370" s="17"/>
    </row>
    <row r="371" spans="1:2" ht="13.2">
      <c r="A371" s="16"/>
      <c r="B371" s="17"/>
    </row>
    <row r="372" spans="1:2" ht="13.2">
      <c r="A372" s="16"/>
      <c r="B372" s="17"/>
    </row>
    <row r="373" spans="1:2" ht="13.2">
      <c r="A373" s="16"/>
      <c r="B373" s="17"/>
    </row>
    <row r="374" spans="1:2" ht="13.2">
      <c r="A374" s="16"/>
      <c r="B374" s="17"/>
    </row>
    <row r="375" spans="1:2" ht="13.2">
      <c r="A375" s="16"/>
      <c r="B375" s="17"/>
    </row>
    <row r="376" spans="1:2" ht="13.2">
      <c r="A376" s="16"/>
      <c r="B376" s="17"/>
    </row>
    <row r="377" spans="1:2" ht="13.2">
      <c r="A377" s="16"/>
      <c r="B377" s="17"/>
    </row>
    <row r="378" spans="1:2" ht="13.2">
      <c r="A378" s="16"/>
      <c r="B378" s="17"/>
    </row>
    <row r="379" spans="1:2" ht="13.2">
      <c r="A379" s="16"/>
      <c r="B379" s="17"/>
    </row>
    <row r="380" spans="1:2" ht="13.2">
      <c r="A380" s="16"/>
      <c r="B380" s="17"/>
    </row>
    <row r="381" spans="1:2" ht="13.2">
      <c r="A381" s="16"/>
      <c r="B381" s="17"/>
    </row>
    <row r="382" spans="1:2" ht="13.2">
      <c r="A382" s="16"/>
      <c r="B382" s="17"/>
    </row>
    <row r="383" spans="1:2" ht="13.2">
      <c r="A383" s="16"/>
      <c r="B383" s="17"/>
    </row>
    <row r="384" spans="1:2" ht="13.2">
      <c r="A384" s="16"/>
      <c r="B384" s="17"/>
    </row>
    <row r="385" spans="1:2" ht="13.2">
      <c r="A385" s="16"/>
      <c r="B385" s="17"/>
    </row>
    <row r="386" spans="1:2" ht="13.2">
      <c r="A386" s="16"/>
      <c r="B386" s="17"/>
    </row>
    <row r="387" spans="1:2" ht="13.2">
      <c r="A387" s="16"/>
      <c r="B387" s="17"/>
    </row>
    <row r="388" spans="1:2" ht="13.2">
      <c r="A388" s="16"/>
      <c r="B388" s="17"/>
    </row>
    <row r="389" spans="1:2" ht="13.2">
      <c r="A389" s="16"/>
      <c r="B389" s="17"/>
    </row>
    <row r="390" spans="1:2" ht="13.2">
      <c r="A390" s="16"/>
      <c r="B390" s="17"/>
    </row>
    <row r="391" spans="1:2" ht="13.2">
      <c r="A391" s="16"/>
      <c r="B391" s="17"/>
    </row>
    <row r="392" spans="1:2" ht="13.2">
      <c r="A392" s="16"/>
      <c r="B392" s="17"/>
    </row>
    <row r="393" spans="1:2" ht="13.2">
      <c r="A393" s="16"/>
      <c r="B393" s="17"/>
    </row>
    <row r="394" spans="1:2" ht="13.2">
      <c r="A394" s="16"/>
      <c r="B394" s="17"/>
    </row>
    <row r="395" spans="1:2" ht="13.2">
      <c r="A395" s="16"/>
      <c r="B395" s="17"/>
    </row>
    <row r="396" spans="1:2" ht="13.2">
      <c r="A396" s="16"/>
      <c r="B396" s="17"/>
    </row>
    <row r="397" spans="1:2" ht="13.2">
      <c r="A397" s="16"/>
      <c r="B397" s="17"/>
    </row>
    <row r="398" spans="1:2" ht="13.2">
      <c r="A398" s="16"/>
      <c r="B398" s="17"/>
    </row>
    <row r="399" spans="1:2" ht="13.2">
      <c r="A399" s="16"/>
      <c r="B399" s="17"/>
    </row>
    <row r="400" spans="1:2" ht="13.2">
      <c r="A400" s="16"/>
      <c r="B400" s="17"/>
    </row>
    <row r="401" spans="1:2" ht="13.2">
      <c r="A401" s="16"/>
      <c r="B401" s="17"/>
    </row>
    <row r="402" spans="1:2" ht="13.2">
      <c r="A402" s="16"/>
      <c r="B402" s="17"/>
    </row>
    <row r="403" spans="1:2" ht="13.2">
      <c r="A403" s="16"/>
      <c r="B403" s="17"/>
    </row>
    <row r="404" spans="1:2" ht="13.2">
      <c r="A404" s="16"/>
      <c r="B404" s="17"/>
    </row>
    <row r="405" spans="1:2" ht="13.2">
      <c r="A405" s="16"/>
      <c r="B405" s="17"/>
    </row>
    <row r="406" spans="1:2" ht="13.2">
      <c r="A406" s="16"/>
      <c r="B406" s="17"/>
    </row>
    <row r="407" spans="1:2" ht="13.2">
      <c r="A407" s="16"/>
      <c r="B407" s="17"/>
    </row>
    <row r="408" spans="1:2" ht="13.2">
      <c r="A408" s="16"/>
      <c r="B408" s="17"/>
    </row>
    <row r="409" spans="1:2" ht="13.2">
      <c r="A409" s="16"/>
      <c r="B409" s="17"/>
    </row>
    <row r="410" spans="1:2" ht="13.2">
      <c r="A410" s="16"/>
      <c r="B410" s="17"/>
    </row>
    <row r="411" spans="1:2" ht="13.2">
      <c r="A411" s="16"/>
      <c r="B411" s="17"/>
    </row>
    <row r="412" spans="1:2" ht="13.2">
      <c r="A412" s="16"/>
      <c r="B412" s="17"/>
    </row>
    <row r="413" spans="1:2" ht="13.2">
      <c r="A413" s="16"/>
      <c r="B413" s="17"/>
    </row>
    <row r="414" spans="1:2" ht="13.2">
      <c r="A414" s="16"/>
      <c r="B414" s="17"/>
    </row>
    <row r="415" spans="1:2" ht="13.2">
      <c r="A415" s="16"/>
      <c r="B415" s="17"/>
    </row>
    <row r="416" spans="1:2" ht="13.2">
      <c r="A416" s="16"/>
      <c r="B416" s="17"/>
    </row>
    <row r="417" spans="1:2" ht="13.2">
      <c r="A417" s="16"/>
      <c r="B417" s="17"/>
    </row>
    <row r="418" spans="1:2" ht="13.2">
      <c r="A418" s="16"/>
      <c r="B418" s="17"/>
    </row>
    <row r="419" spans="1:2" ht="13.2">
      <c r="A419" s="16"/>
      <c r="B419" s="17"/>
    </row>
    <row r="420" spans="1:2" ht="13.2">
      <c r="A420" s="16"/>
      <c r="B420" s="17"/>
    </row>
    <row r="421" spans="1:2" ht="13.2">
      <c r="A421" s="16"/>
      <c r="B421" s="17"/>
    </row>
    <row r="422" spans="1:2" ht="13.2">
      <c r="A422" s="16"/>
      <c r="B422" s="17"/>
    </row>
    <row r="423" spans="1:2" ht="13.2">
      <c r="A423" s="16"/>
      <c r="B423" s="17"/>
    </row>
    <row r="424" spans="1:2" ht="13.2">
      <c r="A424" s="16"/>
      <c r="B424" s="17"/>
    </row>
    <row r="425" spans="1:2" ht="13.2">
      <c r="A425" s="16"/>
      <c r="B425" s="17"/>
    </row>
    <row r="426" spans="1:2" ht="13.2">
      <c r="A426" s="16"/>
      <c r="B426" s="17"/>
    </row>
    <row r="427" spans="1:2" ht="13.2">
      <c r="A427" s="16"/>
      <c r="B427" s="17"/>
    </row>
    <row r="428" spans="1:2" ht="13.2">
      <c r="A428" s="16"/>
      <c r="B428" s="17"/>
    </row>
    <row r="429" spans="1:2" ht="13.2">
      <c r="A429" s="16"/>
      <c r="B429" s="17"/>
    </row>
    <row r="430" spans="1:2" ht="13.2">
      <c r="A430" s="16"/>
      <c r="B430" s="17"/>
    </row>
    <row r="431" spans="1:2" ht="13.2">
      <c r="A431" s="16"/>
      <c r="B431" s="17"/>
    </row>
    <row r="432" spans="1:2" ht="13.2">
      <c r="A432" s="16"/>
      <c r="B432" s="17"/>
    </row>
    <row r="433" spans="1:2" ht="13.2">
      <c r="A433" s="16"/>
      <c r="B433" s="17"/>
    </row>
    <row r="434" spans="1:2" ht="13.2">
      <c r="A434" s="16"/>
      <c r="B434" s="17"/>
    </row>
    <row r="435" spans="1:2" ht="13.2">
      <c r="A435" s="16"/>
      <c r="B435" s="17"/>
    </row>
    <row r="436" spans="1:2" ht="13.2">
      <c r="A436" s="16"/>
      <c r="B436" s="17"/>
    </row>
    <row r="437" spans="1:2" ht="13.2">
      <c r="A437" s="16"/>
      <c r="B437" s="17"/>
    </row>
    <row r="438" spans="1:2" ht="13.2">
      <c r="A438" s="16"/>
      <c r="B438" s="17"/>
    </row>
    <row r="439" spans="1:2" ht="13.2">
      <c r="A439" s="16"/>
      <c r="B439" s="17"/>
    </row>
    <row r="440" spans="1:2" ht="13.2">
      <c r="A440" s="16"/>
      <c r="B440" s="17"/>
    </row>
    <row r="441" spans="1:2" ht="13.2">
      <c r="A441" s="16"/>
      <c r="B441" s="17"/>
    </row>
    <row r="442" spans="1:2" ht="13.2">
      <c r="A442" s="16"/>
      <c r="B442" s="17"/>
    </row>
    <row r="443" spans="1:2" ht="13.2">
      <c r="A443" s="16"/>
      <c r="B443" s="17"/>
    </row>
    <row r="444" spans="1:2" ht="13.2">
      <c r="A444" s="16"/>
      <c r="B444" s="17"/>
    </row>
    <row r="445" spans="1:2" ht="13.2">
      <c r="A445" s="16"/>
      <c r="B445" s="17"/>
    </row>
    <row r="446" spans="1:2" ht="13.2">
      <c r="A446" s="16"/>
      <c r="B446" s="17"/>
    </row>
    <row r="447" spans="1:2" ht="13.2">
      <c r="A447" s="16"/>
      <c r="B447" s="17"/>
    </row>
    <row r="448" spans="1:2" ht="13.2">
      <c r="A448" s="16"/>
      <c r="B448" s="17"/>
    </row>
    <row r="449" spans="1:2" ht="13.2">
      <c r="A449" s="16"/>
      <c r="B449" s="17"/>
    </row>
    <row r="450" spans="1:2" ht="13.2">
      <c r="A450" s="16"/>
      <c r="B450" s="17"/>
    </row>
    <row r="451" spans="1:2" ht="13.2">
      <c r="A451" s="16"/>
      <c r="B451" s="17"/>
    </row>
    <row r="452" spans="1:2" ht="13.2">
      <c r="A452" s="16"/>
      <c r="B452" s="17"/>
    </row>
    <row r="453" spans="1:2" ht="13.2">
      <c r="A453" s="16"/>
      <c r="B453" s="17"/>
    </row>
    <row r="454" spans="1:2" ht="13.2">
      <c r="A454" s="16"/>
      <c r="B454" s="17"/>
    </row>
    <row r="455" spans="1:2" ht="13.2">
      <c r="A455" s="16"/>
      <c r="B455" s="17"/>
    </row>
    <row r="456" spans="1:2" ht="13.2">
      <c r="A456" s="16"/>
      <c r="B456" s="17"/>
    </row>
    <row r="457" spans="1:2" ht="13.2">
      <c r="A457" s="16"/>
      <c r="B457" s="17"/>
    </row>
    <row r="458" spans="1:2" ht="13.2">
      <c r="A458" s="16"/>
      <c r="B458" s="17"/>
    </row>
    <row r="459" spans="1:2" ht="13.2">
      <c r="A459" s="16"/>
      <c r="B459" s="17"/>
    </row>
    <row r="460" spans="1:2" ht="13.2">
      <c r="A460" s="16"/>
      <c r="B460" s="17"/>
    </row>
    <row r="461" spans="1:2" ht="13.2">
      <c r="A461" s="16"/>
      <c r="B461" s="17"/>
    </row>
    <row r="462" spans="1:2" ht="13.2">
      <c r="A462" s="16"/>
      <c r="B462" s="17"/>
    </row>
    <row r="463" spans="1:2" ht="13.2">
      <c r="A463" s="16"/>
      <c r="B463" s="17"/>
    </row>
    <row r="464" spans="1:2" ht="13.2">
      <c r="A464" s="16"/>
      <c r="B464" s="17"/>
    </row>
    <row r="465" spans="1:2" ht="13.2">
      <c r="A465" s="16"/>
      <c r="B465" s="17"/>
    </row>
    <row r="466" spans="1:2" ht="13.2">
      <c r="A466" s="16"/>
      <c r="B466" s="17"/>
    </row>
    <row r="467" spans="1:2" ht="13.2">
      <c r="A467" s="16"/>
      <c r="B467" s="17"/>
    </row>
    <row r="468" spans="1:2" ht="13.2">
      <c r="A468" s="16"/>
      <c r="B468" s="17"/>
    </row>
    <row r="469" spans="1:2" ht="13.2">
      <c r="A469" s="16"/>
      <c r="B469" s="17"/>
    </row>
    <row r="470" spans="1:2" ht="13.2">
      <c r="A470" s="16"/>
      <c r="B470" s="17"/>
    </row>
    <row r="471" spans="1:2" ht="13.2">
      <c r="A471" s="16"/>
      <c r="B471" s="17"/>
    </row>
    <row r="472" spans="1:2" ht="13.2">
      <c r="A472" s="16"/>
      <c r="B472" s="17"/>
    </row>
    <row r="473" spans="1:2" ht="13.2">
      <c r="A473" s="16"/>
      <c r="B473" s="17"/>
    </row>
    <row r="474" spans="1:2" ht="13.2">
      <c r="A474" s="16"/>
      <c r="B474" s="17"/>
    </row>
    <row r="475" spans="1:2" ht="13.2">
      <c r="A475" s="16"/>
      <c r="B475" s="17"/>
    </row>
    <row r="476" spans="1:2" ht="13.2">
      <c r="A476" s="16"/>
      <c r="B476" s="17"/>
    </row>
    <row r="477" spans="1:2" ht="13.2">
      <c r="A477" s="16"/>
      <c r="B477" s="17"/>
    </row>
    <row r="478" spans="1:2" ht="13.2">
      <c r="A478" s="16"/>
      <c r="B478" s="17"/>
    </row>
    <row r="479" spans="1:2" ht="13.2">
      <c r="A479" s="16"/>
      <c r="B479" s="17"/>
    </row>
    <row r="480" spans="1:2" ht="13.2">
      <c r="A480" s="16"/>
      <c r="B480" s="17"/>
    </row>
    <row r="481" spans="1:2" ht="13.2">
      <c r="A481" s="16"/>
      <c r="B481" s="17"/>
    </row>
    <row r="482" spans="1:2" ht="13.2">
      <c r="A482" s="16"/>
      <c r="B482" s="17"/>
    </row>
    <row r="483" spans="1:2" ht="13.2">
      <c r="A483" s="16"/>
      <c r="B483" s="17"/>
    </row>
    <row r="484" spans="1:2" ht="13.2">
      <c r="A484" s="16"/>
      <c r="B484" s="17"/>
    </row>
    <row r="485" spans="1:2" ht="13.2">
      <c r="A485" s="16"/>
      <c r="B485" s="17"/>
    </row>
    <row r="486" spans="1:2" ht="13.2">
      <c r="A486" s="16"/>
      <c r="B486" s="17"/>
    </row>
    <row r="487" spans="1:2" ht="13.2">
      <c r="A487" s="16"/>
      <c r="B487" s="17"/>
    </row>
    <row r="488" spans="1:2" ht="13.2">
      <c r="A488" s="16"/>
      <c r="B488" s="17"/>
    </row>
    <row r="489" spans="1:2" ht="13.2">
      <c r="A489" s="16"/>
      <c r="B489" s="17"/>
    </row>
    <row r="490" spans="1:2" ht="13.2">
      <c r="A490" s="16"/>
      <c r="B490" s="17"/>
    </row>
    <row r="491" spans="1:2" ht="13.2">
      <c r="A491" s="16"/>
      <c r="B491" s="17"/>
    </row>
    <row r="492" spans="1:2" ht="13.2">
      <c r="A492" s="16"/>
      <c r="B492" s="17"/>
    </row>
    <row r="493" spans="1:2" ht="13.2">
      <c r="A493" s="16"/>
      <c r="B493" s="17"/>
    </row>
    <row r="494" spans="1:2" ht="13.2">
      <c r="A494" s="16"/>
      <c r="B494" s="17"/>
    </row>
    <row r="495" spans="1:2" ht="13.2">
      <c r="A495" s="16"/>
      <c r="B495" s="17"/>
    </row>
    <row r="496" spans="1:2" ht="13.2">
      <c r="A496" s="16"/>
      <c r="B496" s="17"/>
    </row>
    <row r="497" spans="1:2" ht="13.2">
      <c r="A497" s="16"/>
      <c r="B497" s="17"/>
    </row>
    <row r="498" spans="1:2" ht="13.2">
      <c r="A498" s="16"/>
      <c r="B498" s="17"/>
    </row>
    <row r="499" spans="1:2" ht="13.2">
      <c r="A499" s="16"/>
      <c r="B499" s="17"/>
    </row>
    <row r="500" spans="1:2" ht="13.2">
      <c r="A500" s="16"/>
      <c r="B500" s="17"/>
    </row>
    <row r="501" spans="1:2" ht="13.2">
      <c r="A501" s="16"/>
      <c r="B501" s="17"/>
    </row>
    <row r="502" spans="1:2" ht="13.2">
      <c r="A502" s="16"/>
      <c r="B502" s="17"/>
    </row>
    <row r="503" spans="1:2" ht="13.2">
      <c r="A503" s="16"/>
      <c r="B503" s="17"/>
    </row>
    <row r="504" spans="1:2" ht="13.2">
      <c r="A504" s="16"/>
      <c r="B504" s="17"/>
    </row>
    <row r="505" spans="1:2" ht="13.2">
      <c r="A505" s="16"/>
      <c r="B505" s="17"/>
    </row>
    <row r="506" spans="1:2" ht="13.2">
      <c r="A506" s="16"/>
      <c r="B506" s="17"/>
    </row>
    <row r="507" spans="1:2" ht="13.2">
      <c r="A507" s="16"/>
      <c r="B507" s="17"/>
    </row>
    <row r="508" spans="1:2" ht="13.2">
      <c r="A508" s="16"/>
      <c r="B508" s="17"/>
    </row>
    <row r="509" spans="1:2" ht="13.2">
      <c r="A509" s="16"/>
      <c r="B509" s="17"/>
    </row>
    <row r="510" spans="1:2" ht="13.2">
      <c r="A510" s="16"/>
      <c r="B510" s="17"/>
    </row>
    <row r="511" spans="1:2" ht="13.2">
      <c r="A511" s="16"/>
      <c r="B511" s="17"/>
    </row>
    <row r="512" spans="1:2" ht="13.2">
      <c r="A512" s="16"/>
      <c r="B512" s="17"/>
    </row>
    <row r="513" spans="1:2" ht="13.2">
      <c r="A513" s="16"/>
      <c r="B513" s="17"/>
    </row>
    <row r="514" spans="1:2" ht="13.2">
      <c r="A514" s="16"/>
      <c r="B514" s="17"/>
    </row>
    <row r="515" spans="1:2" ht="13.2">
      <c r="A515" s="16"/>
      <c r="B515" s="17"/>
    </row>
    <row r="516" spans="1:2" ht="13.2">
      <c r="A516" s="16"/>
      <c r="B516" s="17"/>
    </row>
    <row r="517" spans="1:2" ht="13.2">
      <c r="A517" s="16"/>
      <c r="B517" s="17"/>
    </row>
    <row r="518" spans="1:2" ht="13.2">
      <c r="A518" s="16"/>
      <c r="B518" s="17"/>
    </row>
    <row r="519" spans="1:2" ht="13.2">
      <c r="A519" s="16"/>
      <c r="B519" s="17"/>
    </row>
    <row r="520" spans="1:2" ht="13.2">
      <c r="A520" s="16"/>
      <c r="B520" s="17"/>
    </row>
    <row r="521" spans="1:2" ht="13.2">
      <c r="A521" s="16"/>
      <c r="B521" s="17"/>
    </row>
    <row r="522" spans="1:2" ht="13.2">
      <c r="A522" s="16"/>
      <c r="B522" s="17"/>
    </row>
    <row r="523" spans="1:2" ht="13.2">
      <c r="A523" s="16"/>
      <c r="B523" s="17"/>
    </row>
    <row r="524" spans="1:2" ht="13.2">
      <c r="A524" s="16"/>
      <c r="B524" s="17"/>
    </row>
    <row r="525" spans="1:2" ht="13.2">
      <c r="A525" s="16"/>
      <c r="B525" s="17"/>
    </row>
    <row r="526" spans="1:2" ht="13.2">
      <c r="A526" s="16"/>
      <c r="B526" s="17"/>
    </row>
    <row r="527" spans="1:2" ht="13.2">
      <c r="A527" s="16"/>
      <c r="B527" s="17"/>
    </row>
    <row r="528" spans="1:2" ht="13.2">
      <c r="A528" s="16"/>
      <c r="B528" s="17"/>
    </row>
    <row r="529" spans="1:2" ht="13.2">
      <c r="A529" s="16"/>
      <c r="B529" s="17"/>
    </row>
    <row r="530" spans="1:2" ht="13.2">
      <c r="A530" s="16"/>
      <c r="B530" s="17"/>
    </row>
    <row r="531" spans="1:2" ht="13.2">
      <c r="A531" s="16"/>
      <c r="B531" s="17"/>
    </row>
    <row r="532" spans="1:2" ht="13.2">
      <c r="A532" s="16"/>
      <c r="B532" s="17"/>
    </row>
    <row r="533" spans="1:2" ht="13.2">
      <c r="A533" s="16"/>
      <c r="B533" s="17"/>
    </row>
    <row r="534" spans="1:2" ht="13.2">
      <c r="A534" s="16"/>
      <c r="B534" s="17"/>
    </row>
    <row r="535" spans="1:2" ht="13.2">
      <c r="A535" s="16"/>
      <c r="B535" s="17"/>
    </row>
    <row r="536" spans="1:2" ht="13.2">
      <c r="A536" s="16"/>
      <c r="B536" s="17"/>
    </row>
    <row r="537" spans="1:2" ht="13.2">
      <c r="A537" s="16"/>
      <c r="B537" s="17"/>
    </row>
    <row r="538" spans="1:2" ht="13.2">
      <c r="A538" s="16"/>
      <c r="B538" s="17"/>
    </row>
    <row r="539" spans="1:2" ht="13.2">
      <c r="A539" s="16"/>
      <c r="B539" s="17"/>
    </row>
    <row r="540" spans="1:2" ht="13.2">
      <c r="A540" s="16"/>
      <c r="B540" s="17"/>
    </row>
    <row r="541" spans="1:2" ht="13.2">
      <c r="A541" s="16"/>
      <c r="B541" s="17"/>
    </row>
    <row r="542" spans="1:2" ht="13.2">
      <c r="A542" s="16"/>
      <c r="B542" s="17"/>
    </row>
    <row r="543" spans="1:2" ht="13.2">
      <c r="A543" s="16"/>
      <c r="B543" s="17"/>
    </row>
    <row r="544" spans="1:2" ht="13.2">
      <c r="A544" s="16"/>
      <c r="B544" s="17"/>
    </row>
    <row r="545" spans="1:2" ht="13.2">
      <c r="A545" s="16"/>
      <c r="B545" s="17"/>
    </row>
    <row r="546" spans="1:2" ht="13.2">
      <c r="A546" s="16"/>
      <c r="B546" s="17"/>
    </row>
    <row r="547" spans="1:2" ht="13.2">
      <c r="A547" s="16"/>
      <c r="B547" s="17"/>
    </row>
    <row r="548" spans="1:2" ht="13.2">
      <c r="A548" s="16"/>
      <c r="B548" s="17"/>
    </row>
    <row r="549" spans="1:2" ht="13.2">
      <c r="A549" s="16"/>
      <c r="B549" s="17"/>
    </row>
    <row r="550" spans="1:2" ht="13.2">
      <c r="A550" s="16"/>
      <c r="B550" s="17"/>
    </row>
    <row r="551" spans="1:2" ht="13.2">
      <c r="A551" s="16"/>
      <c r="B551" s="17"/>
    </row>
    <row r="552" spans="1:2" ht="13.2">
      <c r="A552" s="16"/>
      <c r="B552" s="17"/>
    </row>
    <row r="553" spans="1:2" ht="13.2">
      <c r="A553" s="16"/>
      <c r="B553" s="17"/>
    </row>
    <row r="554" spans="1:2" ht="13.2">
      <c r="A554" s="16"/>
      <c r="B554" s="17"/>
    </row>
    <row r="555" spans="1:2" ht="13.2">
      <c r="A555" s="16"/>
      <c r="B555" s="17"/>
    </row>
    <row r="556" spans="1:2" ht="13.2">
      <c r="A556" s="16"/>
      <c r="B556" s="17"/>
    </row>
    <row r="557" spans="1:2" ht="13.2">
      <c r="A557" s="16"/>
      <c r="B557" s="17"/>
    </row>
    <row r="558" spans="1:2" ht="13.2">
      <c r="A558" s="16"/>
      <c r="B558" s="17"/>
    </row>
    <row r="559" spans="1:2" ht="13.2">
      <c r="A559" s="16"/>
      <c r="B559" s="17"/>
    </row>
    <row r="560" spans="1:2" ht="13.2">
      <c r="A560" s="16"/>
      <c r="B560" s="17"/>
    </row>
    <row r="561" spans="1:2" ht="13.2">
      <c r="A561" s="16"/>
      <c r="B561" s="17"/>
    </row>
    <row r="562" spans="1:2" ht="13.2">
      <c r="A562" s="16"/>
      <c r="B562" s="17"/>
    </row>
    <row r="563" spans="1:2" ht="13.2">
      <c r="A563" s="16"/>
      <c r="B563" s="17"/>
    </row>
    <row r="564" spans="1:2" ht="13.2">
      <c r="A564" s="16"/>
      <c r="B564" s="17"/>
    </row>
    <row r="565" spans="1:2" ht="13.2">
      <c r="A565" s="16"/>
      <c r="B565" s="17"/>
    </row>
    <row r="566" spans="1:2" ht="13.2">
      <c r="A566" s="16"/>
      <c r="B566" s="17"/>
    </row>
    <row r="567" spans="1:2" ht="13.2">
      <c r="A567" s="16"/>
      <c r="B567" s="17"/>
    </row>
    <row r="568" spans="1:2" ht="13.2">
      <c r="A568" s="16"/>
      <c r="B568" s="17"/>
    </row>
    <row r="569" spans="1:2" ht="13.2">
      <c r="A569" s="16"/>
      <c r="B569" s="17"/>
    </row>
    <row r="570" spans="1:2" ht="13.2">
      <c r="A570" s="16"/>
      <c r="B570" s="17"/>
    </row>
    <row r="571" spans="1:2" ht="13.2">
      <c r="A571" s="16"/>
      <c r="B571" s="17"/>
    </row>
    <row r="572" spans="1:2" ht="13.2">
      <c r="A572" s="16"/>
      <c r="B572" s="17"/>
    </row>
    <row r="573" spans="1:2" ht="13.2">
      <c r="A573" s="16"/>
      <c r="B573" s="17"/>
    </row>
    <row r="574" spans="1:2" ht="13.2">
      <c r="A574" s="16"/>
      <c r="B574" s="17"/>
    </row>
    <row r="575" spans="1:2" ht="13.2">
      <c r="A575" s="16"/>
      <c r="B575" s="17"/>
    </row>
    <row r="576" spans="1:2" ht="13.2">
      <c r="A576" s="16"/>
      <c r="B576" s="17"/>
    </row>
    <row r="577" spans="1:2" ht="13.2">
      <c r="A577" s="16"/>
      <c r="B577" s="17"/>
    </row>
    <row r="578" spans="1:2" ht="13.2">
      <c r="A578" s="16"/>
      <c r="B578" s="17"/>
    </row>
    <row r="579" spans="1:2" ht="13.2">
      <c r="A579" s="16"/>
      <c r="B579" s="17"/>
    </row>
    <row r="580" spans="1:2" ht="13.2">
      <c r="A580" s="16"/>
      <c r="B580" s="17"/>
    </row>
    <row r="581" spans="1:2" ht="13.2">
      <c r="A581" s="16"/>
      <c r="B581" s="17"/>
    </row>
    <row r="582" spans="1:2" ht="13.2">
      <c r="A582" s="16"/>
      <c r="B582" s="17"/>
    </row>
    <row r="583" spans="1:2" ht="13.2">
      <c r="A583" s="16"/>
      <c r="B583" s="17"/>
    </row>
    <row r="584" spans="1:2" ht="13.2">
      <c r="A584" s="16"/>
      <c r="B584" s="17"/>
    </row>
    <row r="585" spans="1:2" ht="13.2">
      <c r="A585" s="16"/>
      <c r="B585" s="17"/>
    </row>
    <row r="586" spans="1:2" ht="13.2">
      <c r="A586" s="16"/>
      <c r="B586" s="17"/>
    </row>
    <row r="587" spans="1:2" ht="13.2">
      <c r="A587" s="16"/>
      <c r="B587" s="17"/>
    </row>
    <row r="588" spans="1:2" ht="13.2">
      <c r="A588" s="16"/>
      <c r="B588" s="17"/>
    </row>
    <row r="589" spans="1:2" ht="13.2">
      <c r="A589" s="16"/>
      <c r="B589" s="17"/>
    </row>
    <row r="590" spans="1:2" ht="13.2">
      <c r="A590" s="16"/>
      <c r="B590" s="17"/>
    </row>
    <row r="591" spans="1:2" ht="13.2">
      <c r="A591" s="16"/>
      <c r="B591" s="17"/>
    </row>
    <row r="592" spans="1:2" ht="13.2">
      <c r="A592" s="16"/>
      <c r="B592" s="17"/>
    </row>
    <row r="593" spans="1:2" ht="13.2">
      <c r="A593" s="16"/>
      <c r="B593" s="17"/>
    </row>
    <row r="594" spans="1:2" ht="13.2">
      <c r="A594" s="16"/>
      <c r="B594" s="17"/>
    </row>
    <row r="595" spans="1:2" ht="13.2">
      <c r="A595" s="16"/>
      <c r="B595" s="17"/>
    </row>
    <row r="596" spans="1:2" ht="13.2">
      <c r="A596" s="16"/>
      <c r="B596" s="17"/>
    </row>
    <row r="597" spans="1:2" ht="13.2">
      <c r="A597" s="16"/>
      <c r="B597" s="17"/>
    </row>
    <row r="598" spans="1:2" ht="13.2">
      <c r="A598" s="16"/>
      <c r="B598" s="17"/>
    </row>
    <row r="599" spans="1:2" ht="13.2">
      <c r="A599" s="16"/>
      <c r="B599" s="17"/>
    </row>
    <row r="600" spans="1:2" ht="13.2">
      <c r="A600" s="16"/>
      <c r="B600" s="17"/>
    </row>
    <row r="601" spans="1:2" ht="13.2">
      <c r="A601" s="16"/>
      <c r="B601" s="17"/>
    </row>
    <row r="602" spans="1:2" ht="13.2">
      <c r="A602" s="16"/>
      <c r="B602" s="17"/>
    </row>
    <row r="603" spans="1:2" ht="13.2">
      <c r="A603" s="16"/>
      <c r="B603" s="17"/>
    </row>
    <row r="604" spans="1:2" ht="13.2">
      <c r="A604" s="16"/>
      <c r="B604" s="17"/>
    </row>
    <row r="605" spans="1:2" ht="13.2">
      <c r="A605" s="16"/>
      <c r="B605" s="17"/>
    </row>
    <row r="606" spans="1:2" ht="13.2">
      <c r="A606" s="16"/>
      <c r="B606" s="17"/>
    </row>
    <row r="607" spans="1:2" ht="13.2">
      <c r="A607" s="16"/>
      <c r="B607" s="17"/>
    </row>
    <row r="608" spans="1:2" ht="13.2">
      <c r="A608" s="16"/>
      <c r="B608" s="17"/>
    </row>
    <row r="609" spans="1:2" ht="13.2">
      <c r="A609" s="16"/>
      <c r="B609" s="17"/>
    </row>
    <row r="610" spans="1:2" ht="13.2">
      <c r="A610" s="16"/>
      <c r="B610" s="17"/>
    </row>
    <row r="611" spans="1:2" ht="13.2">
      <c r="A611" s="16"/>
      <c r="B611" s="17"/>
    </row>
    <row r="612" spans="1:2" ht="13.2">
      <c r="A612" s="16"/>
      <c r="B612" s="17"/>
    </row>
    <row r="613" spans="1:2" ht="13.2">
      <c r="A613" s="16"/>
      <c r="B613" s="17"/>
    </row>
    <row r="614" spans="1:2" ht="13.2">
      <c r="A614" s="16"/>
      <c r="B614" s="17"/>
    </row>
    <row r="615" spans="1:2" ht="13.2">
      <c r="A615" s="16"/>
      <c r="B615" s="17"/>
    </row>
    <row r="616" spans="1:2" ht="13.2">
      <c r="A616" s="16"/>
      <c r="B616" s="17"/>
    </row>
    <row r="617" spans="1:2" ht="13.2">
      <c r="A617" s="16"/>
      <c r="B617" s="17"/>
    </row>
    <row r="618" spans="1:2" ht="13.2">
      <c r="A618" s="16"/>
      <c r="B618" s="17"/>
    </row>
    <row r="619" spans="1:2" ht="13.2">
      <c r="A619" s="16"/>
      <c r="B619" s="17"/>
    </row>
    <row r="620" spans="1:2" ht="13.2">
      <c r="A620" s="16"/>
      <c r="B620" s="17"/>
    </row>
    <row r="621" spans="1:2" ht="13.2">
      <c r="A621" s="16"/>
      <c r="B621" s="17"/>
    </row>
    <row r="622" spans="1:2" ht="13.2">
      <c r="A622" s="16"/>
      <c r="B622" s="17"/>
    </row>
    <row r="623" spans="1:2" ht="13.2">
      <c r="A623" s="16"/>
      <c r="B623" s="17"/>
    </row>
    <row r="624" spans="1:2" ht="13.2">
      <c r="A624" s="16"/>
      <c r="B624" s="17"/>
    </row>
    <row r="625" spans="1:2" ht="13.2">
      <c r="A625" s="16"/>
      <c r="B625" s="17"/>
    </row>
    <row r="626" spans="1:2" ht="13.2">
      <c r="A626" s="16"/>
      <c r="B626" s="17"/>
    </row>
    <row r="627" spans="1:2" ht="13.2">
      <c r="A627" s="16"/>
      <c r="B627" s="17"/>
    </row>
    <row r="628" spans="1:2" ht="13.2">
      <c r="A628" s="16"/>
      <c r="B628" s="17"/>
    </row>
    <row r="629" spans="1:2" ht="13.2">
      <c r="A629" s="16"/>
      <c r="B629" s="17"/>
    </row>
    <row r="630" spans="1:2" ht="13.2">
      <c r="A630" s="16"/>
      <c r="B630" s="17"/>
    </row>
    <row r="631" spans="1:2" ht="13.2">
      <c r="A631" s="16"/>
      <c r="B631" s="17"/>
    </row>
    <row r="632" spans="1:2" ht="13.2">
      <c r="A632" s="16"/>
      <c r="B632" s="17"/>
    </row>
    <row r="633" spans="1:2" ht="13.2">
      <c r="A633" s="16"/>
      <c r="B633" s="17"/>
    </row>
    <row r="634" spans="1:2" ht="13.2">
      <c r="A634" s="16"/>
      <c r="B634" s="17"/>
    </row>
    <row r="635" spans="1:2" ht="13.2">
      <c r="A635" s="16"/>
      <c r="B635" s="17"/>
    </row>
    <row r="636" spans="1:2" ht="13.2">
      <c r="A636" s="16"/>
      <c r="B636" s="17"/>
    </row>
    <row r="637" spans="1:2" ht="13.2">
      <c r="A637" s="16"/>
      <c r="B637" s="17"/>
    </row>
    <row r="638" spans="1:2" ht="13.2">
      <c r="A638" s="16"/>
      <c r="B638" s="17"/>
    </row>
    <row r="639" spans="1:2" ht="13.2">
      <c r="A639" s="16"/>
      <c r="B639" s="17"/>
    </row>
    <row r="640" spans="1:2" ht="13.2">
      <c r="A640" s="16"/>
      <c r="B640" s="17"/>
    </row>
    <row r="641" spans="1:2" ht="13.2">
      <c r="A641" s="16"/>
      <c r="B641" s="17"/>
    </row>
    <row r="642" spans="1:2" ht="13.2">
      <c r="A642" s="16"/>
      <c r="B642" s="17"/>
    </row>
    <row r="643" spans="1:2" ht="13.2">
      <c r="A643" s="16"/>
      <c r="B643" s="17"/>
    </row>
    <row r="644" spans="1:2" ht="13.2">
      <c r="A644" s="16"/>
      <c r="B644" s="17"/>
    </row>
    <row r="645" spans="1:2" ht="13.2">
      <c r="A645" s="16"/>
      <c r="B645" s="17"/>
    </row>
    <row r="646" spans="1:2" ht="13.2">
      <c r="A646" s="16"/>
      <c r="B646" s="17"/>
    </row>
    <row r="647" spans="1:2" ht="13.2">
      <c r="A647" s="16"/>
      <c r="B647" s="17"/>
    </row>
    <row r="648" spans="1:2" ht="13.2">
      <c r="A648" s="16"/>
      <c r="B648" s="17"/>
    </row>
    <row r="649" spans="1:2" ht="13.2">
      <c r="A649" s="16"/>
      <c r="B649" s="17"/>
    </row>
    <row r="650" spans="1:2" ht="13.2">
      <c r="A650" s="16"/>
      <c r="B650" s="17"/>
    </row>
    <row r="651" spans="1:2" ht="13.2">
      <c r="A651" s="16"/>
      <c r="B651" s="17"/>
    </row>
    <row r="652" spans="1:2" ht="13.2">
      <c r="A652" s="16"/>
      <c r="B652" s="17"/>
    </row>
    <row r="653" spans="1:2" ht="13.2">
      <c r="A653" s="16"/>
      <c r="B653" s="17"/>
    </row>
    <row r="654" spans="1:2" ht="13.2">
      <c r="A654" s="16"/>
      <c r="B654" s="17"/>
    </row>
    <row r="655" spans="1:2" ht="13.2">
      <c r="A655" s="16"/>
      <c r="B655" s="17"/>
    </row>
    <row r="656" spans="1:2" ht="13.2">
      <c r="A656" s="16"/>
      <c r="B656" s="17"/>
    </row>
    <row r="657" spans="1:2" ht="13.2">
      <c r="A657" s="16"/>
      <c r="B657" s="17"/>
    </row>
    <row r="658" spans="1:2" ht="13.2">
      <c r="A658" s="16"/>
      <c r="B658" s="17"/>
    </row>
    <row r="659" spans="1:2" ht="13.2">
      <c r="A659" s="16"/>
      <c r="B659" s="17"/>
    </row>
    <row r="660" spans="1:2" ht="13.2">
      <c r="A660" s="16"/>
      <c r="B660" s="17"/>
    </row>
    <row r="661" spans="1:2" ht="13.2">
      <c r="A661" s="16"/>
      <c r="B661" s="17"/>
    </row>
    <row r="662" spans="1:2" ht="13.2">
      <c r="A662" s="16"/>
      <c r="B662" s="17"/>
    </row>
    <row r="663" spans="1:2" ht="13.2">
      <c r="A663" s="16"/>
      <c r="B663" s="17"/>
    </row>
    <row r="664" spans="1:2" ht="13.2">
      <c r="A664" s="16"/>
      <c r="B664" s="17"/>
    </row>
    <row r="665" spans="1:2" ht="13.2">
      <c r="A665" s="16"/>
      <c r="B665" s="17"/>
    </row>
    <row r="666" spans="1:2" ht="13.2">
      <c r="A666" s="16"/>
      <c r="B666" s="17"/>
    </row>
    <row r="667" spans="1:2" ht="13.2">
      <c r="A667" s="16"/>
      <c r="B667" s="17"/>
    </row>
    <row r="668" spans="1:2" ht="13.2">
      <c r="A668" s="16"/>
      <c r="B668" s="17"/>
    </row>
    <row r="669" spans="1:2" ht="13.2">
      <c r="A669" s="16"/>
      <c r="B669" s="17"/>
    </row>
    <row r="670" spans="1:2" ht="13.2">
      <c r="A670" s="16"/>
      <c r="B670" s="17"/>
    </row>
    <row r="671" spans="1:2" ht="13.2">
      <c r="A671" s="16"/>
      <c r="B671" s="17"/>
    </row>
    <row r="672" spans="1:2" ht="13.2">
      <c r="A672" s="16"/>
      <c r="B672" s="17"/>
    </row>
    <row r="673" spans="1:2" ht="13.2">
      <c r="A673" s="16"/>
      <c r="B673" s="17"/>
    </row>
    <row r="674" spans="1:2" ht="13.2">
      <c r="A674" s="16"/>
      <c r="B674" s="17"/>
    </row>
    <row r="675" spans="1:2" ht="13.2">
      <c r="A675" s="16"/>
      <c r="B675" s="17"/>
    </row>
    <row r="676" spans="1:2" ht="13.2">
      <c r="A676" s="16"/>
      <c r="B676" s="17"/>
    </row>
    <row r="677" spans="1:2" ht="13.2">
      <c r="A677" s="16"/>
      <c r="B677" s="17"/>
    </row>
    <row r="678" spans="1:2" ht="13.2">
      <c r="A678" s="16"/>
      <c r="B678" s="17"/>
    </row>
    <row r="679" spans="1:2" ht="13.2">
      <c r="A679" s="16"/>
      <c r="B679" s="17"/>
    </row>
    <row r="680" spans="1:2" ht="13.2">
      <c r="A680" s="16"/>
      <c r="B680" s="17"/>
    </row>
    <row r="681" spans="1:2" ht="13.2">
      <c r="A681" s="16"/>
      <c r="B681" s="17"/>
    </row>
    <row r="682" spans="1:2" ht="13.2">
      <c r="A682" s="16"/>
      <c r="B682" s="17"/>
    </row>
    <row r="683" spans="1:2" ht="13.2">
      <c r="A683" s="16"/>
      <c r="B683" s="17"/>
    </row>
    <row r="684" spans="1:2" ht="13.2">
      <c r="A684" s="16"/>
      <c r="B684" s="17"/>
    </row>
    <row r="685" spans="1:2" ht="13.2">
      <c r="A685" s="16"/>
      <c r="B685" s="17"/>
    </row>
    <row r="686" spans="1:2" ht="13.2">
      <c r="A686" s="16"/>
      <c r="B686" s="17"/>
    </row>
    <row r="687" spans="1:2" ht="13.2">
      <c r="A687" s="16"/>
      <c r="B687" s="17"/>
    </row>
    <row r="688" spans="1:2" ht="13.2">
      <c r="A688" s="16"/>
      <c r="B688" s="17"/>
    </row>
    <row r="689" spans="1:2" ht="13.2">
      <c r="A689" s="16"/>
      <c r="B689" s="17"/>
    </row>
    <row r="690" spans="1:2" ht="13.2">
      <c r="A690" s="16"/>
      <c r="B690" s="17"/>
    </row>
    <row r="691" spans="1:2" ht="13.2">
      <c r="A691" s="16"/>
      <c r="B691" s="17"/>
    </row>
    <row r="692" spans="1:2" ht="13.2">
      <c r="A692" s="16"/>
      <c r="B692" s="17"/>
    </row>
    <row r="693" spans="1:2" ht="13.2">
      <c r="A693" s="16"/>
      <c r="B693" s="17"/>
    </row>
    <row r="694" spans="1:2" ht="13.2">
      <c r="A694" s="16"/>
      <c r="B694" s="17"/>
    </row>
    <row r="695" spans="1:2" ht="13.2">
      <c r="A695" s="16"/>
      <c r="B695" s="17"/>
    </row>
    <row r="696" spans="1:2" ht="13.2">
      <c r="A696" s="16"/>
      <c r="B696" s="17"/>
    </row>
    <row r="697" spans="1:2" ht="13.2">
      <c r="A697" s="16"/>
      <c r="B697" s="17"/>
    </row>
    <row r="698" spans="1:2" ht="13.2">
      <c r="A698" s="16"/>
      <c r="B698" s="17"/>
    </row>
    <row r="699" spans="1:2" ht="13.2">
      <c r="A699" s="16"/>
      <c r="B699" s="17"/>
    </row>
    <row r="700" spans="1:2" ht="13.2">
      <c r="A700" s="16"/>
      <c r="B700" s="17"/>
    </row>
    <row r="701" spans="1:2" ht="13.2">
      <c r="A701" s="16"/>
      <c r="B701" s="17"/>
    </row>
    <row r="702" spans="1:2" ht="13.2">
      <c r="A702" s="16"/>
      <c r="B702" s="17"/>
    </row>
    <row r="703" spans="1:2" ht="13.2">
      <c r="A703" s="16"/>
      <c r="B703" s="17"/>
    </row>
    <row r="704" spans="1:2" ht="13.2">
      <c r="A704" s="16"/>
      <c r="B704" s="17"/>
    </row>
    <row r="705" spans="1:2" ht="13.2">
      <c r="A705" s="16"/>
      <c r="B705" s="17"/>
    </row>
    <row r="706" spans="1:2" ht="13.2">
      <c r="A706" s="16"/>
      <c r="B706" s="17"/>
    </row>
    <row r="707" spans="1:2" ht="13.2">
      <c r="A707" s="16"/>
      <c r="B707" s="17"/>
    </row>
    <row r="708" spans="1:2" ht="13.2">
      <c r="A708" s="16"/>
      <c r="B708" s="17"/>
    </row>
    <row r="709" spans="1:2" ht="13.2">
      <c r="A709" s="16"/>
      <c r="B709" s="17"/>
    </row>
    <row r="710" spans="1:2" ht="13.2">
      <c r="A710" s="16"/>
      <c r="B710" s="17"/>
    </row>
    <row r="711" spans="1:2" ht="13.2">
      <c r="A711" s="16"/>
      <c r="B711" s="17"/>
    </row>
    <row r="712" spans="1:2" ht="13.2">
      <c r="A712" s="16"/>
      <c r="B712" s="17"/>
    </row>
    <row r="713" spans="1:2" ht="13.2">
      <c r="A713" s="16"/>
      <c r="B713" s="17"/>
    </row>
    <row r="714" spans="1:2" ht="13.2">
      <c r="A714" s="16"/>
      <c r="B714" s="17"/>
    </row>
    <row r="715" spans="1:2" ht="13.2">
      <c r="A715" s="16"/>
      <c r="B715" s="17"/>
    </row>
    <row r="716" spans="1:2" ht="13.2">
      <c r="A716" s="16"/>
      <c r="B716" s="17"/>
    </row>
    <row r="717" spans="1:2" ht="13.2">
      <c r="A717" s="16"/>
      <c r="B717" s="17"/>
    </row>
    <row r="718" spans="1:2" ht="13.2">
      <c r="A718" s="16"/>
      <c r="B718" s="17"/>
    </row>
    <row r="719" spans="1:2" ht="13.2">
      <c r="A719" s="16"/>
      <c r="B719" s="17"/>
    </row>
    <row r="720" spans="1:2" ht="13.2">
      <c r="A720" s="16"/>
      <c r="B720" s="17"/>
    </row>
    <row r="721" spans="1:2" ht="13.2">
      <c r="A721" s="16"/>
      <c r="B721" s="17"/>
    </row>
    <row r="722" spans="1:2" ht="13.2">
      <c r="A722" s="16"/>
      <c r="B722" s="17"/>
    </row>
    <row r="723" spans="1:2" ht="13.2">
      <c r="A723" s="16"/>
      <c r="B723" s="17"/>
    </row>
    <row r="724" spans="1:2" ht="13.2">
      <c r="A724" s="16"/>
      <c r="B724" s="17"/>
    </row>
    <row r="725" spans="1:2" ht="13.2">
      <c r="A725" s="16"/>
      <c r="B725" s="17"/>
    </row>
    <row r="726" spans="1:2" ht="13.2">
      <c r="A726" s="16"/>
      <c r="B726" s="17"/>
    </row>
    <row r="727" spans="1:2" ht="13.2">
      <c r="A727" s="16"/>
      <c r="B727" s="17"/>
    </row>
    <row r="728" spans="1:2" ht="13.2">
      <c r="A728" s="16"/>
      <c r="B728" s="17"/>
    </row>
    <row r="729" spans="1:2" ht="13.2">
      <c r="A729" s="16"/>
      <c r="B729" s="17"/>
    </row>
    <row r="730" spans="1:2" ht="13.2">
      <c r="A730" s="16"/>
      <c r="B730" s="17"/>
    </row>
    <row r="731" spans="1:2" ht="13.2">
      <c r="A731" s="16"/>
      <c r="B731" s="17"/>
    </row>
    <row r="732" spans="1:2" ht="13.2">
      <c r="A732" s="16"/>
      <c r="B732" s="17"/>
    </row>
    <row r="733" spans="1:2" ht="13.2">
      <c r="A733" s="16"/>
      <c r="B733" s="17"/>
    </row>
    <row r="734" spans="1:2" ht="13.2">
      <c r="A734" s="16"/>
      <c r="B734" s="17"/>
    </row>
    <row r="735" spans="1:2" ht="13.2">
      <c r="A735" s="16"/>
      <c r="B735" s="17"/>
    </row>
    <row r="736" spans="1:2" ht="13.2">
      <c r="A736" s="16"/>
      <c r="B736" s="17"/>
    </row>
    <row r="737" spans="1:2" ht="13.2">
      <c r="A737" s="16"/>
      <c r="B737" s="17"/>
    </row>
    <row r="738" spans="1:2" ht="13.2">
      <c r="A738" s="16"/>
      <c r="B738" s="17"/>
    </row>
    <row r="739" spans="1:2" ht="13.2">
      <c r="A739" s="16"/>
      <c r="B739" s="17"/>
    </row>
    <row r="740" spans="1:2" ht="13.2">
      <c r="A740" s="16"/>
      <c r="B740" s="17"/>
    </row>
    <row r="741" spans="1:2" ht="13.2">
      <c r="A741" s="16"/>
      <c r="B741" s="17"/>
    </row>
    <row r="742" spans="1:2" ht="13.2">
      <c r="A742" s="16"/>
      <c r="B742" s="17"/>
    </row>
    <row r="743" spans="1:2" ht="13.2">
      <c r="A743" s="16"/>
      <c r="B743" s="17"/>
    </row>
    <row r="744" spans="1:2" ht="13.2">
      <c r="A744" s="16"/>
      <c r="B744" s="17"/>
    </row>
    <row r="745" spans="1:2" ht="13.2">
      <c r="A745" s="16"/>
      <c r="B745" s="17"/>
    </row>
    <row r="746" spans="1:2" ht="13.2">
      <c r="A746" s="16"/>
      <c r="B746" s="17"/>
    </row>
    <row r="747" spans="1:2" ht="13.2">
      <c r="A747" s="16"/>
      <c r="B747" s="17"/>
    </row>
    <row r="748" spans="1:2" ht="13.2">
      <c r="A748" s="16"/>
      <c r="B748" s="17"/>
    </row>
    <row r="749" spans="1:2" ht="13.2">
      <c r="A749" s="16"/>
      <c r="B749" s="17"/>
    </row>
    <row r="750" spans="1:2" ht="13.2">
      <c r="A750" s="16"/>
      <c r="B750" s="17"/>
    </row>
    <row r="751" spans="1:2" ht="13.2">
      <c r="A751" s="16"/>
      <c r="B751" s="17"/>
    </row>
    <row r="752" spans="1:2" ht="13.2">
      <c r="A752" s="16"/>
      <c r="B752" s="17"/>
    </row>
    <row r="753" spans="1:2" ht="13.2">
      <c r="A753" s="16"/>
      <c r="B753" s="17"/>
    </row>
    <row r="754" spans="1:2" ht="13.2">
      <c r="A754" s="16"/>
      <c r="B754" s="17"/>
    </row>
    <row r="755" spans="1:2" ht="13.2">
      <c r="A755" s="16"/>
      <c r="B755" s="17"/>
    </row>
    <row r="756" spans="1:2" ht="13.2">
      <c r="A756" s="16"/>
      <c r="B756" s="17"/>
    </row>
    <row r="757" spans="1:2" ht="13.2">
      <c r="A757" s="16"/>
      <c r="B757" s="17"/>
    </row>
    <row r="758" spans="1:2" ht="13.2">
      <c r="A758" s="16"/>
      <c r="B758" s="17"/>
    </row>
    <row r="759" spans="1:2" ht="13.2">
      <c r="A759" s="16"/>
      <c r="B759" s="17"/>
    </row>
    <row r="760" spans="1:2" ht="13.2">
      <c r="A760" s="16"/>
      <c r="B760" s="17"/>
    </row>
    <row r="761" spans="1:2" ht="13.2">
      <c r="A761" s="16"/>
      <c r="B761" s="17"/>
    </row>
    <row r="762" spans="1:2" ht="13.2">
      <c r="A762" s="16"/>
      <c r="B762" s="17"/>
    </row>
    <row r="763" spans="1:2" ht="13.2">
      <c r="A763" s="16"/>
      <c r="B763" s="17"/>
    </row>
    <row r="764" spans="1:2" ht="13.2">
      <c r="A764" s="16"/>
      <c r="B764" s="17"/>
    </row>
    <row r="765" spans="1:2" ht="13.2">
      <c r="A765" s="16"/>
      <c r="B765" s="17"/>
    </row>
    <row r="766" spans="1:2" ht="13.2">
      <c r="A766" s="16"/>
      <c r="B766" s="17"/>
    </row>
    <row r="767" spans="1:2" ht="13.2">
      <c r="A767" s="16"/>
      <c r="B767" s="17"/>
    </row>
    <row r="768" spans="1:2" ht="13.2">
      <c r="A768" s="16"/>
      <c r="B768" s="17"/>
    </row>
    <row r="769" spans="1:2" ht="13.2">
      <c r="A769" s="16"/>
      <c r="B769" s="17"/>
    </row>
    <row r="770" spans="1:2" ht="13.2">
      <c r="A770" s="16"/>
      <c r="B770" s="17"/>
    </row>
    <row r="771" spans="1:2" ht="13.2">
      <c r="A771" s="16"/>
      <c r="B771" s="17"/>
    </row>
    <row r="772" spans="1:2" ht="13.2">
      <c r="A772" s="16"/>
      <c r="B772" s="17"/>
    </row>
    <row r="773" spans="1:2" ht="13.2">
      <c r="A773" s="16"/>
      <c r="B773" s="17"/>
    </row>
    <row r="774" spans="1:2" ht="13.2">
      <c r="A774" s="16"/>
      <c r="B774" s="17"/>
    </row>
    <row r="775" spans="1:2" ht="13.2">
      <c r="A775" s="16"/>
      <c r="B775" s="17"/>
    </row>
    <row r="776" spans="1:2" ht="13.2">
      <c r="A776" s="16"/>
      <c r="B776" s="17"/>
    </row>
    <row r="777" spans="1:2" ht="13.2">
      <c r="A777" s="16"/>
      <c r="B777" s="17"/>
    </row>
    <row r="778" spans="1:2" ht="13.2">
      <c r="A778" s="16"/>
      <c r="B778" s="17"/>
    </row>
    <row r="779" spans="1:2" ht="13.2">
      <c r="A779" s="16"/>
      <c r="B779" s="17"/>
    </row>
    <row r="780" spans="1:2" ht="13.2">
      <c r="A780" s="16"/>
      <c r="B780" s="17"/>
    </row>
    <row r="781" spans="1:2" ht="13.2">
      <c r="A781" s="16"/>
      <c r="B781" s="17"/>
    </row>
    <row r="782" spans="1:2" ht="13.2">
      <c r="A782" s="16"/>
      <c r="B782" s="17"/>
    </row>
    <row r="783" spans="1:2" ht="13.2">
      <c r="A783" s="16"/>
      <c r="B783" s="17"/>
    </row>
    <row r="784" spans="1:2" ht="13.2">
      <c r="A784" s="16"/>
      <c r="B784" s="17"/>
    </row>
    <row r="785" spans="1:2" ht="13.2">
      <c r="A785" s="16"/>
      <c r="B785" s="17"/>
    </row>
    <row r="786" spans="1:2" ht="13.2">
      <c r="A786" s="16"/>
      <c r="B786" s="17"/>
    </row>
    <row r="787" spans="1:2" ht="13.2">
      <c r="A787" s="16"/>
      <c r="B787" s="17"/>
    </row>
    <row r="788" spans="1:2" ht="13.2">
      <c r="A788" s="16"/>
      <c r="B788" s="17"/>
    </row>
    <row r="789" spans="1:2" ht="13.2">
      <c r="A789" s="16"/>
      <c r="B789" s="17"/>
    </row>
    <row r="790" spans="1:2" ht="13.2">
      <c r="A790" s="16"/>
      <c r="B790" s="17"/>
    </row>
    <row r="791" spans="1:2" ht="13.2">
      <c r="A791" s="16"/>
      <c r="B791" s="17"/>
    </row>
    <row r="792" spans="1:2" ht="13.2">
      <c r="A792" s="16"/>
      <c r="B792" s="17"/>
    </row>
    <row r="793" spans="1:2" ht="13.2">
      <c r="A793" s="16"/>
      <c r="B793" s="17"/>
    </row>
    <row r="794" spans="1:2" ht="13.2">
      <c r="A794" s="16"/>
      <c r="B794" s="17"/>
    </row>
    <row r="795" spans="1:2" ht="13.2">
      <c r="A795" s="16"/>
      <c r="B795" s="17"/>
    </row>
    <row r="796" spans="1:2" ht="13.2">
      <c r="A796" s="16"/>
      <c r="B796" s="17"/>
    </row>
    <row r="797" spans="1:2" ht="13.2">
      <c r="A797" s="16"/>
      <c r="B797" s="17"/>
    </row>
    <row r="798" spans="1:2" ht="13.2">
      <c r="A798" s="16"/>
      <c r="B798" s="17"/>
    </row>
    <row r="799" spans="1:2" ht="13.2">
      <c r="A799" s="16"/>
      <c r="B799" s="17"/>
    </row>
    <row r="800" spans="1:2" ht="13.2">
      <c r="A800" s="16"/>
      <c r="B800" s="17"/>
    </row>
    <row r="801" spans="1:2" ht="13.2">
      <c r="A801" s="16"/>
      <c r="B801" s="17"/>
    </row>
    <row r="802" spans="1:2" ht="13.2">
      <c r="A802" s="16"/>
      <c r="B802" s="17"/>
    </row>
    <row r="803" spans="1:2" ht="13.2">
      <c r="A803" s="16"/>
      <c r="B803" s="17"/>
    </row>
    <row r="804" spans="1:2" ht="13.2">
      <c r="A804" s="16"/>
      <c r="B804" s="17"/>
    </row>
    <row r="805" spans="1:2" ht="13.2">
      <c r="A805" s="16"/>
      <c r="B805" s="17"/>
    </row>
    <row r="806" spans="1:2" ht="13.2">
      <c r="A806" s="16"/>
      <c r="B806" s="17"/>
    </row>
    <row r="807" spans="1:2" ht="13.2">
      <c r="A807" s="16"/>
      <c r="B807" s="17"/>
    </row>
    <row r="808" spans="1:2" ht="13.2">
      <c r="A808" s="16"/>
      <c r="B808" s="17"/>
    </row>
    <row r="809" spans="1:2" ht="13.2">
      <c r="A809" s="16"/>
      <c r="B809" s="17"/>
    </row>
    <row r="810" spans="1:2" ht="13.2">
      <c r="A810" s="16"/>
      <c r="B810" s="17"/>
    </row>
    <row r="811" spans="1:2" ht="13.2">
      <c r="A811" s="16"/>
      <c r="B811" s="17"/>
    </row>
    <row r="812" spans="1:2" ht="13.2">
      <c r="A812" s="16"/>
      <c r="B812" s="17"/>
    </row>
    <row r="813" spans="1:2" ht="13.2">
      <c r="A813" s="16"/>
      <c r="B813" s="17"/>
    </row>
    <row r="814" spans="1:2" ht="13.2">
      <c r="A814" s="16"/>
      <c r="B814" s="17"/>
    </row>
    <row r="815" spans="1:2" ht="13.2">
      <c r="A815" s="16"/>
      <c r="B815" s="17"/>
    </row>
    <row r="816" spans="1:2" ht="13.2">
      <c r="A816" s="16"/>
      <c r="B816" s="17"/>
    </row>
    <row r="817" spans="1:2" ht="13.2">
      <c r="A817" s="16"/>
      <c r="B817" s="17"/>
    </row>
    <row r="818" spans="1:2" ht="13.2">
      <c r="A818" s="16"/>
      <c r="B818" s="17"/>
    </row>
    <row r="819" spans="1:2" ht="13.2">
      <c r="A819" s="16"/>
      <c r="B819" s="17"/>
    </row>
    <row r="820" spans="1:2" ht="13.2">
      <c r="A820" s="16"/>
      <c r="B820" s="17"/>
    </row>
    <row r="821" spans="1:2" ht="13.2">
      <c r="A821" s="16"/>
      <c r="B821" s="17"/>
    </row>
    <row r="822" spans="1:2" ht="13.2">
      <c r="A822" s="16"/>
      <c r="B822" s="17"/>
    </row>
    <row r="823" spans="1:2" ht="13.2">
      <c r="A823" s="16"/>
      <c r="B823" s="17"/>
    </row>
    <row r="824" spans="1:2" ht="13.2">
      <c r="A824" s="16"/>
      <c r="B824" s="17"/>
    </row>
    <row r="825" spans="1:2" ht="13.2">
      <c r="A825" s="16"/>
      <c r="B825" s="17"/>
    </row>
    <row r="826" spans="1:2" ht="13.2">
      <c r="A826" s="16"/>
      <c r="B826" s="17"/>
    </row>
    <row r="827" spans="1:2" ht="13.2">
      <c r="A827" s="16"/>
      <c r="B827" s="17"/>
    </row>
    <row r="828" spans="1:2" ht="13.2">
      <c r="A828" s="16"/>
      <c r="B828" s="17"/>
    </row>
    <row r="829" spans="1:2" ht="13.2">
      <c r="A829" s="16"/>
      <c r="B829" s="17"/>
    </row>
    <row r="830" spans="1:2" ht="13.2">
      <c r="A830" s="16"/>
      <c r="B830" s="17"/>
    </row>
    <row r="831" spans="1:2" ht="13.2">
      <c r="A831" s="16"/>
      <c r="B831" s="17"/>
    </row>
    <row r="832" spans="1:2" ht="13.2">
      <c r="A832" s="16"/>
      <c r="B832" s="17"/>
    </row>
    <row r="833" spans="1:2" ht="13.2">
      <c r="A833" s="16"/>
      <c r="B833" s="17"/>
    </row>
    <row r="834" spans="1:2" ht="13.2">
      <c r="A834" s="16"/>
      <c r="B834" s="17"/>
    </row>
    <row r="835" spans="1:2" ht="13.2">
      <c r="A835" s="16"/>
      <c r="B835" s="17"/>
    </row>
    <row r="836" spans="1:2" ht="13.2">
      <c r="A836" s="16"/>
      <c r="B836" s="17"/>
    </row>
    <row r="837" spans="1:2" ht="13.2">
      <c r="A837" s="16"/>
      <c r="B837" s="17"/>
    </row>
    <row r="838" spans="1:2" ht="13.2">
      <c r="A838" s="16"/>
      <c r="B838" s="17"/>
    </row>
    <row r="839" spans="1:2" ht="13.2">
      <c r="A839" s="16"/>
      <c r="B839" s="17"/>
    </row>
    <row r="840" spans="1:2" ht="13.2">
      <c r="A840" s="16"/>
      <c r="B840" s="17"/>
    </row>
    <row r="841" spans="1:2" ht="13.2">
      <c r="A841" s="16"/>
      <c r="B841" s="17"/>
    </row>
    <row r="842" spans="1:2" ht="13.2">
      <c r="A842" s="16"/>
      <c r="B842" s="17"/>
    </row>
    <row r="843" spans="1:2" ht="13.2">
      <c r="A843" s="16"/>
      <c r="B843" s="17"/>
    </row>
    <row r="844" spans="1:2" ht="13.2">
      <c r="A844" s="16"/>
      <c r="B844" s="17"/>
    </row>
    <row r="845" spans="1:2" ht="13.2">
      <c r="A845" s="16"/>
      <c r="B845" s="17"/>
    </row>
    <row r="846" spans="1:2" ht="13.2">
      <c r="A846" s="16"/>
      <c r="B846" s="17"/>
    </row>
    <row r="847" spans="1:2" ht="13.2">
      <c r="A847" s="16"/>
      <c r="B847" s="17"/>
    </row>
    <row r="848" spans="1:2" ht="13.2">
      <c r="A848" s="16"/>
      <c r="B848" s="17"/>
    </row>
    <row r="849" spans="1:2" ht="13.2">
      <c r="A849" s="16"/>
      <c r="B849" s="17"/>
    </row>
    <row r="850" spans="1:2" ht="13.2">
      <c r="A850" s="16"/>
      <c r="B850" s="17"/>
    </row>
    <row r="851" spans="1:2" ht="13.2">
      <c r="A851" s="16"/>
      <c r="B851" s="17"/>
    </row>
    <row r="852" spans="1:2" ht="13.2">
      <c r="A852" s="16"/>
      <c r="B852" s="17"/>
    </row>
    <row r="853" spans="1:2" ht="13.2">
      <c r="A853" s="16"/>
      <c r="B853" s="17"/>
    </row>
    <row r="854" spans="1:2" ht="13.2">
      <c r="A854" s="16"/>
      <c r="B854" s="17"/>
    </row>
    <row r="855" spans="1:2" ht="13.2">
      <c r="A855" s="16"/>
      <c r="B855" s="17"/>
    </row>
    <row r="856" spans="1:2" ht="13.2">
      <c r="A856" s="16"/>
      <c r="B856" s="17"/>
    </row>
    <row r="857" spans="1:2" ht="13.2">
      <c r="A857" s="16"/>
      <c r="B857" s="17"/>
    </row>
    <row r="858" spans="1:2" ht="13.2">
      <c r="A858" s="16"/>
      <c r="B858" s="17"/>
    </row>
    <row r="859" spans="1:2" ht="13.2">
      <c r="A859" s="16"/>
      <c r="B859" s="17"/>
    </row>
    <row r="860" spans="1:2" ht="13.2">
      <c r="A860" s="16"/>
      <c r="B860" s="17"/>
    </row>
    <row r="861" spans="1:2" ht="13.2">
      <c r="A861" s="16"/>
      <c r="B861" s="17"/>
    </row>
    <row r="862" spans="1:2" ht="13.2">
      <c r="A862" s="16"/>
      <c r="B862" s="17"/>
    </row>
    <row r="863" spans="1:2" ht="13.2">
      <c r="A863" s="16"/>
      <c r="B863" s="17"/>
    </row>
    <row r="864" spans="1:2" ht="13.2">
      <c r="A864" s="16"/>
      <c r="B864" s="17"/>
    </row>
    <row r="865" spans="1:2" ht="13.2">
      <c r="A865" s="16"/>
      <c r="B865" s="17"/>
    </row>
    <row r="866" spans="1:2" ht="13.2">
      <c r="A866" s="16"/>
      <c r="B866" s="17"/>
    </row>
    <row r="867" spans="1:2" ht="13.2">
      <c r="A867" s="16"/>
      <c r="B867" s="17"/>
    </row>
    <row r="868" spans="1:2" ht="13.2">
      <c r="A868" s="16"/>
      <c r="B868" s="17"/>
    </row>
    <row r="869" spans="1:2" ht="13.2">
      <c r="A869" s="16"/>
      <c r="B869" s="17"/>
    </row>
    <row r="870" spans="1:2" ht="13.2">
      <c r="A870" s="16"/>
      <c r="B870" s="17"/>
    </row>
    <row r="871" spans="1:2" ht="13.2">
      <c r="A871" s="16"/>
      <c r="B871" s="17"/>
    </row>
    <row r="872" spans="1:2" ht="13.2">
      <c r="A872" s="16"/>
      <c r="B872" s="17"/>
    </row>
    <row r="873" spans="1:2" ht="13.2">
      <c r="A873" s="16"/>
      <c r="B873" s="17"/>
    </row>
    <row r="874" spans="1:2" ht="13.2">
      <c r="A874" s="16"/>
      <c r="B874" s="17"/>
    </row>
    <row r="875" spans="1:2" ht="13.2">
      <c r="A875" s="16"/>
      <c r="B875" s="17"/>
    </row>
    <row r="876" spans="1:2" ht="13.2">
      <c r="A876" s="16"/>
      <c r="B876" s="17"/>
    </row>
    <row r="877" spans="1:2" ht="13.2">
      <c r="A877" s="16"/>
      <c r="B877" s="17"/>
    </row>
    <row r="878" spans="1:2" ht="13.2">
      <c r="A878" s="16"/>
      <c r="B878" s="17"/>
    </row>
    <row r="879" spans="1:2" ht="13.2">
      <c r="A879" s="16"/>
      <c r="B879" s="17"/>
    </row>
    <row r="880" spans="1:2" ht="13.2">
      <c r="A880" s="16"/>
      <c r="B880" s="17"/>
    </row>
    <row r="881" spans="1:2" ht="13.2">
      <c r="A881" s="16"/>
      <c r="B881" s="17"/>
    </row>
    <row r="882" spans="1:2" ht="13.2">
      <c r="A882" s="16"/>
      <c r="B882" s="17"/>
    </row>
    <row r="883" spans="1:2" ht="13.2">
      <c r="A883" s="16"/>
      <c r="B883" s="17"/>
    </row>
    <row r="884" spans="1:2" ht="13.2">
      <c r="A884" s="16"/>
      <c r="B884" s="17"/>
    </row>
    <row r="885" spans="1:2" ht="13.2">
      <c r="A885" s="16"/>
      <c r="B885" s="17"/>
    </row>
    <row r="886" spans="1:2" ht="13.2">
      <c r="A886" s="16"/>
      <c r="B886" s="17"/>
    </row>
    <row r="887" spans="1:2" ht="13.2">
      <c r="A887" s="16"/>
      <c r="B887" s="17"/>
    </row>
    <row r="888" spans="1:2" ht="13.2">
      <c r="A888" s="16"/>
      <c r="B888" s="17"/>
    </row>
    <row r="889" spans="1:2" ht="13.2">
      <c r="A889" s="16"/>
      <c r="B889" s="17"/>
    </row>
    <row r="890" spans="1:2" ht="13.2">
      <c r="A890" s="16"/>
      <c r="B890" s="17"/>
    </row>
    <row r="891" spans="1:2" ht="13.2">
      <c r="A891" s="16"/>
      <c r="B891" s="17"/>
    </row>
    <row r="892" spans="1:2" ht="13.2">
      <c r="A892" s="16"/>
      <c r="B892" s="17"/>
    </row>
    <row r="893" spans="1:2" ht="13.2">
      <c r="A893" s="16"/>
      <c r="B893" s="17"/>
    </row>
    <row r="894" spans="1:2" ht="13.2">
      <c r="A894" s="16"/>
      <c r="B894" s="17"/>
    </row>
    <row r="895" spans="1:2" ht="13.2">
      <c r="A895" s="16"/>
      <c r="B895" s="17"/>
    </row>
    <row r="896" spans="1:2" ht="13.2">
      <c r="A896" s="16"/>
      <c r="B896" s="17"/>
    </row>
    <row r="897" spans="1:2" ht="13.2">
      <c r="A897" s="16"/>
      <c r="B897" s="17"/>
    </row>
    <row r="898" spans="1:2" ht="13.2">
      <c r="A898" s="16"/>
      <c r="B898" s="17"/>
    </row>
    <row r="899" spans="1:2" ht="13.2">
      <c r="A899" s="16"/>
      <c r="B899" s="17"/>
    </row>
    <row r="900" spans="1:2" ht="13.2">
      <c r="A900" s="16"/>
      <c r="B900" s="17"/>
    </row>
    <row r="901" spans="1:2" ht="13.2">
      <c r="A901" s="16"/>
      <c r="B901" s="17"/>
    </row>
    <row r="902" spans="1:2" ht="13.2">
      <c r="A902" s="16"/>
      <c r="B902" s="17"/>
    </row>
    <row r="903" spans="1:2" ht="13.2">
      <c r="A903" s="16"/>
      <c r="B903" s="17"/>
    </row>
    <row r="904" spans="1:2" ht="13.2">
      <c r="A904" s="16"/>
      <c r="B904" s="17"/>
    </row>
    <row r="905" spans="1:2" ht="13.2">
      <c r="A905" s="16"/>
      <c r="B905" s="17"/>
    </row>
    <row r="906" spans="1:2" ht="13.2">
      <c r="A906" s="16"/>
      <c r="B906" s="17"/>
    </row>
    <row r="907" spans="1:2" ht="13.2">
      <c r="A907" s="16"/>
      <c r="B907" s="17"/>
    </row>
    <row r="908" spans="1:2" ht="13.2">
      <c r="A908" s="16"/>
      <c r="B908" s="17"/>
    </row>
    <row r="909" spans="1:2" ht="13.2">
      <c r="A909" s="16"/>
      <c r="B909" s="17"/>
    </row>
    <row r="910" spans="1:2" ht="13.2">
      <c r="A910" s="16"/>
      <c r="B910" s="17"/>
    </row>
    <row r="911" spans="1:2" ht="13.2">
      <c r="A911" s="16"/>
      <c r="B911" s="17"/>
    </row>
    <row r="912" spans="1:2" ht="13.2">
      <c r="A912" s="16"/>
      <c r="B912" s="17"/>
    </row>
    <row r="913" spans="1:2" ht="13.2">
      <c r="A913" s="16"/>
      <c r="B913" s="17"/>
    </row>
    <row r="914" spans="1:2" ht="13.2">
      <c r="A914" s="16"/>
      <c r="B914" s="17"/>
    </row>
    <row r="915" spans="1:2" ht="13.2">
      <c r="A915" s="16"/>
      <c r="B915" s="17"/>
    </row>
    <row r="916" spans="1:2" ht="13.2">
      <c r="A916" s="16"/>
      <c r="B916" s="17"/>
    </row>
    <row r="917" spans="1:2" ht="13.2">
      <c r="A917" s="16"/>
      <c r="B917" s="17"/>
    </row>
    <row r="918" spans="1:2" ht="13.2">
      <c r="A918" s="16"/>
      <c r="B918" s="17"/>
    </row>
    <row r="919" spans="1:2" ht="13.2">
      <c r="A919" s="16"/>
      <c r="B919" s="17"/>
    </row>
    <row r="920" spans="1:2" ht="13.2">
      <c r="A920" s="16"/>
      <c r="B920" s="17"/>
    </row>
    <row r="921" spans="1:2" ht="13.2">
      <c r="A921" s="16"/>
      <c r="B921" s="17"/>
    </row>
    <row r="922" spans="1:2" ht="13.2">
      <c r="A922" s="16"/>
      <c r="B922" s="17"/>
    </row>
    <row r="923" spans="1:2" ht="13.2">
      <c r="A923" s="16"/>
      <c r="B923" s="17"/>
    </row>
    <row r="924" spans="1:2" ht="13.2">
      <c r="A924" s="16"/>
      <c r="B924" s="17"/>
    </row>
    <row r="925" spans="1:2" ht="13.2">
      <c r="A925" s="16"/>
      <c r="B925" s="17"/>
    </row>
    <row r="926" spans="1:2" ht="13.2">
      <c r="A926" s="16"/>
      <c r="B926" s="17"/>
    </row>
    <row r="927" spans="1:2" ht="13.2">
      <c r="A927" s="16"/>
      <c r="B927" s="17"/>
    </row>
    <row r="928" spans="1:2" ht="13.2">
      <c r="A928" s="16"/>
      <c r="B928" s="17"/>
    </row>
    <row r="929" spans="1:2" ht="13.2">
      <c r="A929" s="16"/>
      <c r="B929" s="17"/>
    </row>
    <row r="930" spans="1:2" ht="13.2">
      <c r="A930" s="16"/>
      <c r="B930" s="17"/>
    </row>
    <row r="931" spans="1:2" ht="13.2">
      <c r="A931" s="16"/>
      <c r="B931" s="17"/>
    </row>
    <row r="932" spans="1:2" ht="13.2">
      <c r="A932" s="16"/>
      <c r="B932" s="17"/>
    </row>
    <row r="933" spans="1:2" ht="13.2">
      <c r="A933" s="16"/>
      <c r="B933" s="17"/>
    </row>
    <row r="934" spans="1:2" ht="13.2">
      <c r="A934" s="16"/>
      <c r="B934" s="17"/>
    </row>
    <row r="935" spans="1:2" ht="13.2">
      <c r="A935" s="16"/>
      <c r="B935" s="17"/>
    </row>
    <row r="936" spans="1:2" ht="13.2">
      <c r="A936" s="16"/>
      <c r="B936" s="17"/>
    </row>
    <row r="937" spans="1:2" ht="13.2">
      <c r="A937" s="16"/>
      <c r="B937" s="17"/>
    </row>
    <row r="938" spans="1:2" ht="13.2">
      <c r="A938" s="16"/>
      <c r="B938" s="17"/>
    </row>
    <row r="939" spans="1:2" ht="13.2">
      <c r="A939" s="16"/>
      <c r="B939" s="17"/>
    </row>
    <row r="940" spans="1:2" ht="13.2">
      <c r="A940" s="16"/>
      <c r="B940" s="17"/>
    </row>
    <row r="941" spans="1:2" ht="13.2">
      <c r="A941" s="16"/>
      <c r="B941" s="17"/>
    </row>
    <row r="942" spans="1:2" ht="13.2">
      <c r="A942" s="16"/>
      <c r="B942" s="17"/>
    </row>
    <row r="943" spans="1:2" ht="13.2">
      <c r="A943" s="16"/>
      <c r="B943" s="17"/>
    </row>
    <row r="944" spans="1:2" ht="13.2">
      <c r="A944" s="16"/>
      <c r="B944" s="17"/>
    </row>
    <row r="945" spans="1:2" ht="13.2">
      <c r="A945" s="16"/>
      <c r="B945" s="17"/>
    </row>
    <row r="946" spans="1:2" ht="13.2">
      <c r="A946" s="16"/>
      <c r="B946" s="17"/>
    </row>
    <row r="947" spans="1:2" ht="13.2">
      <c r="A947" s="16"/>
      <c r="B947" s="17"/>
    </row>
    <row r="948" spans="1:2" ht="13.2">
      <c r="A948" s="16"/>
      <c r="B948" s="17"/>
    </row>
    <row r="949" spans="1:2" ht="13.2">
      <c r="A949" s="16"/>
      <c r="B949" s="17"/>
    </row>
    <row r="950" spans="1:2" ht="13.2">
      <c r="A950" s="16"/>
      <c r="B950" s="17"/>
    </row>
    <row r="951" spans="1:2" ht="13.2">
      <c r="A951" s="16"/>
      <c r="B951" s="17"/>
    </row>
    <row r="952" spans="1:2" ht="13.2">
      <c r="A952" s="16"/>
      <c r="B952" s="17"/>
    </row>
    <row r="953" spans="1:2" ht="13.2">
      <c r="A953" s="16"/>
      <c r="B953" s="17"/>
    </row>
    <row r="954" spans="1:2" ht="13.2">
      <c r="A954" s="16"/>
      <c r="B954" s="17"/>
    </row>
    <row r="955" spans="1:2" ht="13.2">
      <c r="A955" s="16"/>
      <c r="B955" s="17"/>
    </row>
    <row r="956" spans="1:2" ht="13.2">
      <c r="A956" s="16"/>
      <c r="B956" s="17"/>
    </row>
    <row r="957" spans="1:2" ht="13.2">
      <c r="A957" s="16"/>
      <c r="B957" s="17"/>
    </row>
    <row r="958" spans="1:2" ht="13.2">
      <c r="A958" s="16"/>
      <c r="B958" s="17"/>
    </row>
    <row r="959" spans="1:2" ht="13.2">
      <c r="A959" s="16"/>
      <c r="B959" s="17"/>
    </row>
    <row r="960" spans="1:2" ht="13.2">
      <c r="A960" s="16"/>
      <c r="B960" s="17"/>
    </row>
    <row r="961" spans="1:2" ht="13.2">
      <c r="A961" s="16"/>
      <c r="B961" s="17"/>
    </row>
    <row r="962" spans="1:2" ht="13.2">
      <c r="A962" s="16"/>
      <c r="B962" s="17"/>
    </row>
    <row r="963" spans="1:2" ht="13.2">
      <c r="A963" s="16"/>
      <c r="B963" s="17"/>
    </row>
    <row r="964" spans="1:2" ht="13.2">
      <c r="A964" s="16"/>
      <c r="B964" s="17"/>
    </row>
    <row r="965" spans="1:2" ht="13.2">
      <c r="A965" s="16"/>
      <c r="B965" s="17"/>
    </row>
    <row r="966" spans="1:2" ht="13.2">
      <c r="A966" s="16"/>
      <c r="B966" s="17"/>
    </row>
    <row r="967" spans="1:2" ht="13.2">
      <c r="A967" s="16"/>
      <c r="B967" s="17"/>
    </row>
    <row r="968" spans="1:2" ht="13.2">
      <c r="A968" s="16"/>
      <c r="B968" s="17"/>
    </row>
    <row r="969" spans="1:2" ht="13.2">
      <c r="A969" s="16"/>
      <c r="B969" s="17"/>
    </row>
    <row r="970" spans="1:2" ht="13.2">
      <c r="A970" s="16"/>
      <c r="B970" s="17"/>
    </row>
    <row r="971" spans="1:2" ht="13.2">
      <c r="A971" s="16"/>
      <c r="B971" s="17"/>
    </row>
    <row r="972" spans="1:2" ht="13.2">
      <c r="A972" s="16"/>
      <c r="B972" s="17"/>
    </row>
    <row r="973" spans="1:2" ht="13.2">
      <c r="A973" s="16"/>
      <c r="B973" s="17"/>
    </row>
    <row r="974" spans="1:2" ht="13.2">
      <c r="A974" s="16"/>
      <c r="B974" s="17"/>
    </row>
    <row r="975" spans="1:2" ht="13.2">
      <c r="A975" s="16"/>
      <c r="B975" s="17"/>
    </row>
    <row r="976" spans="1:2" ht="13.2">
      <c r="A976" s="16"/>
      <c r="B976" s="17"/>
    </row>
    <row r="977" spans="1:2" ht="13.2">
      <c r="A977" s="16"/>
      <c r="B977" s="17"/>
    </row>
    <row r="978" spans="1:2" ht="13.2">
      <c r="A978" s="16"/>
      <c r="B978" s="17"/>
    </row>
    <row r="979" spans="1:2" ht="13.2">
      <c r="A979" s="16"/>
      <c r="B979" s="17"/>
    </row>
    <row r="980" spans="1:2" ht="13.2">
      <c r="A980" s="16"/>
      <c r="B980" s="17"/>
    </row>
    <row r="981" spans="1:2" ht="13.2">
      <c r="A981" s="16"/>
      <c r="B981" s="17"/>
    </row>
    <row r="982" spans="1:2" ht="13.2">
      <c r="A982" s="16"/>
      <c r="B982" s="17"/>
    </row>
    <row r="983" spans="1:2" ht="13.2">
      <c r="A983" s="16"/>
      <c r="B983" s="17"/>
    </row>
    <row r="984" spans="1:2" ht="13.2">
      <c r="A984" s="16"/>
      <c r="B984" s="17"/>
    </row>
    <row r="985" spans="1:2" ht="13.2">
      <c r="A985" s="16"/>
      <c r="B985" s="17"/>
    </row>
    <row r="986" spans="1:2" ht="13.2">
      <c r="A986" s="16"/>
      <c r="B986" s="17"/>
    </row>
    <row r="987" spans="1:2" ht="13.2">
      <c r="A987" s="16"/>
      <c r="B987" s="17"/>
    </row>
    <row r="988" spans="1:2" ht="13.2">
      <c r="A988" s="16"/>
      <c r="B988" s="17"/>
    </row>
    <row r="989" spans="1:2" ht="13.2">
      <c r="A989" s="16"/>
      <c r="B989" s="17"/>
    </row>
    <row r="990" spans="1:2" ht="13.2">
      <c r="A990" s="16"/>
      <c r="B990" s="17"/>
    </row>
    <row r="991" spans="1:2" ht="13.2">
      <c r="A991" s="16"/>
      <c r="B991" s="17"/>
    </row>
    <row r="992" spans="1:2" ht="13.2">
      <c r="A992" s="16"/>
      <c r="B992" s="17"/>
    </row>
    <row r="993" spans="1:2" ht="13.2">
      <c r="A993" s="16"/>
      <c r="B993" s="17"/>
    </row>
    <row r="994" spans="1:2" ht="13.2">
      <c r="A994" s="16"/>
      <c r="B994" s="17"/>
    </row>
    <row r="995" spans="1:2" ht="13.2">
      <c r="A995" s="16"/>
      <c r="B995" s="17"/>
    </row>
    <row r="996" spans="1:2" ht="13.2">
      <c r="A996" s="16"/>
      <c r="B996" s="17"/>
    </row>
    <row r="997" spans="1:2" ht="13.2">
      <c r="A997" s="16"/>
      <c r="B997" s="17"/>
    </row>
    <row r="998" spans="1:2" ht="13.2">
      <c r="A998" s="16"/>
      <c r="B998" s="17"/>
    </row>
    <row r="999" spans="1:2" ht="13.2">
      <c r="A999" s="16"/>
      <c r="B999" s="17"/>
    </row>
    <row r="1000" spans="1:2" ht="13.2">
      <c r="A1000" s="16"/>
      <c r="B100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Z7"/>
  <sheetViews>
    <sheetView tabSelected="1" workbookViewId="0">
      <selection activeCell="K13" sqref="K13"/>
    </sheetView>
  </sheetViews>
  <sheetFormatPr baseColWidth="10" defaultColWidth="12.6640625" defaultRowHeight="15.75" customHeight="1"/>
  <sheetData>
    <row r="1" spans="1:26" ht="15.75" customHeight="1">
      <c r="A1" s="20" t="s">
        <v>353</v>
      </c>
      <c r="B1" s="20" t="s">
        <v>354</v>
      </c>
      <c r="C1" s="21" t="s">
        <v>355</v>
      </c>
      <c r="D1" s="21" t="s">
        <v>356</v>
      </c>
      <c r="E1" s="22" t="s">
        <v>357</v>
      </c>
      <c r="F1" s="22" t="s">
        <v>358</v>
      </c>
      <c r="G1" s="23" t="s">
        <v>359</v>
      </c>
      <c r="H1" s="23" t="s">
        <v>360</v>
      </c>
      <c r="I1" s="24" t="s">
        <v>361</v>
      </c>
      <c r="J1" s="24" t="s">
        <v>362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>
      <c r="A2" s="9">
        <v>7</v>
      </c>
      <c r="B2" s="35" t="s">
        <v>370</v>
      </c>
      <c r="C2" s="8">
        <v>0</v>
      </c>
      <c r="D2" s="26">
        <v>2</v>
      </c>
      <c r="E2" s="26">
        <v>2</v>
      </c>
      <c r="F2" s="26">
        <v>3</v>
      </c>
      <c r="G2" s="26">
        <v>3</v>
      </c>
      <c r="H2" s="9">
        <v>4</v>
      </c>
      <c r="I2" s="9">
        <v>4</v>
      </c>
      <c r="J2" s="9">
        <v>12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4" spans="1:26" ht="15.75" customHeight="1">
      <c r="C4" s="7"/>
    </row>
    <row r="5" spans="1:26" ht="15.75" customHeight="1">
      <c r="C5" s="7"/>
      <c r="D5" s="15"/>
    </row>
    <row r="6" spans="1:26" ht="15.75" customHeight="1">
      <c r="C6" s="7"/>
      <c r="D6" s="15"/>
    </row>
    <row r="7" spans="1:26" ht="13.2">
      <c r="D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>
      <selection activeCell="I20" sqref="I20"/>
    </sheetView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Datos_procesados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Paolo</cp:lastModifiedBy>
  <dcterms:created xsi:type="dcterms:W3CDTF">2026-05-28T00:47:09Z</dcterms:created>
  <dcterms:modified xsi:type="dcterms:W3CDTF">2026-05-28T10:25:25Z</dcterms:modified>
</cp:coreProperties>
</file>