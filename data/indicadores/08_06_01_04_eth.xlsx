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</sheets>
  <definedNames/>
  <calcPr/>
  <extLst>
    <ext uri="GoogleSheetsCustomDataVersion2">
      <go:sheetsCustomData xmlns:go="http://customooxmlschemas.google.com/" r:id="rId10" roundtripDataChecksum="TU3NkhK9BhNlwbyID+Y4m5tM5Y5gqsIUBswY3dJgcpY="/>
    </ext>
  </extLst>
</workbook>
</file>

<file path=xl/sharedStrings.xml><?xml version="1.0" encoding="utf-8"?>
<sst xmlns="http://schemas.openxmlformats.org/spreadsheetml/2006/main" count="1456" uniqueCount="374">
  <si>
    <t>id</t>
  </si>
  <si>
    <t>Departamento</t>
  </si>
  <si>
    <t>Municipio</t>
  </si>
  <si>
    <t>Jóvenes de 15-24 años que no estudian ni participan en el mercado laboral, 2012</t>
  </si>
  <si>
    <t>hombres_15_24_2012</t>
  </si>
  <si>
    <t>Propoción de hombres que no estudian, ni participan en el mercado laboral (15-24 años) 2012 (%)</t>
  </si>
  <si>
    <t>Jóvenes de 15-24 años que no estudian ni participan en el mercado laboral, 2024</t>
  </si>
  <si>
    <t>hombres_15_24_2024</t>
  </si>
  <si>
    <t>Propoción de hombres que no estudian, ni participan en el mercado laboral (15-24 años) 2024 (%)</t>
  </si>
  <si>
    <t>id_departamento</t>
  </si>
  <si>
    <t>Chuquisaca</t>
  </si>
  <si>
    <t>Sucre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</si>
  <si>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</si>
  <si>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</si>
  <si>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</si>
  <si>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</si>
  <si>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</si>
  <si>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</si>
  <si>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</si>
  <si>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</si>
  <si>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</si>
  <si>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</si>
  <si>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</si>
  <si>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</si>
  <si>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</si>
  <si>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</si>
  <si>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</si>
  <si>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</si>
  <si>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</si>
  <si>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</si>
  <si>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</si>
  <si>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</si>
  <si>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</si>
  <si>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promedio</t>
  </si>
  <si>
    <t>Villa Alcalá</t>
  </si>
  <si>
    <t>desv</t>
  </si>
  <si>
    <t>El Villar</t>
  </si>
  <si>
    <t>Monteagudo</t>
  </si>
  <si>
    <t>max</t>
  </si>
  <si>
    <t>San Pablo de Huacareta</t>
  </si>
  <si>
    <t>min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</si>
  <si>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</si>
  <si>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</si>
  <si>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</si>
  <si>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</si>
  <si>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</si>
  <si>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</si>
  <si>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</si>
  <si>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</si>
  <si>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</si>
  <si>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</si>
  <si>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</si>
  <si>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</si>
  <si>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</si>
  <si>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</si>
  <si>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</si>
  <si>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</si>
  <si>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</si>
  <si>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</si>
  <si>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</si>
  <si>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</si>
  <si>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</si>
  <si>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</si>
  <si>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</si>
  <si>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</si>
  <si>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</si>
  <si>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</si>
  <si>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</si>
  <si>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</si>
  <si>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</si>
  <si>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</si>
  <si>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</si>
  <si>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</si>
  <si>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</si>
  <si>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</si>
  <si>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</si>
  <si>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</si>
  <si>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</si>
  <si>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</si>
  <si>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</si>
  <si>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</si>
  <si>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</si>
  <si>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</si>
  <si>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</si>
  <si>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</si>
  <si>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</si>
  <si>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</si>
  <si>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</si>
  <si>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</si>
  <si>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</si>
  <si>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</si>
  <si>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</si>
  <si>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</si>
  <si>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</si>
  <si>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</si>
  <si>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</si>
  <si>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</si>
  <si>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</si>
  <si>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</si>
  <si>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</si>
  <si>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</si>
  <si>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</si>
  <si>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</si>
  <si>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</si>
  <si>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</si>
  <si>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</si>
  <si>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</si>
  <si>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</si>
  <si>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</si>
  <si>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</si>
  <si>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</si>
  <si>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</si>
  <si>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</si>
  <si>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</si>
  <si>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</si>
  <si>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</si>
  <si>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</si>
  <si>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</si>
  <si>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</si>
  <si>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</si>
  <si>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</si>
  <si>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</si>
  <si>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</si>
  <si>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</si>
  <si>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</si>
  <si>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</si>
  <si>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</si>
  <si>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</si>
  <si>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</si>
  <si>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</si>
  <si>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</si>
  <si>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</si>
  <si>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</si>
  <si>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</si>
  <si>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</si>
  <si>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</si>
  <si>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</si>
  <si>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</si>
  <si>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</si>
  <si>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</si>
  <si>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</si>
  <si>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</si>
  <si>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</si>
  <si>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</si>
  <si>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</si>
  <si>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</si>
  <si>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</si>
  <si>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</si>
  <si>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</si>
  <si>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</si>
  <si>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</si>
  <si>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</si>
  <si>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</si>
  <si>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</si>
  <si>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</si>
  <si>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</si>
  <si>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</si>
  <si>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</si>
  <si>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</si>
  <si>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</si>
  <si>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</si>
  <si>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</si>
  <si>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</si>
  <si>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</si>
  <si>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</si>
  <si>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</si>
  <si>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</si>
  <si>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</si>
  <si>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</si>
  <si>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</si>
  <si>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</si>
  <si>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</si>
  <si>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</si>
  <si>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</si>
  <si>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</si>
  <si>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</si>
  <si>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</si>
  <si>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</si>
  <si>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</si>
  <si>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</si>
  <si>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</si>
  <si>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</si>
  <si>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</si>
  <si>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</si>
  <si>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</si>
  <si>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</si>
  <si>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</si>
  <si>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</si>
  <si>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</si>
  <si>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</si>
  <si>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</si>
  <si>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</si>
  <si>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</si>
  <si>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</si>
  <si>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</si>
  <si>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</si>
  <si>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</si>
  <si>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</si>
  <si>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</si>
  <si>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</si>
  <si>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</si>
  <si>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</si>
  <si>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</si>
  <si>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</si>
  <si>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</si>
  <si>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</si>
  <si>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</si>
  <si>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</si>
  <si>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</si>
  <si>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</si>
  <si>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</si>
  <si>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</si>
  <si>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</si>
  <si>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</si>
  <si>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</si>
  <si>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</si>
  <si>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</si>
  <si>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</si>
  <si>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</si>
  <si>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</si>
  <si>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</si>
  <si>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</si>
  <si>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</si>
  <si>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</si>
  <si>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</si>
  <si>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</si>
  <si>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</si>
  <si>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</si>
  <si>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</si>
  <si>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</si>
  <si>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</si>
  <si>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</si>
  <si>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</si>
  <si>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</si>
  <si>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</si>
  <si>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</si>
  <si>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</si>
  <si>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</si>
  <si>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</si>
  <si>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</si>
  <si>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</si>
  <si>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</si>
  <si>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</si>
  <si>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</si>
  <si>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</si>
  <si>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</si>
  <si>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</si>
  <si>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</si>
  <si>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</si>
  <si>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</si>
  <si>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</si>
  <si>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</si>
  <si>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</si>
  <si>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</si>
  <si>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</si>
  <si>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</si>
  <si>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</si>
  <si>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</si>
  <si>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</si>
  <si>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</si>
  <si>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</si>
  <si>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</si>
  <si>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</si>
  <si>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</si>
  <si>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</si>
  <si>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</si>
  <si>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</si>
  <si>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</si>
  <si>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</si>
  <si>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</si>
  <si>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</si>
  <si>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</si>
  <si>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</si>
  <si>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</si>
  <si>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</si>
  <si>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</si>
  <si>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</si>
  <si>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</si>
  <si>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</si>
  <si>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</si>
  <si>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</si>
  <si>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</si>
  <si>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</si>
  <si>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</si>
  <si>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</si>
  <si>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</si>
  <si>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</si>
  <si>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</si>
  <si>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</si>
  <si>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</si>
  <si>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</si>
  <si>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</si>
  <si>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</si>
  <si>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</si>
  <si>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</si>
  <si>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</si>
  <si>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</si>
  <si>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</si>
  <si>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</si>
  <si>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</si>
  <si>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</si>
  <si>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</si>
  <si>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</si>
  <si>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</si>
  <si>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</si>
  <si>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</si>
  <si>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</si>
  <si>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</si>
  <si>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</si>
  <si>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</si>
  <si>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</si>
  <si>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</si>
  <si>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</si>
  <si>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</si>
  <si>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</si>
  <si>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</si>
  <si>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</si>
  <si>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</si>
  <si>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</si>
  <si>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</si>
  <si>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</si>
  <si>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</si>
  <si>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</si>
  <si>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</si>
  <si>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</si>
  <si>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</si>
  <si>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</si>
  <si>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</si>
  <si>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</si>
  <si>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</si>
  <si>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</si>
  <si>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</si>
  <si>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</si>
  <si>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</si>
  <si>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</si>
  <si>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</si>
  <si>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</si>
  <si>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</si>
  <si>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</si>
  <si>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</si>
  <si>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</si>
  <si>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</si>
  <si>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</si>
  <si>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</si>
  <si>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</si>
  <si>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</si>
  <si>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</si>
  <si>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</si>
  <si>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</si>
  <si>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</si>
  <si>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</si>
  <si>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</si>
  <si>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</si>
  <si>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</si>
  <si>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</si>
  <si>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</si>
  <si>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</si>
  <si>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</si>
  <si>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</si>
  <si>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Número de jóvenes hombres de 15-24 años que no estudian ni participan en el mercado laboral, 2012</t>
  </si>
  <si>
    <t>Número de jóvenes hombres de 15-24 años que no estudian ni participan en el mercado laboral,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</si>
  <si>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</si>
  <si>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</si>
  <si>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</si>
  <si>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</si>
  <si>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</si>
  <si>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</si>
  <si>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</si>
  <si>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</si>
  <si>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</si>
  <si>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</si>
  <si>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</si>
  <si>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Propoción de hombres que no estudian, ni participan en el mercado laboral (15-24 años)</t>
  </si>
  <si>
    <t>SDG Index Global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</si>
</sst>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rgb="FF000000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theme="1"/>
      <name val="Aptos Narrow"/>
    </font>
    <font>
      <b/>
      <sz val="10.0"/>
      <color theme="1"/>
      <name val="Arial"/>
    </font>
    <font>
      <b/>
      <sz val="9.0"/>
      <color theme="1"/>
      <name val="Play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1" fillId="0" fontId="4" numFmtId="164" xfId="0" applyAlignment="1" applyBorder="1" applyFont="1" applyNumberFormat="1">
      <alignment horizontal="right"/>
    </xf>
    <xf borderId="1" fillId="0" fontId="4" numFmtId="49" xfId="0" applyBorder="1" applyFont="1" applyNumberFormat="1"/>
    <xf borderId="1" fillId="0" fontId="4" numFmtId="1" xfId="0" applyAlignment="1" applyBorder="1" applyFont="1" applyNumberFormat="1">
      <alignment horizontal="right"/>
    </xf>
    <xf borderId="1" fillId="0" fontId="3" numFmtId="2" xfId="0" applyBorder="1" applyFont="1" applyNumberFormat="1"/>
    <xf borderId="1" fillId="0" fontId="4" numFmtId="0" xfId="0" applyBorder="1" applyFont="1"/>
    <xf borderId="1" fillId="0" fontId="4" numFmtId="0" xfId="0" applyAlignment="1" applyBorder="1" applyFont="1">
      <alignment horizontal="right"/>
    </xf>
    <xf borderId="0" fillId="0" fontId="5" numFmtId="0" xfId="0" applyFont="1"/>
    <xf borderId="0" fillId="0" fontId="3" numFmtId="0" xfId="0" applyFont="1"/>
    <xf borderId="0" fillId="0" fontId="3" numFmtId="2" xfId="0" applyFont="1" applyNumberFormat="1"/>
    <xf borderId="0" fillId="0" fontId="4" numFmtId="0" xfId="0" applyFont="1"/>
    <xf borderId="0" fillId="0" fontId="3" numFmtId="1" xfId="0" applyFont="1" applyNumberFormat="1"/>
    <xf borderId="1" fillId="0" fontId="4" numFmtId="3" xfId="0" applyAlignment="1" applyBorder="1" applyFont="1" applyNumberFormat="1">
      <alignment horizontal="right"/>
    </xf>
    <xf borderId="0" fillId="0" fontId="3" numFmtId="164" xfId="0" applyFont="1" applyNumberFormat="1"/>
    <xf borderId="0" fillId="0" fontId="3" numFmtId="49" xfId="0" applyFont="1" applyNumberFormat="1"/>
    <xf borderId="1" fillId="0" fontId="6" numFmtId="164" xfId="0" applyAlignment="1" applyBorder="1" applyFont="1" applyNumberFormat="1">
      <alignment horizontal="center" vertical="center"/>
    </xf>
    <xf borderId="1" fillId="0" fontId="6" numFmtId="49" xfId="0" applyAlignment="1" applyBorder="1" applyFont="1" applyNumberFormat="1">
      <alignment horizontal="center" vertical="center"/>
    </xf>
    <xf borderId="2" fillId="0" fontId="3" numFmtId="164" xfId="0" applyBorder="1" applyFont="1" applyNumberFormat="1"/>
    <xf borderId="2" fillId="0" fontId="3" numFmtId="49" xfId="0" applyBorder="1" applyFont="1" applyNumberFormat="1"/>
    <xf borderId="2" fillId="0" fontId="3" numFmtId="2" xfId="0" applyBorder="1" applyFont="1" applyNumberFormat="1"/>
    <xf borderId="1" fillId="0" fontId="3" numFmtId="164" xfId="0" applyBorder="1" applyFont="1" applyNumberFormat="1"/>
    <xf borderId="1" fillId="0" fontId="3" numFmtId="49" xfId="0" applyBorder="1" applyFont="1" applyNumberFormat="1"/>
    <xf borderId="1" fillId="0" fontId="1" numFmtId="164" xfId="0" applyAlignment="1" applyBorder="1" applyFont="1" applyNumberFormat="1">
      <alignment horizontal="center" vertical="center"/>
    </xf>
    <xf borderId="2" fillId="0" fontId="4" numFmtId="164" xfId="0" applyAlignment="1" applyBorder="1" applyFont="1" applyNumberFormat="1">
      <alignment horizontal="right"/>
    </xf>
    <xf borderId="2" fillId="0" fontId="4" numFmtId="49" xfId="0" applyBorder="1" applyFont="1" applyNumberFormat="1"/>
    <xf borderId="2" fillId="0" fontId="4" numFmtId="1" xfId="0" applyAlignment="1" applyBorder="1" applyFont="1" applyNumberFormat="1">
      <alignment horizontal="right"/>
    </xf>
    <xf borderId="2" fillId="0" fontId="4" numFmtId="0" xfId="0" applyAlignment="1" applyBorder="1" applyFont="1">
      <alignment horizontal="right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right"/>
    </xf>
    <xf borderId="1" fillId="0" fontId="1" numFmtId="0" xfId="0" applyBorder="1" applyFont="1"/>
    <xf borderId="1" fillId="0" fontId="3" numFmtId="2" xfId="0" applyAlignment="1" applyBorder="1" applyFont="1" applyNumberFormat="1">
      <alignment horizontal="right"/>
    </xf>
    <xf borderId="1" fillId="2" fontId="1" numFmtId="0" xfId="0" applyBorder="1" applyFill="1" applyFont="1"/>
    <xf borderId="3" fillId="2" fontId="1" numFmtId="0" xfId="0" applyBorder="1" applyFont="1"/>
    <xf borderId="1" fillId="3" fontId="7" numFmtId="0" xfId="0" applyAlignment="1" applyBorder="1" applyFill="1" applyFont="1">
      <alignment horizontal="center" shrinkToFit="0" wrapText="1"/>
    </xf>
    <xf borderId="1" fillId="4" fontId="7" numFmtId="0" xfId="0" applyAlignment="1" applyBorder="1" applyFill="1" applyFont="1">
      <alignment horizontal="center" shrinkToFit="0" wrapText="1"/>
    </xf>
    <xf borderId="1" fillId="5" fontId="7" numFmtId="0" xfId="0" applyAlignment="1" applyBorder="1" applyFill="1" applyFont="1">
      <alignment horizontal="center" shrinkToFit="0" wrapText="1"/>
    </xf>
    <xf borderId="1" fillId="6" fontId="7" numFmtId="0" xfId="0" applyAlignment="1" applyBorder="1" applyFill="1" applyFont="1">
      <alignment horizontal="center" shrinkToFit="0" wrapText="1"/>
    </xf>
    <xf borderId="1" fillId="7" fontId="1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12.63"/>
    <col customWidth="1" min="4" max="4" width="25.88"/>
    <col customWidth="1" min="5" max="5" width="15.63"/>
    <col customWidth="1" min="6" max="6" width="26.88"/>
    <col customWidth="1" min="7" max="7" width="25.25"/>
    <col customWidth="1" min="8" max="8" width="16.25"/>
    <col customWidth="1" min="9" max="9" width="22.25"/>
    <col customWidth="1" min="13" max="13" width="22.88"/>
    <col customWidth="1" min="14" max="14" width="13.75"/>
    <col customWidth="1" min="15" max="15" width="21.63"/>
    <col customWidth="1" min="16" max="16" width="24.63"/>
    <col customWidth="1" min="17" max="17" width="14.38"/>
    <col customWidth="1" min="18" max="18" width="22.75"/>
  </cols>
  <sheetData>
    <row r="1" ht="66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5"/>
      <c r="K1" s="3" t="s">
        <v>9</v>
      </c>
      <c r="L1" s="3" t="s">
        <v>1</v>
      </c>
      <c r="M1" s="3" t="s">
        <v>3</v>
      </c>
      <c r="N1" s="3" t="s">
        <v>4</v>
      </c>
      <c r="O1" s="4" t="s">
        <v>5</v>
      </c>
      <c r="P1" s="3" t="s">
        <v>3</v>
      </c>
      <c r="Q1" s="3" t="s">
        <v>7</v>
      </c>
      <c r="R1" s="4" t="s">
        <v>8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ht="15.75" customHeight="1">
      <c r="A2" s="6">
        <v>10101.0</v>
      </c>
      <c r="B2" s="7" t="s">
        <v>10</v>
      </c>
      <c r="C2" s="7" t="s">
        <v>11</v>
      </c>
      <c r="D2" s="8">
        <v>6783.0</v>
      </c>
      <c r="E2" s="8">
        <v>30166.0</v>
      </c>
      <c r="F2" s="9">
        <f t="shared" ref="F2:F345" si="2">(D2/E2)*100</f>
        <v>22.48557979</v>
      </c>
      <c r="G2" s="10">
        <v>1167.0</v>
      </c>
      <c r="H2" s="10">
        <v>30250.0</v>
      </c>
      <c r="I2" s="9">
        <f t="shared" ref="I2:I345" si="3">(G2/H2)*100</f>
        <v>3.85785124</v>
      </c>
      <c r="K2" s="11">
        <v>1.0</v>
      </c>
      <c r="L2" s="10" t="s">
        <v>10</v>
      </c>
      <c r="M2" s="8">
        <f t="shared" ref="M2:N2" si="1">SUM(D2:D30)</f>
        <v>9265</v>
      </c>
      <c r="N2" s="8">
        <f t="shared" si="1"/>
        <v>58744</v>
      </c>
      <c r="O2" s="9">
        <f t="shared" ref="O2:O10" si="5">(M2/N2)*100</f>
        <v>15.77182351</v>
      </c>
      <c r="P2" s="8">
        <f>SUM(G2:G30)</f>
        <v>2560</v>
      </c>
      <c r="Q2" s="8">
        <v>57889.0</v>
      </c>
      <c r="R2" s="9">
        <f t="shared" ref="R2:R10" si="6">(P2/Q2)*100</f>
        <v>4.422256387</v>
      </c>
    </row>
    <row r="3" ht="15.75" customHeight="1">
      <c r="A3" s="6">
        <v>10102.0</v>
      </c>
      <c r="B3" s="7" t="s">
        <v>10</v>
      </c>
      <c r="C3" s="7" t="s">
        <v>12</v>
      </c>
      <c r="D3" s="8">
        <v>92.0</v>
      </c>
      <c r="E3" s="8">
        <v>958.0</v>
      </c>
      <c r="F3" s="9">
        <f t="shared" si="2"/>
        <v>9.603340292</v>
      </c>
      <c r="G3" s="10">
        <v>13.0</v>
      </c>
      <c r="H3" s="10">
        <v>770.0</v>
      </c>
      <c r="I3" s="9">
        <f t="shared" si="3"/>
        <v>1.688311688</v>
      </c>
      <c r="K3" s="11">
        <v>2.0</v>
      </c>
      <c r="L3" s="10" t="s">
        <v>13</v>
      </c>
      <c r="M3" s="8">
        <f t="shared" ref="M3:N3" si="4">+SUM(D31:D117)</f>
        <v>39360</v>
      </c>
      <c r="N3" s="8">
        <f t="shared" si="4"/>
        <v>270008</v>
      </c>
      <c r="O3" s="9">
        <f t="shared" si="5"/>
        <v>14.57734586</v>
      </c>
      <c r="P3" s="8">
        <f>+SUM(G31:G117)</f>
        <v>13918</v>
      </c>
      <c r="Q3" s="8">
        <v>267034.0</v>
      </c>
      <c r="R3" s="9">
        <f t="shared" si="6"/>
        <v>5.212070373</v>
      </c>
    </row>
    <row r="4" ht="15.75" customHeight="1">
      <c r="A4" s="6">
        <v>10103.0</v>
      </c>
      <c r="B4" s="7" t="s">
        <v>10</v>
      </c>
      <c r="C4" s="7" t="s">
        <v>14</v>
      </c>
      <c r="D4" s="8">
        <v>73.0</v>
      </c>
      <c r="E4" s="8">
        <v>1173.0</v>
      </c>
      <c r="F4" s="9">
        <f t="shared" si="2"/>
        <v>6.223358909</v>
      </c>
      <c r="G4" s="10">
        <v>58.0</v>
      </c>
      <c r="H4" s="10">
        <v>1122.0</v>
      </c>
      <c r="I4" s="9">
        <f t="shared" si="3"/>
        <v>5.169340463</v>
      </c>
      <c r="K4" s="11">
        <v>3.0</v>
      </c>
      <c r="L4" s="10" t="s">
        <v>15</v>
      </c>
      <c r="M4" s="8">
        <f t="shared" ref="M4:N4" si="7">+SUM(D118:D165)</f>
        <v>27207</v>
      </c>
      <c r="N4" s="8">
        <f t="shared" si="7"/>
        <v>189938</v>
      </c>
      <c r="O4" s="9">
        <f t="shared" si="5"/>
        <v>14.32414788</v>
      </c>
      <c r="P4" s="8">
        <f>+SUM(G118:G165)</f>
        <v>9727</v>
      </c>
      <c r="Q4" s="8">
        <v>187391.0</v>
      </c>
      <c r="R4" s="9">
        <f t="shared" si="6"/>
        <v>5.19075089</v>
      </c>
    </row>
    <row r="5" ht="15.75" customHeight="1">
      <c r="A5" s="6">
        <v>10201.0</v>
      </c>
      <c r="B5" s="7" t="s">
        <v>10</v>
      </c>
      <c r="C5" s="7" t="s">
        <v>16</v>
      </c>
      <c r="D5" s="8">
        <v>76.0</v>
      </c>
      <c r="E5" s="8">
        <v>860.0</v>
      </c>
      <c r="F5" s="9">
        <f t="shared" si="2"/>
        <v>8.837209302</v>
      </c>
      <c r="G5" s="10">
        <v>39.0</v>
      </c>
      <c r="H5" s="10">
        <v>598.0</v>
      </c>
      <c r="I5" s="9">
        <f t="shared" si="3"/>
        <v>6.52173913</v>
      </c>
      <c r="K5" s="11">
        <v>4.0</v>
      </c>
      <c r="L5" s="10" t="s">
        <v>17</v>
      </c>
      <c r="M5" s="8">
        <f t="shared" ref="M5:N5" si="8">+SUM(D166:D200)</f>
        <v>9208</v>
      </c>
      <c r="N5" s="8">
        <f t="shared" si="8"/>
        <v>49452</v>
      </c>
      <c r="O5" s="9">
        <f t="shared" si="5"/>
        <v>18.62007603</v>
      </c>
      <c r="P5" s="8">
        <f>+SUM(G166:G200)</f>
        <v>2542</v>
      </c>
      <c r="Q5" s="8">
        <v>51896.0</v>
      </c>
      <c r="R5" s="9">
        <f t="shared" si="6"/>
        <v>4.898258055</v>
      </c>
    </row>
    <row r="6" ht="15.75" customHeight="1">
      <c r="A6" s="6">
        <v>10202.0</v>
      </c>
      <c r="B6" s="7" t="s">
        <v>10</v>
      </c>
      <c r="C6" s="7" t="s">
        <v>18</v>
      </c>
      <c r="D6" s="8">
        <v>79.0</v>
      </c>
      <c r="E6" s="8">
        <v>1078.0</v>
      </c>
      <c r="F6" s="9">
        <f t="shared" si="2"/>
        <v>7.3283859</v>
      </c>
      <c r="G6" s="10">
        <v>84.0</v>
      </c>
      <c r="H6" s="10">
        <v>1465.0</v>
      </c>
      <c r="I6" s="9">
        <f t="shared" si="3"/>
        <v>5.733788396</v>
      </c>
      <c r="K6" s="11">
        <v>5.0</v>
      </c>
      <c r="L6" s="10" t="s">
        <v>19</v>
      </c>
      <c r="M6" s="8">
        <f t="shared" ref="M6:N6" si="9">+SUM(D201:D242)</f>
        <v>9120</v>
      </c>
      <c r="N6" s="8">
        <f t="shared" si="9"/>
        <v>79016</v>
      </c>
      <c r="O6" s="9">
        <f t="shared" si="5"/>
        <v>11.54196618</v>
      </c>
      <c r="P6" s="8">
        <f>+SUM(G201:G242)</f>
        <v>3817</v>
      </c>
      <c r="Q6" s="8">
        <v>78020.0</v>
      </c>
      <c r="R6" s="9">
        <f t="shared" si="6"/>
        <v>4.892335299</v>
      </c>
    </row>
    <row r="7" ht="15.75" customHeight="1">
      <c r="A7" s="6">
        <v>10301.0</v>
      </c>
      <c r="B7" s="7" t="s">
        <v>10</v>
      </c>
      <c r="C7" s="7" t="s">
        <v>20</v>
      </c>
      <c r="D7" s="8">
        <v>113.0</v>
      </c>
      <c r="E7" s="8">
        <v>1212.0</v>
      </c>
      <c r="F7" s="9">
        <f t="shared" si="2"/>
        <v>9.323432343</v>
      </c>
      <c r="G7" s="10">
        <v>68.0</v>
      </c>
      <c r="H7" s="10">
        <v>1391.0</v>
      </c>
      <c r="I7" s="9">
        <f t="shared" si="3"/>
        <v>4.888569375</v>
      </c>
      <c r="K7" s="11">
        <v>6.0</v>
      </c>
      <c r="L7" s="10" t="s">
        <v>21</v>
      </c>
      <c r="M7" s="8">
        <f t="shared" ref="M7:N7" si="10">+SUM(D243:D253)</f>
        <v>6946</v>
      </c>
      <c r="N7" s="8">
        <f t="shared" si="10"/>
        <v>50811</v>
      </c>
      <c r="O7" s="9">
        <f t="shared" si="5"/>
        <v>13.67026825</v>
      </c>
      <c r="P7" s="8">
        <f>+SUM(G243:G253)</f>
        <v>3198</v>
      </c>
      <c r="Q7" s="8">
        <v>45210.0</v>
      </c>
      <c r="R7" s="9">
        <f t="shared" si="6"/>
        <v>7.073656271</v>
      </c>
    </row>
    <row r="8" ht="15.75" customHeight="1">
      <c r="A8" s="6">
        <v>10302.0</v>
      </c>
      <c r="B8" s="7" t="s">
        <v>10</v>
      </c>
      <c r="C8" s="7" t="s">
        <v>22</v>
      </c>
      <c r="D8" s="8">
        <v>104.0</v>
      </c>
      <c r="E8" s="8">
        <v>1107.0</v>
      </c>
      <c r="F8" s="9">
        <f t="shared" si="2"/>
        <v>9.394760614</v>
      </c>
      <c r="G8" s="10">
        <v>62.0</v>
      </c>
      <c r="H8" s="10">
        <v>1356.0</v>
      </c>
      <c r="I8" s="9">
        <f t="shared" si="3"/>
        <v>4.572271386</v>
      </c>
      <c r="K8" s="11">
        <v>7.0</v>
      </c>
      <c r="L8" s="10" t="s">
        <v>23</v>
      </c>
      <c r="M8" s="8">
        <f t="shared" ref="M8:N8" si="11">+SUM(D254:D309)</f>
        <v>33948</v>
      </c>
      <c r="N8" s="8">
        <f t="shared" si="11"/>
        <v>294357</v>
      </c>
      <c r="O8" s="9">
        <f t="shared" si="5"/>
        <v>11.5329345</v>
      </c>
      <c r="P8" s="8">
        <f>+SUM(G254:G309)</f>
        <v>15999</v>
      </c>
      <c r="Q8" s="8">
        <v>284427.0</v>
      </c>
      <c r="R8" s="9">
        <f t="shared" si="6"/>
        <v>5.624993408</v>
      </c>
    </row>
    <row r="9" ht="15.75" customHeight="1">
      <c r="A9" s="6">
        <v>10303.0</v>
      </c>
      <c r="B9" s="7" t="s">
        <v>10</v>
      </c>
      <c r="C9" s="7" t="s">
        <v>24</v>
      </c>
      <c r="D9" s="8">
        <v>52.0</v>
      </c>
      <c r="E9" s="8">
        <v>724.0</v>
      </c>
      <c r="F9" s="9">
        <f t="shared" si="2"/>
        <v>7.182320442</v>
      </c>
      <c r="G9" s="10">
        <v>33.0</v>
      </c>
      <c r="H9" s="10">
        <v>770.0</v>
      </c>
      <c r="I9" s="9">
        <f t="shared" si="3"/>
        <v>4.285714286</v>
      </c>
      <c r="K9" s="11">
        <v>8.0</v>
      </c>
      <c r="L9" s="10" t="s">
        <v>25</v>
      </c>
      <c r="M9" s="8">
        <f t="shared" ref="M9:N9" si="12">+SUM(D310:D329)</f>
        <v>5378</v>
      </c>
      <c r="N9" s="8">
        <f t="shared" si="12"/>
        <v>46563</v>
      </c>
      <c r="O9" s="9">
        <f t="shared" si="5"/>
        <v>11.54994309</v>
      </c>
      <c r="P9" s="8">
        <f>+SUM(G310:G329)</f>
        <v>3867</v>
      </c>
      <c r="Q9" s="8">
        <v>46651.0</v>
      </c>
      <c r="R9" s="9">
        <f t="shared" si="6"/>
        <v>8.289211378</v>
      </c>
    </row>
    <row r="10" ht="15.75" customHeight="1">
      <c r="A10" s="6">
        <v>10304.0</v>
      </c>
      <c r="B10" s="7" t="s">
        <v>10</v>
      </c>
      <c r="C10" s="7" t="s">
        <v>26</v>
      </c>
      <c r="D10" s="8">
        <v>47.0</v>
      </c>
      <c r="E10" s="8">
        <v>659.0</v>
      </c>
      <c r="F10" s="9">
        <f t="shared" si="2"/>
        <v>7.132018209</v>
      </c>
      <c r="G10" s="10">
        <v>71.0</v>
      </c>
      <c r="H10" s="10">
        <v>938.0</v>
      </c>
      <c r="I10" s="9">
        <f t="shared" si="3"/>
        <v>7.569296375</v>
      </c>
      <c r="K10" s="11">
        <v>9.0</v>
      </c>
      <c r="L10" s="10" t="s">
        <v>27</v>
      </c>
      <c r="M10" s="8">
        <f t="shared" ref="M10:N10" si="13">+SUM(D330:D344)</f>
        <v>2280</v>
      </c>
      <c r="N10" s="8">
        <f t="shared" si="13"/>
        <v>13414</v>
      </c>
      <c r="O10" s="9">
        <f t="shared" si="5"/>
        <v>16.99716714</v>
      </c>
      <c r="P10" s="8">
        <f>+SUM(G330:G344)</f>
        <v>1357</v>
      </c>
      <c r="Q10" s="8">
        <v>14055.0</v>
      </c>
      <c r="R10" s="9">
        <f t="shared" si="6"/>
        <v>9.654927072</v>
      </c>
    </row>
    <row r="11" ht="15.75" customHeight="1">
      <c r="A11" s="6">
        <v>10401.0</v>
      </c>
      <c r="B11" s="7" t="s">
        <v>10</v>
      </c>
      <c r="C11" s="7" t="s">
        <v>28</v>
      </c>
      <c r="D11" s="8">
        <v>67.0</v>
      </c>
      <c r="E11" s="8">
        <v>899.0</v>
      </c>
      <c r="F11" s="9">
        <f t="shared" si="2"/>
        <v>7.45272525</v>
      </c>
      <c r="G11" s="10">
        <v>40.0</v>
      </c>
      <c r="H11" s="10">
        <v>667.0</v>
      </c>
      <c r="I11" s="9">
        <f t="shared" si="3"/>
        <v>5.997001499</v>
      </c>
      <c r="K11" s="11">
        <v>10.0</v>
      </c>
      <c r="L11" s="10" t="s">
        <v>29</v>
      </c>
      <c r="M11" s="11">
        <v>1964.0</v>
      </c>
      <c r="N11" s="8">
        <v>15685.0</v>
      </c>
      <c r="O11" s="9">
        <v>12.521517373286581</v>
      </c>
      <c r="P11" s="8">
        <v>1448.0</v>
      </c>
      <c r="Q11" s="8">
        <v>13916.0</v>
      </c>
      <c r="R11" s="9">
        <v>10.405288876113826</v>
      </c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ht="15.75" customHeight="1">
      <c r="A12" s="6">
        <v>10402.0</v>
      </c>
      <c r="B12" s="7" t="s">
        <v>10</v>
      </c>
      <c r="C12" s="7" t="s">
        <v>30</v>
      </c>
      <c r="D12" s="8">
        <v>61.0</v>
      </c>
      <c r="E12" s="8">
        <v>782.0</v>
      </c>
      <c r="F12" s="9">
        <f t="shared" si="2"/>
        <v>7.800511509</v>
      </c>
      <c r="G12" s="10">
        <v>53.0</v>
      </c>
      <c r="H12" s="10">
        <v>797.0</v>
      </c>
      <c r="I12" s="9">
        <f t="shared" si="3"/>
        <v>6.649937265</v>
      </c>
      <c r="K12" s="11">
        <v>11.0</v>
      </c>
      <c r="L12" s="10" t="s">
        <v>31</v>
      </c>
      <c r="M12" s="8">
        <f t="shared" ref="M12:N12" si="14">SUM(M2:M10)</f>
        <v>142712</v>
      </c>
      <c r="N12" s="8">
        <f t="shared" si="14"/>
        <v>1052303</v>
      </c>
      <c r="O12" s="9">
        <f>(M12/N12)*100</f>
        <v>13.56187334</v>
      </c>
      <c r="P12" s="8">
        <f t="shared" ref="P12:Q12" si="15">SUM(P2:P10)</f>
        <v>56985</v>
      </c>
      <c r="Q12" s="8">
        <f t="shared" si="15"/>
        <v>1032573</v>
      </c>
      <c r="R12" s="9">
        <f>(P12/Q12)*100</f>
        <v>5.518738142</v>
      </c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5.75" customHeight="1">
      <c r="A13" s="6">
        <v>10403.0</v>
      </c>
      <c r="B13" s="7" t="s">
        <v>10</v>
      </c>
      <c r="C13" s="7" t="s">
        <v>32</v>
      </c>
      <c r="D13" s="8">
        <v>48.0</v>
      </c>
      <c r="E13" s="8">
        <v>645.0</v>
      </c>
      <c r="F13" s="9">
        <f t="shared" si="2"/>
        <v>7.441860465</v>
      </c>
      <c r="G13" s="10">
        <v>41.0</v>
      </c>
      <c r="H13" s="10">
        <v>673.0</v>
      </c>
      <c r="I13" s="9">
        <f t="shared" si="3"/>
        <v>6.092124814</v>
      </c>
      <c r="K13" s="13" t="s">
        <v>33</v>
      </c>
      <c r="L13" s="14">
        <f>AVERAGE(F2:F344)</f>
        <v>9.952646042</v>
      </c>
      <c r="M13" s="15"/>
      <c r="N13" s="15"/>
      <c r="P13" s="15"/>
      <c r="Q13" s="15"/>
    </row>
    <row r="14" ht="15.75" customHeight="1">
      <c r="A14" s="6">
        <v>10404.0</v>
      </c>
      <c r="B14" s="7" t="s">
        <v>10</v>
      </c>
      <c r="C14" s="7" t="s">
        <v>34</v>
      </c>
      <c r="D14" s="8">
        <v>74.0</v>
      </c>
      <c r="E14" s="8">
        <v>541.0</v>
      </c>
      <c r="F14" s="9">
        <f t="shared" si="2"/>
        <v>13.67837338</v>
      </c>
      <c r="G14" s="10">
        <v>17.0</v>
      </c>
      <c r="H14" s="10">
        <v>305.0</v>
      </c>
      <c r="I14" s="9">
        <f t="shared" si="3"/>
        <v>5.573770492</v>
      </c>
      <c r="K14" s="13" t="s">
        <v>35</v>
      </c>
      <c r="L14" s="16">
        <f>STDEV(F2:F344)</f>
        <v>7.051587376</v>
      </c>
      <c r="M14" s="15"/>
      <c r="N14" s="15"/>
      <c r="P14" s="15"/>
      <c r="Q14" s="15"/>
    </row>
    <row r="15" ht="15.75" customHeight="1">
      <c r="A15" s="6">
        <v>10405.0</v>
      </c>
      <c r="B15" s="7" t="s">
        <v>10</v>
      </c>
      <c r="C15" s="7" t="s">
        <v>36</v>
      </c>
      <c r="D15" s="8">
        <v>55.0</v>
      </c>
      <c r="E15" s="8">
        <v>454.0</v>
      </c>
      <c r="F15" s="9">
        <f t="shared" si="2"/>
        <v>12.11453744</v>
      </c>
      <c r="G15" s="10">
        <v>39.0</v>
      </c>
      <c r="H15" s="10">
        <v>478.0</v>
      </c>
      <c r="I15" s="9">
        <f t="shared" si="3"/>
        <v>8.158995816</v>
      </c>
      <c r="K15" s="13"/>
      <c r="L15" s="13"/>
      <c r="M15" s="15"/>
      <c r="N15" s="15"/>
      <c r="P15" s="15"/>
      <c r="Q15" s="15"/>
    </row>
    <row r="16" ht="15.75" customHeight="1">
      <c r="A16" s="6">
        <v>10501.0</v>
      </c>
      <c r="B16" s="7" t="s">
        <v>10</v>
      </c>
      <c r="C16" s="7" t="s">
        <v>37</v>
      </c>
      <c r="D16" s="8">
        <v>161.0</v>
      </c>
      <c r="E16" s="8">
        <v>2385.0</v>
      </c>
      <c r="F16" s="9">
        <f t="shared" si="2"/>
        <v>6.750524109</v>
      </c>
      <c r="G16" s="10">
        <v>71.0</v>
      </c>
      <c r="H16" s="10">
        <v>1919.0</v>
      </c>
      <c r="I16" s="9">
        <f t="shared" si="3"/>
        <v>3.699843669</v>
      </c>
      <c r="K16" s="13" t="s">
        <v>38</v>
      </c>
      <c r="L16" s="14">
        <f>MAX(F2:F344)</f>
        <v>70.82152975</v>
      </c>
      <c r="M16" s="15"/>
      <c r="N16" s="15"/>
      <c r="P16" s="15"/>
      <c r="Q16" s="15"/>
    </row>
    <row r="17" ht="15.75" customHeight="1">
      <c r="A17" s="6">
        <v>10502.0</v>
      </c>
      <c r="B17" s="7" t="s">
        <v>10</v>
      </c>
      <c r="C17" s="7" t="s">
        <v>39</v>
      </c>
      <c r="D17" s="8">
        <v>42.0</v>
      </c>
      <c r="E17" s="8">
        <v>741.0</v>
      </c>
      <c r="F17" s="9">
        <f t="shared" si="2"/>
        <v>5.668016194</v>
      </c>
      <c r="G17" s="10">
        <v>22.0</v>
      </c>
      <c r="H17" s="10">
        <v>500.0</v>
      </c>
      <c r="I17" s="9">
        <f t="shared" si="3"/>
        <v>4.4</v>
      </c>
      <c r="K17" s="13" t="s">
        <v>40</v>
      </c>
      <c r="L17" s="14">
        <f>MIN(F2:F344)</f>
        <v>1.282051282</v>
      </c>
      <c r="M17" s="15"/>
      <c r="N17" s="15"/>
      <c r="P17" s="15"/>
      <c r="Q17" s="15"/>
    </row>
    <row r="18" ht="15.75" customHeight="1">
      <c r="A18" s="6">
        <v>10601.0</v>
      </c>
      <c r="B18" s="7" t="s">
        <v>10</v>
      </c>
      <c r="C18" s="7" t="s">
        <v>41</v>
      </c>
      <c r="D18" s="8">
        <v>123.0</v>
      </c>
      <c r="E18" s="8">
        <v>1277.0</v>
      </c>
      <c r="F18" s="9">
        <f t="shared" si="2"/>
        <v>9.631949883</v>
      </c>
      <c r="G18" s="10">
        <v>49.0</v>
      </c>
      <c r="H18" s="10">
        <v>1203.0</v>
      </c>
      <c r="I18" s="9">
        <f t="shared" si="3"/>
        <v>4.073150457</v>
      </c>
      <c r="K18" s="13"/>
      <c r="L18" s="13"/>
      <c r="M18" s="15"/>
      <c r="N18" s="15"/>
      <c r="P18" s="15"/>
      <c r="Q18" s="15"/>
    </row>
    <row r="19" ht="15.75" customHeight="1">
      <c r="A19" s="6">
        <v>10602.0</v>
      </c>
      <c r="B19" s="7" t="s">
        <v>10</v>
      </c>
      <c r="C19" s="7" t="s">
        <v>42</v>
      </c>
      <c r="D19" s="8">
        <v>78.0</v>
      </c>
      <c r="E19" s="8">
        <v>789.0</v>
      </c>
      <c r="F19" s="9">
        <f t="shared" si="2"/>
        <v>9.885931559</v>
      </c>
      <c r="G19" s="10">
        <v>33.0</v>
      </c>
      <c r="H19" s="10">
        <v>618.0</v>
      </c>
      <c r="I19" s="9">
        <f t="shared" si="3"/>
        <v>5.339805825</v>
      </c>
      <c r="K19" s="13"/>
      <c r="L19" s="13"/>
      <c r="M19" s="15"/>
      <c r="N19" s="15"/>
      <c r="P19" s="15"/>
      <c r="Q19" s="15"/>
    </row>
    <row r="20" ht="15.75" customHeight="1">
      <c r="A20" s="6">
        <v>10701.0</v>
      </c>
      <c r="B20" s="7" t="s">
        <v>10</v>
      </c>
      <c r="C20" s="7" t="s">
        <v>43</v>
      </c>
      <c r="D20" s="8">
        <v>90.0</v>
      </c>
      <c r="E20" s="8">
        <v>1353.0</v>
      </c>
      <c r="F20" s="9">
        <f t="shared" si="2"/>
        <v>6.651884701</v>
      </c>
      <c r="G20" s="10">
        <v>45.0</v>
      </c>
      <c r="H20" s="10">
        <v>1158.0</v>
      </c>
      <c r="I20" s="9">
        <f t="shared" si="3"/>
        <v>3.886010363</v>
      </c>
      <c r="K20" s="13"/>
      <c r="L20" s="14">
        <f>L13-L14</f>
        <v>2.901058666</v>
      </c>
      <c r="M20" s="15"/>
      <c r="N20" s="15"/>
      <c r="P20" s="15"/>
      <c r="Q20" s="15"/>
    </row>
    <row r="21" ht="15.75" customHeight="1">
      <c r="A21" s="6">
        <v>10702.0</v>
      </c>
      <c r="B21" s="7" t="s">
        <v>10</v>
      </c>
      <c r="C21" s="7" t="s">
        <v>44</v>
      </c>
      <c r="D21" s="8">
        <v>172.0</v>
      </c>
      <c r="E21" s="8">
        <v>2537.0</v>
      </c>
      <c r="F21" s="9">
        <f t="shared" si="2"/>
        <v>6.779661017</v>
      </c>
      <c r="G21" s="10">
        <v>103.0</v>
      </c>
      <c r="H21" s="10">
        <v>2286.0</v>
      </c>
      <c r="I21" s="9">
        <f t="shared" si="3"/>
        <v>4.505686789</v>
      </c>
      <c r="K21" s="13"/>
      <c r="L21" s="14">
        <f>L13</f>
        <v>9.952646042</v>
      </c>
      <c r="M21" s="15"/>
      <c r="N21" s="15"/>
      <c r="P21" s="15"/>
      <c r="Q21" s="15"/>
    </row>
    <row r="22" ht="15.75" customHeight="1">
      <c r="A22" s="6">
        <v>10703.0</v>
      </c>
      <c r="B22" s="7" t="s">
        <v>10</v>
      </c>
      <c r="C22" s="7" t="s">
        <v>45</v>
      </c>
      <c r="D22" s="8">
        <v>137.0</v>
      </c>
      <c r="E22" s="8">
        <v>1338.0</v>
      </c>
      <c r="F22" s="9">
        <f t="shared" si="2"/>
        <v>10.23916293</v>
      </c>
      <c r="G22" s="10">
        <v>70.0</v>
      </c>
      <c r="H22" s="10">
        <v>1485.0</v>
      </c>
      <c r="I22" s="9">
        <f t="shared" si="3"/>
        <v>4.713804714</v>
      </c>
      <c r="K22" s="13"/>
      <c r="L22" s="14">
        <f>L13+L14</f>
        <v>17.00423342</v>
      </c>
      <c r="M22" s="15"/>
      <c r="N22" s="15"/>
      <c r="P22" s="15"/>
      <c r="Q22" s="15"/>
    </row>
    <row r="23" ht="15.75" customHeight="1">
      <c r="A23" s="6">
        <v>10704.0</v>
      </c>
      <c r="B23" s="7" t="s">
        <v>10</v>
      </c>
      <c r="C23" s="7" t="s">
        <v>46</v>
      </c>
      <c r="D23" s="8">
        <v>135.0</v>
      </c>
      <c r="E23" s="8">
        <v>1557.0</v>
      </c>
      <c r="F23" s="9">
        <f t="shared" si="2"/>
        <v>8.670520231</v>
      </c>
      <c r="G23" s="10">
        <v>96.0</v>
      </c>
      <c r="H23" s="10">
        <v>1439.0</v>
      </c>
      <c r="I23" s="9">
        <f t="shared" si="3"/>
        <v>6.671299514</v>
      </c>
      <c r="K23" s="13"/>
      <c r="L23" s="13"/>
      <c r="M23" s="15"/>
      <c r="N23" s="15"/>
      <c r="P23" s="15"/>
      <c r="Q23" s="15"/>
    </row>
    <row r="24" ht="15.75" customHeight="1">
      <c r="A24" s="6">
        <v>10801.0</v>
      </c>
      <c r="B24" s="7" t="s">
        <v>10</v>
      </c>
      <c r="C24" s="7" t="s">
        <v>47</v>
      </c>
      <c r="D24" s="8">
        <v>110.0</v>
      </c>
      <c r="E24" s="8">
        <v>1037.0</v>
      </c>
      <c r="F24" s="9">
        <f t="shared" si="2"/>
        <v>10.6075217</v>
      </c>
      <c r="G24" s="10">
        <v>23.0</v>
      </c>
      <c r="H24" s="10">
        <v>793.0</v>
      </c>
      <c r="I24" s="9">
        <f t="shared" si="3"/>
        <v>2.90037831</v>
      </c>
      <c r="K24" s="13"/>
      <c r="L24" s="13"/>
      <c r="M24" s="15"/>
      <c r="N24" s="15"/>
      <c r="P24" s="15"/>
      <c r="Q24" s="15"/>
    </row>
    <row r="25" ht="15.75" customHeight="1">
      <c r="A25" s="6">
        <v>10901.0</v>
      </c>
      <c r="B25" s="7" t="s">
        <v>10</v>
      </c>
      <c r="C25" s="7" t="s">
        <v>48</v>
      </c>
      <c r="D25" s="8">
        <v>28.0</v>
      </c>
      <c r="E25" s="8">
        <v>345.0</v>
      </c>
      <c r="F25" s="9">
        <f t="shared" si="2"/>
        <v>8.115942029</v>
      </c>
      <c r="G25" s="10">
        <v>24.0</v>
      </c>
      <c r="H25" s="10">
        <v>493.0</v>
      </c>
      <c r="I25" s="9">
        <f t="shared" si="3"/>
        <v>4.868154158</v>
      </c>
      <c r="K25" s="13"/>
      <c r="L25" s="13"/>
      <c r="M25" s="15"/>
      <c r="N25" s="15"/>
      <c r="P25" s="15"/>
      <c r="Q25" s="15"/>
    </row>
    <row r="26" ht="15.75" customHeight="1">
      <c r="A26" s="6">
        <v>10902.0</v>
      </c>
      <c r="B26" s="7" t="s">
        <v>10</v>
      </c>
      <c r="C26" s="7" t="s">
        <v>49</v>
      </c>
      <c r="D26" s="8">
        <v>141.0</v>
      </c>
      <c r="E26" s="8">
        <v>1501.0</v>
      </c>
      <c r="F26" s="9">
        <f t="shared" si="2"/>
        <v>9.393737508</v>
      </c>
      <c r="G26" s="10">
        <v>68.0</v>
      </c>
      <c r="H26" s="10">
        <v>1241.0</v>
      </c>
      <c r="I26" s="9">
        <f t="shared" si="3"/>
        <v>5.479452055</v>
      </c>
      <c r="K26" s="13"/>
      <c r="L26" s="13"/>
      <c r="M26" s="15"/>
      <c r="N26" s="15"/>
      <c r="P26" s="15"/>
      <c r="Q26" s="15"/>
    </row>
    <row r="27" ht="15.75" customHeight="1">
      <c r="A27" s="6">
        <v>10903.0</v>
      </c>
      <c r="B27" s="7" t="s">
        <v>10</v>
      </c>
      <c r="C27" s="7" t="s">
        <v>50</v>
      </c>
      <c r="D27" s="8">
        <v>24.0</v>
      </c>
      <c r="E27" s="8">
        <v>426.0</v>
      </c>
      <c r="F27" s="9">
        <f t="shared" si="2"/>
        <v>5.633802817</v>
      </c>
      <c r="G27" s="10">
        <v>27.0</v>
      </c>
      <c r="H27" s="10">
        <v>481.0</v>
      </c>
      <c r="I27" s="9">
        <f t="shared" si="3"/>
        <v>5.613305613</v>
      </c>
      <c r="K27" s="13"/>
      <c r="L27" s="13"/>
      <c r="M27" s="15"/>
      <c r="N27" s="15"/>
      <c r="P27" s="15"/>
      <c r="Q27" s="15"/>
    </row>
    <row r="28" ht="15.75" customHeight="1">
      <c r="A28" s="6">
        <v>11001.0</v>
      </c>
      <c r="B28" s="7" t="s">
        <v>10</v>
      </c>
      <c r="C28" s="7" t="s">
        <v>51</v>
      </c>
      <c r="D28" s="8">
        <v>139.0</v>
      </c>
      <c r="E28" s="8">
        <v>1059.0</v>
      </c>
      <c r="F28" s="9">
        <f t="shared" si="2"/>
        <v>13.12559018</v>
      </c>
      <c r="G28" s="10">
        <v>33.0</v>
      </c>
      <c r="H28" s="10">
        <v>1590.0</v>
      </c>
      <c r="I28" s="9">
        <f t="shared" si="3"/>
        <v>2.075471698</v>
      </c>
      <c r="K28" s="13"/>
      <c r="L28" s="13"/>
      <c r="M28" s="15"/>
      <c r="N28" s="15"/>
      <c r="P28" s="15"/>
      <c r="Q28" s="15"/>
    </row>
    <row r="29" ht="15.75" customHeight="1">
      <c r="A29" s="6">
        <v>11002.0</v>
      </c>
      <c r="B29" s="7" t="s">
        <v>10</v>
      </c>
      <c r="C29" s="7" t="s">
        <v>52</v>
      </c>
      <c r="D29" s="8">
        <v>40.0</v>
      </c>
      <c r="E29" s="8">
        <v>273.0</v>
      </c>
      <c r="F29" s="9">
        <f t="shared" si="2"/>
        <v>14.65201465</v>
      </c>
      <c r="G29" s="10">
        <v>13.0</v>
      </c>
      <c r="H29" s="10">
        <v>208.0</v>
      </c>
      <c r="I29" s="9">
        <f t="shared" si="3"/>
        <v>6.25</v>
      </c>
      <c r="K29" s="13"/>
      <c r="L29" s="13"/>
      <c r="M29" s="15"/>
      <c r="N29" s="15"/>
      <c r="P29" s="15"/>
      <c r="Q29" s="15"/>
    </row>
    <row r="30" ht="15.75" customHeight="1">
      <c r="A30" s="6">
        <v>11003.0</v>
      </c>
      <c r="B30" s="7" t="s">
        <v>10</v>
      </c>
      <c r="C30" s="7" t="s">
        <v>53</v>
      </c>
      <c r="D30" s="8">
        <v>121.0</v>
      </c>
      <c r="E30" s="8">
        <v>868.0</v>
      </c>
      <c r="F30" s="9">
        <f t="shared" si="2"/>
        <v>13.94009217</v>
      </c>
      <c r="G30" s="10">
        <v>98.0</v>
      </c>
      <c r="H30" s="10">
        <v>895.0</v>
      </c>
      <c r="I30" s="9">
        <f t="shared" si="3"/>
        <v>10.94972067</v>
      </c>
      <c r="K30" s="13"/>
      <c r="L30" s="13"/>
      <c r="M30" s="15"/>
      <c r="N30" s="15"/>
      <c r="P30" s="15"/>
      <c r="Q30" s="15"/>
    </row>
    <row r="31" ht="15.75" customHeight="1">
      <c r="A31" s="6">
        <v>20101.0</v>
      </c>
      <c r="B31" s="7" t="s">
        <v>13</v>
      </c>
      <c r="C31" s="7" t="s">
        <v>54</v>
      </c>
      <c r="D31" s="8">
        <v>16969.0</v>
      </c>
      <c r="E31" s="8">
        <v>74175.0</v>
      </c>
      <c r="F31" s="9">
        <f t="shared" si="2"/>
        <v>22.87698011</v>
      </c>
      <c r="G31" s="10">
        <v>3382.0</v>
      </c>
      <c r="H31" s="10">
        <v>64275.0</v>
      </c>
      <c r="I31" s="9">
        <f t="shared" si="3"/>
        <v>5.26176585</v>
      </c>
      <c r="K31" s="13"/>
      <c r="L31" s="13"/>
      <c r="M31" s="15"/>
      <c r="N31" s="15"/>
      <c r="P31" s="15"/>
      <c r="Q31" s="15"/>
    </row>
    <row r="32" ht="15.75" customHeight="1">
      <c r="A32" s="6">
        <v>20102.0</v>
      </c>
      <c r="B32" s="7" t="s">
        <v>13</v>
      </c>
      <c r="C32" s="7" t="s">
        <v>55</v>
      </c>
      <c r="D32" s="8">
        <v>70.0</v>
      </c>
      <c r="E32" s="8">
        <v>1583.0</v>
      </c>
      <c r="F32" s="9">
        <f t="shared" si="2"/>
        <v>4.421983575</v>
      </c>
      <c r="G32" s="10">
        <v>71.0</v>
      </c>
      <c r="H32" s="10">
        <v>1683.0</v>
      </c>
      <c r="I32" s="9">
        <f t="shared" si="3"/>
        <v>4.21865716</v>
      </c>
      <c r="K32" s="13"/>
      <c r="L32" s="13"/>
      <c r="M32" s="15"/>
      <c r="N32" s="15"/>
      <c r="P32" s="15"/>
      <c r="Q32" s="15"/>
    </row>
    <row r="33" ht="15.75" customHeight="1">
      <c r="A33" s="6">
        <v>20103.0</v>
      </c>
      <c r="B33" s="7" t="s">
        <v>13</v>
      </c>
      <c r="C33" s="7" t="s">
        <v>56</v>
      </c>
      <c r="D33" s="8">
        <v>76.0</v>
      </c>
      <c r="E33" s="8">
        <v>1485.0</v>
      </c>
      <c r="F33" s="9">
        <f t="shared" si="2"/>
        <v>5.117845118</v>
      </c>
      <c r="G33" s="10">
        <v>37.0</v>
      </c>
      <c r="H33" s="10">
        <v>1487.0</v>
      </c>
      <c r="I33" s="9">
        <f t="shared" si="3"/>
        <v>2.488231338</v>
      </c>
      <c r="K33" s="13"/>
      <c r="L33" s="13"/>
      <c r="M33" s="15"/>
      <c r="N33" s="15"/>
      <c r="P33" s="15"/>
      <c r="Q33" s="15"/>
    </row>
    <row r="34" ht="15.75" customHeight="1">
      <c r="A34" s="6">
        <v>20104.0</v>
      </c>
      <c r="B34" s="7" t="s">
        <v>13</v>
      </c>
      <c r="C34" s="7" t="s">
        <v>57</v>
      </c>
      <c r="D34" s="8">
        <v>213.0</v>
      </c>
      <c r="E34" s="8">
        <v>2081.0</v>
      </c>
      <c r="F34" s="9">
        <f t="shared" si="2"/>
        <v>10.23546372</v>
      </c>
      <c r="G34" s="10">
        <v>143.0</v>
      </c>
      <c r="H34" s="10">
        <v>3987.0</v>
      </c>
      <c r="I34" s="9">
        <f t="shared" si="3"/>
        <v>3.586656634</v>
      </c>
      <c r="K34" s="13"/>
      <c r="L34" s="13"/>
      <c r="M34" s="15"/>
      <c r="N34" s="15"/>
      <c r="P34" s="15"/>
      <c r="Q34" s="15"/>
    </row>
    <row r="35" ht="15.75" customHeight="1">
      <c r="A35" s="6">
        <v>20105.0</v>
      </c>
      <c r="B35" s="7" t="s">
        <v>13</v>
      </c>
      <c r="C35" s="7" t="s">
        <v>58</v>
      </c>
      <c r="D35" s="8">
        <v>12838.0</v>
      </c>
      <c r="E35" s="8">
        <v>87804.0</v>
      </c>
      <c r="F35" s="9">
        <f t="shared" si="2"/>
        <v>14.62120177</v>
      </c>
      <c r="G35" s="10">
        <v>3765.0</v>
      </c>
      <c r="H35" s="10">
        <v>86034.0</v>
      </c>
      <c r="I35" s="9">
        <f t="shared" si="3"/>
        <v>4.37617686</v>
      </c>
      <c r="K35" s="13"/>
      <c r="L35" s="13"/>
      <c r="M35" s="15"/>
      <c r="N35" s="15"/>
      <c r="P35" s="15"/>
      <c r="Q35" s="15"/>
    </row>
    <row r="36" ht="15.75" customHeight="1">
      <c r="A36" s="6">
        <v>20201.0</v>
      </c>
      <c r="B36" s="7" t="s">
        <v>13</v>
      </c>
      <c r="C36" s="7" t="s">
        <v>59</v>
      </c>
      <c r="D36" s="8">
        <v>611.0</v>
      </c>
      <c r="E36" s="8">
        <v>4505.0</v>
      </c>
      <c r="F36" s="9">
        <f t="shared" si="2"/>
        <v>13.5627081</v>
      </c>
      <c r="G36" s="10">
        <v>199.0</v>
      </c>
      <c r="H36" s="10">
        <v>3633.0</v>
      </c>
      <c r="I36" s="9">
        <f t="shared" si="3"/>
        <v>5.477566749</v>
      </c>
      <c r="K36" s="13"/>
      <c r="L36" s="13"/>
      <c r="M36" s="15"/>
      <c r="N36" s="15"/>
      <c r="P36" s="15"/>
      <c r="Q36" s="15"/>
    </row>
    <row r="37" ht="15.75" customHeight="1">
      <c r="A37" s="6">
        <v>20202.0</v>
      </c>
      <c r="B37" s="7" t="s">
        <v>13</v>
      </c>
      <c r="C37" s="7" t="s">
        <v>60</v>
      </c>
      <c r="D37" s="8">
        <v>54.0</v>
      </c>
      <c r="E37" s="8">
        <v>1161.0</v>
      </c>
      <c r="F37" s="9">
        <f t="shared" si="2"/>
        <v>4.651162791</v>
      </c>
      <c r="G37" s="10">
        <v>40.0</v>
      </c>
      <c r="H37" s="10">
        <v>1075.0</v>
      </c>
      <c r="I37" s="9">
        <f t="shared" si="3"/>
        <v>3.720930233</v>
      </c>
      <c r="K37" s="13"/>
      <c r="L37" s="13"/>
      <c r="M37" s="15"/>
      <c r="N37" s="15"/>
      <c r="P37" s="15"/>
      <c r="Q37" s="15"/>
    </row>
    <row r="38" ht="15.75" customHeight="1">
      <c r="A38" s="6">
        <v>20203.0</v>
      </c>
      <c r="B38" s="7" t="s">
        <v>13</v>
      </c>
      <c r="C38" s="7" t="s">
        <v>61</v>
      </c>
      <c r="D38" s="8">
        <v>50.0</v>
      </c>
      <c r="E38" s="8">
        <v>599.0</v>
      </c>
      <c r="F38" s="9">
        <f t="shared" si="2"/>
        <v>8.347245409</v>
      </c>
      <c r="G38" s="10">
        <v>107.0</v>
      </c>
      <c r="H38" s="10">
        <v>700.0</v>
      </c>
      <c r="I38" s="9">
        <f t="shared" si="3"/>
        <v>15.28571429</v>
      </c>
      <c r="K38" s="13"/>
      <c r="L38" s="13"/>
      <c r="M38" s="15"/>
      <c r="N38" s="15"/>
      <c r="P38" s="15"/>
      <c r="Q38" s="15"/>
    </row>
    <row r="39" ht="15.75" customHeight="1">
      <c r="A39" s="6">
        <v>20204.0</v>
      </c>
      <c r="B39" s="7" t="s">
        <v>13</v>
      </c>
      <c r="C39" s="7" t="s">
        <v>62</v>
      </c>
      <c r="D39" s="8">
        <v>75.0</v>
      </c>
      <c r="E39" s="8">
        <v>660.0</v>
      </c>
      <c r="F39" s="9">
        <f t="shared" si="2"/>
        <v>11.36363636</v>
      </c>
      <c r="G39" s="10">
        <v>11.0</v>
      </c>
      <c r="H39" s="10">
        <v>466.0</v>
      </c>
      <c r="I39" s="9">
        <f t="shared" si="3"/>
        <v>2.360515021</v>
      </c>
      <c r="K39" s="13"/>
      <c r="L39" s="13"/>
      <c r="M39" s="15"/>
      <c r="N39" s="15"/>
      <c r="P39" s="15"/>
      <c r="Q39" s="15"/>
    </row>
    <row r="40" ht="15.75" customHeight="1">
      <c r="A40" s="6">
        <v>20205.0</v>
      </c>
      <c r="B40" s="7" t="s">
        <v>13</v>
      </c>
      <c r="C40" s="7" t="s">
        <v>63</v>
      </c>
      <c r="D40" s="8">
        <v>72.0</v>
      </c>
      <c r="E40" s="8">
        <v>276.0</v>
      </c>
      <c r="F40" s="9">
        <f t="shared" si="2"/>
        <v>26.08695652</v>
      </c>
      <c r="G40" s="10">
        <v>25.0</v>
      </c>
      <c r="H40" s="10">
        <v>535.0</v>
      </c>
      <c r="I40" s="9">
        <f t="shared" si="3"/>
        <v>4.672897196</v>
      </c>
      <c r="K40" s="13"/>
      <c r="L40" s="13"/>
      <c r="M40" s="15"/>
      <c r="N40" s="15"/>
      <c r="P40" s="15"/>
      <c r="Q40" s="15"/>
    </row>
    <row r="41" ht="15.75" customHeight="1">
      <c r="A41" s="6">
        <v>20206.0</v>
      </c>
      <c r="B41" s="7" t="s">
        <v>13</v>
      </c>
      <c r="C41" s="7" t="s">
        <v>64</v>
      </c>
      <c r="D41" s="8">
        <v>131.0</v>
      </c>
      <c r="E41" s="8">
        <v>506.0</v>
      </c>
      <c r="F41" s="9">
        <f t="shared" si="2"/>
        <v>25.88932806</v>
      </c>
      <c r="G41" s="10">
        <v>36.0</v>
      </c>
      <c r="H41" s="10">
        <v>353.0</v>
      </c>
      <c r="I41" s="9">
        <f t="shared" si="3"/>
        <v>10.19830028</v>
      </c>
      <c r="K41" s="13"/>
      <c r="L41" s="13"/>
      <c r="M41" s="15"/>
      <c r="N41" s="15"/>
      <c r="P41" s="15"/>
      <c r="Q41" s="15"/>
    </row>
    <row r="42" ht="15.75" customHeight="1">
      <c r="A42" s="6">
        <v>20301.0</v>
      </c>
      <c r="B42" s="7" t="s">
        <v>13</v>
      </c>
      <c r="C42" s="7" t="s">
        <v>65</v>
      </c>
      <c r="D42" s="8">
        <v>240.0</v>
      </c>
      <c r="E42" s="8">
        <v>1182.0</v>
      </c>
      <c r="F42" s="9">
        <f t="shared" si="2"/>
        <v>20.30456853</v>
      </c>
      <c r="G42" s="10">
        <v>244.0</v>
      </c>
      <c r="H42" s="10">
        <v>1386.0</v>
      </c>
      <c r="I42" s="9">
        <f t="shared" si="3"/>
        <v>17.6046176</v>
      </c>
      <c r="K42" s="13"/>
      <c r="L42" s="13"/>
      <c r="M42" s="15"/>
      <c r="N42" s="15"/>
      <c r="P42" s="15"/>
      <c r="Q42" s="15"/>
    </row>
    <row r="43" ht="15.75" customHeight="1">
      <c r="A43" s="6">
        <v>20302.0</v>
      </c>
      <c r="B43" s="7" t="s">
        <v>13</v>
      </c>
      <c r="C43" s="7" t="s">
        <v>66</v>
      </c>
      <c r="D43" s="8">
        <v>68.0</v>
      </c>
      <c r="E43" s="8">
        <v>1133.0</v>
      </c>
      <c r="F43" s="9">
        <f t="shared" si="2"/>
        <v>6.001765225</v>
      </c>
      <c r="G43" s="10">
        <v>29.0</v>
      </c>
      <c r="H43" s="10">
        <v>1103.0</v>
      </c>
      <c r="I43" s="9">
        <f t="shared" si="3"/>
        <v>2.62919311</v>
      </c>
      <c r="K43" s="13"/>
      <c r="L43" s="13"/>
      <c r="M43" s="15"/>
      <c r="N43" s="15"/>
      <c r="P43" s="15"/>
      <c r="Q43" s="15"/>
    </row>
    <row r="44" ht="15.75" customHeight="1">
      <c r="A44" s="6">
        <v>20303.0</v>
      </c>
      <c r="B44" s="7" t="s">
        <v>13</v>
      </c>
      <c r="C44" s="7" t="s">
        <v>67</v>
      </c>
      <c r="D44" s="8">
        <v>49.0</v>
      </c>
      <c r="E44" s="8">
        <v>795.0</v>
      </c>
      <c r="F44" s="9">
        <f t="shared" si="2"/>
        <v>6.163522013</v>
      </c>
      <c r="G44" s="10">
        <v>26.0</v>
      </c>
      <c r="H44" s="10">
        <v>844.0</v>
      </c>
      <c r="I44" s="9">
        <f t="shared" si="3"/>
        <v>3.08056872</v>
      </c>
      <c r="K44" s="13"/>
      <c r="L44" s="13"/>
      <c r="M44" s="15"/>
      <c r="N44" s="15"/>
      <c r="P44" s="15"/>
      <c r="Q44" s="15"/>
    </row>
    <row r="45" ht="15.75" customHeight="1">
      <c r="A45" s="6">
        <v>20304.0</v>
      </c>
      <c r="B45" s="7" t="s">
        <v>13</v>
      </c>
      <c r="C45" s="7" t="s">
        <v>68</v>
      </c>
      <c r="D45" s="8">
        <v>20.0</v>
      </c>
      <c r="E45" s="8">
        <v>293.0</v>
      </c>
      <c r="F45" s="9">
        <f t="shared" si="2"/>
        <v>6.825938567</v>
      </c>
      <c r="G45" s="10">
        <v>8.0</v>
      </c>
      <c r="H45" s="10">
        <v>373.0</v>
      </c>
      <c r="I45" s="9">
        <f t="shared" si="3"/>
        <v>2.144772118</v>
      </c>
      <c r="K45" s="13"/>
      <c r="L45" s="13"/>
      <c r="M45" s="15"/>
      <c r="N45" s="15"/>
      <c r="P45" s="15"/>
      <c r="Q45" s="15"/>
    </row>
    <row r="46" ht="15.75" customHeight="1">
      <c r="A46" s="6">
        <v>20305.0</v>
      </c>
      <c r="B46" s="7" t="s">
        <v>13</v>
      </c>
      <c r="C46" s="7" t="s">
        <v>69</v>
      </c>
      <c r="D46" s="8">
        <v>40.0</v>
      </c>
      <c r="E46" s="8">
        <v>267.0</v>
      </c>
      <c r="F46" s="9">
        <f t="shared" si="2"/>
        <v>14.98127341</v>
      </c>
      <c r="G46" s="10">
        <v>58.0</v>
      </c>
      <c r="H46" s="10">
        <v>359.0</v>
      </c>
      <c r="I46" s="9">
        <f t="shared" si="3"/>
        <v>16.15598886</v>
      </c>
      <c r="K46" s="13"/>
      <c r="L46" s="13"/>
      <c r="M46" s="15"/>
      <c r="N46" s="15"/>
      <c r="P46" s="15"/>
      <c r="Q46" s="15"/>
    </row>
    <row r="47" ht="15.75" customHeight="1">
      <c r="A47" s="6">
        <v>20306.0</v>
      </c>
      <c r="B47" s="7" t="s">
        <v>13</v>
      </c>
      <c r="C47" s="7" t="s">
        <v>70</v>
      </c>
      <c r="D47" s="8">
        <v>75.0</v>
      </c>
      <c r="E47" s="8">
        <v>658.0</v>
      </c>
      <c r="F47" s="9">
        <f t="shared" si="2"/>
        <v>11.39817629</v>
      </c>
      <c r="G47" s="10">
        <v>17.0</v>
      </c>
      <c r="H47" s="10">
        <v>639.0</v>
      </c>
      <c r="I47" s="9">
        <f t="shared" si="3"/>
        <v>2.660406886</v>
      </c>
      <c r="K47" s="13"/>
      <c r="L47" s="13"/>
      <c r="M47" s="15"/>
      <c r="N47" s="15"/>
      <c r="P47" s="15"/>
      <c r="Q47" s="15"/>
    </row>
    <row r="48" ht="15.75" customHeight="1">
      <c r="A48" s="6">
        <v>20307.0</v>
      </c>
      <c r="B48" s="7" t="s">
        <v>13</v>
      </c>
      <c r="C48" s="7" t="s">
        <v>71</v>
      </c>
      <c r="D48" s="8">
        <v>1.0</v>
      </c>
      <c r="E48" s="8">
        <v>78.0</v>
      </c>
      <c r="F48" s="9">
        <f t="shared" si="2"/>
        <v>1.282051282</v>
      </c>
      <c r="G48" s="10">
        <v>9.0</v>
      </c>
      <c r="H48" s="10">
        <v>328.0</v>
      </c>
      <c r="I48" s="9">
        <f t="shared" si="3"/>
        <v>2.743902439</v>
      </c>
      <c r="K48" s="13"/>
      <c r="L48" s="13"/>
      <c r="M48" s="15"/>
      <c r="N48" s="15"/>
      <c r="P48" s="15"/>
      <c r="Q48" s="15"/>
    </row>
    <row r="49" ht="15.75" customHeight="1">
      <c r="A49" s="6">
        <v>20308.0</v>
      </c>
      <c r="B49" s="7" t="s">
        <v>13</v>
      </c>
      <c r="C49" s="7" t="s">
        <v>72</v>
      </c>
      <c r="D49" s="8">
        <v>23.0</v>
      </c>
      <c r="E49" s="8">
        <v>527.0</v>
      </c>
      <c r="F49" s="9">
        <f t="shared" si="2"/>
        <v>4.364326376</v>
      </c>
      <c r="G49" s="10">
        <v>10.0</v>
      </c>
      <c r="H49" s="10">
        <v>492.0</v>
      </c>
      <c r="I49" s="9">
        <f t="shared" si="3"/>
        <v>2.032520325</v>
      </c>
      <c r="K49" s="13"/>
      <c r="L49" s="13"/>
      <c r="M49" s="15"/>
      <c r="N49" s="15"/>
      <c r="P49" s="15"/>
      <c r="Q49" s="15"/>
    </row>
    <row r="50" ht="15.75" customHeight="1">
      <c r="A50" s="6">
        <v>20401.0</v>
      </c>
      <c r="B50" s="7" t="s">
        <v>13</v>
      </c>
      <c r="C50" s="7" t="s">
        <v>73</v>
      </c>
      <c r="D50" s="8">
        <v>57.0</v>
      </c>
      <c r="E50" s="8">
        <v>926.0</v>
      </c>
      <c r="F50" s="9">
        <f t="shared" si="2"/>
        <v>6.155507559</v>
      </c>
      <c r="G50" s="10">
        <v>65.0</v>
      </c>
      <c r="H50" s="10">
        <v>926.0</v>
      </c>
      <c r="I50" s="9">
        <f t="shared" si="3"/>
        <v>7.019438445</v>
      </c>
      <c r="K50" s="13"/>
      <c r="L50" s="13"/>
      <c r="M50" s="15"/>
      <c r="N50" s="15"/>
      <c r="P50" s="15"/>
      <c r="Q50" s="15"/>
    </row>
    <row r="51" ht="15.75" customHeight="1">
      <c r="A51" s="6">
        <v>20402.0</v>
      </c>
      <c r="B51" s="7" t="s">
        <v>13</v>
      </c>
      <c r="C51" s="7" t="s">
        <v>74</v>
      </c>
      <c r="D51" s="8">
        <v>74.0</v>
      </c>
      <c r="E51" s="8">
        <v>1407.0</v>
      </c>
      <c r="F51" s="9">
        <f t="shared" si="2"/>
        <v>5.2594172</v>
      </c>
      <c r="G51" s="10">
        <v>56.0</v>
      </c>
      <c r="H51" s="10">
        <v>1268.0</v>
      </c>
      <c r="I51" s="9">
        <f t="shared" si="3"/>
        <v>4.416403785</v>
      </c>
      <c r="K51" s="13"/>
      <c r="L51" s="13"/>
      <c r="M51" s="15"/>
      <c r="N51" s="15"/>
      <c r="P51" s="15"/>
      <c r="Q51" s="15"/>
    </row>
    <row r="52" ht="15.75" customHeight="1">
      <c r="A52" s="6">
        <v>20403.0</v>
      </c>
      <c r="B52" s="7" t="s">
        <v>13</v>
      </c>
      <c r="C52" s="7" t="s">
        <v>75</v>
      </c>
      <c r="D52" s="8">
        <v>205.0</v>
      </c>
      <c r="E52" s="8">
        <v>1330.0</v>
      </c>
      <c r="F52" s="9">
        <f t="shared" si="2"/>
        <v>15.41353383</v>
      </c>
      <c r="G52" s="10">
        <v>101.0</v>
      </c>
      <c r="H52" s="10">
        <v>1301.0</v>
      </c>
      <c r="I52" s="9">
        <f t="shared" si="3"/>
        <v>7.763259032</v>
      </c>
      <c r="K52" s="13"/>
      <c r="L52" s="13"/>
      <c r="M52" s="15"/>
      <c r="N52" s="15"/>
      <c r="P52" s="15"/>
      <c r="Q52" s="15"/>
    </row>
    <row r="53" ht="15.75" customHeight="1">
      <c r="A53" s="6">
        <v>20404.0</v>
      </c>
      <c r="B53" s="7" t="s">
        <v>13</v>
      </c>
      <c r="C53" s="7" t="s">
        <v>76</v>
      </c>
      <c r="D53" s="8">
        <v>20.0</v>
      </c>
      <c r="E53" s="8">
        <v>503.0</v>
      </c>
      <c r="F53" s="9">
        <f t="shared" si="2"/>
        <v>3.976143141</v>
      </c>
      <c r="G53" s="10">
        <v>15.0</v>
      </c>
      <c r="H53" s="10">
        <v>438.0</v>
      </c>
      <c r="I53" s="9">
        <f t="shared" si="3"/>
        <v>3.424657534</v>
      </c>
      <c r="K53" s="13"/>
      <c r="L53" s="13"/>
      <c r="M53" s="15"/>
      <c r="N53" s="15"/>
      <c r="P53" s="15"/>
      <c r="Q53" s="15"/>
    </row>
    <row r="54" ht="15.75" customHeight="1">
      <c r="A54" s="6">
        <v>20405.0</v>
      </c>
      <c r="B54" s="7" t="s">
        <v>13</v>
      </c>
      <c r="C54" s="7" t="s">
        <v>77</v>
      </c>
      <c r="D54" s="8">
        <v>45.0</v>
      </c>
      <c r="E54" s="8">
        <v>540.0</v>
      </c>
      <c r="F54" s="9">
        <f t="shared" si="2"/>
        <v>8.333333333</v>
      </c>
      <c r="G54" s="10">
        <v>19.0</v>
      </c>
      <c r="H54" s="10">
        <v>589.0</v>
      </c>
      <c r="I54" s="9">
        <f t="shared" si="3"/>
        <v>3.225806452</v>
      </c>
      <c r="K54" s="13"/>
      <c r="L54" s="13"/>
      <c r="M54" s="15"/>
      <c r="N54" s="15"/>
      <c r="P54" s="15"/>
      <c r="Q54" s="15"/>
    </row>
    <row r="55" ht="15.75" customHeight="1">
      <c r="A55" s="6">
        <v>20501.0</v>
      </c>
      <c r="B55" s="7" t="s">
        <v>13</v>
      </c>
      <c r="C55" s="7" t="s">
        <v>78</v>
      </c>
      <c r="D55" s="8">
        <v>46.0</v>
      </c>
      <c r="E55" s="8">
        <v>1154.0</v>
      </c>
      <c r="F55" s="9">
        <f t="shared" si="2"/>
        <v>3.986135182</v>
      </c>
      <c r="G55" s="10">
        <v>83.0</v>
      </c>
      <c r="H55" s="10">
        <v>1496.0</v>
      </c>
      <c r="I55" s="9">
        <f t="shared" si="3"/>
        <v>5.548128342</v>
      </c>
      <c r="K55" s="13"/>
      <c r="L55" s="13"/>
      <c r="M55" s="15"/>
      <c r="N55" s="15"/>
      <c r="P55" s="15"/>
      <c r="Q55" s="15"/>
    </row>
    <row r="56" ht="15.75" customHeight="1">
      <c r="A56" s="6">
        <v>20502.0</v>
      </c>
      <c r="B56" s="7" t="s">
        <v>13</v>
      </c>
      <c r="C56" s="7" t="s">
        <v>79</v>
      </c>
      <c r="D56" s="8">
        <v>24.0</v>
      </c>
      <c r="E56" s="8">
        <v>943.0</v>
      </c>
      <c r="F56" s="9">
        <f t="shared" si="2"/>
        <v>2.545068929</v>
      </c>
      <c r="G56" s="10">
        <v>58.0</v>
      </c>
      <c r="H56" s="10">
        <v>846.0</v>
      </c>
      <c r="I56" s="9">
        <f t="shared" si="3"/>
        <v>6.855791962</v>
      </c>
      <c r="K56" s="13"/>
      <c r="L56" s="13"/>
      <c r="M56" s="15"/>
      <c r="N56" s="15"/>
      <c r="P56" s="15"/>
      <c r="Q56" s="15"/>
    </row>
    <row r="57" ht="15.75" customHeight="1">
      <c r="A57" s="6">
        <v>20503.0</v>
      </c>
      <c r="B57" s="7" t="s">
        <v>13</v>
      </c>
      <c r="C57" s="7" t="s">
        <v>80</v>
      </c>
      <c r="D57" s="8">
        <v>33.0</v>
      </c>
      <c r="E57" s="8">
        <v>607.0</v>
      </c>
      <c r="F57" s="9">
        <f t="shared" si="2"/>
        <v>5.436573311</v>
      </c>
      <c r="G57" s="10">
        <v>27.0</v>
      </c>
      <c r="H57" s="10">
        <v>610.0</v>
      </c>
      <c r="I57" s="9">
        <f t="shared" si="3"/>
        <v>4.426229508</v>
      </c>
      <c r="K57" s="13"/>
      <c r="L57" s="13"/>
      <c r="M57" s="15"/>
      <c r="N57" s="15"/>
      <c r="P57" s="15"/>
      <c r="Q57" s="15"/>
    </row>
    <row r="58" ht="15.75" customHeight="1">
      <c r="A58" s="6">
        <v>20601.0</v>
      </c>
      <c r="B58" s="7" t="s">
        <v>13</v>
      </c>
      <c r="C58" s="7" t="s">
        <v>81</v>
      </c>
      <c r="D58" s="8">
        <v>153.0</v>
      </c>
      <c r="E58" s="8">
        <v>2292.0</v>
      </c>
      <c r="F58" s="9">
        <f t="shared" si="2"/>
        <v>6.67539267</v>
      </c>
      <c r="G58" s="10">
        <v>127.0</v>
      </c>
      <c r="H58" s="10">
        <v>2354.0</v>
      </c>
      <c r="I58" s="9">
        <f t="shared" si="3"/>
        <v>5.395072218</v>
      </c>
      <c r="K58" s="13"/>
      <c r="L58" s="13"/>
      <c r="M58" s="15"/>
      <c r="N58" s="15"/>
      <c r="P58" s="15"/>
      <c r="Q58" s="15"/>
    </row>
    <row r="59" ht="15.75" customHeight="1">
      <c r="A59" s="6">
        <v>20602.0</v>
      </c>
      <c r="B59" s="7" t="s">
        <v>13</v>
      </c>
      <c r="C59" s="7" t="s">
        <v>82</v>
      </c>
      <c r="D59" s="8">
        <v>173.0</v>
      </c>
      <c r="E59" s="8">
        <v>1707.0</v>
      </c>
      <c r="F59" s="9">
        <f t="shared" si="2"/>
        <v>10.13473931</v>
      </c>
      <c r="G59" s="10">
        <v>65.0</v>
      </c>
      <c r="H59" s="10">
        <v>1472.0</v>
      </c>
      <c r="I59" s="9">
        <f t="shared" si="3"/>
        <v>4.41576087</v>
      </c>
      <c r="K59" s="13"/>
      <c r="L59" s="13"/>
      <c r="M59" s="15"/>
      <c r="N59" s="15"/>
      <c r="P59" s="15"/>
      <c r="Q59" s="15"/>
    </row>
    <row r="60" ht="15.75" customHeight="1">
      <c r="A60" s="6">
        <v>20603.0</v>
      </c>
      <c r="B60" s="7" t="s">
        <v>13</v>
      </c>
      <c r="C60" s="7" t="s">
        <v>83</v>
      </c>
      <c r="D60" s="8">
        <v>42.0</v>
      </c>
      <c r="E60" s="8">
        <v>920.0</v>
      </c>
      <c r="F60" s="9">
        <f t="shared" si="2"/>
        <v>4.565217391</v>
      </c>
      <c r="G60" s="10">
        <v>56.0</v>
      </c>
      <c r="H60" s="10">
        <v>865.0</v>
      </c>
      <c r="I60" s="9">
        <f t="shared" si="3"/>
        <v>6.473988439</v>
      </c>
      <c r="K60" s="13"/>
      <c r="L60" s="13"/>
      <c r="M60" s="15"/>
      <c r="N60" s="15"/>
      <c r="P60" s="15"/>
      <c r="Q60" s="15"/>
    </row>
    <row r="61" ht="15.75" customHeight="1">
      <c r="A61" s="6">
        <v>20604.0</v>
      </c>
      <c r="B61" s="7" t="s">
        <v>13</v>
      </c>
      <c r="C61" s="7" t="s">
        <v>84</v>
      </c>
      <c r="D61" s="8">
        <v>6.0</v>
      </c>
      <c r="E61" s="8">
        <v>280.0</v>
      </c>
      <c r="F61" s="9">
        <f t="shared" si="2"/>
        <v>2.142857143</v>
      </c>
      <c r="G61" s="10">
        <v>25.0</v>
      </c>
      <c r="H61" s="10">
        <v>366.0</v>
      </c>
      <c r="I61" s="9">
        <f t="shared" si="3"/>
        <v>6.830601093</v>
      </c>
      <c r="K61" s="13"/>
      <c r="L61" s="13"/>
      <c r="M61" s="15"/>
      <c r="N61" s="15"/>
      <c r="P61" s="15"/>
      <c r="Q61" s="15"/>
    </row>
    <row r="62" ht="15.75" customHeight="1">
      <c r="A62" s="6">
        <v>20605.0</v>
      </c>
      <c r="B62" s="7" t="s">
        <v>13</v>
      </c>
      <c r="C62" s="7" t="s">
        <v>85</v>
      </c>
      <c r="D62" s="8">
        <v>21.0</v>
      </c>
      <c r="E62" s="8">
        <v>352.0</v>
      </c>
      <c r="F62" s="9">
        <f t="shared" si="2"/>
        <v>5.965909091</v>
      </c>
      <c r="G62" s="10">
        <v>8.0</v>
      </c>
      <c r="H62" s="10">
        <v>235.0</v>
      </c>
      <c r="I62" s="9">
        <f t="shared" si="3"/>
        <v>3.404255319</v>
      </c>
      <c r="K62" s="13"/>
      <c r="L62" s="13"/>
      <c r="M62" s="15"/>
      <c r="N62" s="15"/>
      <c r="P62" s="15"/>
      <c r="Q62" s="15"/>
    </row>
    <row r="63" ht="15.75" customHeight="1">
      <c r="A63" s="6">
        <v>20606.0</v>
      </c>
      <c r="B63" s="7" t="s">
        <v>13</v>
      </c>
      <c r="C63" s="7" t="s">
        <v>86</v>
      </c>
      <c r="D63" s="8">
        <v>57.0</v>
      </c>
      <c r="E63" s="8">
        <v>965.0</v>
      </c>
      <c r="F63" s="9">
        <f t="shared" si="2"/>
        <v>5.906735751</v>
      </c>
      <c r="G63" s="10">
        <v>32.0</v>
      </c>
      <c r="H63" s="10">
        <v>616.0</v>
      </c>
      <c r="I63" s="9">
        <f t="shared" si="3"/>
        <v>5.194805195</v>
      </c>
      <c r="K63" s="13"/>
      <c r="L63" s="13"/>
      <c r="M63" s="15"/>
      <c r="N63" s="15"/>
      <c r="P63" s="15"/>
      <c r="Q63" s="15"/>
    </row>
    <row r="64" ht="15.75" customHeight="1">
      <c r="A64" s="6">
        <v>20607.0</v>
      </c>
      <c r="B64" s="7" t="s">
        <v>13</v>
      </c>
      <c r="C64" s="7" t="s">
        <v>87</v>
      </c>
      <c r="D64" s="8">
        <v>73.0</v>
      </c>
      <c r="E64" s="8">
        <v>1545.0</v>
      </c>
      <c r="F64" s="9">
        <f t="shared" si="2"/>
        <v>4.724919094</v>
      </c>
      <c r="G64" s="10">
        <v>217.0</v>
      </c>
      <c r="H64" s="10">
        <v>2162.0</v>
      </c>
      <c r="I64" s="9">
        <f t="shared" si="3"/>
        <v>10.03700278</v>
      </c>
      <c r="K64" s="13"/>
      <c r="L64" s="13"/>
      <c r="M64" s="15"/>
      <c r="N64" s="15"/>
      <c r="P64" s="15"/>
      <c r="Q64" s="15"/>
    </row>
    <row r="65" ht="15.75" customHeight="1">
      <c r="A65" s="6">
        <v>20608.0</v>
      </c>
      <c r="B65" s="7" t="s">
        <v>13</v>
      </c>
      <c r="C65" s="7" t="s">
        <v>88</v>
      </c>
      <c r="D65" s="8">
        <v>53.0</v>
      </c>
      <c r="E65" s="8">
        <v>1126.0</v>
      </c>
      <c r="F65" s="9">
        <f t="shared" si="2"/>
        <v>4.706927176</v>
      </c>
      <c r="G65" s="10">
        <v>80.0</v>
      </c>
      <c r="H65" s="10">
        <v>1298.0</v>
      </c>
      <c r="I65" s="9">
        <f t="shared" si="3"/>
        <v>6.163328197</v>
      </c>
      <c r="K65" s="13"/>
      <c r="L65" s="13"/>
      <c r="M65" s="15"/>
      <c r="N65" s="15"/>
      <c r="P65" s="15"/>
      <c r="Q65" s="15"/>
    </row>
    <row r="66" ht="15.75" customHeight="1">
      <c r="A66" s="6">
        <v>20701.0</v>
      </c>
      <c r="B66" s="7" t="s">
        <v>13</v>
      </c>
      <c r="C66" s="7" t="s">
        <v>89</v>
      </c>
      <c r="D66" s="8">
        <v>427.0</v>
      </c>
      <c r="E66" s="8">
        <v>2424.0</v>
      </c>
      <c r="F66" s="9">
        <f t="shared" si="2"/>
        <v>17.61551155</v>
      </c>
      <c r="G66" s="10">
        <v>299.0</v>
      </c>
      <c r="H66" s="10">
        <v>2030.0</v>
      </c>
      <c r="I66" s="9">
        <f t="shared" si="3"/>
        <v>14.72906404</v>
      </c>
      <c r="K66" s="13"/>
      <c r="L66" s="13"/>
      <c r="M66" s="15"/>
      <c r="N66" s="15"/>
      <c r="P66" s="15"/>
      <c r="Q66" s="15"/>
    </row>
    <row r="67" ht="15.75" customHeight="1">
      <c r="A67" s="6">
        <v>20702.0</v>
      </c>
      <c r="B67" s="7" t="s">
        <v>13</v>
      </c>
      <c r="C67" s="7" t="s">
        <v>90</v>
      </c>
      <c r="D67" s="8">
        <v>105.0</v>
      </c>
      <c r="E67" s="8">
        <v>947.0</v>
      </c>
      <c r="F67" s="9">
        <f t="shared" si="2"/>
        <v>11.0876452</v>
      </c>
      <c r="G67" s="10">
        <v>102.0</v>
      </c>
      <c r="H67" s="10">
        <v>1117.0</v>
      </c>
      <c r="I67" s="9">
        <f t="shared" si="3"/>
        <v>9.131602507</v>
      </c>
      <c r="K67" s="13"/>
      <c r="L67" s="13"/>
      <c r="M67" s="15"/>
      <c r="N67" s="15"/>
      <c r="P67" s="15"/>
      <c r="Q67" s="15"/>
    </row>
    <row r="68" ht="15.75" customHeight="1">
      <c r="A68" s="6">
        <v>20801.0</v>
      </c>
      <c r="B68" s="7" t="s">
        <v>13</v>
      </c>
      <c r="C68" s="7" t="s">
        <v>91</v>
      </c>
      <c r="D68" s="8">
        <v>1265.0</v>
      </c>
      <c r="E68" s="8">
        <v>7811.0</v>
      </c>
      <c r="F68" s="9">
        <f t="shared" si="2"/>
        <v>16.19510946</v>
      </c>
      <c r="G68" s="10">
        <v>777.0</v>
      </c>
      <c r="H68" s="10">
        <v>10677.0</v>
      </c>
      <c r="I68" s="9">
        <f t="shared" si="3"/>
        <v>7.277325091</v>
      </c>
      <c r="K68" s="13"/>
      <c r="L68" s="13"/>
      <c r="M68" s="15"/>
      <c r="N68" s="15"/>
      <c r="P68" s="15"/>
      <c r="Q68" s="15"/>
    </row>
    <row r="69" ht="15.75" customHeight="1">
      <c r="A69" s="6">
        <v>20802.0</v>
      </c>
      <c r="B69" s="7" t="s">
        <v>13</v>
      </c>
      <c r="C69" s="7" t="s">
        <v>92</v>
      </c>
      <c r="D69" s="8">
        <v>245.0</v>
      </c>
      <c r="E69" s="8">
        <v>739.0</v>
      </c>
      <c r="F69" s="9">
        <f t="shared" si="2"/>
        <v>33.15290934</v>
      </c>
      <c r="G69" s="10">
        <v>310.0</v>
      </c>
      <c r="H69" s="10">
        <v>816.0</v>
      </c>
      <c r="I69" s="9">
        <f t="shared" si="3"/>
        <v>37.99019608</v>
      </c>
      <c r="K69" s="13"/>
      <c r="L69" s="13"/>
      <c r="M69" s="15"/>
      <c r="N69" s="15"/>
      <c r="P69" s="15"/>
      <c r="Q69" s="15"/>
    </row>
    <row r="70" ht="15.75" customHeight="1">
      <c r="A70" s="6">
        <v>20803.0</v>
      </c>
      <c r="B70" s="7" t="s">
        <v>13</v>
      </c>
      <c r="C70" s="7" t="s">
        <v>93</v>
      </c>
      <c r="D70" s="8">
        <v>159.0</v>
      </c>
      <c r="E70" s="8">
        <v>1293.0</v>
      </c>
      <c r="F70" s="9">
        <f t="shared" si="2"/>
        <v>12.29698376</v>
      </c>
      <c r="G70" s="10">
        <v>40.0</v>
      </c>
      <c r="H70" s="10">
        <v>988.0</v>
      </c>
      <c r="I70" s="9">
        <f t="shared" si="3"/>
        <v>4.048582996</v>
      </c>
      <c r="K70" s="13"/>
      <c r="L70" s="13"/>
      <c r="M70" s="15"/>
      <c r="N70" s="15"/>
      <c r="P70" s="15"/>
      <c r="Q70" s="15"/>
    </row>
    <row r="71" ht="15.75" customHeight="1">
      <c r="A71" s="6">
        <v>20804.0</v>
      </c>
      <c r="B71" s="7" t="s">
        <v>13</v>
      </c>
      <c r="C71" s="7" t="s">
        <v>94</v>
      </c>
      <c r="D71" s="8">
        <v>47.0</v>
      </c>
      <c r="E71" s="8">
        <v>526.0</v>
      </c>
      <c r="F71" s="9">
        <f t="shared" si="2"/>
        <v>8.935361217</v>
      </c>
      <c r="G71" s="10">
        <v>40.0</v>
      </c>
      <c r="H71" s="10">
        <v>593.0</v>
      </c>
      <c r="I71" s="9">
        <f t="shared" si="3"/>
        <v>6.745362563</v>
      </c>
      <c r="K71" s="13"/>
      <c r="L71" s="13"/>
      <c r="M71" s="15"/>
      <c r="N71" s="15"/>
      <c r="P71" s="15"/>
      <c r="Q71" s="15"/>
    </row>
    <row r="72" ht="15.75" customHeight="1">
      <c r="A72" s="6">
        <v>20805.0</v>
      </c>
      <c r="B72" s="7" t="s">
        <v>13</v>
      </c>
      <c r="C72" s="7" t="s">
        <v>95</v>
      </c>
      <c r="D72" s="8">
        <v>43.0</v>
      </c>
      <c r="E72" s="8">
        <v>473.0</v>
      </c>
      <c r="F72" s="9">
        <f t="shared" si="2"/>
        <v>9.090909091</v>
      </c>
      <c r="G72" s="10">
        <v>10.0</v>
      </c>
      <c r="H72" s="10">
        <v>520.0</v>
      </c>
      <c r="I72" s="9">
        <f t="shared" si="3"/>
        <v>1.923076923</v>
      </c>
      <c r="K72" s="13"/>
      <c r="L72" s="13"/>
      <c r="M72" s="15"/>
      <c r="N72" s="15"/>
      <c r="P72" s="15"/>
      <c r="Q72" s="15"/>
    </row>
    <row r="73" ht="15.75" customHeight="1">
      <c r="A73" s="6">
        <v>20806.0</v>
      </c>
      <c r="B73" s="7" t="s">
        <v>13</v>
      </c>
      <c r="C73" s="7" t="s">
        <v>96</v>
      </c>
      <c r="D73" s="8">
        <v>102.0</v>
      </c>
      <c r="E73" s="8">
        <v>1346.0</v>
      </c>
      <c r="F73" s="9">
        <f t="shared" si="2"/>
        <v>7.578008915</v>
      </c>
      <c r="G73" s="10">
        <v>29.0</v>
      </c>
      <c r="H73" s="10">
        <v>1217.0</v>
      </c>
      <c r="I73" s="9">
        <f t="shared" si="3"/>
        <v>2.382908792</v>
      </c>
      <c r="K73" s="13"/>
      <c r="L73" s="13"/>
      <c r="M73" s="15"/>
      <c r="N73" s="15"/>
      <c r="P73" s="15"/>
      <c r="Q73" s="15"/>
    </row>
    <row r="74" ht="15.75" customHeight="1">
      <c r="A74" s="6">
        <v>20807.0</v>
      </c>
      <c r="B74" s="7" t="s">
        <v>13</v>
      </c>
      <c r="C74" s="7" t="s">
        <v>97</v>
      </c>
      <c r="D74" s="8">
        <v>46.0</v>
      </c>
      <c r="E74" s="8">
        <v>498.0</v>
      </c>
      <c r="F74" s="9">
        <f t="shared" si="2"/>
        <v>9.236947791</v>
      </c>
      <c r="G74" s="10">
        <v>19.0</v>
      </c>
      <c r="H74" s="10">
        <v>436.0</v>
      </c>
      <c r="I74" s="9">
        <f t="shared" si="3"/>
        <v>4.357798165</v>
      </c>
      <c r="K74" s="13"/>
      <c r="L74" s="13"/>
      <c r="M74" s="15"/>
      <c r="N74" s="15"/>
      <c r="P74" s="15"/>
      <c r="Q74" s="15"/>
    </row>
    <row r="75" ht="15.75" customHeight="1">
      <c r="A75" s="6">
        <v>20901.0</v>
      </c>
      <c r="B75" s="7" t="s">
        <v>13</v>
      </c>
      <c r="C75" s="7" t="s">
        <v>98</v>
      </c>
      <c r="D75" s="8">
        <v>61.0</v>
      </c>
      <c r="E75" s="8">
        <v>994.0</v>
      </c>
      <c r="F75" s="9">
        <f t="shared" si="2"/>
        <v>6.136820926</v>
      </c>
      <c r="G75" s="10">
        <v>29.0</v>
      </c>
      <c r="H75" s="10">
        <v>729.0</v>
      </c>
      <c r="I75" s="9">
        <f t="shared" si="3"/>
        <v>3.978052126</v>
      </c>
      <c r="K75" s="13"/>
      <c r="L75" s="13"/>
      <c r="M75" s="15"/>
      <c r="N75" s="15"/>
      <c r="P75" s="15"/>
      <c r="Q75" s="15"/>
    </row>
    <row r="76" ht="15.75" customHeight="1">
      <c r="A76" s="6">
        <v>20902.0</v>
      </c>
      <c r="B76" s="7" t="s">
        <v>13</v>
      </c>
      <c r="C76" s="7" t="s">
        <v>99</v>
      </c>
      <c r="D76" s="8">
        <v>47.0</v>
      </c>
      <c r="E76" s="8">
        <v>1016.0</v>
      </c>
      <c r="F76" s="9">
        <f t="shared" si="2"/>
        <v>4.625984252</v>
      </c>
      <c r="G76" s="10">
        <v>38.0</v>
      </c>
      <c r="H76" s="10">
        <v>1205.0</v>
      </c>
      <c r="I76" s="9">
        <f t="shared" si="3"/>
        <v>3.153526971</v>
      </c>
      <c r="K76" s="13"/>
      <c r="L76" s="13"/>
      <c r="M76" s="15"/>
      <c r="N76" s="15"/>
      <c r="P76" s="15"/>
      <c r="Q76" s="15"/>
    </row>
    <row r="77" ht="15.75" customHeight="1">
      <c r="A77" s="6">
        <v>20903.0</v>
      </c>
      <c r="B77" s="7" t="s">
        <v>13</v>
      </c>
      <c r="C77" s="7" t="s">
        <v>100</v>
      </c>
      <c r="D77" s="8">
        <v>29.0</v>
      </c>
      <c r="E77" s="8">
        <v>685.0</v>
      </c>
      <c r="F77" s="9">
        <f t="shared" si="2"/>
        <v>4.233576642</v>
      </c>
      <c r="G77" s="10">
        <v>69.0</v>
      </c>
      <c r="H77" s="10">
        <v>1201.0</v>
      </c>
      <c r="I77" s="9">
        <f t="shared" si="3"/>
        <v>5.745212323</v>
      </c>
      <c r="K77" s="13"/>
      <c r="L77" s="13"/>
      <c r="M77" s="15"/>
      <c r="N77" s="15"/>
      <c r="P77" s="15"/>
      <c r="Q77" s="15"/>
    </row>
    <row r="78" ht="15.75" customHeight="1">
      <c r="A78" s="6">
        <v>20904.0</v>
      </c>
      <c r="B78" s="7" t="s">
        <v>13</v>
      </c>
      <c r="C78" s="7" t="s">
        <v>101</v>
      </c>
      <c r="D78" s="8">
        <v>54.0</v>
      </c>
      <c r="E78" s="8">
        <v>526.0</v>
      </c>
      <c r="F78" s="9">
        <f t="shared" si="2"/>
        <v>10.2661597</v>
      </c>
      <c r="G78" s="10">
        <v>33.0</v>
      </c>
      <c r="H78" s="10">
        <v>535.0</v>
      </c>
      <c r="I78" s="9">
        <f t="shared" si="3"/>
        <v>6.168224299</v>
      </c>
      <c r="K78" s="13"/>
      <c r="L78" s="13"/>
      <c r="M78" s="15"/>
      <c r="N78" s="15"/>
      <c r="P78" s="15"/>
      <c r="Q78" s="15"/>
    </row>
    <row r="79" ht="15.75" customHeight="1">
      <c r="A79" s="6">
        <v>20905.0</v>
      </c>
      <c r="B79" s="7" t="s">
        <v>13</v>
      </c>
      <c r="C79" s="7" t="s">
        <v>102</v>
      </c>
      <c r="D79" s="8">
        <v>25.0</v>
      </c>
      <c r="E79" s="8">
        <v>1067.0</v>
      </c>
      <c r="F79" s="9">
        <f t="shared" si="2"/>
        <v>2.343017807</v>
      </c>
      <c r="G79" s="10">
        <v>48.0</v>
      </c>
      <c r="H79" s="10">
        <v>1156.0</v>
      </c>
      <c r="I79" s="9">
        <f t="shared" si="3"/>
        <v>4.152249135</v>
      </c>
      <c r="K79" s="13"/>
      <c r="L79" s="13"/>
      <c r="M79" s="15"/>
      <c r="N79" s="15"/>
      <c r="P79" s="15"/>
      <c r="Q79" s="15"/>
    </row>
    <row r="80" ht="15.75" customHeight="1">
      <c r="A80" s="6">
        <v>21001.0</v>
      </c>
      <c r="B80" s="7" t="s">
        <v>13</v>
      </c>
      <c r="C80" s="7" t="s">
        <v>103</v>
      </c>
      <c r="D80" s="8">
        <v>57.0</v>
      </c>
      <c r="E80" s="8">
        <v>1393.0</v>
      </c>
      <c r="F80" s="9">
        <f t="shared" si="2"/>
        <v>4.091888011</v>
      </c>
      <c r="G80" s="10">
        <v>79.0</v>
      </c>
      <c r="H80" s="10">
        <v>1601.0</v>
      </c>
      <c r="I80" s="9">
        <f t="shared" si="3"/>
        <v>4.93441599</v>
      </c>
      <c r="K80" s="13"/>
      <c r="L80" s="13"/>
      <c r="M80" s="15"/>
      <c r="N80" s="15"/>
      <c r="P80" s="15"/>
      <c r="Q80" s="15"/>
    </row>
    <row r="81" ht="15.75" customHeight="1">
      <c r="A81" s="6">
        <v>21002.0</v>
      </c>
      <c r="B81" s="7" t="s">
        <v>13</v>
      </c>
      <c r="C81" s="7" t="s">
        <v>104</v>
      </c>
      <c r="D81" s="8">
        <v>59.0</v>
      </c>
      <c r="E81" s="8">
        <v>774.0</v>
      </c>
      <c r="F81" s="9">
        <f t="shared" si="2"/>
        <v>7.622739018</v>
      </c>
      <c r="G81" s="10">
        <v>43.0</v>
      </c>
      <c r="H81" s="10">
        <v>884.0</v>
      </c>
      <c r="I81" s="9">
        <f t="shared" si="3"/>
        <v>4.864253394</v>
      </c>
      <c r="K81" s="13"/>
      <c r="L81" s="13"/>
      <c r="M81" s="15"/>
      <c r="N81" s="15"/>
      <c r="P81" s="15"/>
      <c r="Q81" s="15"/>
    </row>
    <row r="82" ht="15.75" customHeight="1">
      <c r="A82" s="6">
        <v>21003.0</v>
      </c>
      <c r="B82" s="7" t="s">
        <v>13</v>
      </c>
      <c r="C82" s="7" t="s">
        <v>105</v>
      </c>
      <c r="D82" s="8">
        <v>106.0</v>
      </c>
      <c r="E82" s="8">
        <v>1035.0</v>
      </c>
      <c r="F82" s="9">
        <f t="shared" si="2"/>
        <v>10.24154589</v>
      </c>
      <c r="G82" s="10">
        <v>65.0</v>
      </c>
      <c r="H82" s="10">
        <v>1440.0</v>
      </c>
      <c r="I82" s="9">
        <f t="shared" si="3"/>
        <v>4.513888889</v>
      </c>
      <c r="K82" s="13"/>
      <c r="L82" s="13"/>
      <c r="M82" s="15"/>
      <c r="N82" s="15"/>
      <c r="P82" s="15"/>
      <c r="Q82" s="15"/>
    </row>
    <row r="83" ht="15.75" customHeight="1">
      <c r="A83" s="6">
        <v>21004.0</v>
      </c>
      <c r="B83" s="7" t="s">
        <v>13</v>
      </c>
      <c r="C83" s="7" t="s">
        <v>106</v>
      </c>
      <c r="D83" s="8">
        <v>150.0</v>
      </c>
      <c r="E83" s="8">
        <v>1919.0</v>
      </c>
      <c r="F83" s="9">
        <f t="shared" si="2"/>
        <v>7.816571131</v>
      </c>
      <c r="G83" s="10">
        <v>66.0</v>
      </c>
      <c r="H83" s="10">
        <v>2016.0</v>
      </c>
      <c r="I83" s="9">
        <f t="shared" si="3"/>
        <v>3.273809524</v>
      </c>
      <c r="K83" s="13"/>
      <c r="L83" s="13"/>
      <c r="M83" s="15"/>
      <c r="N83" s="15"/>
      <c r="P83" s="15"/>
      <c r="Q83" s="15"/>
    </row>
    <row r="84" ht="15.75" customHeight="1">
      <c r="A84" s="6">
        <v>21005.0</v>
      </c>
      <c r="B84" s="7" t="s">
        <v>13</v>
      </c>
      <c r="C84" s="7" t="s">
        <v>107</v>
      </c>
      <c r="D84" s="8">
        <v>24.0</v>
      </c>
      <c r="E84" s="8">
        <v>788.0</v>
      </c>
      <c r="F84" s="9">
        <f t="shared" si="2"/>
        <v>3.045685279</v>
      </c>
      <c r="G84" s="10">
        <v>43.0</v>
      </c>
      <c r="H84" s="10">
        <v>925.0</v>
      </c>
      <c r="I84" s="9">
        <f t="shared" si="3"/>
        <v>4.648648649</v>
      </c>
      <c r="K84" s="13"/>
      <c r="L84" s="13"/>
      <c r="M84" s="15"/>
      <c r="N84" s="15"/>
      <c r="P84" s="15"/>
      <c r="Q84" s="15"/>
    </row>
    <row r="85" ht="15.75" customHeight="1">
      <c r="A85" s="6">
        <v>21006.0</v>
      </c>
      <c r="B85" s="7" t="s">
        <v>13</v>
      </c>
      <c r="C85" s="7" t="s">
        <v>108</v>
      </c>
      <c r="D85" s="8">
        <v>55.0</v>
      </c>
      <c r="E85" s="8">
        <v>665.0</v>
      </c>
      <c r="F85" s="9">
        <f t="shared" si="2"/>
        <v>8.270676692</v>
      </c>
      <c r="G85" s="10">
        <v>49.0</v>
      </c>
      <c r="H85" s="10">
        <v>685.0</v>
      </c>
      <c r="I85" s="9">
        <f t="shared" si="3"/>
        <v>7.153284672</v>
      </c>
      <c r="K85" s="13"/>
      <c r="L85" s="13"/>
      <c r="M85" s="15"/>
      <c r="N85" s="15"/>
      <c r="P85" s="15"/>
      <c r="Q85" s="15"/>
    </row>
    <row r="86" ht="15.75" customHeight="1">
      <c r="A86" s="6">
        <v>21101.0</v>
      </c>
      <c r="B86" s="7" t="s">
        <v>13</v>
      </c>
      <c r="C86" s="7" t="s">
        <v>109</v>
      </c>
      <c r="D86" s="8">
        <v>79.0</v>
      </c>
      <c r="E86" s="8">
        <v>1541.0</v>
      </c>
      <c r="F86" s="9">
        <f t="shared" si="2"/>
        <v>5.126541207</v>
      </c>
      <c r="G86" s="10">
        <v>51.0</v>
      </c>
      <c r="H86" s="10">
        <v>1351.0</v>
      </c>
      <c r="I86" s="9">
        <f t="shared" si="3"/>
        <v>3.774981495</v>
      </c>
      <c r="K86" s="13"/>
      <c r="L86" s="13"/>
      <c r="M86" s="15"/>
      <c r="N86" s="15"/>
      <c r="P86" s="15"/>
      <c r="Q86" s="15"/>
    </row>
    <row r="87" ht="15.75" customHeight="1">
      <c r="A87" s="6">
        <v>21102.0</v>
      </c>
      <c r="B87" s="7" t="s">
        <v>13</v>
      </c>
      <c r="C87" s="7" t="s">
        <v>110</v>
      </c>
      <c r="D87" s="8">
        <v>63.0</v>
      </c>
      <c r="E87" s="8">
        <v>1676.0</v>
      </c>
      <c r="F87" s="9">
        <f t="shared" si="2"/>
        <v>3.758949881</v>
      </c>
      <c r="G87" s="10">
        <v>75.0</v>
      </c>
      <c r="H87" s="10">
        <v>2172.0</v>
      </c>
      <c r="I87" s="9">
        <f t="shared" si="3"/>
        <v>3.453038674</v>
      </c>
      <c r="K87" s="13"/>
      <c r="L87" s="13"/>
      <c r="M87" s="15"/>
      <c r="N87" s="15"/>
      <c r="P87" s="15"/>
      <c r="Q87" s="15"/>
    </row>
    <row r="88" ht="15.75" customHeight="1">
      <c r="A88" s="6">
        <v>21103.0</v>
      </c>
      <c r="B88" s="7" t="s">
        <v>13</v>
      </c>
      <c r="C88" s="7" t="s">
        <v>111</v>
      </c>
      <c r="D88" s="8">
        <v>36.0</v>
      </c>
      <c r="E88" s="8">
        <v>619.0</v>
      </c>
      <c r="F88" s="9">
        <f t="shared" si="2"/>
        <v>5.815831987</v>
      </c>
      <c r="G88" s="10">
        <v>34.0</v>
      </c>
      <c r="H88" s="10">
        <v>601.0</v>
      </c>
      <c r="I88" s="9">
        <f t="shared" si="3"/>
        <v>5.657237937</v>
      </c>
      <c r="K88" s="13"/>
      <c r="L88" s="13"/>
      <c r="M88" s="15"/>
      <c r="N88" s="15"/>
      <c r="P88" s="15"/>
      <c r="Q88" s="15"/>
    </row>
    <row r="89" ht="15.75" customHeight="1">
      <c r="A89" s="6">
        <v>21104.0</v>
      </c>
      <c r="B89" s="7" t="s">
        <v>13</v>
      </c>
      <c r="C89" s="7" t="s">
        <v>112</v>
      </c>
      <c r="D89" s="8">
        <v>117.0</v>
      </c>
      <c r="E89" s="8">
        <v>2781.0</v>
      </c>
      <c r="F89" s="9">
        <f t="shared" si="2"/>
        <v>4.207119741</v>
      </c>
      <c r="G89" s="10">
        <v>89.0</v>
      </c>
      <c r="H89" s="10">
        <v>2710.0</v>
      </c>
      <c r="I89" s="9">
        <f t="shared" si="3"/>
        <v>3.284132841</v>
      </c>
      <c r="K89" s="13"/>
      <c r="L89" s="13"/>
      <c r="M89" s="15"/>
      <c r="N89" s="15"/>
      <c r="P89" s="15"/>
      <c r="Q89" s="15"/>
    </row>
    <row r="90" ht="15.75" customHeight="1">
      <c r="A90" s="6">
        <v>21105.0</v>
      </c>
      <c r="B90" s="7" t="s">
        <v>13</v>
      </c>
      <c r="C90" s="7" t="s">
        <v>113</v>
      </c>
      <c r="D90" s="8">
        <v>161.0</v>
      </c>
      <c r="E90" s="8">
        <v>4603.0</v>
      </c>
      <c r="F90" s="9">
        <f t="shared" si="2"/>
        <v>3.497718879</v>
      </c>
      <c r="G90" s="10">
        <v>145.0</v>
      </c>
      <c r="H90" s="10">
        <v>4491.0</v>
      </c>
      <c r="I90" s="9">
        <f t="shared" si="3"/>
        <v>3.228679581</v>
      </c>
      <c r="K90" s="13"/>
      <c r="L90" s="13"/>
      <c r="M90" s="15"/>
      <c r="N90" s="15"/>
      <c r="P90" s="15"/>
      <c r="Q90" s="15"/>
    </row>
    <row r="91" ht="15.75" customHeight="1">
      <c r="A91" s="6">
        <v>21201.0</v>
      </c>
      <c r="B91" s="7" t="s">
        <v>13</v>
      </c>
      <c r="C91" s="7" t="s">
        <v>114</v>
      </c>
      <c r="D91" s="8">
        <v>228.0</v>
      </c>
      <c r="E91" s="8">
        <v>2869.0</v>
      </c>
      <c r="F91" s="9">
        <f t="shared" si="2"/>
        <v>7.947019868</v>
      </c>
      <c r="G91" s="10">
        <v>153.0</v>
      </c>
      <c r="H91" s="10">
        <v>3825.0</v>
      </c>
      <c r="I91" s="9">
        <f t="shared" si="3"/>
        <v>4</v>
      </c>
      <c r="K91" s="13"/>
      <c r="L91" s="13"/>
      <c r="M91" s="15"/>
      <c r="N91" s="15"/>
      <c r="P91" s="15"/>
      <c r="Q91" s="15"/>
    </row>
    <row r="92" ht="15.75" customHeight="1">
      <c r="A92" s="6">
        <v>21202.0</v>
      </c>
      <c r="B92" s="7" t="s">
        <v>13</v>
      </c>
      <c r="C92" s="7" t="s">
        <v>115</v>
      </c>
      <c r="D92" s="8">
        <v>205.0</v>
      </c>
      <c r="E92" s="8">
        <v>2375.0</v>
      </c>
      <c r="F92" s="9">
        <f t="shared" si="2"/>
        <v>8.631578947</v>
      </c>
      <c r="G92" s="10">
        <v>122.0</v>
      </c>
      <c r="H92" s="10">
        <v>2880.0</v>
      </c>
      <c r="I92" s="9">
        <f t="shared" si="3"/>
        <v>4.236111111</v>
      </c>
      <c r="K92" s="13"/>
      <c r="L92" s="13"/>
      <c r="M92" s="15"/>
      <c r="N92" s="15"/>
      <c r="P92" s="15"/>
      <c r="Q92" s="15"/>
    </row>
    <row r="93" ht="15.75" customHeight="1">
      <c r="A93" s="6">
        <v>21203.0</v>
      </c>
      <c r="B93" s="7" t="s">
        <v>13</v>
      </c>
      <c r="C93" s="7" t="s">
        <v>116</v>
      </c>
      <c r="D93" s="8">
        <v>135.0</v>
      </c>
      <c r="E93" s="8">
        <v>1576.0</v>
      </c>
      <c r="F93" s="9">
        <f t="shared" si="2"/>
        <v>8.565989848</v>
      </c>
      <c r="G93" s="10">
        <v>50.0</v>
      </c>
      <c r="H93" s="10">
        <v>1424.0</v>
      </c>
      <c r="I93" s="9">
        <f t="shared" si="3"/>
        <v>3.511235955</v>
      </c>
      <c r="K93" s="13"/>
      <c r="L93" s="13"/>
      <c r="M93" s="15"/>
      <c r="N93" s="15"/>
      <c r="P93" s="15"/>
      <c r="Q93" s="15"/>
    </row>
    <row r="94" ht="15.75" customHeight="1">
      <c r="A94" s="6">
        <v>21204.0</v>
      </c>
      <c r="B94" s="7" t="s">
        <v>13</v>
      </c>
      <c r="C94" s="7" t="s">
        <v>117</v>
      </c>
      <c r="D94" s="8">
        <v>47.0</v>
      </c>
      <c r="E94" s="8">
        <v>542.0</v>
      </c>
      <c r="F94" s="9">
        <f t="shared" si="2"/>
        <v>8.671586716</v>
      </c>
      <c r="G94" s="10">
        <v>35.0</v>
      </c>
      <c r="H94" s="10">
        <v>492.0</v>
      </c>
      <c r="I94" s="9">
        <f t="shared" si="3"/>
        <v>7.113821138</v>
      </c>
      <c r="K94" s="13"/>
      <c r="L94" s="13"/>
      <c r="M94" s="15"/>
      <c r="N94" s="15"/>
      <c r="P94" s="15"/>
      <c r="Q94" s="15"/>
    </row>
    <row r="95" ht="15.75" customHeight="1">
      <c r="A95" s="6">
        <v>21301.0</v>
      </c>
      <c r="B95" s="7" t="s">
        <v>13</v>
      </c>
      <c r="C95" s="7" t="s">
        <v>118</v>
      </c>
      <c r="D95" s="8">
        <v>296.0</v>
      </c>
      <c r="E95" s="8">
        <v>3115.0</v>
      </c>
      <c r="F95" s="9">
        <f t="shared" si="2"/>
        <v>9.502407705</v>
      </c>
      <c r="G95" s="10">
        <v>137.0</v>
      </c>
      <c r="H95" s="10">
        <v>2823.0</v>
      </c>
      <c r="I95" s="9">
        <f t="shared" si="3"/>
        <v>4.85299327</v>
      </c>
      <c r="K95" s="13"/>
      <c r="L95" s="13"/>
      <c r="M95" s="15"/>
      <c r="N95" s="15"/>
      <c r="P95" s="15"/>
      <c r="Q95" s="15"/>
    </row>
    <row r="96" ht="15.75" customHeight="1">
      <c r="A96" s="6">
        <v>21302.0</v>
      </c>
      <c r="B96" s="7" t="s">
        <v>13</v>
      </c>
      <c r="C96" s="7" t="s">
        <v>119</v>
      </c>
      <c r="D96" s="8">
        <v>38.0</v>
      </c>
      <c r="E96" s="8">
        <v>723.0</v>
      </c>
      <c r="F96" s="9">
        <f t="shared" si="2"/>
        <v>5.255878285</v>
      </c>
      <c r="G96" s="10">
        <v>18.0</v>
      </c>
      <c r="H96" s="10">
        <v>592.0</v>
      </c>
      <c r="I96" s="9">
        <f t="shared" si="3"/>
        <v>3.040540541</v>
      </c>
      <c r="K96" s="13"/>
      <c r="L96" s="13"/>
      <c r="M96" s="15"/>
      <c r="N96" s="15"/>
      <c r="P96" s="15"/>
      <c r="Q96" s="15"/>
    </row>
    <row r="97" ht="15.75" customHeight="1">
      <c r="A97" s="6">
        <v>21303.0</v>
      </c>
      <c r="B97" s="7" t="s">
        <v>13</v>
      </c>
      <c r="C97" s="7" t="s">
        <v>120</v>
      </c>
      <c r="D97" s="8">
        <v>17.0</v>
      </c>
      <c r="E97" s="8">
        <v>651.0</v>
      </c>
      <c r="F97" s="9">
        <f t="shared" si="2"/>
        <v>2.611367127</v>
      </c>
      <c r="G97" s="10">
        <v>40.0</v>
      </c>
      <c r="H97" s="10">
        <v>928.0</v>
      </c>
      <c r="I97" s="9">
        <f t="shared" si="3"/>
        <v>4.310344828</v>
      </c>
      <c r="K97" s="13"/>
      <c r="L97" s="13"/>
      <c r="M97" s="15"/>
      <c r="N97" s="15"/>
      <c r="P97" s="15"/>
      <c r="Q97" s="15"/>
    </row>
    <row r="98" ht="15.75" customHeight="1">
      <c r="A98" s="6">
        <v>21304.0</v>
      </c>
      <c r="B98" s="7" t="s">
        <v>13</v>
      </c>
      <c r="C98" s="7" t="s">
        <v>121</v>
      </c>
      <c r="D98" s="8">
        <v>72.0</v>
      </c>
      <c r="E98" s="8">
        <v>1146.0</v>
      </c>
      <c r="F98" s="9">
        <f t="shared" si="2"/>
        <v>6.282722513</v>
      </c>
      <c r="G98" s="10">
        <v>62.0</v>
      </c>
      <c r="H98" s="10">
        <v>1145.0</v>
      </c>
      <c r="I98" s="9">
        <f t="shared" si="3"/>
        <v>5.414847162</v>
      </c>
      <c r="K98" s="13"/>
      <c r="L98" s="13"/>
      <c r="M98" s="15"/>
      <c r="N98" s="15"/>
      <c r="P98" s="15"/>
      <c r="Q98" s="15"/>
    </row>
    <row r="99" ht="15.75" customHeight="1">
      <c r="A99" s="6">
        <v>21305.0</v>
      </c>
      <c r="B99" s="7" t="s">
        <v>13</v>
      </c>
      <c r="C99" s="7" t="s">
        <v>122</v>
      </c>
      <c r="D99" s="8">
        <v>313.0</v>
      </c>
      <c r="E99" s="8">
        <v>2383.0</v>
      </c>
      <c r="F99" s="9">
        <f t="shared" si="2"/>
        <v>13.13470415</v>
      </c>
      <c r="G99" s="10">
        <v>228.0</v>
      </c>
      <c r="H99" s="10">
        <v>2278.0</v>
      </c>
      <c r="I99" s="9">
        <f t="shared" si="3"/>
        <v>10.00877963</v>
      </c>
      <c r="K99" s="13"/>
      <c r="L99" s="13"/>
      <c r="M99" s="15"/>
      <c r="N99" s="15"/>
      <c r="P99" s="15"/>
      <c r="Q99" s="15"/>
    </row>
    <row r="100" ht="15.75" customHeight="1">
      <c r="A100" s="6">
        <v>21306.0</v>
      </c>
      <c r="B100" s="7" t="s">
        <v>13</v>
      </c>
      <c r="C100" s="7" t="s">
        <v>123</v>
      </c>
      <c r="D100" s="8">
        <v>83.0</v>
      </c>
      <c r="E100" s="8">
        <v>990.0</v>
      </c>
      <c r="F100" s="9">
        <f t="shared" si="2"/>
        <v>8.383838384</v>
      </c>
      <c r="G100" s="10">
        <v>67.0</v>
      </c>
      <c r="H100" s="10">
        <v>934.0</v>
      </c>
      <c r="I100" s="9">
        <f t="shared" si="3"/>
        <v>7.173447537</v>
      </c>
      <c r="K100" s="13"/>
      <c r="L100" s="13"/>
      <c r="M100" s="15"/>
      <c r="N100" s="15"/>
      <c r="P100" s="15"/>
      <c r="Q100" s="15"/>
    </row>
    <row r="101" ht="15.75" customHeight="1">
      <c r="A101" s="6">
        <v>21307.0</v>
      </c>
      <c r="B101" s="7" t="s">
        <v>13</v>
      </c>
      <c r="C101" s="7" t="s">
        <v>124</v>
      </c>
      <c r="D101" s="8">
        <v>29.0</v>
      </c>
      <c r="E101" s="8">
        <v>451.0</v>
      </c>
      <c r="F101" s="9">
        <f t="shared" si="2"/>
        <v>6.430155211</v>
      </c>
      <c r="G101" s="10">
        <v>39.0</v>
      </c>
      <c r="H101" s="10">
        <v>440.0</v>
      </c>
      <c r="I101" s="9">
        <f t="shared" si="3"/>
        <v>8.863636364</v>
      </c>
      <c r="K101" s="13"/>
      <c r="L101" s="13"/>
      <c r="M101" s="15"/>
      <c r="N101" s="15"/>
      <c r="P101" s="15"/>
      <c r="Q101" s="15"/>
    </row>
    <row r="102" ht="15.75" customHeight="1">
      <c r="A102" s="6">
        <v>21401.0</v>
      </c>
      <c r="B102" s="7" t="s">
        <v>13</v>
      </c>
      <c r="C102" s="7" t="s">
        <v>125</v>
      </c>
      <c r="D102" s="8">
        <v>133.0</v>
      </c>
      <c r="E102" s="8">
        <v>1899.0</v>
      </c>
      <c r="F102" s="9">
        <f t="shared" si="2"/>
        <v>7.003686151</v>
      </c>
      <c r="G102" s="10">
        <v>108.0</v>
      </c>
      <c r="H102" s="10">
        <v>2577.0</v>
      </c>
      <c r="I102" s="9">
        <f t="shared" si="3"/>
        <v>4.190919674</v>
      </c>
      <c r="K102" s="13"/>
      <c r="L102" s="13"/>
      <c r="M102" s="15"/>
      <c r="N102" s="15"/>
      <c r="P102" s="15"/>
      <c r="Q102" s="15"/>
    </row>
    <row r="103" ht="15.75" customHeight="1">
      <c r="A103" s="6">
        <v>21402.0</v>
      </c>
      <c r="B103" s="7" t="s">
        <v>13</v>
      </c>
      <c r="C103" s="7" t="s">
        <v>126</v>
      </c>
      <c r="D103" s="8">
        <v>69.0</v>
      </c>
      <c r="E103" s="8">
        <v>1565.0</v>
      </c>
      <c r="F103" s="9">
        <f t="shared" si="2"/>
        <v>4.408945687</v>
      </c>
      <c r="G103" s="10">
        <v>67.0</v>
      </c>
      <c r="H103" s="10">
        <v>2033.0</v>
      </c>
      <c r="I103" s="9">
        <f t="shared" si="3"/>
        <v>3.295622233</v>
      </c>
      <c r="K103" s="13"/>
      <c r="L103" s="13"/>
      <c r="M103" s="15"/>
      <c r="N103" s="15"/>
      <c r="P103" s="15"/>
      <c r="Q103" s="15"/>
    </row>
    <row r="104" ht="15.75" customHeight="1">
      <c r="A104" s="6">
        <v>21501.0</v>
      </c>
      <c r="B104" s="7" t="s">
        <v>13</v>
      </c>
      <c r="C104" s="7" t="s">
        <v>127</v>
      </c>
      <c r="D104" s="8">
        <v>89.0</v>
      </c>
      <c r="E104" s="8">
        <v>1030.0</v>
      </c>
      <c r="F104" s="9">
        <f t="shared" si="2"/>
        <v>8.640776699</v>
      </c>
      <c r="G104" s="10">
        <v>54.0</v>
      </c>
      <c r="H104" s="10">
        <v>1142.0</v>
      </c>
      <c r="I104" s="9">
        <f t="shared" si="3"/>
        <v>4.72854641</v>
      </c>
      <c r="K104" s="13"/>
      <c r="L104" s="13"/>
      <c r="M104" s="15"/>
      <c r="N104" s="15"/>
      <c r="P104" s="15"/>
      <c r="Q104" s="15"/>
    </row>
    <row r="105" ht="15.75" customHeight="1">
      <c r="A105" s="6">
        <v>21502.0</v>
      </c>
      <c r="B105" s="7" t="s">
        <v>13</v>
      </c>
      <c r="C105" s="7" t="s">
        <v>128</v>
      </c>
      <c r="D105" s="8">
        <v>54.0</v>
      </c>
      <c r="E105" s="8">
        <v>821.0</v>
      </c>
      <c r="F105" s="9">
        <f t="shared" si="2"/>
        <v>6.577344702</v>
      </c>
      <c r="G105" s="10">
        <v>49.0</v>
      </c>
      <c r="H105" s="10">
        <v>782.0</v>
      </c>
      <c r="I105" s="9">
        <f t="shared" si="3"/>
        <v>6.265984655</v>
      </c>
      <c r="K105" s="13"/>
      <c r="L105" s="13"/>
      <c r="M105" s="15"/>
      <c r="N105" s="15"/>
      <c r="P105" s="15"/>
      <c r="Q105" s="15"/>
    </row>
    <row r="106" ht="15.75" customHeight="1">
      <c r="A106" s="6">
        <v>21601.0</v>
      </c>
      <c r="B106" s="7" t="s">
        <v>13</v>
      </c>
      <c r="C106" s="7" t="s">
        <v>129</v>
      </c>
      <c r="D106" s="8">
        <v>95.0</v>
      </c>
      <c r="E106" s="8">
        <v>1323.0</v>
      </c>
      <c r="F106" s="9">
        <f t="shared" si="2"/>
        <v>7.180650038</v>
      </c>
      <c r="G106" s="10">
        <v>88.0</v>
      </c>
      <c r="H106" s="10">
        <v>1445.0</v>
      </c>
      <c r="I106" s="9">
        <f t="shared" si="3"/>
        <v>6.089965398</v>
      </c>
      <c r="K106" s="13"/>
      <c r="L106" s="13"/>
      <c r="M106" s="15"/>
      <c r="N106" s="15"/>
      <c r="P106" s="15"/>
      <c r="Q106" s="15"/>
    </row>
    <row r="107" ht="15.75" customHeight="1">
      <c r="A107" s="6">
        <v>21602.0</v>
      </c>
      <c r="B107" s="7" t="s">
        <v>13</v>
      </c>
      <c r="C107" s="7" t="s">
        <v>130</v>
      </c>
      <c r="D107" s="8">
        <v>34.0</v>
      </c>
      <c r="E107" s="8">
        <v>309.0</v>
      </c>
      <c r="F107" s="9">
        <f t="shared" si="2"/>
        <v>11.00323625</v>
      </c>
      <c r="G107" s="10">
        <v>66.0</v>
      </c>
      <c r="H107" s="10">
        <v>745.0</v>
      </c>
      <c r="I107" s="9">
        <f t="shared" si="3"/>
        <v>8.859060403</v>
      </c>
      <c r="K107" s="13"/>
      <c r="L107" s="13"/>
      <c r="M107" s="15"/>
      <c r="N107" s="15"/>
      <c r="P107" s="15"/>
      <c r="Q107" s="15"/>
    </row>
    <row r="108" ht="15.75" customHeight="1">
      <c r="A108" s="6">
        <v>21701.0</v>
      </c>
      <c r="B108" s="7" t="s">
        <v>13</v>
      </c>
      <c r="C108" s="7" t="s">
        <v>131</v>
      </c>
      <c r="D108" s="8">
        <v>82.0</v>
      </c>
      <c r="E108" s="8">
        <v>1111.0</v>
      </c>
      <c r="F108" s="9">
        <f t="shared" si="2"/>
        <v>7.380738074</v>
      </c>
      <c r="G108" s="10">
        <v>91.0</v>
      </c>
      <c r="H108" s="10">
        <v>1308.0</v>
      </c>
      <c r="I108" s="9">
        <f t="shared" si="3"/>
        <v>6.957186544</v>
      </c>
      <c r="K108" s="13"/>
      <c r="L108" s="13"/>
      <c r="M108" s="15"/>
      <c r="N108" s="15"/>
      <c r="P108" s="15"/>
      <c r="Q108" s="15"/>
    </row>
    <row r="109" ht="15.75" customHeight="1">
      <c r="A109" s="6">
        <v>21702.0</v>
      </c>
      <c r="B109" s="7" t="s">
        <v>13</v>
      </c>
      <c r="C109" s="7" t="s">
        <v>132</v>
      </c>
      <c r="D109" s="8">
        <v>80.0</v>
      </c>
      <c r="E109" s="8">
        <v>436.0</v>
      </c>
      <c r="F109" s="9">
        <f t="shared" si="2"/>
        <v>18.34862385</v>
      </c>
      <c r="G109" s="10">
        <v>70.0</v>
      </c>
      <c r="H109" s="10">
        <v>671.0</v>
      </c>
      <c r="I109" s="9">
        <f t="shared" si="3"/>
        <v>10.43219076</v>
      </c>
      <c r="K109" s="13"/>
      <c r="L109" s="13"/>
      <c r="M109" s="15"/>
      <c r="N109" s="15"/>
      <c r="P109" s="15"/>
      <c r="Q109" s="15"/>
    </row>
    <row r="110" ht="15.75" customHeight="1">
      <c r="A110" s="6">
        <v>21703.0</v>
      </c>
      <c r="B110" s="7" t="s">
        <v>13</v>
      </c>
      <c r="C110" s="7" t="s">
        <v>133</v>
      </c>
      <c r="D110" s="8">
        <v>82.0</v>
      </c>
      <c r="E110" s="8">
        <v>690.0</v>
      </c>
      <c r="F110" s="9">
        <f t="shared" si="2"/>
        <v>11.88405797</v>
      </c>
      <c r="G110" s="10">
        <v>39.0</v>
      </c>
      <c r="H110" s="10">
        <v>614.0</v>
      </c>
      <c r="I110" s="9">
        <f t="shared" si="3"/>
        <v>6.351791531</v>
      </c>
      <c r="K110" s="13"/>
      <c r="L110" s="13"/>
      <c r="M110" s="15"/>
      <c r="N110" s="15"/>
      <c r="P110" s="15"/>
      <c r="Q110" s="15"/>
    </row>
    <row r="111" ht="15.75" customHeight="1">
      <c r="A111" s="6">
        <v>21801.0</v>
      </c>
      <c r="B111" s="7" t="s">
        <v>13</v>
      </c>
      <c r="C111" s="7" t="s">
        <v>134</v>
      </c>
      <c r="D111" s="8">
        <v>57.0</v>
      </c>
      <c r="E111" s="8">
        <v>844.0</v>
      </c>
      <c r="F111" s="9">
        <f t="shared" si="2"/>
        <v>6.753554502</v>
      </c>
      <c r="G111" s="10">
        <v>34.0</v>
      </c>
      <c r="H111" s="10">
        <v>675.0</v>
      </c>
      <c r="I111" s="9">
        <f t="shared" si="3"/>
        <v>5.037037037</v>
      </c>
      <c r="K111" s="13"/>
      <c r="L111" s="13"/>
      <c r="M111" s="15"/>
      <c r="N111" s="15"/>
      <c r="P111" s="15"/>
      <c r="Q111" s="15"/>
    </row>
    <row r="112" ht="15.75" customHeight="1">
      <c r="A112" s="6">
        <v>21802.0</v>
      </c>
      <c r="B112" s="7" t="s">
        <v>13</v>
      </c>
      <c r="C112" s="7" t="s">
        <v>135</v>
      </c>
      <c r="D112" s="8">
        <v>55.0</v>
      </c>
      <c r="E112" s="8">
        <v>643.0</v>
      </c>
      <c r="F112" s="9">
        <f t="shared" si="2"/>
        <v>8.553654743</v>
      </c>
      <c r="G112" s="10">
        <v>31.0</v>
      </c>
      <c r="H112" s="10">
        <v>454.0</v>
      </c>
      <c r="I112" s="9">
        <f t="shared" si="3"/>
        <v>6.828193833</v>
      </c>
      <c r="K112" s="13"/>
      <c r="L112" s="13"/>
      <c r="M112" s="15"/>
      <c r="N112" s="15"/>
      <c r="P112" s="15"/>
      <c r="Q112" s="15"/>
    </row>
    <row r="113" ht="15.75" customHeight="1">
      <c r="A113" s="6">
        <v>21803.0</v>
      </c>
      <c r="B113" s="7" t="s">
        <v>13</v>
      </c>
      <c r="C113" s="7" t="s">
        <v>136</v>
      </c>
      <c r="D113" s="8">
        <v>11.0</v>
      </c>
      <c r="E113" s="8">
        <v>148.0</v>
      </c>
      <c r="F113" s="9">
        <f t="shared" si="2"/>
        <v>7.432432432</v>
      </c>
      <c r="G113" s="10">
        <v>9.0</v>
      </c>
      <c r="H113" s="10">
        <v>149.0</v>
      </c>
      <c r="I113" s="9">
        <f t="shared" si="3"/>
        <v>6.040268456</v>
      </c>
      <c r="K113" s="13"/>
      <c r="L113" s="13"/>
      <c r="M113" s="15"/>
      <c r="N113" s="15"/>
      <c r="P113" s="15"/>
      <c r="Q113" s="15"/>
    </row>
    <row r="114" ht="15.75" customHeight="1">
      <c r="A114" s="6">
        <v>21901.0</v>
      </c>
      <c r="B114" s="7" t="s">
        <v>13</v>
      </c>
      <c r="C114" s="7" t="s">
        <v>137</v>
      </c>
      <c r="D114" s="8">
        <v>40.0</v>
      </c>
      <c r="E114" s="8">
        <v>341.0</v>
      </c>
      <c r="F114" s="9">
        <f t="shared" si="2"/>
        <v>11.73020528</v>
      </c>
      <c r="G114" s="10">
        <v>26.0</v>
      </c>
      <c r="H114" s="10">
        <v>487.0</v>
      </c>
      <c r="I114" s="9">
        <f t="shared" si="3"/>
        <v>5.338809035</v>
      </c>
      <c r="K114" s="13"/>
      <c r="L114" s="13"/>
      <c r="M114" s="15"/>
      <c r="N114" s="15"/>
      <c r="P114" s="15"/>
      <c r="Q114" s="15"/>
    </row>
    <row r="115" ht="15.75" customHeight="1">
      <c r="A115" s="6">
        <v>21902.0</v>
      </c>
      <c r="B115" s="7" t="s">
        <v>13</v>
      </c>
      <c r="C115" s="7" t="s">
        <v>138</v>
      </c>
      <c r="D115" s="8">
        <v>16.0</v>
      </c>
      <c r="E115" s="8">
        <v>353.0</v>
      </c>
      <c r="F115" s="9">
        <f t="shared" si="2"/>
        <v>4.532577904</v>
      </c>
      <c r="G115" s="10">
        <v>20.0</v>
      </c>
      <c r="H115" s="10">
        <v>486.0</v>
      </c>
      <c r="I115" s="9">
        <f t="shared" si="3"/>
        <v>4.115226337</v>
      </c>
      <c r="K115" s="13"/>
      <c r="L115" s="13"/>
      <c r="M115" s="15"/>
      <c r="N115" s="15"/>
      <c r="P115" s="15"/>
      <c r="Q115" s="15"/>
    </row>
    <row r="116" ht="15.75" customHeight="1">
      <c r="A116" s="6">
        <v>22001.0</v>
      </c>
      <c r="B116" s="7" t="s">
        <v>13</v>
      </c>
      <c r="C116" s="7" t="s">
        <v>139</v>
      </c>
      <c r="D116" s="8">
        <v>613.0</v>
      </c>
      <c r="E116" s="8">
        <v>5838.0</v>
      </c>
      <c r="F116" s="9">
        <f t="shared" si="2"/>
        <v>10.50017129</v>
      </c>
      <c r="G116" s="10">
        <v>350.0</v>
      </c>
      <c r="H116" s="10">
        <v>6041.0</v>
      </c>
      <c r="I116" s="9">
        <f t="shared" si="3"/>
        <v>5.793742758</v>
      </c>
      <c r="K116" s="13"/>
      <c r="L116" s="13"/>
      <c r="M116" s="15"/>
      <c r="N116" s="15"/>
      <c r="P116" s="15"/>
      <c r="Q116" s="15"/>
    </row>
    <row r="117" ht="15.75" customHeight="1">
      <c r="A117" s="6">
        <v>22002.0</v>
      </c>
      <c r="B117" s="7" t="s">
        <v>13</v>
      </c>
      <c r="C117" s="7" t="s">
        <v>140</v>
      </c>
      <c r="D117" s="8">
        <v>68.0</v>
      </c>
      <c r="E117" s="8">
        <v>1332.0</v>
      </c>
      <c r="F117" s="9">
        <f t="shared" si="2"/>
        <v>5.105105105</v>
      </c>
      <c r="G117" s="10">
        <v>32.0</v>
      </c>
      <c r="H117" s="10">
        <v>974.0</v>
      </c>
      <c r="I117" s="9">
        <f t="shared" si="3"/>
        <v>3.285420945</v>
      </c>
      <c r="K117" s="13"/>
      <c r="L117" s="13"/>
      <c r="M117" s="15"/>
      <c r="N117" s="15"/>
      <c r="P117" s="15"/>
      <c r="Q117" s="15"/>
    </row>
    <row r="118" ht="15.75" customHeight="1">
      <c r="A118" s="6">
        <v>30101.0</v>
      </c>
      <c r="B118" s="7" t="s">
        <v>15</v>
      </c>
      <c r="C118" s="7" t="s">
        <v>15</v>
      </c>
      <c r="D118" s="8">
        <v>12570.0</v>
      </c>
      <c r="E118" s="8">
        <v>66045.0</v>
      </c>
      <c r="F118" s="9">
        <f t="shared" si="2"/>
        <v>19.03247786</v>
      </c>
      <c r="G118" s="10">
        <v>2903.0</v>
      </c>
      <c r="H118" s="10">
        <v>60201.0</v>
      </c>
      <c r="I118" s="9">
        <f t="shared" si="3"/>
        <v>4.822179034</v>
      </c>
      <c r="K118" s="13"/>
      <c r="L118" s="13"/>
      <c r="M118" s="15"/>
      <c r="N118" s="15"/>
      <c r="P118" s="15"/>
      <c r="Q118" s="15"/>
    </row>
    <row r="119" ht="15.75" customHeight="1">
      <c r="A119" s="6">
        <v>30201.0</v>
      </c>
      <c r="B119" s="7" t="s">
        <v>15</v>
      </c>
      <c r="C119" s="7" t="s">
        <v>141</v>
      </c>
      <c r="D119" s="8">
        <v>159.0</v>
      </c>
      <c r="E119" s="8">
        <v>2052.0</v>
      </c>
      <c r="F119" s="9">
        <f t="shared" si="2"/>
        <v>7.748538012</v>
      </c>
      <c r="G119" s="10">
        <v>71.0</v>
      </c>
      <c r="H119" s="10">
        <v>1937.0</v>
      </c>
      <c r="I119" s="9">
        <f t="shared" si="3"/>
        <v>3.665462055</v>
      </c>
      <c r="K119" s="13"/>
      <c r="L119" s="13"/>
      <c r="M119" s="15"/>
      <c r="N119" s="15"/>
      <c r="P119" s="15"/>
      <c r="Q119" s="15"/>
    </row>
    <row r="120" ht="15.75" customHeight="1">
      <c r="A120" s="6">
        <v>30202.0</v>
      </c>
      <c r="B120" s="7" t="s">
        <v>15</v>
      </c>
      <c r="C120" s="7" t="s">
        <v>142</v>
      </c>
      <c r="D120" s="8">
        <v>73.0</v>
      </c>
      <c r="E120" s="8">
        <v>749.0</v>
      </c>
      <c r="F120" s="9">
        <f t="shared" si="2"/>
        <v>9.746328438</v>
      </c>
      <c r="G120" s="10">
        <v>33.0</v>
      </c>
      <c r="H120" s="10">
        <v>584.0</v>
      </c>
      <c r="I120" s="9">
        <f t="shared" si="3"/>
        <v>5.650684932</v>
      </c>
      <c r="K120" s="13"/>
      <c r="L120" s="13"/>
      <c r="M120" s="15"/>
      <c r="N120" s="15"/>
      <c r="P120" s="15"/>
      <c r="Q120" s="15"/>
    </row>
    <row r="121" ht="15.75" customHeight="1">
      <c r="A121" s="6">
        <v>30203.0</v>
      </c>
      <c r="B121" s="7" t="s">
        <v>15</v>
      </c>
      <c r="C121" s="7" t="s">
        <v>143</v>
      </c>
      <c r="D121" s="8">
        <v>35.0</v>
      </c>
      <c r="E121" s="8">
        <v>723.0</v>
      </c>
      <c r="F121" s="9">
        <f t="shared" si="2"/>
        <v>4.840940526</v>
      </c>
      <c r="G121" s="10">
        <v>28.0</v>
      </c>
      <c r="H121" s="10">
        <v>589.0</v>
      </c>
      <c r="I121" s="9">
        <f t="shared" si="3"/>
        <v>4.753820034</v>
      </c>
      <c r="K121" s="13"/>
      <c r="L121" s="13"/>
      <c r="M121" s="15"/>
      <c r="N121" s="15"/>
      <c r="P121" s="15"/>
      <c r="Q121" s="15"/>
    </row>
    <row r="122" ht="15.75" customHeight="1">
      <c r="A122" s="6">
        <v>30301.0</v>
      </c>
      <c r="B122" s="7" t="s">
        <v>15</v>
      </c>
      <c r="C122" s="7" t="s">
        <v>144</v>
      </c>
      <c r="D122" s="8">
        <v>56.0</v>
      </c>
      <c r="E122" s="8">
        <v>2107.0</v>
      </c>
      <c r="F122" s="9">
        <f t="shared" si="2"/>
        <v>2.657807309</v>
      </c>
      <c r="G122" s="10">
        <v>41.0</v>
      </c>
      <c r="H122" s="10">
        <v>1785.0</v>
      </c>
      <c r="I122" s="9">
        <f t="shared" si="3"/>
        <v>2.296918768</v>
      </c>
      <c r="K122" s="13"/>
      <c r="L122" s="13"/>
      <c r="M122" s="15"/>
      <c r="N122" s="15"/>
      <c r="P122" s="15"/>
      <c r="Q122" s="15"/>
    </row>
    <row r="123" ht="15.75" customHeight="1">
      <c r="A123" s="6">
        <v>30302.0</v>
      </c>
      <c r="B123" s="7" t="s">
        <v>15</v>
      </c>
      <c r="C123" s="7" t="s">
        <v>145</v>
      </c>
      <c r="D123" s="8">
        <v>35.0</v>
      </c>
      <c r="E123" s="8">
        <v>1193.0</v>
      </c>
      <c r="F123" s="9">
        <f t="shared" si="2"/>
        <v>2.933780386</v>
      </c>
      <c r="G123" s="10">
        <v>52.0</v>
      </c>
      <c r="H123" s="10">
        <v>1198.0</v>
      </c>
      <c r="I123" s="9">
        <f t="shared" si="3"/>
        <v>4.340567613</v>
      </c>
      <c r="K123" s="13"/>
      <c r="L123" s="13"/>
      <c r="M123" s="15"/>
      <c r="N123" s="15"/>
      <c r="P123" s="15"/>
      <c r="Q123" s="15"/>
    </row>
    <row r="124" ht="15.75" customHeight="1">
      <c r="A124" s="6">
        <v>30303.0</v>
      </c>
      <c r="B124" s="7" t="s">
        <v>15</v>
      </c>
      <c r="C124" s="7" t="s">
        <v>146</v>
      </c>
      <c r="D124" s="8">
        <v>157.0</v>
      </c>
      <c r="E124" s="8">
        <v>2053.0</v>
      </c>
      <c r="F124" s="9">
        <f t="shared" si="2"/>
        <v>7.647345348</v>
      </c>
      <c r="G124" s="10">
        <v>60.0</v>
      </c>
      <c r="H124" s="10">
        <v>2029.0</v>
      </c>
      <c r="I124" s="9">
        <f t="shared" si="3"/>
        <v>2.957121735</v>
      </c>
      <c r="K124" s="13"/>
      <c r="L124" s="13"/>
      <c r="M124" s="15"/>
      <c r="N124" s="15"/>
      <c r="P124" s="15"/>
      <c r="Q124" s="15"/>
    </row>
    <row r="125" ht="15.75" customHeight="1">
      <c r="A125" s="6">
        <v>30401.0</v>
      </c>
      <c r="B125" s="7" t="s">
        <v>15</v>
      </c>
      <c r="C125" s="7" t="s">
        <v>147</v>
      </c>
      <c r="D125" s="8">
        <v>315.0</v>
      </c>
      <c r="E125" s="8">
        <v>1064.0</v>
      </c>
      <c r="F125" s="9">
        <f t="shared" si="2"/>
        <v>29.60526316</v>
      </c>
      <c r="G125" s="10">
        <v>71.0</v>
      </c>
      <c r="H125" s="10">
        <v>1307.0</v>
      </c>
      <c r="I125" s="9">
        <f t="shared" si="3"/>
        <v>5.432287682</v>
      </c>
      <c r="K125" s="13"/>
      <c r="L125" s="13"/>
      <c r="M125" s="15"/>
      <c r="N125" s="15"/>
      <c r="P125" s="15"/>
      <c r="Q125" s="15"/>
    </row>
    <row r="126" ht="15.75" customHeight="1">
      <c r="A126" s="6">
        <v>30402.0</v>
      </c>
      <c r="B126" s="7" t="s">
        <v>15</v>
      </c>
      <c r="C126" s="7" t="s">
        <v>148</v>
      </c>
      <c r="D126" s="8">
        <v>33.0</v>
      </c>
      <c r="E126" s="8">
        <v>580.0</v>
      </c>
      <c r="F126" s="9">
        <f t="shared" si="2"/>
        <v>5.689655172</v>
      </c>
      <c r="G126" s="10">
        <v>18.0</v>
      </c>
      <c r="H126" s="10">
        <v>517.0</v>
      </c>
      <c r="I126" s="9">
        <f t="shared" si="3"/>
        <v>3.481624758</v>
      </c>
      <c r="K126" s="13"/>
      <c r="L126" s="13"/>
      <c r="M126" s="15"/>
      <c r="N126" s="15"/>
      <c r="P126" s="15"/>
      <c r="Q126" s="15"/>
    </row>
    <row r="127" ht="15.75" customHeight="1">
      <c r="A127" s="6">
        <v>30403.0</v>
      </c>
      <c r="B127" s="7" t="s">
        <v>15</v>
      </c>
      <c r="C127" s="7" t="s">
        <v>149</v>
      </c>
      <c r="D127" s="8">
        <v>167.0</v>
      </c>
      <c r="E127" s="8">
        <v>1640.0</v>
      </c>
      <c r="F127" s="9">
        <f t="shared" si="2"/>
        <v>10.18292683</v>
      </c>
      <c r="G127" s="10">
        <v>113.0</v>
      </c>
      <c r="H127" s="10">
        <v>2579.0</v>
      </c>
      <c r="I127" s="9">
        <f t="shared" si="3"/>
        <v>4.381543234</v>
      </c>
      <c r="K127" s="13"/>
      <c r="L127" s="13"/>
      <c r="M127" s="15"/>
      <c r="N127" s="15"/>
      <c r="P127" s="15"/>
      <c r="Q127" s="15"/>
    </row>
    <row r="128" ht="15.75" customHeight="1">
      <c r="A128" s="6">
        <v>30404.0</v>
      </c>
      <c r="B128" s="7" t="s">
        <v>15</v>
      </c>
      <c r="C128" s="7" t="s">
        <v>150</v>
      </c>
      <c r="D128" s="8">
        <v>29.0</v>
      </c>
      <c r="E128" s="8">
        <v>392.0</v>
      </c>
      <c r="F128" s="9">
        <f t="shared" si="2"/>
        <v>7.397959184</v>
      </c>
      <c r="G128" s="10">
        <v>21.0</v>
      </c>
      <c r="H128" s="10">
        <v>444.0</v>
      </c>
      <c r="I128" s="9">
        <f t="shared" si="3"/>
        <v>4.72972973</v>
      </c>
      <c r="K128" s="13"/>
      <c r="L128" s="13"/>
      <c r="M128" s="15"/>
      <c r="N128" s="15"/>
      <c r="P128" s="15"/>
      <c r="Q128" s="15"/>
    </row>
    <row r="129" ht="15.75" customHeight="1">
      <c r="A129" s="6">
        <v>30501.0</v>
      </c>
      <c r="B129" s="7" t="s">
        <v>15</v>
      </c>
      <c r="C129" s="7" t="s">
        <v>151</v>
      </c>
      <c r="D129" s="8">
        <v>129.0</v>
      </c>
      <c r="E129" s="8">
        <v>969.0</v>
      </c>
      <c r="F129" s="9">
        <f t="shared" si="2"/>
        <v>13.3126935</v>
      </c>
      <c r="G129" s="10">
        <v>36.0</v>
      </c>
      <c r="H129" s="10">
        <v>919.0</v>
      </c>
      <c r="I129" s="9">
        <f t="shared" si="3"/>
        <v>3.917301415</v>
      </c>
      <c r="K129" s="13"/>
      <c r="L129" s="13"/>
      <c r="M129" s="15"/>
      <c r="N129" s="15"/>
      <c r="P129" s="15"/>
      <c r="Q129" s="15"/>
    </row>
    <row r="130" ht="15.75" customHeight="1">
      <c r="A130" s="6">
        <v>30502.0</v>
      </c>
      <c r="B130" s="7" t="s">
        <v>15</v>
      </c>
      <c r="C130" s="7" t="s">
        <v>152</v>
      </c>
      <c r="D130" s="8">
        <v>48.0</v>
      </c>
      <c r="E130" s="8">
        <v>946.0</v>
      </c>
      <c r="F130" s="9">
        <f t="shared" si="2"/>
        <v>5.073995772</v>
      </c>
      <c r="G130" s="10">
        <v>19.0</v>
      </c>
      <c r="H130" s="10">
        <v>645.0</v>
      </c>
      <c r="I130" s="9">
        <f t="shared" si="3"/>
        <v>2.945736434</v>
      </c>
      <c r="K130" s="13"/>
      <c r="L130" s="13"/>
      <c r="M130" s="15"/>
      <c r="N130" s="15"/>
      <c r="P130" s="15"/>
      <c r="Q130" s="15"/>
    </row>
    <row r="131" ht="15.75" customHeight="1">
      <c r="A131" s="6">
        <v>30601.0</v>
      </c>
      <c r="B131" s="7" t="s">
        <v>15</v>
      </c>
      <c r="C131" s="7" t="s">
        <v>153</v>
      </c>
      <c r="D131" s="8">
        <v>36.0</v>
      </c>
      <c r="E131" s="8">
        <v>1009.0</v>
      </c>
      <c r="F131" s="9">
        <f t="shared" si="2"/>
        <v>3.567888999</v>
      </c>
      <c r="G131" s="10">
        <v>34.0</v>
      </c>
      <c r="H131" s="10">
        <v>951.0</v>
      </c>
      <c r="I131" s="9">
        <f t="shared" si="3"/>
        <v>3.575184017</v>
      </c>
      <c r="K131" s="13"/>
      <c r="L131" s="13"/>
      <c r="M131" s="15"/>
      <c r="N131" s="15"/>
      <c r="P131" s="15"/>
      <c r="Q131" s="15"/>
    </row>
    <row r="132" ht="15.75" customHeight="1">
      <c r="A132" s="6">
        <v>30602.0</v>
      </c>
      <c r="B132" s="7" t="s">
        <v>15</v>
      </c>
      <c r="C132" s="7" t="s">
        <v>154</v>
      </c>
      <c r="D132" s="8">
        <v>36.0</v>
      </c>
      <c r="E132" s="8">
        <v>960.0</v>
      </c>
      <c r="F132" s="9">
        <f t="shared" si="2"/>
        <v>3.75</v>
      </c>
      <c r="G132" s="10">
        <v>62.0</v>
      </c>
      <c r="H132" s="10">
        <v>1002.0</v>
      </c>
      <c r="I132" s="9">
        <f t="shared" si="3"/>
        <v>6.18762475</v>
      </c>
      <c r="K132" s="13"/>
      <c r="L132" s="13"/>
      <c r="M132" s="15"/>
      <c r="N132" s="15"/>
      <c r="P132" s="15"/>
      <c r="Q132" s="15"/>
    </row>
    <row r="133" ht="15.75" customHeight="1">
      <c r="A133" s="6">
        <v>30701.0</v>
      </c>
      <c r="B133" s="7" t="s">
        <v>15</v>
      </c>
      <c r="C133" s="7" t="s">
        <v>155</v>
      </c>
      <c r="D133" s="8">
        <v>157.0</v>
      </c>
      <c r="E133" s="8">
        <v>2020.0</v>
      </c>
      <c r="F133" s="9">
        <f t="shared" si="2"/>
        <v>7.772277228</v>
      </c>
      <c r="G133" s="10">
        <v>70.0</v>
      </c>
      <c r="H133" s="10">
        <v>1638.0</v>
      </c>
      <c r="I133" s="9">
        <f t="shared" si="3"/>
        <v>4.273504274</v>
      </c>
      <c r="K133" s="13"/>
      <c r="L133" s="13"/>
      <c r="M133" s="15"/>
      <c r="N133" s="15"/>
      <c r="P133" s="15"/>
      <c r="Q133" s="15"/>
    </row>
    <row r="134" ht="15.75" customHeight="1">
      <c r="A134" s="6">
        <v>30702.0</v>
      </c>
      <c r="B134" s="7" t="s">
        <v>15</v>
      </c>
      <c r="C134" s="7" t="s">
        <v>156</v>
      </c>
      <c r="D134" s="8">
        <v>151.0</v>
      </c>
      <c r="E134" s="8">
        <v>721.0</v>
      </c>
      <c r="F134" s="9">
        <f t="shared" si="2"/>
        <v>20.94313454</v>
      </c>
      <c r="G134" s="10">
        <v>80.0</v>
      </c>
      <c r="H134" s="10">
        <v>685.0</v>
      </c>
      <c r="I134" s="9">
        <f t="shared" si="3"/>
        <v>11.67883212</v>
      </c>
      <c r="K134" s="13"/>
      <c r="L134" s="13"/>
      <c r="M134" s="15"/>
      <c r="N134" s="15"/>
      <c r="P134" s="15"/>
      <c r="Q134" s="15"/>
    </row>
    <row r="135" ht="15.75" customHeight="1">
      <c r="A135" s="6">
        <v>30703.0</v>
      </c>
      <c r="B135" s="7" t="s">
        <v>15</v>
      </c>
      <c r="C135" s="7" t="s">
        <v>157</v>
      </c>
      <c r="D135" s="8">
        <v>18.0</v>
      </c>
      <c r="E135" s="8">
        <v>371.0</v>
      </c>
      <c r="F135" s="9">
        <f t="shared" si="2"/>
        <v>4.851752022</v>
      </c>
      <c r="G135" s="10">
        <v>24.0</v>
      </c>
      <c r="H135" s="10">
        <v>368.0</v>
      </c>
      <c r="I135" s="9">
        <f t="shared" si="3"/>
        <v>6.52173913</v>
      </c>
      <c r="K135" s="13"/>
      <c r="L135" s="13"/>
      <c r="M135" s="15"/>
      <c r="N135" s="15"/>
      <c r="P135" s="15"/>
      <c r="Q135" s="15"/>
    </row>
    <row r="136" ht="15.75" customHeight="1">
      <c r="A136" s="6">
        <v>30801.0</v>
      </c>
      <c r="B136" s="7" t="s">
        <v>15</v>
      </c>
      <c r="C136" s="7" t="s">
        <v>158</v>
      </c>
      <c r="D136" s="8">
        <v>341.0</v>
      </c>
      <c r="E136" s="8">
        <v>2196.0</v>
      </c>
      <c r="F136" s="9">
        <f t="shared" si="2"/>
        <v>15.52823315</v>
      </c>
      <c r="G136" s="10">
        <v>72.0</v>
      </c>
      <c r="H136" s="10">
        <v>1748.0</v>
      </c>
      <c r="I136" s="9">
        <f t="shared" si="3"/>
        <v>4.118993135</v>
      </c>
      <c r="K136" s="13"/>
      <c r="L136" s="13"/>
      <c r="M136" s="15"/>
      <c r="N136" s="15"/>
      <c r="P136" s="15"/>
      <c r="Q136" s="15"/>
    </row>
    <row r="137" ht="15.75" customHeight="1">
      <c r="A137" s="6">
        <v>30802.0</v>
      </c>
      <c r="B137" s="7" t="s">
        <v>15</v>
      </c>
      <c r="C137" s="7" t="s">
        <v>159</v>
      </c>
      <c r="D137" s="8">
        <v>93.0</v>
      </c>
      <c r="E137" s="8">
        <v>710.0</v>
      </c>
      <c r="F137" s="9">
        <f t="shared" si="2"/>
        <v>13.09859155</v>
      </c>
      <c r="G137" s="10">
        <v>33.0</v>
      </c>
      <c r="H137" s="10">
        <v>590.0</v>
      </c>
      <c r="I137" s="9">
        <f t="shared" si="3"/>
        <v>5.593220339</v>
      </c>
      <c r="K137" s="13"/>
      <c r="L137" s="13"/>
      <c r="M137" s="15"/>
      <c r="N137" s="15"/>
      <c r="P137" s="15"/>
      <c r="Q137" s="15"/>
    </row>
    <row r="138" ht="15.75" customHeight="1">
      <c r="A138" s="6">
        <v>30803.0</v>
      </c>
      <c r="B138" s="7" t="s">
        <v>15</v>
      </c>
      <c r="C138" s="7" t="s">
        <v>160</v>
      </c>
      <c r="D138" s="8">
        <v>385.0</v>
      </c>
      <c r="E138" s="8">
        <v>896.0</v>
      </c>
      <c r="F138" s="9">
        <f t="shared" si="2"/>
        <v>42.96875</v>
      </c>
      <c r="G138" s="10">
        <v>465.0</v>
      </c>
      <c r="H138" s="10">
        <v>1384.0</v>
      </c>
      <c r="I138" s="9">
        <f t="shared" si="3"/>
        <v>33.5982659</v>
      </c>
      <c r="K138" s="13"/>
      <c r="L138" s="13"/>
      <c r="M138" s="15"/>
      <c r="N138" s="15"/>
      <c r="P138" s="15"/>
      <c r="Q138" s="15"/>
    </row>
    <row r="139" ht="15.75" customHeight="1">
      <c r="A139" s="6">
        <v>30901.0</v>
      </c>
      <c r="B139" s="7" t="s">
        <v>15</v>
      </c>
      <c r="C139" s="7" t="s">
        <v>161</v>
      </c>
      <c r="D139" s="8">
        <v>2614.0</v>
      </c>
      <c r="E139" s="8">
        <v>14906.0</v>
      </c>
      <c r="F139" s="9">
        <f t="shared" si="2"/>
        <v>17.53656246</v>
      </c>
      <c r="G139" s="10">
        <v>947.0</v>
      </c>
      <c r="H139" s="10">
        <v>15493.0</v>
      </c>
      <c r="I139" s="9">
        <f t="shared" si="3"/>
        <v>6.112437875</v>
      </c>
      <c r="K139" s="13"/>
      <c r="L139" s="13"/>
      <c r="M139" s="15"/>
      <c r="N139" s="15"/>
      <c r="P139" s="15"/>
      <c r="Q139" s="15"/>
    </row>
    <row r="140" ht="15.75" customHeight="1">
      <c r="A140" s="6">
        <v>30902.0</v>
      </c>
      <c r="B140" s="7" t="s">
        <v>15</v>
      </c>
      <c r="C140" s="7" t="s">
        <v>162</v>
      </c>
      <c r="D140" s="8">
        <v>426.0</v>
      </c>
      <c r="E140" s="8">
        <v>4432.0</v>
      </c>
      <c r="F140" s="9">
        <f t="shared" si="2"/>
        <v>9.611913357</v>
      </c>
      <c r="G140" s="10">
        <v>236.0</v>
      </c>
      <c r="H140" s="10">
        <v>5025.0</v>
      </c>
      <c r="I140" s="9">
        <f t="shared" si="3"/>
        <v>4.696517413</v>
      </c>
      <c r="K140" s="13"/>
      <c r="L140" s="13"/>
      <c r="M140" s="15"/>
      <c r="N140" s="15"/>
      <c r="P140" s="15"/>
      <c r="Q140" s="15"/>
    </row>
    <row r="141" ht="15.75" customHeight="1">
      <c r="A141" s="6">
        <v>30903.0</v>
      </c>
      <c r="B141" s="7" t="s">
        <v>15</v>
      </c>
      <c r="C141" s="7" t="s">
        <v>163</v>
      </c>
      <c r="D141" s="8">
        <v>869.0</v>
      </c>
      <c r="E141" s="8">
        <v>5893.0</v>
      </c>
      <c r="F141" s="9">
        <f t="shared" si="2"/>
        <v>14.74630918</v>
      </c>
      <c r="G141" s="10">
        <v>222.0</v>
      </c>
      <c r="H141" s="10">
        <v>5676.0</v>
      </c>
      <c r="I141" s="9">
        <f t="shared" si="3"/>
        <v>3.911205074</v>
      </c>
      <c r="K141" s="13"/>
      <c r="L141" s="13"/>
      <c r="M141" s="15"/>
      <c r="N141" s="15"/>
      <c r="P141" s="15"/>
      <c r="Q141" s="15"/>
    </row>
    <row r="142" ht="15.75" customHeight="1">
      <c r="A142" s="6">
        <v>30904.0</v>
      </c>
      <c r="B142" s="7" t="s">
        <v>15</v>
      </c>
      <c r="C142" s="7" t="s">
        <v>164</v>
      </c>
      <c r="D142" s="8">
        <v>744.0</v>
      </c>
      <c r="E142" s="8">
        <v>5643.0</v>
      </c>
      <c r="F142" s="9">
        <f t="shared" si="2"/>
        <v>13.18447634</v>
      </c>
      <c r="G142" s="10">
        <v>201.0</v>
      </c>
      <c r="H142" s="10">
        <v>5429.0</v>
      </c>
      <c r="I142" s="9">
        <f t="shared" si="3"/>
        <v>3.702339289</v>
      </c>
      <c r="K142" s="13"/>
      <c r="L142" s="13"/>
      <c r="M142" s="15"/>
      <c r="N142" s="15"/>
      <c r="P142" s="15"/>
      <c r="Q142" s="15"/>
    </row>
    <row r="143" ht="15.75" customHeight="1">
      <c r="A143" s="6">
        <v>30905.0</v>
      </c>
      <c r="B143" s="7" t="s">
        <v>15</v>
      </c>
      <c r="C143" s="7" t="s">
        <v>165</v>
      </c>
      <c r="D143" s="8">
        <v>983.0</v>
      </c>
      <c r="E143" s="8">
        <v>5461.0</v>
      </c>
      <c r="F143" s="9">
        <f t="shared" si="2"/>
        <v>18.00036623</v>
      </c>
      <c r="G143" s="10">
        <v>203.0</v>
      </c>
      <c r="H143" s="10">
        <v>5975.0</v>
      </c>
      <c r="I143" s="9">
        <f t="shared" si="3"/>
        <v>3.39748954</v>
      </c>
      <c r="K143" s="13"/>
      <c r="L143" s="13"/>
      <c r="M143" s="15"/>
      <c r="N143" s="15"/>
      <c r="P143" s="15"/>
      <c r="Q143" s="15"/>
    </row>
    <row r="144" ht="15.75" customHeight="1">
      <c r="A144" s="6">
        <v>31001.0</v>
      </c>
      <c r="B144" s="7" t="s">
        <v>15</v>
      </c>
      <c r="C144" s="7" t="s">
        <v>166</v>
      </c>
      <c r="D144" s="8">
        <v>2957.0</v>
      </c>
      <c r="E144" s="8">
        <v>18873.0</v>
      </c>
      <c r="F144" s="9">
        <f t="shared" si="2"/>
        <v>15.66788534</v>
      </c>
      <c r="G144" s="10">
        <v>766.0</v>
      </c>
      <c r="H144" s="10">
        <v>20942.0</v>
      </c>
      <c r="I144" s="9">
        <f t="shared" si="3"/>
        <v>3.657721326</v>
      </c>
      <c r="K144" s="13"/>
      <c r="L144" s="13"/>
      <c r="M144" s="15"/>
      <c r="N144" s="15"/>
      <c r="P144" s="15"/>
      <c r="Q144" s="15"/>
    </row>
    <row r="145" ht="15.75" customHeight="1">
      <c r="A145" s="6">
        <v>31002.0</v>
      </c>
      <c r="B145" s="7" t="s">
        <v>15</v>
      </c>
      <c r="C145" s="7" t="s">
        <v>167</v>
      </c>
      <c r="D145" s="8">
        <v>264.0</v>
      </c>
      <c r="E145" s="8">
        <v>2306.0</v>
      </c>
      <c r="F145" s="9">
        <f t="shared" si="2"/>
        <v>11.44839549</v>
      </c>
      <c r="G145" s="10">
        <v>210.0</v>
      </c>
      <c r="H145" s="10">
        <v>2285.0</v>
      </c>
      <c r="I145" s="9">
        <f t="shared" si="3"/>
        <v>9.190371991</v>
      </c>
      <c r="K145" s="13"/>
      <c r="L145" s="13"/>
      <c r="M145" s="15"/>
      <c r="N145" s="15"/>
      <c r="P145" s="15"/>
      <c r="Q145" s="15"/>
    </row>
    <row r="146" ht="15.75" customHeight="1">
      <c r="A146" s="6">
        <v>31003.0</v>
      </c>
      <c r="B146" s="7" t="s">
        <v>15</v>
      </c>
      <c r="C146" s="7" t="s">
        <v>168</v>
      </c>
      <c r="D146" s="8">
        <v>612.0</v>
      </c>
      <c r="E146" s="8">
        <v>8695.0</v>
      </c>
      <c r="F146" s="9">
        <f t="shared" si="2"/>
        <v>7.03852789</v>
      </c>
      <c r="G146" s="10">
        <v>605.0</v>
      </c>
      <c r="H146" s="10">
        <v>9745.0</v>
      </c>
      <c r="I146" s="9">
        <f t="shared" si="3"/>
        <v>6.208311955</v>
      </c>
      <c r="K146" s="13"/>
      <c r="L146" s="13"/>
      <c r="M146" s="15"/>
      <c r="N146" s="15"/>
      <c r="P146" s="15"/>
      <c r="Q146" s="15"/>
    </row>
    <row r="147" ht="15.75" customHeight="1">
      <c r="A147" s="6">
        <v>31101.0</v>
      </c>
      <c r="B147" s="7" t="s">
        <v>15</v>
      </c>
      <c r="C147" s="7" t="s">
        <v>169</v>
      </c>
      <c r="D147" s="8">
        <v>74.0</v>
      </c>
      <c r="E147" s="8">
        <v>2570.0</v>
      </c>
      <c r="F147" s="9">
        <f t="shared" si="2"/>
        <v>2.879377432</v>
      </c>
      <c r="G147" s="10">
        <v>92.0</v>
      </c>
      <c r="H147" s="10">
        <v>2121.0</v>
      </c>
      <c r="I147" s="9">
        <f t="shared" si="3"/>
        <v>4.337576615</v>
      </c>
      <c r="K147" s="13"/>
      <c r="L147" s="13"/>
      <c r="M147" s="15"/>
      <c r="N147" s="15"/>
      <c r="P147" s="15"/>
      <c r="Q147" s="15"/>
    </row>
    <row r="148" ht="15.75" customHeight="1">
      <c r="A148" s="6">
        <v>31201.0</v>
      </c>
      <c r="B148" s="7" t="s">
        <v>15</v>
      </c>
      <c r="C148" s="7" t="s">
        <v>170</v>
      </c>
      <c r="D148" s="8">
        <v>57.0</v>
      </c>
      <c r="E148" s="8">
        <v>1615.0</v>
      </c>
      <c r="F148" s="9">
        <f t="shared" si="2"/>
        <v>3.529411765</v>
      </c>
      <c r="G148" s="10">
        <v>24.0</v>
      </c>
      <c r="H148" s="10">
        <v>1498.0</v>
      </c>
      <c r="I148" s="9">
        <f t="shared" si="3"/>
        <v>1.602136182</v>
      </c>
      <c r="K148" s="13"/>
      <c r="L148" s="13"/>
      <c r="M148" s="15"/>
      <c r="N148" s="15"/>
      <c r="P148" s="15"/>
      <c r="Q148" s="15"/>
    </row>
    <row r="149" ht="15.75" customHeight="1">
      <c r="A149" s="6">
        <v>31202.0</v>
      </c>
      <c r="B149" s="7" t="s">
        <v>15</v>
      </c>
      <c r="C149" s="7" t="s">
        <v>171</v>
      </c>
      <c r="D149" s="8">
        <v>48.0</v>
      </c>
      <c r="E149" s="8">
        <v>1097.0</v>
      </c>
      <c r="F149" s="9">
        <f t="shared" si="2"/>
        <v>4.375569736</v>
      </c>
      <c r="G149" s="10">
        <v>30.0</v>
      </c>
      <c r="H149" s="10">
        <v>1249.0</v>
      </c>
      <c r="I149" s="9">
        <f t="shared" si="3"/>
        <v>2.401921537</v>
      </c>
      <c r="K149" s="13"/>
      <c r="L149" s="13"/>
      <c r="M149" s="15"/>
      <c r="N149" s="15"/>
      <c r="P149" s="15"/>
      <c r="Q149" s="15"/>
    </row>
    <row r="150" ht="15.75" customHeight="1">
      <c r="A150" s="6">
        <v>31203.0</v>
      </c>
      <c r="B150" s="7" t="s">
        <v>15</v>
      </c>
      <c r="C150" s="7" t="s">
        <v>172</v>
      </c>
      <c r="D150" s="8">
        <v>35.0</v>
      </c>
      <c r="E150" s="8">
        <v>1174.0</v>
      </c>
      <c r="F150" s="9">
        <f t="shared" si="2"/>
        <v>2.981260647</v>
      </c>
      <c r="G150" s="10">
        <v>34.0</v>
      </c>
      <c r="H150" s="10">
        <v>1026.0</v>
      </c>
      <c r="I150" s="9">
        <f t="shared" si="3"/>
        <v>3.313840156</v>
      </c>
      <c r="K150" s="13"/>
      <c r="L150" s="13"/>
      <c r="M150" s="15"/>
      <c r="N150" s="15"/>
      <c r="P150" s="15"/>
      <c r="Q150" s="15"/>
    </row>
    <row r="151" ht="15.75" customHeight="1">
      <c r="A151" s="6">
        <v>31204.0</v>
      </c>
      <c r="B151" s="7" t="s">
        <v>15</v>
      </c>
      <c r="C151" s="7" t="s">
        <v>173</v>
      </c>
      <c r="D151" s="8">
        <v>282.0</v>
      </c>
      <c r="E151" s="8">
        <v>2723.0</v>
      </c>
      <c r="F151" s="9">
        <f t="shared" si="2"/>
        <v>10.35622475</v>
      </c>
      <c r="G151" s="10">
        <v>341.0</v>
      </c>
      <c r="H151" s="10">
        <v>2981.0</v>
      </c>
      <c r="I151" s="9">
        <f t="shared" si="3"/>
        <v>11.43911439</v>
      </c>
      <c r="K151" s="13"/>
      <c r="L151" s="13"/>
      <c r="M151" s="15"/>
      <c r="N151" s="15"/>
      <c r="P151" s="15"/>
      <c r="Q151" s="15"/>
    </row>
    <row r="152" ht="15.75" customHeight="1">
      <c r="A152" s="6">
        <v>31205.0</v>
      </c>
      <c r="B152" s="7" t="s">
        <v>15</v>
      </c>
      <c r="C152" s="7" t="s">
        <v>174</v>
      </c>
      <c r="D152" s="8">
        <v>400.0</v>
      </c>
      <c r="E152" s="8">
        <v>6023.0</v>
      </c>
      <c r="F152" s="9">
        <f t="shared" si="2"/>
        <v>6.6412087</v>
      </c>
      <c r="G152" s="10">
        <v>379.0</v>
      </c>
      <c r="H152" s="10">
        <v>6533.0</v>
      </c>
      <c r="I152" s="9">
        <f t="shared" si="3"/>
        <v>5.801316394</v>
      </c>
      <c r="K152" s="13"/>
      <c r="L152" s="13"/>
      <c r="M152" s="15"/>
      <c r="N152" s="15"/>
      <c r="P152" s="15"/>
      <c r="Q152" s="15"/>
    </row>
    <row r="153" ht="15.75" customHeight="1">
      <c r="A153" s="6">
        <v>31206.0</v>
      </c>
      <c r="B153" s="7" t="s">
        <v>15</v>
      </c>
      <c r="C153" s="7" t="s">
        <v>175</v>
      </c>
      <c r="D153" s="8">
        <v>536.0</v>
      </c>
      <c r="E153" s="8">
        <v>4181.0</v>
      </c>
      <c r="F153" s="9">
        <f t="shared" si="2"/>
        <v>12.81989955</v>
      </c>
      <c r="G153" s="10">
        <v>436.0</v>
      </c>
      <c r="H153" s="10">
        <v>4607.0</v>
      </c>
      <c r="I153" s="9">
        <f t="shared" si="3"/>
        <v>9.463859344</v>
      </c>
      <c r="K153" s="13"/>
      <c r="L153" s="13"/>
      <c r="M153" s="15"/>
      <c r="N153" s="15"/>
      <c r="P153" s="15"/>
      <c r="Q153" s="15"/>
    </row>
    <row r="154" ht="15.75" customHeight="1">
      <c r="A154" s="6">
        <v>31301.0</v>
      </c>
      <c r="B154" s="7" t="s">
        <v>15</v>
      </c>
      <c r="C154" s="7" t="s">
        <v>176</v>
      </c>
      <c r="D154" s="8">
        <v>79.0</v>
      </c>
      <c r="E154" s="8">
        <v>2117.0</v>
      </c>
      <c r="F154" s="9">
        <f t="shared" si="2"/>
        <v>3.731695796</v>
      </c>
      <c r="G154" s="10">
        <v>46.0</v>
      </c>
      <c r="H154" s="10">
        <v>1658.0</v>
      </c>
      <c r="I154" s="9">
        <f t="shared" si="3"/>
        <v>2.774427021</v>
      </c>
      <c r="K154" s="13"/>
      <c r="L154" s="13"/>
      <c r="M154" s="15"/>
      <c r="N154" s="15"/>
      <c r="P154" s="15"/>
      <c r="Q154" s="15"/>
    </row>
    <row r="155" ht="15.75" customHeight="1">
      <c r="A155" s="6">
        <v>31302.0</v>
      </c>
      <c r="B155" s="7" t="s">
        <v>15</v>
      </c>
      <c r="C155" s="7" t="s">
        <v>177</v>
      </c>
      <c r="D155" s="8">
        <v>35.0</v>
      </c>
      <c r="E155" s="8">
        <v>538.0</v>
      </c>
      <c r="F155" s="9">
        <f t="shared" si="2"/>
        <v>6.505576208</v>
      </c>
      <c r="G155" s="10">
        <v>35.0</v>
      </c>
      <c r="H155" s="10">
        <v>504.0</v>
      </c>
      <c r="I155" s="9">
        <f t="shared" si="3"/>
        <v>6.944444444</v>
      </c>
      <c r="K155" s="13"/>
      <c r="L155" s="13"/>
      <c r="M155" s="15"/>
      <c r="N155" s="15"/>
      <c r="P155" s="15"/>
      <c r="Q155" s="15"/>
    </row>
    <row r="156" ht="15.75" customHeight="1">
      <c r="A156" s="6">
        <v>31303.0</v>
      </c>
      <c r="B156" s="7" t="s">
        <v>15</v>
      </c>
      <c r="C156" s="7" t="s">
        <v>178</v>
      </c>
      <c r="D156" s="8">
        <v>21.0</v>
      </c>
      <c r="E156" s="8">
        <v>337.0</v>
      </c>
      <c r="F156" s="9">
        <f t="shared" si="2"/>
        <v>6.231454006</v>
      </c>
      <c r="G156" s="10">
        <v>22.0</v>
      </c>
      <c r="H156" s="10">
        <v>374.0</v>
      </c>
      <c r="I156" s="9">
        <f t="shared" si="3"/>
        <v>5.882352941</v>
      </c>
      <c r="K156" s="13"/>
      <c r="L156" s="13"/>
      <c r="M156" s="15"/>
      <c r="N156" s="15"/>
      <c r="P156" s="15"/>
      <c r="Q156" s="15"/>
    </row>
    <row r="157" ht="15.75" customHeight="1">
      <c r="A157" s="6">
        <v>31304.0</v>
      </c>
      <c r="B157" s="7" t="s">
        <v>15</v>
      </c>
      <c r="C157" s="7" t="s">
        <v>179</v>
      </c>
      <c r="D157" s="8">
        <v>14.0</v>
      </c>
      <c r="E157" s="8">
        <v>891.0</v>
      </c>
      <c r="F157" s="9">
        <f t="shared" si="2"/>
        <v>1.571268238</v>
      </c>
      <c r="G157" s="10">
        <v>35.0</v>
      </c>
      <c r="H157" s="10">
        <v>836.0</v>
      </c>
      <c r="I157" s="9">
        <f t="shared" si="3"/>
        <v>4.186602871</v>
      </c>
      <c r="K157" s="13"/>
      <c r="L157" s="13"/>
      <c r="M157" s="15"/>
      <c r="N157" s="15"/>
      <c r="P157" s="15"/>
      <c r="Q157" s="15"/>
    </row>
    <row r="158" ht="15.75" customHeight="1">
      <c r="A158" s="6">
        <v>31401.0</v>
      </c>
      <c r="B158" s="7" t="s">
        <v>15</v>
      </c>
      <c r="C158" s="7" t="s">
        <v>180</v>
      </c>
      <c r="D158" s="8">
        <v>495.0</v>
      </c>
      <c r="E158" s="8">
        <v>2915.0</v>
      </c>
      <c r="F158" s="9">
        <f t="shared" si="2"/>
        <v>16.98113208</v>
      </c>
      <c r="G158" s="10">
        <v>108.0</v>
      </c>
      <c r="H158" s="10">
        <v>2736.0</v>
      </c>
      <c r="I158" s="9">
        <f t="shared" si="3"/>
        <v>3.947368421</v>
      </c>
      <c r="K158" s="13"/>
      <c r="L158" s="13"/>
      <c r="M158" s="15"/>
      <c r="N158" s="15"/>
      <c r="P158" s="15"/>
      <c r="Q158" s="15"/>
    </row>
    <row r="159" ht="15.75" customHeight="1">
      <c r="A159" s="6">
        <v>31402.0</v>
      </c>
      <c r="B159" s="7" t="s">
        <v>15</v>
      </c>
      <c r="C159" s="7" t="s">
        <v>181</v>
      </c>
      <c r="D159" s="8">
        <v>115.0</v>
      </c>
      <c r="E159" s="8">
        <v>776.0</v>
      </c>
      <c r="F159" s="9">
        <f t="shared" si="2"/>
        <v>14.81958763</v>
      </c>
      <c r="G159" s="10">
        <v>47.0</v>
      </c>
      <c r="H159" s="10">
        <v>721.0</v>
      </c>
      <c r="I159" s="9">
        <f t="shared" si="3"/>
        <v>6.518723994</v>
      </c>
      <c r="K159" s="13"/>
      <c r="L159" s="13"/>
      <c r="M159" s="15"/>
      <c r="N159" s="15"/>
      <c r="P159" s="15"/>
      <c r="Q159" s="15"/>
    </row>
    <row r="160" ht="15.75" customHeight="1">
      <c r="A160" s="6">
        <v>31403.0</v>
      </c>
      <c r="B160" s="7" t="s">
        <v>15</v>
      </c>
      <c r="C160" s="7" t="s">
        <v>182</v>
      </c>
      <c r="D160" s="8">
        <v>205.0</v>
      </c>
      <c r="E160" s="8">
        <v>1476.0</v>
      </c>
      <c r="F160" s="9">
        <f t="shared" si="2"/>
        <v>13.88888889</v>
      </c>
      <c r="G160" s="10">
        <v>38.0</v>
      </c>
      <c r="H160" s="10">
        <v>1061.0</v>
      </c>
      <c r="I160" s="9">
        <f t="shared" si="3"/>
        <v>3.581526861</v>
      </c>
      <c r="K160" s="13"/>
      <c r="L160" s="13"/>
      <c r="M160" s="15"/>
      <c r="N160" s="15"/>
      <c r="P160" s="15"/>
      <c r="Q160" s="15"/>
    </row>
    <row r="161" ht="15.75" customHeight="1">
      <c r="A161" s="6">
        <v>31404.0</v>
      </c>
      <c r="B161" s="7" t="s">
        <v>15</v>
      </c>
      <c r="C161" s="7" t="s">
        <v>183</v>
      </c>
      <c r="D161" s="8">
        <v>15.0</v>
      </c>
      <c r="E161" s="8">
        <v>121.0</v>
      </c>
      <c r="F161" s="9">
        <f t="shared" si="2"/>
        <v>12.39669421</v>
      </c>
      <c r="G161" s="10">
        <v>5.0</v>
      </c>
      <c r="H161" s="10">
        <v>92.0</v>
      </c>
      <c r="I161" s="9">
        <f t="shared" si="3"/>
        <v>5.434782609</v>
      </c>
      <c r="K161" s="13"/>
      <c r="L161" s="13"/>
      <c r="M161" s="15"/>
      <c r="N161" s="15"/>
      <c r="P161" s="15"/>
      <c r="Q161" s="15"/>
    </row>
    <row r="162" ht="15.75" customHeight="1">
      <c r="A162" s="6">
        <v>31405.0</v>
      </c>
      <c r="B162" s="7" t="s">
        <v>15</v>
      </c>
      <c r="C162" s="7" t="s">
        <v>184</v>
      </c>
      <c r="D162" s="8">
        <v>40.0</v>
      </c>
      <c r="E162" s="8">
        <v>255.0</v>
      </c>
      <c r="F162" s="9">
        <f t="shared" si="2"/>
        <v>15.68627451</v>
      </c>
      <c r="G162" s="10">
        <v>14.0</v>
      </c>
      <c r="H162" s="10">
        <v>324.0</v>
      </c>
      <c r="I162" s="9">
        <f t="shared" si="3"/>
        <v>4.320987654</v>
      </c>
      <c r="K162" s="13"/>
      <c r="L162" s="13"/>
      <c r="M162" s="15"/>
      <c r="N162" s="15"/>
      <c r="P162" s="15"/>
      <c r="Q162" s="15"/>
    </row>
    <row r="163" ht="15.75" customHeight="1">
      <c r="A163" s="6">
        <v>31501.0</v>
      </c>
      <c r="B163" s="7" t="s">
        <v>15</v>
      </c>
      <c r="C163" s="7" t="s">
        <v>185</v>
      </c>
      <c r="D163" s="8">
        <v>16.0</v>
      </c>
      <c r="E163" s="8">
        <v>754.0</v>
      </c>
      <c r="F163" s="9">
        <f t="shared" si="2"/>
        <v>2.122015915</v>
      </c>
      <c r="G163" s="10">
        <v>39.0</v>
      </c>
      <c r="H163" s="10">
        <v>755.0</v>
      </c>
      <c r="I163" s="9">
        <f t="shared" si="3"/>
        <v>5.165562914</v>
      </c>
      <c r="K163" s="13"/>
      <c r="L163" s="13"/>
      <c r="M163" s="15"/>
      <c r="N163" s="15"/>
      <c r="P163" s="15"/>
      <c r="Q163" s="15"/>
    </row>
    <row r="164" ht="15.75" customHeight="1">
      <c r="A164" s="6">
        <v>31601.0</v>
      </c>
      <c r="B164" s="7" t="s">
        <v>15</v>
      </c>
      <c r="C164" s="7" t="s">
        <v>186</v>
      </c>
      <c r="D164" s="8">
        <v>84.0</v>
      </c>
      <c r="E164" s="8">
        <v>2203.0</v>
      </c>
      <c r="F164" s="9">
        <f t="shared" si="2"/>
        <v>3.812982297</v>
      </c>
      <c r="G164" s="10">
        <v>52.0</v>
      </c>
      <c r="H164" s="10">
        <v>1577.0</v>
      </c>
      <c r="I164" s="9">
        <f t="shared" si="3"/>
        <v>3.297400127</v>
      </c>
      <c r="K164" s="13"/>
      <c r="L164" s="13"/>
      <c r="M164" s="15"/>
      <c r="N164" s="15"/>
      <c r="P164" s="15"/>
      <c r="Q164" s="15"/>
    </row>
    <row r="165" ht="15.75" customHeight="1">
      <c r="A165" s="6">
        <v>31602.0</v>
      </c>
      <c r="B165" s="7" t="s">
        <v>15</v>
      </c>
      <c r="C165" s="7" t="s">
        <v>187</v>
      </c>
      <c r="D165" s="8">
        <v>164.0</v>
      </c>
      <c r="E165" s="8">
        <v>2567.0</v>
      </c>
      <c r="F165" s="9">
        <f t="shared" si="2"/>
        <v>6.388780678</v>
      </c>
      <c r="G165" s="10">
        <v>254.0</v>
      </c>
      <c r="H165" s="10">
        <v>3068.0</v>
      </c>
      <c r="I165" s="9">
        <f t="shared" si="3"/>
        <v>8.279009126</v>
      </c>
      <c r="K165" s="13"/>
      <c r="L165" s="13"/>
      <c r="M165" s="15"/>
      <c r="N165" s="15"/>
      <c r="P165" s="15"/>
      <c r="Q165" s="15"/>
    </row>
    <row r="166" ht="15.75" customHeight="1">
      <c r="A166" s="6">
        <v>40101.0</v>
      </c>
      <c r="B166" s="7" t="s">
        <v>17</v>
      </c>
      <c r="C166" s="7" t="s">
        <v>17</v>
      </c>
      <c r="D166" s="8">
        <v>5912.0</v>
      </c>
      <c r="E166" s="8">
        <v>28134.0</v>
      </c>
      <c r="F166" s="9">
        <f t="shared" si="2"/>
        <v>21.01372005</v>
      </c>
      <c r="G166" s="10">
        <v>1089.0</v>
      </c>
      <c r="H166" s="10">
        <v>28020.0</v>
      </c>
      <c r="I166" s="9">
        <f t="shared" si="3"/>
        <v>3.886509636</v>
      </c>
      <c r="K166" s="13"/>
      <c r="L166" s="13"/>
      <c r="M166" s="15"/>
      <c r="N166" s="15"/>
      <c r="P166" s="15"/>
      <c r="Q166" s="15"/>
    </row>
    <row r="167" ht="15.75" customHeight="1">
      <c r="A167" s="6">
        <v>40102.0</v>
      </c>
      <c r="B167" s="7" t="s">
        <v>17</v>
      </c>
      <c r="C167" s="7" t="s">
        <v>188</v>
      </c>
      <c r="D167" s="8">
        <v>273.0</v>
      </c>
      <c r="E167" s="8">
        <v>2155.0</v>
      </c>
      <c r="F167" s="9">
        <f t="shared" si="2"/>
        <v>12.66821346</v>
      </c>
      <c r="G167" s="10">
        <v>83.0</v>
      </c>
      <c r="H167" s="10">
        <v>2132.0</v>
      </c>
      <c r="I167" s="9">
        <f t="shared" si="3"/>
        <v>3.893058161</v>
      </c>
      <c r="K167" s="13"/>
      <c r="L167" s="13"/>
      <c r="M167" s="15"/>
      <c r="N167" s="15"/>
      <c r="P167" s="15"/>
      <c r="Q167" s="15"/>
    </row>
    <row r="168" ht="15.75" customHeight="1">
      <c r="A168" s="6">
        <v>40103.0</v>
      </c>
      <c r="B168" s="7" t="s">
        <v>17</v>
      </c>
      <c r="C168" s="7" t="s">
        <v>189</v>
      </c>
      <c r="D168" s="8">
        <v>65.0</v>
      </c>
      <c r="E168" s="8">
        <v>772.0</v>
      </c>
      <c r="F168" s="9">
        <f t="shared" si="2"/>
        <v>8.419689119</v>
      </c>
      <c r="G168" s="10">
        <v>33.0</v>
      </c>
      <c r="H168" s="10">
        <v>807.0</v>
      </c>
      <c r="I168" s="9">
        <f t="shared" si="3"/>
        <v>4.089219331</v>
      </c>
      <c r="K168" s="13"/>
      <c r="L168" s="13"/>
      <c r="M168" s="15"/>
      <c r="N168" s="15"/>
      <c r="P168" s="15"/>
      <c r="Q168" s="15"/>
    </row>
    <row r="169" ht="15.75" customHeight="1">
      <c r="A169" s="6">
        <v>40104.0</v>
      </c>
      <c r="B169" s="7" t="s">
        <v>17</v>
      </c>
      <c r="C169" s="7" t="s">
        <v>190</v>
      </c>
      <c r="D169" s="8">
        <v>93.0</v>
      </c>
      <c r="E169" s="8">
        <v>1239.0</v>
      </c>
      <c r="F169" s="9">
        <f t="shared" si="2"/>
        <v>7.506053269</v>
      </c>
      <c r="G169" s="10">
        <v>65.0</v>
      </c>
      <c r="H169" s="10">
        <v>1231.0</v>
      </c>
      <c r="I169" s="9">
        <f t="shared" si="3"/>
        <v>5.280259951</v>
      </c>
      <c r="K169" s="13"/>
      <c r="L169" s="13"/>
      <c r="M169" s="15"/>
      <c r="N169" s="15"/>
      <c r="P169" s="15"/>
      <c r="Q169" s="15"/>
    </row>
    <row r="170" ht="15.75" customHeight="1">
      <c r="A170" s="6">
        <v>40201.0</v>
      </c>
      <c r="B170" s="7" t="s">
        <v>17</v>
      </c>
      <c r="C170" s="7" t="s">
        <v>191</v>
      </c>
      <c r="D170" s="8">
        <v>565.0</v>
      </c>
      <c r="E170" s="8">
        <v>3015.0</v>
      </c>
      <c r="F170" s="9">
        <f t="shared" si="2"/>
        <v>18.73963516</v>
      </c>
      <c r="G170" s="10">
        <v>153.0</v>
      </c>
      <c r="H170" s="10">
        <v>3408.0</v>
      </c>
      <c r="I170" s="9">
        <f t="shared" si="3"/>
        <v>4.48943662</v>
      </c>
      <c r="K170" s="13"/>
      <c r="L170" s="13"/>
      <c r="M170" s="15"/>
      <c r="N170" s="15"/>
      <c r="P170" s="15"/>
      <c r="Q170" s="15"/>
    </row>
    <row r="171" ht="15.75" customHeight="1">
      <c r="A171" s="6">
        <v>40202.0</v>
      </c>
      <c r="B171" s="7" t="s">
        <v>17</v>
      </c>
      <c r="C171" s="7" t="s">
        <v>192</v>
      </c>
      <c r="D171" s="8">
        <v>18.0</v>
      </c>
      <c r="E171" s="8">
        <v>351.0</v>
      </c>
      <c r="F171" s="9">
        <f t="shared" si="2"/>
        <v>5.128205128</v>
      </c>
      <c r="G171" s="10">
        <v>11.0</v>
      </c>
      <c r="H171" s="10">
        <v>430.0</v>
      </c>
      <c r="I171" s="9">
        <f t="shared" si="3"/>
        <v>2.558139535</v>
      </c>
      <c r="K171" s="13"/>
      <c r="L171" s="13"/>
      <c r="M171" s="15"/>
      <c r="N171" s="15"/>
      <c r="P171" s="15"/>
      <c r="Q171" s="15"/>
    </row>
    <row r="172" ht="15.75" customHeight="1">
      <c r="A172" s="6">
        <v>40301.0</v>
      </c>
      <c r="B172" s="7" t="s">
        <v>17</v>
      </c>
      <c r="C172" s="7" t="s">
        <v>193</v>
      </c>
      <c r="D172" s="8">
        <v>210.0</v>
      </c>
      <c r="E172" s="8">
        <v>824.0</v>
      </c>
      <c r="F172" s="9">
        <f t="shared" si="2"/>
        <v>25.48543689</v>
      </c>
      <c r="G172" s="10">
        <v>119.0</v>
      </c>
      <c r="H172" s="10">
        <v>1347.0</v>
      </c>
      <c r="I172" s="9">
        <f t="shared" si="3"/>
        <v>8.834446919</v>
      </c>
      <c r="K172" s="13"/>
      <c r="L172" s="13"/>
      <c r="M172" s="15"/>
      <c r="N172" s="15"/>
      <c r="P172" s="15"/>
      <c r="Q172" s="15"/>
    </row>
    <row r="173" ht="15.75" customHeight="1">
      <c r="A173" s="6">
        <v>40302.0</v>
      </c>
      <c r="B173" s="7" t="s">
        <v>17</v>
      </c>
      <c r="C173" s="7" t="s">
        <v>194</v>
      </c>
      <c r="D173" s="8">
        <v>16.0</v>
      </c>
      <c r="E173" s="8">
        <v>156.0</v>
      </c>
      <c r="F173" s="9">
        <f t="shared" si="2"/>
        <v>10.25641026</v>
      </c>
      <c r="G173" s="10">
        <v>12.0</v>
      </c>
      <c r="H173" s="10">
        <v>210.0</v>
      </c>
      <c r="I173" s="9">
        <f t="shared" si="3"/>
        <v>5.714285714</v>
      </c>
      <c r="K173" s="13"/>
      <c r="L173" s="13"/>
      <c r="M173" s="15"/>
      <c r="N173" s="15"/>
      <c r="P173" s="15"/>
      <c r="Q173" s="15"/>
    </row>
    <row r="174" ht="15.75" customHeight="1">
      <c r="A174" s="6">
        <v>40401.0</v>
      </c>
      <c r="B174" s="7" t="s">
        <v>17</v>
      </c>
      <c r="C174" s="7" t="s">
        <v>195</v>
      </c>
      <c r="D174" s="8">
        <v>233.0</v>
      </c>
      <c r="E174" s="8">
        <v>569.0</v>
      </c>
      <c r="F174" s="9">
        <f t="shared" si="2"/>
        <v>40.94903339</v>
      </c>
      <c r="G174" s="10">
        <v>169.0</v>
      </c>
      <c r="H174" s="10">
        <v>789.0</v>
      </c>
      <c r="I174" s="9">
        <f t="shared" si="3"/>
        <v>21.41951838</v>
      </c>
      <c r="K174" s="13"/>
      <c r="L174" s="13"/>
      <c r="M174" s="15"/>
      <c r="N174" s="15"/>
      <c r="P174" s="15"/>
      <c r="Q174" s="15"/>
    </row>
    <row r="175" ht="15.75" customHeight="1">
      <c r="A175" s="6">
        <v>40402.0</v>
      </c>
      <c r="B175" s="7" t="s">
        <v>17</v>
      </c>
      <c r="C175" s="7" t="s">
        <v>196</v>
      </c>
      <c r="D175" s="8">
        <v>45.0</v>
      </c>
      <c r="E175" s="8">
        <v>398.0</v>
      </c>
      <c r="F175" s="9">
        <f t="shared" si="2"/>
        <v>11.30653266</v>
      </c>
      <c r="G175" s="10">
        <v>25.0</v>
      </c>
      <c r="H175" s="10">
        <v>461.0</v>
      </c>
      <c r="I175" s="9">
        <f t="shared" si="3"/>
        <v>5.422993492</v>
      </c>
      <c r="K175" s="13"/>
      <c r="L175" s="13"/>
      <c r="M175" s="15"/>
      <c r="N175" s="15"/>
      <c r="P175" s="15"/>
      <c r="Q175" s="15"/>
    </row>
    <row r="176" ht="15.75" customHeight="1">
      <c r="A176" s="6">
        <v>40501.0</v>
      </c>
      <c r="B176" s="7" t="s">
        <v>17</v>
      </c>
      <c r="C176" s="7" t="s">
        <v>197</v>
      </c>
      <c r="D176" s="8">
        <v>250.0</v>
      </c>
      <c r="E176" s="8">
        <v>353.0</v>
      </c>
      <c r="F176" s="9">
        <f t="shared" si="2"/>
        <v>70.82152975</v>
      </c>
      <c r="G176" s="10">
        <v>72.0</v>
      </c>
      <c r="H176" s="10">
        <v>494.0</v>
      </c>
      <c r="I176" s="9">
        <f t="shared" si="3"/>
        <v>14.57489879</v>
      </c>
      <c r="K176" s="13"/>
      <c r="L176" s="13"/>
      <c r="M176" s="15"/>
      <c r="N176" s="15"/>
      <c r="P176" s="15"/>
      <c r="Q176" s="15"/>
    </row>
    <row r="177" ht="15.75" customHeight="1">
      <c r="A177" s="6">
        <v>40502.0</v>
      </c>
      <c r="B177" s="7" t="s">
        <v>17</v>
      </c>
      <c r="C177" s="7" t="s">
        <v>198</v>
      </c>
      <c r="D177" s="8">
        <v>47.0</v>
      </c>
      <c r="E177" s="8">
        <v>404.0</v>
      </c>
      <c r="F177" s="9">
        <f t="shared" si="2"/>
        <v>11.63366337</v>
      </c>
      <c r="G177" s="10">
        <v>23.0</v>
      </c>
      <c r="H177" s="10">
        <v>375.0</v>
      </c>
      <c r="I177" s="9">
        <f t="shared" si="3"/>
        <v>6.133333333</v>
      </c>
      <c r="K177" s="13"/>
      <c r="L177" s="13"/>
      <c r="M177" s="15"/>
      <c r="N177" s="15"/>
      <c r="P177" s="15"/>
      <c r="Q177" s="15"/>
    </row>
    <row r="178" ht="15.75" customHeight="1">
      <c r="A178" s="6">
        <v>40503.0</v>
      </c>
      <c r="B178" s="7" t="s">
        <v>17</v>
      </c>
      <c r="C178" s="7" t="s">
        <v>199</v>
      </c>
      <c r="D178" s="8">
        <v>28.0</v>
      </c>
      <c r="E178" s="8">
        <v>169.0</v>
      </c>
      <c r="F178" s="9">
        <f t="shared" si="2"/>
        <v>16.56804734</v>
      </c>
      <c r="G178" s="10">
        <v>8.0</v>
      </c>
      <c r="H178" s="10">
        <v>150.0</v>
      </c>
      <c r="I178" s="9">
        <f t="shared" si="3"/>
        <v>5.333333333</v>
      </c>
      <c r="K178" s="13"/>
      <c r="L178" s="13"/>
      <c r="M178" s="15"/>
      <c r="N178" s="15"/>
      <c r="P178" s="15"/>
      <c r="Q178" s="15"/>
    </row>
    <row r="179" ht="15.75" customHeight="1">
      <c r="A179" s="6">
        <v>40504.0</v>
      </c>
      <c r="B179" s="7" t="s">
        <v>17</v>
      </c>
      <c r="C179" s="7" t="s">
        <v>200</v>
      </c>
      <c r="D179" s="8">
        <v>7.0</v>
      </c>
      <c r="E179" s="8">
        <v>53.0</v>
      </c>
      <c r="F179" s="9">
        <f t="shared" si="2"/>
        <v>13.20754717</v>
      </c>
      <c r="G179" s="10">
        <v>6.0</v>
      </c>
      <c r="H179" s="10">
        <v>86.0</v>
      </c>
      <c r="I179" s="9">
        <f t="shared" si="3"/>
        <v>6.976744186</v>
      </c>
      <c r="K179" s="13"/>
      <c r="L179" s="13"/>
      <c r="M179" s="15"/>
      <c r="N179" s="15"/>
      <c r="P179" s="15"/>
      <c r="Q179" s="15"/>
    </row>
    <row r="180" ht="15.75" customHeight="1">
      <c r="A180" s="6">
        <v>40505.0</v>
      </c>
      <c r="B180" s="7" t="s">
        <v>17</v>
      </c>
      <c r="C180" s="7" t="s">
        <v>201</v>
      </c>
      <c r="D180" s="8">
        <v>50.0</v>
      </c>
      <c r="E180" s="8">
        <v>279.0</v>
      </c>
      <c r="F180" s="9">
        <f t="shared" si="2"/>
        <v>17.92114695</v>
      </c>
      <c r="G180" s="10">
        <v>24.0</v>
      </c>
      <c r="H180" s="10">
        <v>345.0</v>
      </c>
      <c r="I180" s="9">
        <f t="shared" si="3"/>
        <v>6.956521739</v>
      </c>
      <c r="K180" s="13"/>
      <c r="L180" s="13"/>
      <c r="M180" s="15"/>
      <c r="N180" s="15"/>
      <c r="P180" s="15"/>
      <c r="Q180" s="15"/>
    </row>
    <row r="181" ht="15.75" customHeight="1">
      <c r="A181" s="6">
        <v>40601.0</v>
      </c>
      <c r="B181" s="7" t="s">
        <v>17</v>
      </c>
      <c r="C181" s="7" t="s">
        <v>202</v>
      </c>
      <c r="D181" s="8">
        <v>139.0</v>
      </c>
      <c r="E181" s="8">
        <v>712.0</v>
      </c>
      <c r="F181" s="9">
        <f t="shared" si="2"/>
        <v>19.52247191</v>
      </c>
      <c r="G181" s="10">
        <v>22.0</v>
      </c>
      <c r="H181" s="10">
        <v>716.0</v>
      </c>
      <c r="I181" s="9">
        <f t="shared" si="3"/>
        <v>3.072625698</v>
      </c>
      <c r="K181" s="13"/>
      <c r="L181" s="13"/>
      <c r="M181" s="15"/>
      <c r="N181" s="15"/>
      <c r="P181" s="15"/>
      <c r="Q181" s="15"/>
    </row>
    <row r="182" ht="15.75" customHeight="1">
      <c r="A182" s="6">
        <v>40602.0</v>
      </c>
      <c r="B182" s="7" t="s">
        <v>17</v>
      </c>
      <c r="C182" s="7" t="s">
        <v>203</v>
      </c>
      <c r="D182" s="8">
        <v>49.0</v>
      </c>
      <c r="E182" s="8">
        <v>447.0</v>
      </c>
      <c r="F182" s="9">
        <f t="shared" si="2"/>
        <v>10.96196868</v>
      </c>
      <c r="G182" s="10">
        <v>18.0</v>
      </c>
      <c r="H182" s="10">
        <v>305.0</v>
      </c>
      <c r="I182" s="9">
        <f t="shared" si="3"/>
        <v>5.901639344</v>
      </c>
      <c r="K182" s="13"/>
      <c r="L182" s="13"/>
      <c r="M182" s="15"/>
      <c r="N182" s="15"/>
      <c r="P182" s="15"/>
      <c r="Q182" s="15"/>
    </row>
    <row r="183" ht="15.75" customHeight="1">
      <c r="A183" s="6">
        <v>40603.0</v>
      </c>
      <c r="B183" s="7" t="s">
        <v>17</v>
      </c>
      <c r="C183" s="7" t="s">
        <v>204</v>
      </c>
      <c r="D183" s="8">
        <v>21.0</v>
      </c>
      <c r="E183" s="8">
        <v>222.0</v>
      </c>
      <c r="F183" s="9">
        <f t="shared" si="2"/>
        <v>9.459459459</v>
      </c>
      <c r="G183" s="10">
        <v>8.0</v>
      </c>
      <c r="H183" s="10">
        <v>269.0</v>
      </c>
      <c r="I183" s="9">
        <f t="shared" si="3"/>
        <v>2.973977695</v>
      </c>
      <c r="K183" s="13"/>
      <c r="L183" s="13"/>
      <c r="M183" s="15"/>
      <c r="N183" s="15"/>
      <c r="P183" s="15"/>
      <c r="Q183" s="15"/>
    </row>
    <row r="184" ht="15.75" customHeight="1">
      <c r="A184" s="6">
        <v>40701.0</v>
      </c>
      <c r="B184" s="7" t="s">
        <v>17</v>
      </c>
      <c r="C184" s="7" t="s">
        <v>205</v>
      </c>
      <c r="D184" s="8">
        <v>358.0</v>
      </c>
      <c r="E184" s="8">
        <v>2346.0</v>
      </c>
      <c r="F184" s="9">
        <f t="shared" si="2"/>
        <v>15.26001705</v>
      </c>
      <c r="G184" s="10">
        <v>120.0</v>
      </c>
      <c r="H184" s="10">
        <v>1994.0</v>
      </c>
      <c r="I184" s="9">
        <f t="shared" si="3"/>
        <v>6.018054162</v>
      </c>
      <c r="K184" s="13"/>
      <c r="L184" s="13"/>
      <c r="M184" s="15"/>
      <c r="N184" s="15"/>
      <c r="P184" s="15"/>
      <c r="Q184" s="15"/>
    </row>
    <row r="185" ht="15.75" customHeight="1">
      <c r="A185" s="6">
        <v>40702.0</v>
      </c>
      <c r="B185" s="7" t="s">
        <v>17</v>
      </c>
      <c r="C185" s="7" t="s">
        <v>206</v>
      </c>
      <c r="D185" s="8">
        <v>84.0</v>
      </c>
      <c r="E185" s="8">
        <v>412.0</v>
      </c>
      <c r="F185" s="9">
        <f t="shared" si="2"/>
        <v>20.38834951</v>
      </c>
      <c r="G185" s="10">
        <v>23.0</v>
      </c>
      <c r="H185" s="10">
        <v>461.0</v>
      </c>
      <c r="I185" s="9">
        <f t="shared" si="3"/>
        <v>4.989154013</v>
      </c>
      <c r="K185" s="13"/>
      <c r="L185" s="13"/>
      <c r="M185" s="15"/>
      <c r="N185" s="15"/>
      <c r="P185" s="15"/>
      <c r="Q185" s="15"/>
    </row>
    <row r="186" ht="15.75" customHeight="1">
      <c r="A186" s="6">
        <v>40801.0</v>
      </c>
      <c r="B186" s="7" t="s">
        <v>17</v>
      </c>
      <c r="C186" s="7" t="s">
        <v>207</v>
      </c>
      <c r="D186" s="8">
        <v>89.0</v>
      </c>
      <c r="E186" s="8">
        <v>908.0</v>
      </c>
      <c r="F186" s="9">
        <f t="shared" si="2"/>
        <v>9.801762115</v>
      </c>
      <c r="G186" s="10">
        <v>53.0</v>
      </c>
      <c r="H186" s="10">
        <v>1275.0</v>
      </c>
      <c r="I186" s="9">
        <f t="shared" si="3"/>
        <v>4.156862745</v>
      </c>
      <c r="K186" s="13"/>
      <c r="L186" s="13"/>
      <c r="M186" s="15"/>
      <c r="N186" s="15"/>
      <c r="P186" s="15"/>
      <c r="Q186" s="15"/>
    </row>
    <row r="187" ht="15.75" customHeight="1">
      <c r="A187" s="6">
        <v>40802.0</v>
      </c>
      <c r="B187" s="7" t="s">
        <v>17</v>
      </c>
      <c r="C187" s="7" t="s">
        <v>208</v>
      </c>
      <c r="D187" s="8">
        <v>17.0</v>
      </c>
      <c r="E187" s="8">
        <v>206.0</v>
      </c>
      <c r="F187" s="9">
        <f t="shared" si="2"/>
        <v>8.252427184</v>
      </c>
      <c r="G187" s="10">
        <v>7.0</v>
      </c>
      <c r="H187" s="10">
        <v>244.0</v>
      </c>
      <c r="I187" s="9">
        <f t="shared" si="3"/>
        <v>2.868852459</v>
      </c>
      <c r="K187" s="13"/>
      <c r="L187" s="13"/>
      <c r="M187" s="15"/>
      <c r="N187" s="15"/>
      <c r="P187" s="15"/>
      <c r="Q187" s="15"/>
    </row>
    <row r="188" ht="15.75" customHeight="1">
      <c r="A188" s="6">
        <v>40901.0</v>
      </c>
      <c r="B188" s="7" t="s">
        <v>17</v>
      </c>
      <c r="C188" s="7" t="s">
        <v>209</v>
      </c>
      <c r="D188" s="8">
        <v>146.0</v>
      </c>
      <c r="E188" s="8">
        <v>815.0</v>
      </c>
      <c r="F188" s="9">
        <f t="shared" si="2"/>
        <v>17.91411043</v>
      </c>
      <c r="G188" s="10">
        <v>115.0</v>
      </c>
      <c r="H188" s="10">
        <v>1715.0</v>
      </c>
      <c r="I188" s="9">
        <f t="shared" si="3"/>
        <v>6.705539359</v>
      </c>
      <c r="K188" s="13"/>
      <c r="L188" s="13"/>
      <c r="M188" s="15"/>
      <c r="N188" s="15"/>
      <c r="P188" s="15"/>
      <c r="Q188" s="15"/>
    </row>
    <row r="189" ht="15.75" customHeight="1">
      <c r="A189" s="6">
        <v>40902.0</v>
      </c>
      <c r="B189" s="7" t="s">
        <v>17</v>
      </c>
      <c r="C189" s="7" t="s">
        <v>210</v>
      </c>
      <c r="D189" s="8">
        <v>22.0</v>
      </c>
      <c r="E189" s="8">
        <v>112.0</v>
      </c>
      <c r="F189" s="9">
        <f t="shared" si="2"/>
        <v>19.64285714</v>
      </c>
      <c r="G189" s="10">
        <v>15.0</v>
      </c>
      <c r="H189" s="10">
        <v>124.0</v>
      </c>
      <c r="I189" s="9">
        <f t="shared" si="3"/>
        <v>12.09677419</v>
      </c>
      <c r="K189" s="13"/>
      <c r="L189" s="13"/>
      <c r="M189" s="15"/>
      <c r="N189" s="15"/>
      <c r="P189" s="15"/>
      <c r="Q189" s="15"/>
    </row>
    <row r="190" ht="15.75" customHeight="1">
      <c r="A190" s="6">
        <v>40903.0</v>
      </c>
      <c r="B190" s="7" t="s">
        <v>17</v>
      </c>
      <c r="C190" s="7" t="s">
        <v>211</v>
      </c>
      <c r="D190" s="8">
        <v>25.0</v>
      </c>
      <c r="E190" s="8">
        <v>218.0</v>
      </c>
      <c r="F190" s="9">
        <f t="shared" si="2"/>
        <v>11.46788991</v>
      </c>
      <c r="G190" s="10">
        <v>34.0</v>
      </c>
      <c r="H190" s="10">
        <v>185.0</v>
      </c>
      <c r="I190" s="9">
        <f t="shared" si="3"/>
        <v>18.37837838</v>
      </c>
      <c r="K190" s="13"/>
      <c r="L190" s="13"/>
      <c r="M190" s="15"/>
      <c r="N190" s="15"/>
      <c r="P190" s="15"/>
      <c r="Q190" s="15"/>
    </row>
    <row r="191" ht="15.75" customHeight="1">
      <c r="A191" s="6">
        <v>41001.0</v>
      </c>
      <c r="B191" s="7" t="s">
        <v>17</v>
      </c>
      <c r="C191" s="7" t="s">
        <v>212</v>
      </c>
      <c r="D191" s="8">
        <v>62.0</v>
      </c>
      <c r="E191" s="8">
        <v>802.0</v>
      </c>
      <c r="F191" s="9">
        <f t="shared" si="2"/>
        <v>7.730673317</v>
      </c>
      <c r="G191" s="10">
        <v>41.0</v>
      </c>
      <c r="H191" s="10">
        <v>874.0</v>
      </c>
      <c r="I191" s="9">
        <f t="shared" si="3"/>
        <v>4.691075515</v>
      </c>
      <c r="K191" s="13"/>
      <c r="L191" s="13"/>
      <c r="M191" s="15"/>
      <c r="N191" s="15"/>
      <c r="P191" s="15"/>
      <c r="Q191" s="15"/>
    </row>
    <row r="192" ht="15.75" customHeight="1">
      <c r="A192" s="6">
        <v>41101.0</v>
      </c>
      <c r="B192" s="7" t="s">
        <v>17</v>
      </c>
      <c r="C192" s="7" t="s">
        <v>213</v>
      </c>
      <c r="D192" s="8">
        <v>52.0</v>
      </c>
      <c r="E192" s="8">
        <v>490.0</v>
      </c>
      <c r="F192" s="9">
        <f t="shared" si="2"/>
        <v>10.6122449</v>
      </c>
      <c r="G192" s="10">
        <v>16.0</v>
      </c>
      <c r="H192" s="10">
        <v>458.0</v>
      </c>
      <c r="I192" s="9">
        <f t="shared" si="3"/>
        <v>3.493449782</v>
      </c>
      <c r="K192" s="13"/>
      <c r="L192" s="13"/>
      <c r="M192" s="15"/>
      <c r="N192" s="15"/>
      <c r="P192" s="15"/>
      <c r="Q192" s="15"/>
    </row>
    <row r="193" ht="15.75" customHeight="1">
      <c r="A193" s="6">
        <v>41201.0</v>
      </c>
      <c r="B193" s="7" t="s">
        <v>17</v>
      </c>
      <c r="C193" s="7" t="s">
        <v>214</v>
      </c>
      <c r="D193" s="8">
        <v>47.0</v>
      </c>
      <c r="E193" s="8">
        <v>382.0</v>
      </c>
      <c r="F193" s="9">
        <f t="shared" si="2"/>
        <v>12.30366492</v>
      </c>
      <c r="G193" s="10">
        <v>13.0</v>
      </c>
      <c r="H193" s="10">
        <v>441.0</v>
      </c>
      <c r="I193" s="9">
        <f t="shared" si="3"/>
        <v>2.947845805</v>
      </c>
      <c r="K193" s="13"/>
      <c r="L193" s="13"/>
      <c r="M193" s="15"/>
      <c r="N193" s="15"/>
      <c r="P193" s="15"/>
      <c r="Q193" s="15"/>
    </row>
    <row r="194" ht="15.75" customHeight="1">
      <c r="A194" s="6">
        <v>41202.0</v>
      </c>
      <c r="B194" s="7" t="s">
        <v>17</v>
      </c>
      <c r="C194" s="7" t="s">
        <v>215</v>
      </c>
      <c r="D194" s="8">
        <v>12.0</v>
      </c>
      <c r="E194" s="8">
        <v>157.0</v>
      </c>
      <c r="F194" s="9">
        <f t="shared" si="2"/>
        <v>7.643312102</v>
      </c>
      <c r="G194" s="10">
        <v>11.0</v>
      </c>
      <c r="H194" s="10">
        <v>242.0</v>
      </c>
      <c r="I194" s="9">
        <f t="shared" si="3"/>
        <v>4.545454545</v>
      </c>
      <c r="K194" s="13"/>
      <c r="L194" s="13"/>
      <c r="M194" s="15"/>
      <c r="N194" s="15"/>
      <c r="P194" s="15"/>
      <c r="Q194" s="15"/>
    </row>
    <row r="195" ht="15.75" customHeight="1">
      <c r="A195" s="6">
        <v>41301.0</v>
      </c>
      <c r="B195" s="7" t="s">
        <v>17</v>
      </c>
      <c r="C195" s="7" t="s">
        <v>216</v>
      </c>
      <c r="D195" s="8">
        <v>40.0</v>
      </c>
      <c r="E195" s="8">
        <v>509.0</v>
      </c>
      <c r="F195" s="9">
        <f t="shared" si="2"/>
        <v>7.858546169</v>
      </c>
      <c r="G195" s="10">
        <v>25.0</v>
      </c>
      <c r="H195" s="10">
        <v>496.0</v>
      </c>
      <c r="I195" s="9">
        <f t="shared" si="3"/>
        <v>5.040322581</v>
      </c>
      <c r="K195" s="13"/>
      <c r="L195" s="13"/>
      <c r="M195" s="15"/>
      <c r="N195" s="15"/>
      <c r="P195" s="15"/>
      <c r="Q195" s="15"/>
    </row>
    <row r="196" ht="15.75" customHeight="1">
      <c r="A196" s="6">
        <v>41401.0</v>
      </c>
      <c r="B196" s="7" t="s">
        <v>17</v>
      </c>
      <c r="C196" s="7" t="s">
        <v>217</v>
      </c>
      <c r="D196" s="8">
        <v>137.0</v>
      </c>
      <c r="E196" s="8">
        <v>1216.0</v>
      </c>
      <c r="F196" s="9">
        <f t="shared" si="2"/>
        <v>11.26644737</v>
      </c>
      <c r="G196" s="10">
        <v>60.0</v>
      </c>
      <c r="H196" s="10">
        <v>1114.0</v>
      </c>
      <c r="I196" s="9">
        <f t="shared" si="3"/>
        <v>5.385996409</v>
      </c>
      <c r="K196" s="13"/>
      <c r="L196" s="13"/>
      <c r="M196" s="15"/>
      <c r="N196" s="15"/>
      <c r="P196" s="15"/>
      <c r="Q196" s="15"/>
    </row>
    <row r="197" ht="15.75" customHeight="1">
      <c r="A197" s="6">
        <v>41501.0</v>
      </c>
      <c r="B197" s="7" t="s">
        <v>17</v>
      </c>
      <c r="C197" s="7" t="s">
        <v>218</v>
      </c>
      <c r="D197" s="8">
        <v>3.0</v>
      </c>
      <c r="E197" s="8">
        <v>34.0</v>
      </c>
      <c r="F197" s="9">
        <f t="shared" si="2"/>
        <v>8.823529412</v>
      </c>
      <c r="G197" s="10">
        <v>21.0</v>
      </c>
      <c r="H197" s="10">
        <v>119.0</v>
      </c>
      <c r="I197" s="9">
        <f t="shared" si="3"/>
        <v>17.64705882</v>
      </c>
      <c r="K197" s="13"/>
      <c r="L197" s="13"/>
      <c r="M197" s="15"/>
      <c r="N197" s="15"/>
      <c r="P197" s="15"/>
      <c r="Q197" s="15"/>
    </row>
    <row r="198" ht="15.75" customHeight="1">
      <c r="A198" s="6">
        <v>41502.0</v>
      </c>
      <c r="B198" s="7" t="s">
        <v>17</v>
      </c>
      <c r="C198" s="7" t="s">
        <v>219</v>
      </c>
      <c r="D198" s="8">
        <v>39.0</v>
      </c>
      <c r="E198" s="8">
        <v>101.0</v>
      </c>
      <c r="F198" s="9">
        <f t="shared" si="2"/>
        <v>38.61386139</v>
      </c>
      <c r="G198" s="10">
        <v>30.0</v>
      </c>
      <c r="H198" s="10">
        <v>142.0</v>
      </c>
      <c r="I198" s="9">
        <f t="shared" si="3"/>
        <v>21.12676056</v>
      </c>
      <c r="K198" s="13"/>
      <c r="L198" s="13"/>
      <c r="M198" s="15"/>
      <c r="N198" s="15"/>
      <c r="P198" s="15"/>
      <c r="Q198" s="15"/>
    </row>
    <row r="199" ht="15.75" customHeight="1">
      <c r="A199" s="6">
        <v>41503.0</v>
      </c>
      <c r="B199" s="7" t="s">
        <v>17</v>
      </c>
      <c r="C199" s="7" t="s">
        <v>220</v>
      </c>
      <c r="D199" s="8">
        <v>11.0</v>
      </c>
      <c r="E199" s="8">
        <v>75.0</v>
      </c>
      <c r="F199" s="9">
        <f t="shared" si="2"/>
        <v>14.66666667</v>
      </c>
      <c r="G199" s="10">
        <v>10.0</v>
      </c>
      <c r="H199" s="10">
        <v>120.0</v>
      </c>
      <c r="I199" s="9">
        <f t="shared" si="3"/>
        <v>8.333333333</v>
      </c>
      <c r="K199" s="13"/>
      <c r="L199" s="13"/>
      <c r="M199" s="15"/>
      <c r="N199" s="15"/>
      <c r="P199" s="15"/>
      <c r="Q199" s="15"/>
    </row>
    <row r="200" ht="15.75" customHeight="1">
      <c r="A200" s="6">
        <v>41601.0</v>
      </c>
      <c r="B200" s="7" t="s">
        <v>17</v>
      </c>
      <c r="C200" s="7" t="s">
        <v>221</v>
      </c>
      <c r="D200" s="8">
        <v>43.0</v>
      </c>
      <c r="E200" s="8">
        <v>417.0</v>
      </c>
      <c r="F200" s="9">
        <f t="shared" si="2"/>
        <v>10.3117506</v>
      </c>
      <c r="G200" s="10">
        <v>8.0</v>
      </c>
      <c r="H200" s="10">
        <v>317.0</v>
      </c>
      <c r="I200" s="9">
        <f t="shared" si="3"/>
        <v>2.523659306</v>
      </c>
      <c r="K200" s="13"/>
      <c r="L200" s="13"/>
      <c r="M200" s="15"/>
      <c r="N200" s="15"/>
      <c r="P200" s="15"/>
      <c r="Q200" s="15"/>
    </row>
    <row r="201" ht="15.75" customHeight="1">
      <c r="A201" s="6">
        <v>50101.0</v>
      </c>
      <c r="B201" s="7" t="s">
        <v>19</v>
      </c>
      <c r="C201" s="7" t="s">
        <v>19</v>
      </c>
      <c r="D201" s="8">
        <v>3861.0</v>
      </c>
      <c r="E201" s="8">
        <v>20502.0</v>
      </c>
      <c r="F201" s="9">
        <f t="shared" si="2"/>
        <v>18.83230904</v>
      </c>
      <c r="G201" s="10">
        <v>754.0</v>
      </c>
      <c r="H201" s="10">
        <v>21345.0</v>
      </c>
      <c r="I201" s="9">
        <f t="shared" si="3"/>
        <v>3.532443195</v>
      </c>
      <c r="K201" s="13"/>
      <c r="L201" s="13"/>
      <c r="M201" s="15"/>
      <c r="N201" s="15"/>
      <c r="P201" s="15"/>
      <c r="Q201" s="15"/>
    </row>
    <row r="202" ht="15.75" customHeight="1">
      <c r="A202" s="6">
        <v>50102.0</v>
      </c>
      <c r="B202" s="7" t="s">
        <v>19</v>
      </c>
      <c r="C202" s="7" t="s">
        <v>222</v>
      </c>
      <c r="D202" s="8">
        <v>127.0</v>
      </c>
      <c r="E202" s="8">
        <v>2506.0</v>
      </c>
      <c r="F202" s="9">
        <f t="shared" si="2"/>
        <v>5.067837191</v>
      </c>
      <c r="G202" s="10">
        <v>109.0</v>
      </c>
      <c r="H202" s="10">
        <v>2901.0</v>
      </c>
      <c r="I202" s="9">
        <f t="shared" si="3"/>
        <v>3.75732506</v>
      </c>
      <c r="K202" s="13"/>
      <c r="L202" s="13"/>
      <c r="M202" s="15"/>
      <c r="N202" s="15"/>
      <c r="P202" s="15"/>
      <c r="Q202" s="15"/>
    </row>
    <row r="203" ht="15.75" customHeight="1">
      <c r="A203" s="6">
        <v>50103.0</v>
      </c>
      <c r="B203" s="7" t="s">
        <v>19</v>
      </c>
      <c r="C203" s="7" t="s">
        <v>223</v>
      </c>
      <c r="D203" s="8">
        <v>58.0</v>
      </c>
      <c r="E203" s="8">
        <v>749.0</v>
      </c>
      <c r="F203" s="9">
        <f t="shared" si="2"/>
        <v>7.743658211</v>
      </c>
      <c r="G203" s="10">
        <v>18.0</v>
      </c>
      <c r="H203" s="10">
        <v>831.0</v>
      </c>
      <c r="I203" s="9">
        <f t="shared" si="3"/>
        <v>2.166064982</v>
      </c>
      <c r="K203" s="13"/>
      <c r="L203" s="13"/>
      <c r="M203" s="15"/>
      <c r="N203" s="15"/>
      <c r="P203" s="15"/>
      <c r="Q203" s="15"/>
    </row>
    <row r="204" ht="15.75" customHeight="1">
      <c r="A204" s="6">
        <v>50104.0</v>
      </c>
      <c r="B204" s="7" t="s">
        <v>19</v>
      </c>
      <c r="C204" s="7" t="s">
        <v>224</v>
      </c>
      <c r="D204" s="8">
        <v>16.0</v>
      </c>
      <c r="E204" s="8">
        <v>272.0</v>
      </c>
      <c r="F204" s="9">
        <f t="shared" si="2"/>
        <v>5.882352941</v>
      </c>
      <c r="G204" s="10">
        <v>8.0</v>
      </c>
      <c r="H204" s="10">
        <v>268.0</v>
      </c>
      <c r="I204" s="9">
        <f t="shared" si="3"/>
        <v>2.985074627</v>
      </c>
      <c r="K204" s="13"/>
      <c r="L204" s="13"/>
      <c r="M204" s="15"/>
      <c r="N204" s="15"/>
      <c r="P204" s="15"/>
      <c r="Q204" s="15"/>
    </row>
    <row r="205" ht="15.75" customHeight="1">
      <c r="A205" s="6">
        <v>50201.0</v>
      </c>
      <c r="B205" s="7" t="s">
        <v>19</v>
      </c>
      <c r="C205" s="7" t="s">
        <v>225</v>
      </c>
      <c r="D205" s="8">
        <v>307.0</v>
      </c>
      <c r="E205" s="8">
        <v>2363.0</v>
      </c>
      <c r="F205" s="9">
        <f t="shared" si="2"/>
        <v>12.99195937</v>
      </c>
      <c r="G205" s="10">
        <v>204.0</v>
      </c>
      <c r="H205" s="10">
        <v>2239.0</v>
      </c>
      <c r="I205" s="9">
        <f t="shared" si="3"/>
        <v>9.111210362</v>
      </c>
      <c r="K205" s="13"/>
      <c r="L205" s="13"/>
      <c r="M205" s="15"/>
      <c r="N205" s="15"/>
      <c r="P205" s="15"/>
      <c r="Q205" s="15"/>
    </row>
    <row r="206" ht="15.75" customHeight="1">
      <c r="A206" s="6">
        <v>50202.0</v>
      </c>
      <c r="B206" s="7" t="s">
        <v>19</v>
      </c>
      <c r="C206" s="7" t="s">
        <v>226</v>
      </c>
      <c r="D206" s="8">
        <v>90.0</v>
      </c>
      <c r="E206" s="8">
        <v>1373.0</v>
      </c>
      <c r="F206" s="9">
        <f t="shared" si="2"/>
        <v>6.554989075</v>
      </c>
      <c r="G206" s="10">
        <v>67.0</v>
      </c>
      <c r="H206" s="10">
        <v>1579.0</v>
      </c>
      <c r="I206" s="9">
        <f t="shared" si="3"/>
        <v>4.243191894</v>
      </c>
      <c r="K206" s="13"/>
      <c r="L206" s="13"/>
      <c r="M206" s="15"/>
      <c r="N206" s="15"/>
      <c r="P206" s="15"/>
      <c r="Q206" s="15"/>
    </row>
    <row r="207" ht="15.75" customHeight="1">
      <c r="A207" s="6">
        <v>50203.0</v>
      </c>
      <c r="B207" s="7" t="s">
        <v>19</v>
      </c>
      <c r="C207" s="7" t="s">
        <v>227</v>
      </c>
      <c r="D207" s="8">
        <v>785.0</v>
      </c>
      <c r="E207" s="8">
        <v>4507.0</v>
      </c>
      <c r="F207" s="9">
        <f t="shared" si="2"/>
        <v>17.41735079</v>
      </c>
      <c r="G207" s="10">
        <v>115.0</v>
      </c>
      <c r="H207" s="10">
        <v>4737.0</v>
      </c>
      <c r="I207" s="9">
        <f t="shared" si="3"/>
        <v>2.427696855</v>
      </c>
      <c r="K207" s="13"/>
      <c r="L207" s="13"/>
      <c r="M207" s="15"/>
      <c r="N207" s="15"/>
      <c r="P207" s="15"/>
      <c r="Q207" s="15"/>
    </row>
    <row r="208" ht="15.75" customHeight="1">
      <c r="A208" s="6">
        <v>50204.0</v>
      </c>
      <c r="B208" s="7" t="s">
        <v>19</v>
      </c>
      <c r="C208" s="7" t="s">
        <v>228</v>
      </c>
      <c r="D208" s="8">
        <v>58.0</v>
      </c>
      <c r="E208" s="8">
        <v>768.0</v>
      </c>
      <c r="F208" s="9">
        <f t="shared" si="2"/>
        <v>7.552083333</v>
      </c>
      <c r="G208" s="10">
        <v>27.0</v>
      </c>
      <c r="H208" s="10">
        <v>803.0</v>
      </c>
      <c r="I208" s="9">
        <f t="shared" si="3"/>
        <v>3.362391034</v>
      </c>
      <c r="K208" s="13"/>
      <c r="L208" s="13"/>
      <c r="M208" s="15"/>
      <c r="N208" s="15"/>
      <c r="P208" s="15"/>
      <c r="Q208" s="15"/>
    </row>
    <row r="209" ht="15.75" customHeight="1">
      <c r="A209" s="6">
        <v>50301.0</v>
      </c>
      <c r="B209" s="7" t="s">
        <v>19</v>
      </c>
      <c r="C209" s="7" t="s">
        <v>229</v>
      </c>
      <c r="D209" s="8">
        <v>198.0</v>
      </c>
      <c r="E209" s="8">
        <v>3035.0</v>
      </c>
      <c r="F209" s="9">
        <f t="shared" si="2"/>
        <v>6.523887974</v>
      </c>
      <c r="G209" s="10">
        <v>110.0</v>
      </c>
      <c r="H209" s="10">
        <v>2717.0</v>
      </c>
      <c r="I209" s="9">
        <f t="shared" si="3"/>
        <v>4.048582996</v>
      </c>
      <c r="K209" s="13"/>
      <c r="L209" s="13"/>
      <c r="M209" s="15"/>
      <c r="N209" s="15"/>
      <c r="P209" s="15"/>
      <c r="Q209" s="15"/>
    </row>
    <row r="210" ht="15.75" customHeight="1">
      <c r="A210" s="6">
        <v>50302.0</v>
      </c>
      <c r="B210" s="7" t="s">
        <v>19</v>
      </c>
      <c r="C210" s="7" t="s">
        <v>230</v>
      </c>
      <c r="D210" s="8">
        <v>65.0</v>
      </c>
      <c r="E210" s="8">
        <v>768.0</v>
      </c>
      <c r="F210" s="9">
        <f t="shared" si="2"/>
        <v>8.463541667</v>
      </c>
      <c r="G210" s="10">
        <v>32.0</v>
      </c>
      <c r="H210" s="10">
        <v>660.0</v>
      </c>
      <c r="I210" s="9">
        <f t="shared" si="3"/>
        <v>4.848484848</v>
      </c>
      <c r="K210" s="13"/>
      <c r="L210" s="13"/>
      <c r="M210" s="15"/>
      <c r="N210" s="15"/>
      <c r="P210" s="15"/>
      <c r="Q210" s="15"/>
    </row>
    <row r="211" ht="15.75" customHeight="1">
      <c r="A211" s="6">
        <v>50303.0</v>
      </c>
      <c r="B211" s="7" t="s">
        <v>19</v>
      </c>
      <c r="C211" s="7" t="s">
        <v>231</v>
      </c>
      <c r="D211" s="8">
        <v>63.0</v>
      </c>
      <c r="E211" s="8">
        <v>1098.0</v>
      </c>
      <c r="F211" s="9">
        <f t="shared" si="2"/>
        <v>5.737704918</v>
      </c>
      <c r="G211" s="10">
        <v>58.0</v>
      </c>
      <c r="H211" s="10">
        <v>1345.0</v>
      </c>
      <c r="I211" s="9">
        <f t="shared" si="3"/>
        <v>4.312267658</v>
      </c>
      <c r="K211" s="13"/>
      <c r="L211" s="13"/>
      <c r="M211" s="15"/>
      <c r="N211" s="15"/>
      <c r="P211" s="15"/>
      <c r="Q211" s="15"/>
    </row>
    <row r="212" ht="15.75" customHeight="1">
      <c r="A212" s="6">
        <v>50401.0</v>
      </c>
      <c r="B212" s="7" t="s">
        <v>19</v>
      </c>
      <c r="C212" s="7" t="s">
        <v>232</v>
      </c>
      <c r="D212" s="8">
        <v>72.0</v>
      </c>
      <c r="E212" s="8">
        <v>1481.0</v>
      </c>
      <c r="F212" s="9">
        <f t="shared" si="2"/>
        <v>4.861580014</v>
      </c>
      <c r="G212" s="10">
        <v>52.0</v>
      </c>
      <c r="H212" s="10">
        <v>1758.0</v>
      </c>
      <c r="I212" s="9">
        <f t="shared" si="3"/>
        <v>2.957906712</v>
      </c>
      <c r="K212" s="13"/>
      <c r="L212" s="13"/>
      <c r="M212" s="15"/>
      <c r="N212" s="15"/>
      <c r="P212" s="15"/>
      <c r="Q212" s="15"/>
    </row>
    <row r="213" ht="15.75" customHeight="1">
      <c r="A213" s="6">
        <v>50402.0</v>
      </c>
      <c r="B213" s="7" t="s">
        <v>19</v>
      </c>
      <c r="C213" s="7" t="s">
        <v>233</v>
      </c>
      <c r="D213" s="8">
        <v>89.0</v>
      </c>
      <c r="E213" s="8">
        <v>1571.0</v>
      </c>
      <c r="F213" s="9">
        <f t="shared" si="2"/>
        <v>5.665181413</v>
      </c>
      <c r="G213" s="10">
        <v>41.0</v>
      </c>
      <c r="H213" s="10">
        <v>1231.0</v>
      </c>
      <c r="I213" s="9">
        <f t="shared" si="3"/>
        <v>3.330625508</v>
      </c>
      <c r="K213" s="13"/>
      <c r="L213" s="13"/>
      <c r="M213" s="15"/>
      <c r="N213" s="15"/>
      <c r="P213" s="15"/>
      <c r="Q213" s="15"/>
    </row>
    <row r="214" ht="15.75" customHeight="1">
      <c r="A214" s="6">
        <v>50403.0</v>
      </c>
      <c r="B214" s="7" t="s">
        <v>19</v>
      </c>
      <c r="C214" s="7" t="s">
        <v>234</v>
      </c>
      <c r="D214" s="8">
        <v>142.0</v>
      </c>
      <c r="E214" s="8">
        <v>2258.0</v>
      </c>
      <c r="F214" s="9">
        <f t="shared" si="2"/>
        <v>6.288751107</v>
      </c>
      <c r="G214" s="10">
        <v>137.0</v>
      </c>
      <c r="H214" s="10">
        <v>2820.0</v>
      </c>
      <c r="I214" s="9">
        <f t="shared" si="3"/>
        <v>4.858156028</v>
      </c>
      <c r="K214" s="13"/>
      <c r="L214" s="13"/>
      <c r="M214" s="15"/>
      <c r="N214" s="15"/>
      <c r="P214" s="15"/>
      <c r="Q214" s="15"/>
    </row>
    <row r="215" ht="15.75" customHeight="1">
      <c r="A215" s="6">
        <v>50404.0</v>
      </c>
      <c r="B215" s="7" t="s">
        <v>19</v>
      </c>
      <c r="C215" s="7" t="s">
        <v>235</v>
      </c>
      <c r="D215" s="8">
        <v>65.0</v>
      </c>
      <c r="E215" s="8">
        <v>1363.0</v>
      </c>
      <c r="F215" s="9">
        <f t="shared" si="2"/>
        <v>4.76889215</v>
      </c>
      <c r="G215" s="10">
        <v>48.0</v>
      </c>
      <c r="H215" s="10">
        <v>1352.0</v>
      </c>
      <c r="I215" s="9">
        <f t="shared" si="3"/>
        <v>3.550295858</v>
      </c>
      <c r="K215" s="13"/>
      <c r="L215" s="13"/>
      <c r="M215" s="15"/>
      <c r="N215" s="15"/>
      <c r="P215" s="15"/>
      <c r="Q215" s="15"/>
    </row>
    <row r="216" ht="15.75" customHeight="1">
      <c r="A216" s="6">
        <v>50405.0</v>
      </c>
      <c r="B216" s="7" t="s">
        <v>19</v>
      </c>
      <c r="C216" s="7" t="s">
        <v>236</v>
      </c>
      <c r="D216" s="8">
        <v>56.0</v>
      </c>
      <c r="E216" s="8">
        <v>1746.0</v>
      </c>
      <c r="F216" s="9">
        <f t="shared" si="2"/>
        <v>3.207331042</v>
      </c>
      <c r="G216" s="10">
        <v>66.0</v>
      </c>
      <c r="H216" s="10">
        <v>2066.0</v>
      </c>
      <c r="I216" s="9">
        <f t="shared" si="3"/>
        <v>3.194578896</v>
      </c>
      <c r="K216" s="13"/>
      <c r="L216" s="13"/>
      <c r="M216" s="15"/>
      <c r="N216" s="15"/>
      <c r="P216" s="15"/>
      <c r="Q216" s="15"/>
    </row>
    <row r="217" ht="15.75" customHeight="1">
      <c r="A217" s="6">
        <v>50501.0</v>
      </c>
      <c r="B217" s="7" t="s">
        <v>19</v>
      </c>
      <c r="C217" s="7" t="s">
        <v>237</v>
      </c>
      <c r="D217" s="8">
        <v>143.0</v>
      </c>
      <c r="E217" s="8">
        <v>2664.0</v>
      </c>
      <c r="F217" s="9">
        <f t="shared" si="2"/>
        <v>5.367867868</v>
      </c>
      <c r="G217" s="10">
        <v>125.0</v>
      </c>
      <c r="H217" s="10">
        <v>2395.0</v>
      </c>
      <c r="I217" s="9">
        <f t="shared" si="3"/>
        <v>5.219206681</v>
      </c>
      <c r="K217" s="13"/>
      <c r="L217" s="13"/>
      <c r="M217" s="15"/>
      <c r="N217" s="15"/>
      <c r="P217" s="15"/>
      <c r="Q217" s="15"/>
    </row>
    <row r="218" ht="15.75" customHeight="1">
      <c r="A218" s="6">
        <v>50502.0</v>
      </c>
      <c r="B218" s="7" t="s">
        <v>19</v>
      </c>
      <c r="C218" s="7" t="s">
        <v>238</v>
      </c>
      <c r="D218" s="8">
        <v>60.0</v>
      </c>
      <c r="E218" s="8">
        <v>780.0</v>
      </c>
      <c r="F218" s="9">
        <f t="shared" si="2"/>
        <v>7.692307692</v>
      </c>
      <c r="G218" s="10">
        <v>42.0</v>
      </c>
      <c r="H218" s="10">
        <v>807.0</v>
      </c>
      <c r="I218" s="9">
        <f t="shared" si="3"/>
        <v>5.204460967</v>
      </c>
      <c r="K218" s="13"/>
      <c r="L218" s="13"/>
      <c r="M218" s="15"/>
      <c r="N218" s="15"/>
      <c r="P218" s="15"/>
      <c r="Q218" s="15"/>
    </row>
    <row r="219" ht="15.75" customHeight="1">
      <c r="A219" s="6">
        <v>50601.0</v>
      </c>
      <c r="B219" s="7" t="s">
        <v>19</v>
      </c>
      <c r="C219" s="7" t="s">
        <v>239</v>
      </c>
      <c r="D219" s="8">
        <v>199.0</v>
      </c>
      <c r="E219" s="8">
        <v>2997.0</v>
      </c>
      <c r="F219" s="9">
        <f t="shared" si="2"/>
        <v>6.639973307</v>
      </c>
      <c r="G219" s="10">
        <v>102.0</v>
      </c>
      <c r="H219" s="10">
        <v>2305.0</v>
      </c>
      <c r="I219" s="9">
        <f t="shared" si="3"/>
        <v>4.42516269</v>
      </c>
      <c r="K219" s="13"/>
      <c r="L219" s="13"/>
      <c r="M219" s="15"/>
      <c r="N219" s="15"/>
      <c r="P219" s="15"/>
      <c r="Q219" s="15"/>
    </row>
    <row r="220" ht="15.75" customHeight="1">
      <c r="A220" s="6">
        <v>50602.0</v>
      </c>
      <c r="B220" s="7" t="s">
        <v>19</v>
      </c>
      <c r="C220" s="7" t="s">
        <v>240</v>
      </c>
      <c r="D220" s="8">
        <v>88.0</v>
      </c>
      <c r="E220" s="8">
        <v>899.0</v>
      </c>
      <c r="F220" s="9">
        <f t="shared" si="2"/>
        <v>9.78865406</v>
      </c>
      <c r="G220" s="10">
        <v>36.0</v>
      </c>
      <c r="H220" s="10">
        <v>732.0</v>
      </c>
      <c r="I220" s="9">
        <f t="shared" si="3"/>
        <v>4.918032787</v>
      </c>
      <c r="K220" s="13"/>
      <c r="L220" s="13"/>
      <c r="M220" s="15"/>
      <c r="N220" s="15"/>
      <c r="P220" s="15"/>
      <c r="Q220" s="15"/>
    </row>
    <row r="221" ht="15.75" customHeight="1">
      <c r="A221" s="6">
        <v>50701.0</v>
      </c>
      <c r="B221" s="7" t="s">
        <v>19</v>
      </c>
      <c r="C221" s="7" t="s">
        <v>241</v>
      </c>
      <c r="D221" s="8">
        <v>69.0</v>
      </c>
      <c r="E221" s="8">
        <v>1762.0</v>
      </c>
      <c r="F221" s="9">
        <f t="shared" si="2"/>
        <v>3.91600454</v>
      </c>
      <c r="G221" s="10">
        <v>46.0</v>
      </c>
      <c r="H221" s="10">
        <v>1412.0</v>
      </c>
      <c r="I221" s="9">
        <f t="shared" si="3"/>
        <v>3.257790368</v>
      </c>
      <c r="K221" s="13"/>
      <c r="L221" s="13"/>
      <c r="M221" s="15"/>
      <c r="N221" s="15"/>
      <c r="P221" s="15"/>
      <c r="Q221" s="15"/>
    </row>
    <row r="222" ht="15.75" customHeight="1">
      <c r="A222" s="6">
        <v>50702.0</v>
      </c>
      <c r="B222" s="7" t="s">
        <v>19</v>
      </c>
      <c r="C222" s="7" t="s">
        <v>242</v>
      </c>
      <c r="D222" s="8">
        <v>28.0</v>
      </c>
      <c r="E222" s="8">
        <v>702.0</v>
      </c>
      <c r="F222" s="9">
        <f t="shared" si="2"/>
        <v>3.988603989</v>
      </c>
      <c r="G222" s="10">
        <v>36.0</v>
      </c>
      <c r="H222" s="10">
        <v>717.0</v>
      </c>
      <c r="I222" s="9">
        <f t="shared" si="3"/>
        <v>5.020920502</v>
      </c>
      <c r="K222" s="13"/>
      <c r="L222" s="13"/>
      <c r="M222" s="15"/>
      <c r="N222" s="15"/>
      <c r="P222" s="15"/>
      <c r="Q222" s="15"/>
    </row>
    <row r="223" ht="15.75" customHeight="1">
      <c r="A223" s="6">
        <v>50801.0</v>
      </c>
      <c r="B223" s="7" t="s">
        <v>19</v>
      </c>
      <c r="C223" s="7" t="s">
        <v>243</v>
      </c>
      <c r="D223" s="8">
        <v>581.0</v>
      </c>
      <c r="E223" s="8">
        <v>4522.0</v>
      </c>
      <c r="F223" s="9">
        <f t="shared" si="2"/>
        <v>12.84829721</v>
      </c>
      <c r="G223" s="10">
        <v>354.0</v>
      </c>
      <c r="H223" s="10">
        <v>3782.0</v>
      </c>
      <c r="I223" s="9">
        <f t="shared" si="3"/>
        <v>9.360126917</v>
      </c>
      <c r="K223" s="13"/>
      <c r="L223" s="13"/>
      <c r="M223" s="15"/>
      <c r="N223" s="15"/>
      <c r="P223" s="15"/>
      <c r="Q223" s="15"/>
    </row>
    <row r="224" ht="15.75" customHeight="1">
      <c r="A224" s="6">
        <v>50802.0</v>
      </c>
      <c r="B224" s="7" t="s">
        <v>19</v>
      </c>
      <c r="C224" s="7" t="s">
        <v>244</v>
      </c>
      <c r="D224" s="8">
        <v>86.0</v>
      </c>
      <c r="E224" s="8">
        <v>1042.0</v>
      </c>
      <c r="F224" s="9">
        <f t="shared" si="2"/>
        <v>8.253358925</v>
      </c>
      <c r="G224" s="10">
        <v>14.0</v>
      </c>
      <c r="H224" s="10">
        <v>718.0</v>
      </c>
      <c r="I224" s="9">
        <f t="shared" si="3"/>
        <v>1.949860724</v>
      </c>
      <c r="K224" s="13"/>
      <c r="L224" s="13"/>
      <c r="M224" s="15"/>
      <c r="N224" s="15"/>
      <c r="P224" s="15"/>
      <c r="Q224" s="15"/>
    </row>
    <row r="225" ht="15.75" customHeight="1">
      <c r="A225" s="6">
        <v>50901.0</v>
      </c>
      <c r="B225" s="7" t="s">
        <v>19</v>
      </c>
      <c r="C225" s="7" t="s">
        <v>245</v>
      </c>
      <c r="D225" s="8">
        <v>252.0</v>
      </c>
      <c r="E225" s="8">
        <v>1361.0</v>
      </c>
      <c r="F225" s="9">
        <f t="shared" si="2"/>
        <v>18.51579721</v>
      </c>
      <c r="G225" s="10">
        <v>291.0</v>
      </c>
      <c r="H225" s="10">
        <v>1112.0</v>
      </c>
      <c r="I225" s="9">
        <f t="shared" si="3"/>
        <v>26.16906475</v>
      </c>
      <c r="K225" s="13"/>
      <c r="L225" s="13"/>
      <c r="M225" s="15"/>
      <c r="N225" s="15"/>
      <c r="P225" s="15"/>
      <c r="Q225" s="15"/>
    </row>
    <row r="226" ht="15.75" customHeight="1">
      <c r="A226" s="6">
        <v>50902.0</v>
      </c>
      <c r="B226" s="7" t="s">
        <v>19</v>
      </c>
      <c r="C226" s="7" t="s">
        <v>246</v>
      </c>
      <c r="D226" s="8">
        <v>13.0</v>
      </c>
      <c r="E226" s="8">
        <v>86.0</v>
      </c>
      <c r="F226" s="9">
        <f t="shared" si="2"/>
        <v>15.11627907</v>
      </c>
      <c r="G226" s="10">
        <v>25.0</v>
      </c>
      <c r="H226" s="10">
        <v>175.0</v>
      </c>
      <c r="I226" s="9">
        <f t="shared" si="3"/>
        <v>14.28571429</v>
      </c>
      <c r="K226" s="13"/>
      <c r="L226" s="13"/>
      <c r="M226" s="15"/>
      <c r="N226" s="15"/>
      <c r="P226" s="15"/>
      <c r="Q226" s="15"/>
    </row>
    <row r="227" ht="15.75" customHeight="1">
      <c r="A227" s="6">
        <v>51001.0</v>
      </c>
      <c r="B227" s="7" t="s">
        <v>19</v>
      </c>
      <c r="C227" s="7" t="s">
        <v>247</v>
      </c>
      <c r="D227" s="8">
        <v>43.0</v>
      </c>
      <c r="E227" s="8">
        <v>363.0</v>
      </c>
      <c r="F227" s="9">
        <f t="shared" si="2"/>
        <v>11.84573003</v>
      </c>
      <c r="G227" s="10">
        <v>56.0</v>
      </c>
      <c r="H227" s="10">
        <v>314.0</v>
      </c>
      <c r="I227" s="9">
        <f t="shared" si="3"/>
        <v>17.8343949</v>
      </c>
      <c r="K227" s="13"/>
      <c r="L227" s="13"/>
      <c r="M227" s="15"/>
      <c r="N227" s="15"/>
      <c r="P227" s="15"/>
      <c r="Q227" s="15"/>
    </row>
    <row r="228" ht="15.75" customHeight="1">
      <c r="A228" s="6">
        <v>51002.0</v>
      </c>
      <c r="B228" s="7" t="s">
        <v>19</v>
      </c>
      <c r="C228" s="7" t="s">
        <v>248</v>
      </c>
      <c r="D228" s="8">
        <v>18.0</v>
      </c>
      <c r="E228" s="8">
        <v>101.0</v>
      </c>
      <c r="F228" s="9">
        <f t="shared" si="2"/>
        <v>17.82178218</v>
      </c>
      <c r="G228" s="10">
        <v>5.0</v>
      </c>
      <c r="H228" s="10">
        <v>88.0</v>
      </c>
      <c r="I228" s="9">
        <f t="shared" si="3"/>
        <v>5.681818182</v>
      </c>
      <c r="K228" s="13"/>
      <c r="L228" s="13"/>
      <c r="M228" s="15"/>
      <c r="N228" s="15"/>
      <c r="P228" s="15"/>
      <c r="Q228" s="15"/>
    </row>
    <row r="229" ht="15.75" customHeight="1">
      <c r="A229" s="6">
        <v>51003.0</v>
      </c>
      <c r="B229" s="7" t="s">
        <v>19</v>
      </c>
      <c r="C229" s="7" t="s">
        <v>249</v>
      </c>
      <c r="D229" s="8">
        <v>9.0</v>
      </c>
      <c r="E229" s="8">
        <v>202.0</v>
      </c>
      <c r="F229" s="9">
        <f t="shared" si="2"/>
        <v>4.455445545</v>
      </c>
      <c r="G229" s="10">
        <v>14.0</v>
      </c>
      <c r="H229" s="10">
        <v>189.0</v>
      </c>
      <c r="I229" s="9">
        <f t="shared" si="3"/>
        <v>7.407407407</v>
      </c>
      <c r="K229" s="13"/>
      <c r="L229" s="13"/>
      <c r="M229" s="15"/>
      <c r="N229" s="15"/>
      <c r="P229" s="15"/>
      <c r="Q229" s="15"/>
    </row>
    <row r="230" ht="15.75" customHeight="1">
      <c r="A230" s="6">
        <v>51101.0</v>
      </c>
      <c r="B230" s="7" t="s">
        <v>19</v>
      </c>
      <c r="C230" s="7" t="s">
        <v>250</v>
      </c>
      <c r="D230" s="8">
        <v>184.0</v>
      </c>
      <c r="E230" s="8">
        <v>1917.0</v>
      </c>
      <c r="F230" s="9">
        <f t="shared" si="2"/>
        <v>9.598330725</v>
      </c>
      <c r="G230" s="10">
        <v>53.0</v>
      </c>
      <c r="H230" s="10">
        <v>1242.0</v>
      </c>
      <c r="I230" s="9">
        <f t="shared" si="3"/>
        <v>4.267310789</v>
      </c>
      <c r="K230" s="13"/>
      <c r="L230" s="13"/>
      <c r="M230" s="15"/>
      <c r="N230" s="15"/>
      <c r="P230" s="15"/>
      <c r="Q230" s="15"/>
    </row>
    <row r="231" ht="15.75" customHeight="1">
      <c r="A231" s="6">
        <v>51102.0</v>
      </c>
      <c r="B231" s="7" t="s">
        <v>19</v>
      </c>
      <c r="C231" s="7" t="s">
        <v>251</v>
      </c>
      <c r="D231" s="8">
        <v>139.0</v>
      </c>
      <c r="E231" s="8">
        <v>1117.0</v>
      </c>
      <c r="F231" s="9">
        <f t="shared" si="2"/>
        <v>12.44404655</v>
      </c>
      <c r="G231" s="10">
        <v>25.0</v>
      </c>
      <c r="H231" s="10">
        <v>1091.0</v>
      </c>
      <c r="I231" s="9">
        <f t="shared" si="3"/>
        <v>2.29147571</v>
      </c>
      <c r="K231" s="13"/>
      <c r="L231" s="13"/>
      <c r="M231" s="15"/>
      <c r="N231" s="15"/>
      <c r="P231" s="15"/>
      <c r="Q231" s="15"/>
    </row>
    <row r="232" ht="15.75" customHeight="1">
      <c r="A232" s="6">
        <v>51103.0</v>
      </c>
      <c r="B232" s="7" t="s">
        <v>19</v>
      </c>
      <c r="C232" s="7" t="s">
        <v>252</v>
      </c>
      <c r="D232" s="8">
        <v>73.0</v>
      </c>
      <c r="E232" s="8">
        <v>1325.0</v>
      </c>
      <c r="F232" s="9">
        <f t="shared" si="2"/>
        <v>5.509433962</v>
      </c>
      <c r="G232" s="10">
        <v>55.0</v>
      </c>
      <c r="H232" s="10">
        <v>1377.0</v>
      </c>
      <c r="I232" s="9">
        <f t="shared" si="3"/>
        <v>3.994190269</v>
      </c>
      <c r="K232" s="13"/>
      <c r="L232" s="13"/>
      <c r="M232" s="15"/>
      <c r="N232" s="15"/>
      <c r="P232" s="15"/>
      <c r="Q232" s="15"/>
    </row>
    <row r="233" ht="15.75" customHeight="1">
      <c r="A233" s="6">
        <v>51201.0</v>
      </c>
      <c r="B233" s="7" t="s">
        <v>19</v>
      </c>
      <c r="C233" s="7" t="s">
        <v>253</v>
      </c>
      <c r="D233" s="8">
        <v>379.0</v>
      </c>
      <c r="E233" s="8">
        <v>2843.0</v>
      </c>
      <c r="F233" s="9">
        <f t="shared" si="2"/>
        <v>13.33098839</v>
      </c>
      <c r="G233" s="10">
        <v>296.0</v>
      </c>
      <c r="H233" s="10">
        <v>3118.0</v>
      </c>
      <c r="I233" s="9">
        <f t="shared" si="3"/>
        <v>9.493264913</v>
      </c>
      <c r="K233" s="13"/>
      <c r="L233" s="13"/>
      <c r="M233" s="15"/>
      <c r="N233" s="15"/>
      <c r="P233" s="15"/>
      <c r="Q233" s="15"/>
    </row>
    <row r="234" ht="15.75" customHeight="1">
      <c r="A234" s="6">
        <v>51202.0</v>
      </c>
      <c r="B234" s="7" t="s">
        <v>19</v>
      </c>
      <c r="C234" s="7" t="s">
        <v>254</v>
      </c>
      <c r="D234" s="8">
        <v>65.0</v>
      </c>
      <c r="E234" s="8">
        <v>795.0</v>
      </c>
      <c r="F234" s="9">
        <f t="shared" si="2"/>
        <v>8.176100629</v>
      </c>
      <c r="G234" s="10">
        <v>29.0</v>
      </c>
      <c r="H234" s="10">
        <v>524.0</v>
      </c>
      <c r="I234" s="9">
        <f t="shared" si="3"/>
        <v>5.534351145</v>
      </c>
      <c r="K234" s="13"/>
      <c r="L234" s="13"/>
      <c r="M234" s="15"/>
      <c r="N234" s="15"/>
      <c r="P234" s="15"/>
      <c r="Q234" s="15"/>
    </row>
    <row r="235" ht="15.75" customHeight="1">
      <c r="A235" s="6">
        <v>51203.0</v>
      </c>
      <c r="B235" s="7" t="s">
        <v>19</v>
      </c>
      <c r="C235" s="7" t="s">
        <v>255</v>
      </c>
      <c r="D235" s="8">
        <v>53.0</v>
      </c>
      <c r="E235" s="8">
        <v>1002.0</v>
      </c>
      <c r="F235" s="9">
        <f t="shared" si="2"/>
        <v>5.289421158</v>
      </c>
      <c r="G235" s="10">
        <v>45.0</v>
      </c>
      <c r="H235" s="10">
        <v>1460.0</v>
      </c>
      <c r="I235" s="9">
        <f t="shared" si="3"/>
        <v>3.082191781</v>
      </c>
      <c r="K235" s="13"/>
      <c r="L235" s="13"/>
      <c r="M235" s="15"/>
      <c r="N235" s="15"/>
      <c r="P235" s="15"/>
      <c r="Q235" s="15"/>
    </row>
    <row r="236" ht="15.75" customHeight="1">
      <c r="A236" s="6">
        <v>51204.0</v>
      </c>
      <c r="B236" s="7" t="s">
        <v>19</v>
      </c>
      <c r="C236" s="7" t="s">
        <v>256</v>
      </c>
      <c r="D236" s="8">
        <v>40.0</v>
      </c>
      <c r="E236" s="8">
        <v>519.0</v>
      </c>
      <c r="F236" s="9">
        <f t="shared" si="2"/>
        <v>7.707129094</v>
      </c>
      <c r="G236" s="10">
        <v>20.0</v>
      </c>
      <c r="H236" s="10">
        <v>432.0</v>
      </c>
      <c r="I236" s="9">
        <f t="shared" si="3"/>
        <v>4.62962963</v>
      </c>
      <c r="K236" s="13"/>
      <c r="L236" s="13"/>
      <c r="M236" s="15"/>
      <c r="N236" s="15"/>
      <c r="P236" s="15"/>
      <c r="Q236" s="15"/>
    </row>
    <row r="237" ht="15.75" customHeight="1">
      <c r="A237" s="6">
        <v>51301.0</v>
      </c>
      <c r="B237" s="7" t="s">
        <v>19</v>
      </c>
      <c r="C237" s="7" t="s">
        <v>257</v>
      </c>
      <c r="D237" s="8">
        <v>16.0</v>
      </c>
      <c r="E237" s="8">
        <v>296.0</v>
      </c>
      <c r="F237" s="9">
        <f t="shared" si="2"/>
        <v>5.405405405</v>
      </c>
      <c r="G237" s="10">
        <v>13.0</v>
      </c>
      <c r="H237" s="10">
        <v>303.0</v>
      </c>
      <c r="I237" s="9">
        <f t="shared" si="3"/>
        <v>4.290429043</v>
      </c>
      <c r="K237" s="13"/>
      <c r="L237" s="13"/>
      <c r="M237" s="15"/>
      <c r="N237" s="15"/>
      <c r="P237" s="15"/>
      <c r="Q237" s="15"/>
    </row>
    <row r="238" ht="15.75" customHeight="1">
      <c r="A238" s="6">
        <v>51302.0</v>
      </c>
      <c r="B238" s="7" t="s">
        <v>19</v>
      </c>
      <c r="C238" s="7" t="s">
        <v>258</v>
      </c>
      <c r="D238" s="8">
        <v>29.0</v>
      </c>
      <c r="E238" s="8">
        <v>514.0</v>
      </c>
      <c r="F238" s="9">
        <f t="shared" si="2"/>
        <v>5.642023346</v>
      </c>
      <c r="G238" s="10">
        <v>5.0</v>
      </c>
      <c r="H238" s="10">
        <v>319.0</v>
      </c>
      <c r="I238" s="9">
        <f t="shared" si="3"/>
        <v>1.567398119</v>
      </c>
      <c r="K238" s="13"/>
      <c r="L238" s="13"/>
      <c r="M238" s="15"/>
      <c r="N238" s="15"/>
      <c r="P238" s="15"/>
      <c r="Q238" s="15"/>
    </row>
    <row r="239" ht="15.75" customHeight="1">
      <c r="A239" s="6">
        <v>51401.0</v>
      </c>
      <c r="B239" s="7" t="s">
        <v>19</v>
      </c>
      <c r="C239" s="7" t="s">
        <v>259</v>
      </c>
      <c r="D239" s="8">
        <v>74.0</v>
      </c>
      <c r="E239" s="8">
        <v>453.0</v>
      </c>
      <c r="F239" s="9">
        <f t="shared" si="2"/>
        <v>16.33554084</v>
      </c>
      <c r="G239" s="10">
        <v>58.0</v>
      </c>
      <c r="H239" s="10">
        <v>405.0</v>
      </c>
      <c r="I239" s="9">
        <f t="shared" si="3"/>
        <v>14.32098765</v>
      </c>
      <c r="K239" s="13"/>
      <c r="L239" s="13"/>
      <c r="M239" s="15"/>
      <c r="N239" s="15"/>
      <c r="P239" s="15"/>
      <c r="Q239" s="15"/>
    </row>
    <row r="240" ht="15.75" customHeight="1">
      <c r="A240" s="6">
        <v>51402.0</v>
      </c>
      <c r="B240" s="7" t="s">
        <v>19</v>
      </c>
      <c r="C240" s="7" t="s">
        <v>260</v>
      </c>
      <c r="D240" s="8">
        <v>20.0</v>
      </c>
      <c r="E240" s="8">
        <v>148.0</v>
      </c>
      <c r="F240" s="9">
        <f t="shared" si="2"/>
        <v>13.51351351</v>
      </c>
      <c r="G240" s="10">
        <v>7.0</v>
      </c>
      <c r="H240" s="10">
        <v>119.0</v>
      </c>
      <c r="I240" s="9">
        <f t="shared" si="3"/>
        <v>5.882352941</v>
      </c>
      <c r="K240" s="13"/>
      <c r="L240" s="13"/>
      <c r="M240" s="15"/>
      <c r="N240" s="15"/>
      <c r="P240" s="15"/>
      <c r="Q240" s="15"/>
    </row>
    <row r="241" ht="15.75" customHeight="1">
      <c r="A241" s="6">
        <v>51501.0</v>
      </c>
      <c r="B241" s="7" t="s">
        <v>19</v>
      </c>
      <c r="C241" s="7" t="s">
        <v>261</v>
      </c>
      <c r="D241" s="8">
        <v>392.0</v>
      </c>
      <c r="E241" s="8">
        <v>4098.0</v>
      </c>
      <c r="F241" s="9">
        <f t="shared" si="2"/>
        <v>9.565641776</v>
      </c>
      <c r="G241" s="10">
        <v>191.0</v>
      </c>
      <c r="H241" s="10">
        <v>4043.0</v>
      </c>
      <c r="I241" s="9">
        <f t="shared" si="3"/>
        <v>4.724214692</v>
      </c>
      <c r="K241" s="13"/>
      <c r="L241" s="13"/>
      <c r="M241" s="15"/>
      <c r="N241" s="15"/>
      <c r="P241" s="15"/>
      <c r="Q241" s="15"/>
    </row>
    <row r="242" ht="15.75" customHeight="1">
      <c r="A242" s="6">
        <v>51601.0</v>
      </c>
      <c r="B242" s="7" t="s">
        <v>19</v>
      </c>
      <c r="C242" s="7" t="s">
        <v>262</v>
      </c>
      <c r="D242" s="8">
        <v>15.0</v>
      </c>
      <c r="E242" s="8">
        <v>148.0</v>
      </c>
      <c r="F242" s="9">
        <f t="shared" si="2"/>
        <v>10.13513514</v>
      </c>
      <c r="G242" s="10">
        <v>28.0</v>
      </c>
      <c r="H242" s="10">
        <v>189.0</v>
      </c>
      <c r="I242" s="9">
        <f t="shared" si="3"/>
        <v>14.81481481</v>
      </c>
      <c r="K242" s="13"/>
      <c r="L242" s="13"/>
      <c r="M242" s="15"/>
      <c r="N242" s="15"/>
      <c r="P242" s="15"/>
      <c r="Q242" s="15"/>
    </row>
    <row r="243" ht="15.75" customHeight="1">
      <c r="A243" s="6">
        <v>60101.0</v>
      </c>
      <c r="B243" s="7" t="s">
        <v>21</v>
      </c>
      <c r="C243" s="7" t="s">
        <v>21</v>
      </c>
      <c r="D243" s="8">
        <v>4034.0</v>
      </c>
      <c r="E243" s="8">
        <v>22306.0</v>
      </c>
      <c r="F243" s="9">
        <f t="shared" si="2"/>
        <v>18.08482023</v>
      </c>
      <c r="G243" s="10">
        <v>1232.0</v>
      </c>
      <c r="H243" s="10">
        <v>20975.0</v>
      </c>
      <c r="I243" s="9">
        <f t="shared" si="3"/>
        <v>5.873659118</v>
      </c>
      <c r="K243" s="13"/>
      <c r="L243" s="13"/>
      <c r="M243" s="15"/>
      <c r="N243" s="15"/>
      <c r="P243" s="15"/>
      <c r="Q243" s="15"/>
    </row>
    <row r="244" ht="15.75" customHeight="1">
      <c r="A244" s="6">
        <v>60201.0</v>
      </c>
      <c r="B244" s="7" t="s">
        <v>21</v>
      </c>
      <c r="C244" s="7" t="s">
        <v>263</v>
      </c>
      <c r="D244" s="8">
        <v>100.0</v>
      </c>
      <c r="E244" s="8">
        <v>1989.0</v>
      </c>
      <c r="F244" s="9">
        <f t="shared" si="2"/>
        <v>5.027652086</v>
      </c>
      <c r="G244" s="10">
        <v>74.0</v>
      </c>
      <c r="H244" s="10">
        <v>1376.0</v>
      </c>
      <c r="I244" s="9">
        <f t="shared" si="3"/>
        <v>5.377906977</v>
      </c>
      <c r="K244" s="13"/>
      <c r="L244" s="13"/>
      <c r="M244" s="15"/>
      <c r="N244" s="15"/>
      <c r="P244" s="15"/>
      <c r="Q244" s="15"/>
    </row>
    <row r="245" ht="15.75" customHeight="1">
      <c r="A245" s="6">
        <v>60202.0</v>
      </c>
      <c r="B245" s="7" t="s">
        <v>21</v>
      </c>
      <c r="C245" s="7" t="s">
        <v>264</v>
      </c>
      <c r="D245" s="8">
        <v>375.0</v>
      </c>
      <c r="E245" s="8">
        <v>3465.0</v>
      </c>
      <c r="F245" s="9">
        <f t="shared" si="2"/>
        <v>10.82251082</v>
      </c>
      <c r="G245" s="10">
        <v>194.0</v>
      </c>
      <c r="H245" s="10">
        <v>2812.0</v>
      </c>
      <c r="I245" s="9">
        <f t="shared" si="3"/>
        <v>6.899004267</v>
      </c>
      <c r="K245" s="13"/>
      <c r="L245" s="13"/>
      <c r="M245" s="14"/>
      <c r="N245" s="15"/>
      <c r="P245" s="15"/>
      <c r="Q245" s="15"/>
    </row>
    <row r="246" ht="15.75" customHeight="1">
      <c r="A246" s="6">
        <v>60301.0</v>
      </c>
      <c r="B246" s="7" t="s">
        <v>21</v>
      </c>
      <c r="C246" s="7" t="s">
        <v>265</v>
      </c>
      <c r="D246" s="8">
        <v>1030.0</v>
      </c>
      <c r="E246" s="8">
        <v>9483.0</v>
      </c>
      <c r="F246" s="9">
        <f t="shared" si="2"/>
        <v>10.86154171</v>
      </c>
      <c r="G246" s="10">
        <v>832.0</v>
      </c>
      <c r="H246" s="10">
        <v>8583.0</v>
      </c>
      <c r="I246" s="9">
        <f t="shared" si="3"/>
        <v>9.693580333</v>
      </c>
      <c r="K246" s="13"/>
      <c r="L246" s="13"/>
      <c r="M246" s="15"/>
      <c r="N246" s="15"/>
      <c r="P246" s="15"/>
      <c r="Q246" s="15"/>
    </row>
    <row r="247" ht="15.75" customHeight="1">
      <c r="A247" s="6">
        <v>60302.0</v>
      </c>
      <c r="B247" s="7" t="s">
        <v>21</v>
      </c>
      <c r="C247" s="7" t="s">
        <v>266</v>
      </c>
      <c r="D247" s="8">
        <v>96.0</v>
      </c>
      <c r="E247" s="8">
        <v>1715.0</v>
      </c>
      <c r="F247" s="9">
        <f t="shared" si="2"/>
        <v>5.597667638</v>
      </c>
      <c r="G247" s="10">
        <v>68.0</v>
      </c>
      <c r="H247" s="10">
        <v>1147.0</v>
      </c>
      <c r="I247" s="9">
        <f t="shared" si="3"/>
        <v>5.928509154</v>
      </c>
      <c r="K247" s="13"/>
      <c r="L247" s="13"/>
      <c r="M247" s="15"/>
      <c r="N247" s="15"/>
      <c r="P247" s="15"/>
      <c r="Q247" s="15"/>
    </row>
    <row r="248" ht="15.75" customHeight="1">
      <c r="A248" s="6">
        <v>60303.0</v>
      </c>
      <c r="B248" s="7" t="s">
        <v>21</v>
      </c>
      <c r="C248" s="7" t="s">
        <v>267</v>
      </c>
      <c r="D248" s="8">
        <v>838.0</v>
      </c>
      <c r="E248" s="8">
        <v>4487.0</v>
      </c>
      <c r="F248" s="9">
        <f t="shared" si="2"/>
        <v>18.67617562</v>
      </c>
      <c r="G248" s="10">
        <v>548.0</v>
      </c>
      <c r="H248" s="10">
        <v>4186.0</v>
      </c>
      <c r="I248" s="9">
        <f t="shared" si="3"/>
        <v>13.09125657</v>
      </c>
      <c r="K248" s="13"/>
      <c r="L248" s="13"/>
      <c r="M248" s="15"/>
      <c r="N248" s="15"/>
      <c r="P248" s="15"/>
      <c r="Q248" s="15"/>
    </row>
    <row r="249" ht="15.75" customHeight="1">
      <c r="A249" s="6">
        <v>60401.0</v>
      </c>
      <c r="B249" s="7" t="s">
        <v>21</v>
      </c>
      <c r="C249" s="7" t="s">
        <v>268</v>
      </c>
      <c r="D249" s="8">
        <v>76.0</v>
      </c>
      <c r="E249" s="8">
        <v>1542.0</v>
      </c>
      <c r="F249" s="9">
        <f t="shared" si="2"/>
        <v>4.928664073</v>
      </c>
      <c r="G249" s="10">
        <v>40.0</v>
      </c>
      <c r="H249" s="10">
        <v>1257.0</v>
      </c>
      <c r="I249" s="9">
        <f t="shared" si="3"/>
        <v>3.182179793</v>
      </c>
      <c r="K249" s="13"/>
      <c r="L249" s="13"/>
      <c r="M249" s="15"/>
      <c r="N249" s="15"/>
      <c r="P249" s="15"/>
      <c r="Q249" s="15"/>
    </row>
    <row r="250" ht="15.75" customHeight="1">
      <c r="A250" s="6">
        <v>60402.0</v>
      </c>
      <c r="B250" s="7" t="s">
        <v>21</v>
      </c>
      <c r="C250" s="7" t="s">
        <v>269</v>
      </c>
      <c r="D250" s="8">
        <v>24.0</v>
      </c>
      <c r="E250" s="8">
        <v>510.0</v>
      </c>
      <c r="F250" s="9">
        <f t="shared" si="2"/>
        <v>4.705882353</v>
      </c>
      <c r="G250" s="10">
        <v>16.0</v>
      </c>
      <c r="H250" s="10">
        <v>374.0</v>
      </c>
      <c r="I250" s="9">
        <f t="shared" si="3"/>
        <v>4.278074866</v>
      </c>
      <c r="K250" s="13"/>
      <c r="L250" s="13"/>
      <c r="M250" s="15"/>
      <c r="N250" s="15"/>
      <c r="P250" s="15"/>
      <c r="Q250" s="15"/>
    </row>
    <row r="251" ht="15.75" customHeight="1">
      <c r="A251" s="6">
        <v>60501.0</v>
      </c>
      <c r="B251" s="7" t="s">
        <v>21</v>
      </c>
      <c r="C251" s="7" t="s">
        <v>270</v>
      </c>
      <c r="D251" s="8">
        <v>184.0</v>
      </c>
      <c r="E251" s="8">
        <v>2175.0</v>
      </c>
      <c r="F251" s="9">
        <f t="shared" si="2"/>
        <v>8.459770115</v>
      </c>
      <c r="G251" s="10">
        <v>101.0</v>
      </c>
      <c r="H251" s="10">
        <v>2397.0</v>
      </c>
      <c r="I251" s="9">
        <f t="shared" si="3"/>
        <v>4.213600334</v>
      </c>
      <c r="K251" s="13"/>
      <c r="L251" s="13"/>
      <c r="M251" s="15"/>
      <c r="N251" s="15"/>
      <c r="P251" s="15"/>
      <c r="Q251" s="15"/>
    </row>
    <row r="252" ht="15.75" customHeight="1">
      <c r="A252" s="6">
        <v>60502.0</v>
      </c>
      <c r="B252" s="7" t="s">
        <v>21</v>
      </c>
      <c r="C252" s="7" t="s">
        <v>271</v>
      </c>
      <c r="D252" s="8">
        <v>39.0</v>
      </c>
      <c r="E252" s="8">
        <v>1007.0</v>
      </c>
      <c r="F252" s="9">
        <f t="shared" si="2"/>
        <v>3.872889772</v>
      </c>
      <c r="G252" s="10">
        <v>41.0</v>
      </c>
      <c r="H252" s="10">
        <v>646.0</v>
      </c>
      <c r="I252" s="9">
        <f t="shared" si="3"/>
        <v>6.346749226</v>
      </c>
      <c r="K252" s="13"/>
      <c r="L252" s="13"/>
      <c r="M252" s="15"/>
      <c r="N252" s="15"/>
      <c r="P252" s="15"/>
      <c r="Q252" s="15"/>
    </row>
    <row r="253" ht="15.75" customHeight="1">
      <c r="A253" s="6">
        <v>60601.0</v>
      </c>
      <c r="B253" s="7" t="s">
        <v>21</v>
      </c>
      <c r="C253" s="7" t="s">
        <v>175</v>
      </c>
      <c r="D253" s="8">
        <v>150.0</v>
      </c>
      <c r="E253" s="8">
        <v>2132.0</v>
      </c>
      <c r="F253" s="9">
        <f t="shared" si="2"/>
        <v>7.03564728</v>
      </c>
      <c r="G253" s="10">
        <v>52.0</v>
      </c>
      <c r="H253" s="10">
        <v>1457.0</v>
      </c>
      <c r="I253" s="9">
        <f t="shared" si="3"/>
        <v>3.568977351</v>
      </c>
      <c r="K253" s="13"/>
      <c r="L253" s="13"/>
      <c r="M253" s="15"/>
      <c r="N253" s="15"/>
      <c r="P253" s="15"/>
      <c r="Q253" s="15"/>
    </row>
    <row r="254" ht="15.75" customHeight="1">
      <c r="A254" s="6">
        <v>70101.0</v>
      </c>
      <c r="B254" s="7" t="s">
        <v>23</v>
      </c>
      <c r="C254" s="7" t="s">
        <v>272</v>
      </c>
      <c r="D254" s="8">
        <v>21793.0</v>
      </c>
      <c r="E254" s="8">
        <v>162738.0</v>
      </c>
      <c r="F254" s="9">
        <f t="shared" si="2"/>
        <v>13.39146358</v>
      </c>
      <c r="G254" s="10">
        <v>6597.0</v>
      </c>
      <c r="H254" s="10">
        <v>143993.0</v>
      </c>
      <c r="I254" s="9">
        <f t="shared" si="3"/>
        <v>4.58147271</v>
      </c>
      <c r="K254" s="13"/>
      <c r="L254" s="13"/>
      <c r="M254" s="15"/>
      <c r="N254" s="15"/>
      <c r="P254" s="15"/>
      <c r="Q254" s="15"/>
    </row>
    <row r="255" ht="15.75" customHeight="1">
      <c r="A255" s="6">
        <v>70102.0</v>
      </c>
      <c r="B255" s="7" t="s">
        <v>23</v>
      </c>
      <c r="C255" s="7" t="s">
        <v>273</v>
      </c>
      <c r="D255" s="8">
        <v>465.0</v>
      </c>
      <c r="E255" s="8">
        <v>6131.0</v>
      </c>
      <c r="F255" s="9">
        <f t="shared" si="2"/>
        <v>7.584407111</v>
      </c>
      <c r="G255" s="10">
        <v>484.0</v>
      </c>
      <c r="H255" s="10">
        <v>9795.0</v>
      </c>
      <c r="I255" s="9">
        <f t="shared" si="3"/>
        <v>4.94129658</v>
      </c>
      <c r="K255" s="13"/>
      <c r="L255" s="13"/>
      <c r="M255" s="15"/>
      <c r="N255" s="15"/>
      <c r="P255" s="15"/>
      <c r="Q255" s="15"/>
    </row>
    <row r="256" ht="15.75" customHeight="1">
      <c r="A256" s="6">
        <v>70103.0</v>
      </c>
      <c r="B256" s="7" t="s">
        <v>23</v>
      </c>
      <c r="C256" s="7" t="s">
        <v>274</v>
      </c>
      <c r="D256" s="8">
        <v>127.0</v>
      </c>
      <c r="E256" s="8">
        <v>1544.0</v>
      </c>
      <c r="F256" s="9">
        <f t="shared" si="2"/>
        <v>8.225388601</v>
      </c>
      <c r="G256" s="10">
        <v>61.0</v>
      </c>
      <c r="H256" s="10">
        <v>1818.0</v>
      </c>
      <c r="I256" s="9">
        <f t="shared" si="3"/>
        <v>3.355335534</v>
      </c>
      <c r="K256" s="13"/>
      <c r="L256" s="13"/>
      <c r="M256" s="15"/>
      <c r="N256" s="15"/>
      <c r="P256" s="15"/>
      <c r="Q256" s="15"/>
    </row>
    <row r="257" ht="15.75" customHeight="1">
      <c r="A257" s="6">
        <v>70104.0</v>
      </c>
      <c r="B257" s="7" t="s">
        <v>23</v>
      </c>
      <c r="C257" s="7" t="s">
        <v>275</v>
      </c>
      <c r="D257" s="8">
        <v>873.0</v>
      </c>
      <c r="E257" s="8">
        <v>9868.0</v>
      </c>
      <c r="F257" s="9">
        <f t="shared" si="2"/>
        <v>8.846777463</v>
      </c>
      <c r="G257" s="10">
        <v>527.0</v>
      </c>
      <c r="H257" s="10">
        <v>13259.0</v>
      </c>
      <c r="I257" s="9">
        <f t="shared" si="3"/>
        <v>3.974658722</v>
      </c>
      <c r="K257" s="13"/>
      <c r="L257" s="13"/>
      <c r="M257" s="15"/>
      <c r="N257" s="15"/>
      <c r="P257" s="15"/>
      <c r="Q257" s="15"/>
    </row>
    <row r="258" ht="15.75" customHeight="1">
      <c r="A258" s="6">
        <v>70105.0</v>
      </c>
      <c r="B258" s="7" t="s">
        <v>23</v>
      </c>
      <c r="C258" s="7" t="s">
        <v>276</v>
      </c>
      <c r="D258" s="8">
        <v>430.0</v>
      </c>
      <c r="E258" s="8">
        <v>5642.0</v>
      </c>
      <c r="F258" s="9">
        <f t="shared" si="2"/>
        <v>7.621410847</v>
      </c>
      <c r="G258" s="10">
        <v>230.0</v>
      </c>
      <c r="H258" s="10">
        <v>5154.0</v>
      </c>
      <c r="I258" s="9">
        <f t="shared" si="3"/>
        <v>4.462553357</v>
      </c>
      <c r="K258" s="13"/>
      <c r="L258" s="13"/>
      <c r="M258" s="15"/>
      <c r="N258" s="15"/>
      <c r="P258" s="15"/>
      <c r="Q258" s="15"/>
    </row>
    <row r="259" ht="15.75" customHeight="1">
      <c r="A259" s="6">
        <v>70201.0</v>
      </c>
      <c r="B259" s="7" t="s">
        <v>23</v>
      </c>
      <c r="C259" s="7" t="s">
        <v>277</v>
      </c>
      <c r="D259" s="8">
        <v>807.0</v>
      </c>
      <c r="E259" s="8">
        <v>10001.0</v>
      </c>
      <c r="F259" s="9">
        <f t="shared" si="2"/>
        <v>8.069193081</v>
      </c>
      <c r="G259" s="10">
        <v>856.0</v>
      </c>
      <c r="H259" s="10">
        <v>14462.0</v>
      </c>
      <c r="I259" s="9">
        <f t="shared" si="3"/>
        <v>5.918960033</v>
      </c>
      <c r="K259" s="13"/>
      <c r="L259" s="13"/>
      <c r="M259" s="15"/>
      <c r="N259" s="15"/>
      <c r="P259" s="15"/>
      <c r="Q259" s="15"/>
    </row>
    <row r="260" ht="15.75" customHeight="1">
      <c r="A260" s="6">
        <v>70202.0</v>
      </c>
      <c r="B260" s="7" t="s">
        <v>23</v>
      </c>
      <c r="C260" s="7" t="s">
        <v>278</v>
      </c>
      <c r="D260" s="8">
        <v>101.0</v>
      </c>
      <c r="E260" s="8">
        <v>1398.0</v>
      </c>
      <c r="F260" s="9">
        <f t="shared" si="2"/>
        <v>7.224606581</v>
      </c>
      <c r="G260" s="10">
        <v>46.0</v>
      </c>
      <c r="H260" s="10">
        <v>956.0</v>
      </c>
      <c r="I260" s="9">
        <f t="shared" si="3"/>
        <v>4.811715481</v>
      </c>
      <c r="K260" s="13"/>
      <c r="L260" s="13"/>
      <c r="M260" s="15"/>
      <c r="N260" s="15"/>
      <c r="P260" s="15"/>
      <c r="Q260" s="15"/>
    </row>
    <row r="261" ht="15.75" customHeight="1">
      <c r="A261" s="6">
        <v>70301.0</v>
      </c>
      <c r="B261" s="7" t="s">
        <v>23</v>
      </c>
      <c r="C261" s="7" t="s">
        <v>279</v>
      </c>
      <c r="D261" s="8">
        <v>423.0</v>
      </c>
      <c r="E261" s="8">
        <v>5317.0</v>
      </c>
      <c r="F261" s="9">
        <f t="shared" si="2"/>
        <v>7.955614068</v>
      </c>
      <c r="G261" s="10">
        <v>316.0</v>
      </c>
      <c r="H261" s="10">
        <v>6499.0</v>
      </c>
      <c r="I261" s="9">
        <f t="shared" si="3"/>
        <v>4.862286506</v>
      </c>
      <c r="K261" s="13"/>
      <c r="L261" s="13"/>
      <c r="M261" s="15"/>
      <c r="N261" s="15"/>
      <c r="P261" s="15"/>
      <c r="Q261" s="15"/>
    </row>
    <row r="262" ht="15.75" customHeight="1">
      <c r="A262" s="6">
        <v>70302.0</v>
      </c>
      <c r="B262" s="7" t="s">
        <v>23</v>
      </c>
      <c r="C262" s="7" t="s">
        <v>280</v>
      </c>
      <c r="D262" s="8">
        <v>47.0</v>
      </c>
      <c r="E262" s="8">
        <v>1131.0</v>
      </c>
      <c r="F262" s="9">
        <f t="shared" si="2"/>
        <v>4.1556145</v>
      </c>
      <c r="G262" s="10">
        <v>59.0</v>
      </c>
      <c r="H262" s="10">
        <v>1224.0</v>
      </c>
      <c r="I262" s="9">
        <f t="shared" si="3"/>
        <v>4.820261438</v>
      </c>
      <c r="K262" s="13"/>
      <c r="L262" s="13"/>
      <c r="M262" s="15"/>
      <c r="N262" s="15"/>
      <c r="P262" s="15"/>
      <c r="Q262" s="15"/>
    </row>
    <row r="263" ht="15.75" customHeight="1">
      <c r="A263" s="6">
        <v>70303.0</v>
      </c>
      <c r="B263" s="7" t="s">
        <v>23</v>
      </c>
      <c r="C263" s="7" t="s">
        <v>281</v>
      </c>
      <c r="D263" s="8">
        <v>38.0</v>
      </c>
      <c r="E263" s="8">
        <v>621.0</v>
      </c>
      <c r="F263" s="9">
        <f t="shared" si="2"/>
        <v>6.119162641</v>
      </c>
      <c r="G263" s="10">
        <v>30.0</v>
      </c>
      <c r="H263" s="10">
        <v>756.0</v>
      </c>
      <c r="I263" s="9">
        <f t="shared" si="3"/>
        <v>3.968253968</v>
      </c>
      <c r="K263" s="13"/>
      <c r="L263" s="13"/>
      <c r="M263" s="15"/>
      <c r="N263" s="15"/>
      <c r="P263" s="15"/>
      <c r="Q263" s="15"/>
    </row>
    <row r="264" ht="15.75" customHeight="1">
      <c r="A264" s="6">
        <v>70401.0</v>
      </c>
      <c r="B264" s="7" t="s">
        <v>23</v>
      </c>
      <c r="C264" s="7" t="s">
        <v>282</v>
      </c>
      <c r="D264" s="8">
        <v>175.0</v>
      </c>
      <c r="E264" s="8">
        <v>1468.0</v>
      </c>
      <c r="F264" s="9">
        <f t="shared" si="2"/>
        <v>11.92098093</v>
      </c>
      <c r="G264" s="10">
        <v>237.0</v>
      </c>
      <c r="H264" s="10">
        <v>1324.0</v>
      </c>
      <c r="I264" s="9">
        <f t="shared" si="3"/>
        <v>17.90030211</v>
      </c>
      <c r="K264" s="13"/>
      <c r="L264" s="13"/>
      <c r="M264" s="15"/>
      <c r="N264" s="15"/>
      <c r="P264" s="15"/>
      <c r="Q264" s="15"/>
    </row>
    <row r="265" ht="15.75" customHeight="1">
      <c r="A265" s="6">
        <v>70402.0</v>
      </c>
      <c r="B265" s="7" t="s">
        <v>23</v>
      </c>
      <c r="C265" s="7" t="s">
        <v>283</v>
      </c>
      <c r="D265" s="8">
        <v>201.0</v>
      </c>
      <c r="E265" s="8">
        <v>2229.0</v>
      </c>
      <c r="F265" s="9">
        <f t="shared" si="2"/>
        <v>9.017496635</v>
      </c>
      <c r="G265" s="10">
        <v>81.0</v>
      </c>
      <c r="H265" s="10">
        <v>1584.0</v>
      </c>
      <c r="I265" s="9">
        <f t="shared" si="3"/>
        <v>5.113636364</v>
      </c>
      <c r="K265" s="13"/>
      <c r="L265" s="13"/>
      <c r="M265" s="15"/>
      <c r="N265" s="15"/>
      <c r="P265" s="15"/>
      <c r="Q265" s="15"/>
    </row>
    <row r="266" ht="15.75" customHeight="1">
      <c r="A266" s="6">
        <v>70403.0</v>
      </c>
      <c r="B266" s="7" t="s">
        <v>23</v>
      </c>
      <c r="C266" s="7" t="s">
        <v>284</v>
      </c>
      <c r="D266" s="8">
        <v>375.0</v>
      </c>
      <c r="E266" s="8">
        <v>5771.0</v>
      </c>
      <c r="F266" s="9">
        <f t="shared" si="2"/>
        <v>6.498007278</v>
      </c>
      <c r="G266" s="10">
        <v>413.0</v>
      </c>
      <c r="H266" s="10">
        <v>5487.0</v>
      </c>
      <c r="I266" s="9">
        <f t="shared" si="3"/>
        <v>7.52688172</v>
      </c>
      <c r="K266" s="13"/>
      <c r="L266" s="13"/>
      <c r="M266" s="15"/>
      <c r="N266" s="15"/>
      <c r="P266" s="15"/>
      <c r="Q266" s="15"/>
    </row>
    <row r="267" ht="15.75" customHeight="1">
      <c r="A267" s="6">
        <v>70404.0</v>
      </c>
      <c r="B267" s="7" t="s">
        <v>23</v>
      </c>
      <c r="C267" s="7" t="s">
        <v>285</v>
      </c>
      <c r="D267" s="8">
        <v>50.0</v>
      </c>
      <c r="E267" s="8">
        <v>910.0</v>
      </c>
      <c r="F267" s="9">
        <f t="shared" si="2"/>
        <v>5.494505495</v>
      </c>
      <c r="G267" s="10">
        <v>68.0</v>
      </c>
      <c r="H267" s="10">
        <v>949.0</v>
      </c>
      <c r="I267" s="9">
        <f t="shared" si="3"/>
        <v>7.165437302</v>
      </c>
      <c r="K267" s="13"/>
      <c r="L267" s="13"/>
      <c r="M267" s="15"/>
      <c r="N267" s="15"/>
      <c r="P267" s="15"/>
      <c r="Q267" s="15"/>
    </row>
    <row r="268" ht="15.75" customHeight="1">
      <c r="A268" s="6">
        <v>70501.0</v>
      </c>
      <c r="B268" s="7" t="s">
        <v>23</v>
      </c>
      <c r="C268" s="7" t="s">
        <v>286</v>
      </c>
      <c r="D268" s="8">
        <v>271.0</v>
      </c>
      <c r="E268" s="8">
        <v>3155.0</v>
      </c>
      <c r="F268" s="9">
        <f t="shared" si="2"/>
        <v>8.589540412</v>
      </c>
      <c r="G268" s="10">
        <v>326.0</v>
      </c>
      <c r="H268" s="10">
        <v>3816.0</v>
      </c>
      <c r="I268" s="9">
        <f t="shared" si="3"/>
        <v>8.542976939</v>
      </c>
      <c r="K268" s="13"/>
      <c r="L268" s="13"/>
      <c r="M268" s="15"/>
      <c r="N268" s="15"/>
      <c r="P268" s="15"/>
      <c r="Q268" s="15"/>
    </row>
    <row r="269" ht="15.75" customHeight="1">
      <c r="A269" s="6">
        <v>70502.0</v>
      </c>
      <c r="B269" s="7" t="s">
        <v>23</v>
      </c>
      <c r="C269" s="7" t="s">
        <v>287</v>
      </c>
      <c r="D269" s="8">
        <v>264.0</v>
      </c>
      <c r="E269" s="8">
        <v>4212.0</v>
      </c>
      <c r="F269" s="9">
        <f t="shared" si="2"/>
        <v>6.267806268</v>
      </c>
      <c r="G269" s="10">
        <v>203.0</v>
      </c>
      <c r="H269" s="10">
        <v>5113.0</v>
      </c>
      <c r="I269" s="9">
        <f t="shared" si="3"/>
        <v>3.970271856</v>
      </c>
      <c r="K269" s="13"/>
      <c r="L269" s="13"/>
      <c r="M269" s="15"/>
      <c r="N269" s="15"/>
      <c r="P269" s="15"/>
      <c r="Q269" s="15"/>
    </row>
    <row r="270" ht="15.75" customHeight="1">
      <c r="A270" s="6">
        <v>70503.0</v>
      </c>
      <c r="B270" s="7" t="s">
        <v>23</v>
      </c>
      <c r="C270" s="7" t="s">
        <v>288</v>
      </c>
      <c r="D270" s="8">
        <v>575.0</v>
      </c>
      <c r="E270" s="8">
        <v>1993.0</v>
      </c>
      <c r="F270" s="9">
        <f t="shared" si="2"/>
        <v>28.85097842</v>
      </c>
      <c r="G270" s="10">
        <v>587.0</v>
      </c>
      <c r="H270" s="10">
        <v>2097.0</v>
      </c>
      <c r="I270" s="9">
        <f t="shared" si="3"/>
        <v>27.99237005</v>
      </c>
      <c r="K270" s="13"/>
      <c r="L270" s="13"/>
      <c r="M270" s="15"/>
      <c r="N270" s="15"/>
      <c r="P270" s="15"/>
      <c r="Q270" s="15"/>
    </row>
    <row r="271" ht="15.75" customHeight="1">
      <c r="A271" s="6">
        <v>70601.0</v>
      </c>
      <c r="B271" s="7" t="s">
        <v>23</v>
      </c>
      <c r="C271" s="7" t="s">
        <v>289</v>
      </c>
      <c r="D271" s="8">
        <v>191.0</v>
      </c>
      <c r="E271" s="8">
        <v>1949.0</v>
      </c>
      <c r="F271" s="9">
        <f t="shared" si="2"/>
        <v>9.799897383</v>
      </c>
      <c r="G271" s="10">
        <v>85.0</v>
      </c>
      <c r="H271" s="10">
        <v>1762.0</v>
      </c>
      <c r="I271" s="9">
        <f t="shared" si="3"/>
        <v>4.824063564</v>
      </c>
      <c r="K271" s="13"/>
      <c r="L271" s="13"/>
      <c r="M271" s="15"/>
      <c r="N271" s="15"/>
      <c r="P271" s="15"/>
      <c r="Q271" s="15"/>
    </row>
    <row r="272" ht="15.75" customHeight="1">
      <c r="A272" s="6">
        <v>70602.0</v>
      </c>
      <c r="B272" s="7" t="s">
        <v>23</v>
      </c>
      <c r="C272" s="7" t="s">
        <v>290</v>
      </c>
      <c r="D272" s="8">
        <v>148.0</v>
      </c>
      <c r="E272" s="8">
        <v>1953.0</v>
      </c>
      <c r="F272" s="9">
        <f t="shared" si="2"/>
        <v>7.578084997</v>
      </c>
      <c r="G272" s="10">
        <v>96.0</v>
      </c>
      <c r="H272" s="10">
        <v>1566.0</v>
      </c>
      <c r="I272" s="9">
        <f t="shared" si="3"/>
        <v>6.130268199</v>
      </c>
      <c r="K272" s="13"/>
      <c r="L272" s="13"/>
      <c r="M272" s="15"/>
      <c r="N272" s="15"/>
      <c r="P272" s="15"/>
      <c r="Q272" s="15"/>
    </row>
    <row r="273" ht="15.75" customHeight="1">
      <c r="A273" s="6">
        <v>70603.0</v>
      </c>
      <c r="B273" s="7" t="s">
        <v>23</v>
      </c>
      <c r="C273" s="7" t="s">
        <v>291</v>
      </c>
      <c r="D273" s="8">
        <v>58.0</v>
      </c>
      <c r="E273" s="8">
        <v>634.0</v>
      </c>
      <c r="F273" s="9">
        <f t="shared" si="2"/>
        <v>9.148264984</v>
      </c>
      <c r="G273" s="10">
        <v>44.0</v>
      </c>
      <c r="H273" s="10">
        <v>529.0</v>
      </c>
      <c r="I273" s="9">
        <f t="shared" si="3"/>
        <v>8.31758034</v>
      </c>
      <c r="K273" s="13"/>
      <c r="L273" s="13"/>
      <c r="M273" s="15"/>
      <c r="N273" s="15"/>
      <c r="P273" s="15"/>
      <c r="Q273" s="15"/>
    </row>
    <row r="274" ht="15.75" customHeight="1">
      <c r="A274" s="6">
        <v>70701.0</v>
      </c>
      <c r="B274" s="7" t="s">
        <v>23</v>
      </c>
      <c r="C274" s="7" t="s">
        <v>292</v>
      </c>
      <c r="D274" s="8">
        <v>42.0</v>
      </c>
      <c r="E274" s="8">
        <v>533.0</v>
      </c>
      <c r="F274" s="9">
        <f t="shared" si="2"/>
        <v>7.879924953</v>
      </c>
      <c r="G274" s="10">
        <v>20.0</v>
      </c>
      <c r="H274" s="10">
        <v>494.0</v>
      </c>
      <c r="I274" s="9">
        <f t="shared" si="3"/>
        <v>4.048582996</v>
      </c>
      <c r="K274" s="13"/>
      <c r="L274" s="13"/>
      <c r="M274" s="15"/>
      <c r="N274" s="15"/>
      <c r="P274" s="15"/>
      <c r="Q274" s="15"/>
    </row>
    <row r="275" ht="15.75" customHeight="1">
      <c r="A275" s="6">
        <v>70702.0</v>
      </c>
      <c r="B275" s="7" t="s">
        <v>23</v>
      </c>
      <c r="C275" s="7" t="s">
        <v>293</v>
      </c>
      <c r="D275" s="8">
        <v>451.0</v>
      </c>
      <c r="E275" s="8">
        <v>3421.0</v>
      </c>
      <c r="F275" s="9">
        <f t="shared" si="2"/>
        <v>13.18327974</v>
      </c>
      <c r="G275" s="10">
        <v>550.0</v>
      </c>
      <c r="H275" s="10">
        <v>3968.0</v>
      </c>
      <c r="I275" s="9">
        <f t="shared" si="3"/>
        <v>13.8608871</v>
      </c>
      <c r="K275" s="13"/>
      <c r="L275" s="13"/>
      <c r="M275" s="15"/>
      <c r="N275" s="15"/>
      <c r="P275" s="15"/>
      <c r="Q275" s="15"/>
    </row>
    <row r="276" ht="15.75" customHeight="1">
      <c r="A276" s="6">
        <v>70703.0</v>
      </c>
      <c r="B276" s="7" t="s">
        <v>23</v>
      </c>
      <c r="C276" s="7" t="s">
        <v>294</v>
      </c>
      <c r="D276" s="8">
        <v>244.0</v>
      </c>
      <c r="E276" s="8">
        <v>3053.0</v>
      </c>
      <c r="F276" s="9">
        <f t="shared" si="2"/>
        <v>7.99213888</v>
      </c>
      <c r="G276" s="10">
        <v>297.0</v>
      </c>
      <c r="H276" s="10">
        <v>3289.0</v>
      </c>
      <c r="I276" s="9">
        <f t="shared" si="3"/>
        <v>9.030100334</v>
      </c>
      <c r="K276" s="13"/>
      <c r="L276" s="13"/>
      <c r="M276" s="15"/>
      <c r="N276" s="15"/>
      <c r="P276" s="15"/>
      <c r="Q276" s="15"/>
    </row>
    <row r="277" ht="15.75" customHeight="1">
      <c r="A277" s="6">
        <v>70704.0</v>
      </c>
      <c r="B277" s="7" t="s">
        <v>23</v>
      </c>
      <c r="C277" s="7" t="s">
        <v>295</v>
      </c>
      <c r="D277" s="8">
        <v>114.0</v>
      </c>
      <c r="E277" s="8">
        <v>564.0</v>
      </c>
      <c r="F277" s="9">
        <f t="shared" si="2"/>
        <v>20.21276596</v>
      </c>
      <c r="G277" s="10">
        <v>200.0</v>
      </c>
      <c r="H277" s="10">
        <v>662.0</v>
      </c>
      <c r="I277" s="9">
        <f t="shared" si="3"/>
        <v>30.21148036</v>
      </c>
      <c r="K277" s="13"/>
      <c r="L277" s="13"/>
      <c r="M277" s="15"/>
      <c r="N277" s="15"/>
      <c r="P277" s="15"/>
      <c r="Q277" s="15"/>
    </row>
    <row r="278" ht="15.75" customHeight="1">
      <c r="A278" s="6">
        <v>70705.0</v>
      </c>
      <c r="B278" s="7" t="s">
        <v>23</v>
      </c>
      <c r="C278" s="7" t="s">
        <v>296</v>
      </c>
      <c r="D278" s="8">
        <v>103.0</v>
      </c>
      <c r="E278" s="8">
        <v>1151.0</v>
      </c>
      <c r="F278" s="9">
        <f t="shared" si="2"/>
        <v>8.948740226</v>
      </c>
      <c r="G278" s="10">
        <v>81.0</v>
      </c>
      <c r="H278" s="10">
        <v>1424.0</v>
      </c>
      <c r="I278" s="9">
        <f t="shared" si="3"/>
        <v>5.688202247</v>
      </c>
      <c r="K278" s="13"/>
      <c r="L278" s="13"/>
      <c r="M278" s="15"/>
      <c r="N278" s="15"/>
      <c r="P278" s="15"/>
      <c r="Q278" s="15"/>
    </row>
    <row r="279" ht="15.75" customHeight="1">
      <c r="A279" s="6">
        <v>70706.0</v>
      </c>
      <c r="B279" s="7" t="s">
        <v>23</v>
      </c>
      <c r="C279" s="7" t="s">
        <v>297</v>
      </c>
      <c r="D279" s="8">
        <v>878.0</v>
      </c>
      <c r="E279" s="8">
        <v>3766.0</v>
      </c>
      <c r="F279" s="9">
        <f t="shared" si="2"/>
        <v>23.31386086</v>
      </c>
      <c r="G279" s="10">
        <v>211.0</v>
      </c>
      <c r="H279" s="10">
        <v>3037.0</v>
      </c>
      <c r="I279" s="9">
        <f t="shared" si="3"/>
        <v>6.947645703</v>
      </c>
      <c r="K279" s="13"/>
      <c r="L279" s="13"/>
      <c r="M279" s="15"/>
      <c r="N279" s="15"/>
      <c r="P279" s="15"/>
      <c r="Q279" s="15"/>
    </row>
    <row r="280" ht="15.75" customHeight="1">
      <c r="A280" s="6">
        <v>70707.0</v>
      </c>
      <c r="B280" s="7" t="s">
        <v>23</v>
      </c>
      <c r="C280" s="7" t="s">
        <v>298</v>
      </c>
      <c r="D280" s="8">
        <v>151.0</v>
      </c>
      <c r="E280" s="8">
        <v>615.0</v>
      </c>
      <c r="F280" s="9">
        <f t="shared" si="2"/>
        <v>24.55284553</v>
      </c>
      <c r="G280" s="10">
        <v>278.0</v>
      </c>
      <c r="H280" s="10">
        <v>706.0</v>
      </c>
      <c r="I280" s="9">
        <f t="shared" si="3"/>
        <v>39.37677054</v>
      </c>
      <c r="K280" s="13"/>
      <c r="L280" s="13"/>
      <c r="M280" s="15"/>
      <c r="N280" s="15"/>
      <c r="P280" s="15"/>
      <c r="Q280" s="15"/>
    </row>
    <row r="281" ht="15.75" customHeight="1">
      <c r="A281" s="6">
        <v>70801.0</v>
      </c>
      <c r="B281" s="7" t="s">
        <v>23</v>
      </c>
      <c r="C281" s="7" t="s">
        <v>299</v>
      </c>
      <c r="D281" s="8">
        <v>109.0</v>
      </c>
      <c r="E281" s="8">
        <v>1675.0</v>
      </c>
      <c r="F281" s="9">
        <f t="shared" si="2"/>
        <v>6.507462687</v>
      </c>
      <c r="G281" s="10">
        <v>31.0</v>
      </c>
      <c r="H281" s="10">
        <v>1292.0</v>
      </c>
      <c r="I281" s="9">
        <f t="shared" si="3"/>
        <v>2.399380805</v>
      </c>
      <c r="K281" s="13"/>
      <c r="L281" s="13"/>
      <c r="M281" s="15"/>
      <c r="N281" s="15"/>
      <c r="P281" s="15"/>
      <c r="Q281" s="15"/>
    </row>
    <row r="282" ht="15.75" customHeight="1">
      <c r="A282" s="6">
        <v>70802.0</v>
      </c>
      <c r="B282" s="7" t="s">
        <v>23</v>
      </c>
      <c r="C282" s="7" t="s">
        <v>300</v>
      </c>
      <c r="D282" s="8">
        <v>10.0</v>
      </c>
      <c r="E282" s="8">
        <v>183.0</v>
      </c>
      <c r="F282" s="9">
        <f t="shared" si="2"/>
        <v>5.464480874</v>
      </c>
      <c r="G282" s="10">
        <v>4.0</v>
      </c>
      <c r="H282" s="10">
        <v>146.0</v>
      </c>
      <c r="I282" s="9">
        <f t="shared" si="3"/>
        <v>2.739726027</v>
      </c>
      <c r="K282" s="13"/>
      <c r="L282" s="13"/>
      <c r="M282" s="15"/>
      <c r="N282" s="15"/>
      <c r="P282" s="15"/>
      <c r="Q282" s="15"/>
    </row>
    <row r="283" ht="15.75" customHeight="1">
      <c r="A283" s="6">
        <v>70803.0</v>
      </c>
      <c r="B283" s="7" t="s">
        <v>23</v>
      </c>
      <c r="C283" s="7" t="s">
        <v>301</v>
      </c>
      <c r="D283" s="8">
        <v>9.0</v>
      </c>
      <c r="E283" s="8">
        <v>259.0</v>
      </c>
      <c r="F283" s="9">
        <f t="shared" si="2"/>
        <v>3.474903475</v>
      </c>
      <c r="G283" s="10">
        <v>2.0</v>
      </c>
      <c r="H283" s="10">
        <v>200.0</v>
      </c>
      <c r="I283" s="9">
        <f t="shared" si="3"/>
        <v>1</v>
      </c>
      <c r="K283" s="13"/>
      <c r="L283" s="13"/>
      <c r="M283" s="15"/>
      <c r="N283" s="15"/>
      <c r="P283" s="15"/>
      <c r="Q283" s="15"/>
    </row>
    <row r="284" ht="15.75" customHeight="1">
      <c r="A284" s="6">
        <v>70804.0</v>
      </c>
      <c r="B284" s="7" t="s">
        <v>23</v>
      </c>
      <c r="C284" s="7" t="s">
        <v>302</v>
      </c>
      <c r="D284" s="8">
        <v>10.0</v>
      </c>
      <c r="E284" s="8">
        <v>225.0</v>
      </c>
      <c r="F284" s="9">
        <f t="shared" si="2"/>
        <v>4.444444444</v>
      </c>
      <c r="G284" s="10">
        <v>10.0</v>
      </c>
      <c r="H284" s="10">
        <v>143.0</v>
      </c>
      <c r="I284" s="9">
        <f t="shared" si="3"/>
        <v>6.993006993</v>
      </c>
      <c r="K284" s="13"/>
      <c r="L284" s="13"/>
      <c r="M284" s="15"/>
      <c r="N284" s="15"/>
      <c r="P284" s="15"/>
      <c r="Q284" s="15"/>
    </row>
    <row r="285" ht="15.75" customHeight="1">
      <c r="A285" s="6">
        <v>70805.0</v>
      </c>
      <c r="B285" s="7" t="s">
        <v>23</v>
      </c>
      <c r="C285" s="7" t="s">
        <v>303</v>
      </c>
      <c r="D285" s="8">
        <v>12.0</v>
      </c>
      <c r="E285" s="8">
        <v>180.0</v>
      </c>
      <c r="F285" s="9">
        <f t="shared" si="2"/>
        <v>6.666666667</v>
      </c>
      <c r="G285" s="10">
        <v>4.0</v>
      </c>
      <c r="H285" s="10">
        <v>146.0</v>
      </c>
      <c r="I285" s="9">
        <f t="shared" si="3"/>
        <v>2.739726027</v>
      </c>
      <c r="K285" s="13"/>
      <c r="L285" s="13"/>
      <c r="M285" s="15"/>
      <c r="N285" s="15"/>
      <c r="P285" s="15"/>
      <c r="Q285" s="15"/>
    </row>
    <row r="286" ht="15.75" customHeight="1">
      <c r="A286" s="6">
        <v>70901.0</v>
      </c>
      <c r="B286" s="7" t="s">
        <v>23</v>
      </c>
      <c r="C286" s="7" t="s">
        <v>304</v>
      </c>
      <c r="D286" s="8">
        <v>33.0</v>
      </c>
      <c r="E286" s="8">
        <v>967.0</v>
      </c>
      <c r="F286" s="9">
        <f t="shared" si="2"/>
        <v>3.412616339</v>
      </c>
      <c r="G286" s="10">
        <v>33.0</v>
      </c>
      <c r="H286" s="10">
        <v>938.0</v>
      </c>
      <c r="I286" s="9">
        <f t="shared" si="3"/>
        <v>3.518123667</v>
      </c>
      <c r="K286" s="13"/>
      <c r="L286" s="13"/>
      <c r="M286" s="15"/>
      <c r="N286" s="15"/>
      <c r="P286" s="15"/>
      <c r="Q286" s="15"/>
    </row>
    <row r="287" ht="15.75" customHeight="1">
      <c r="A287" s="6">
        <v>70902.0</v>
      </c>
      <c r="B287" s="7" t="s">
        <v>23</v>
      </c>
      <c r="C287" s="7" t="s">
        <v>305</v>
      </c>
      <c r="D287" s="8">
        <v>34.0</v>
      </c>
      <c r="E287" s="8">
        <v>899.0</v>
      </c>
      <c r="F287" s="9">
        <f t="shared" si="2"/>
        <v>3.781979978</v>
      </c>
      <c r="G287" s="10">
        <v>22.0</v>
      </c>
      <c r="H287" s="10">
        <v>808.0</v>
      </c>
      <c r="I287" s="9">
        <f t="shared" si="3"/>
        <v>2.722772277</v>
      </c>
      <c r="K287" s="13"/>
      <c r="L287" s="13"/>
      <c r="M287" s="15"/>
      <c r="N287" s="15"/>
      <c r="P287" s="15"/>
      <c r="Q287" s="15"/>
    </row>
    <row r="288" ht="15.75" customHeight="1">
      <c r="A288" s="6">
        <v>70903.0</v>
      </c>
      <c r="B288" s="7" t="s">
        <v>23</v>
      </c>
      <c r="C288" s="7" t="s">
        <v>306</v>
      </c>
      <c r="D288" s="8">
        <v>38.0</v>
      </c>
      <c r="E288" s="8">
        <v>1028.0</v>
      </c>
      <c r="F288" s="9">
        <f t="shared" si="2"/>
        <v>3.696498054</v>
      </c>
      <c r="G288" s="10">
        <v>37.0</v>
      </c>
      <c r="H288" s="10">
        <v>1133.0</v>
      </c>
      <c r="I288" s="9">
        <f t="shared" si="3"/>
        <v>3.265666372</v>
      </c>
      <c r="K288" s="13"/>
      <c r="L288" s="13"/>
      <c r="M288" s="15"/>
      <c r="N288" s="15"/>
      <c r="P288" s="15"/>
      <c r="Q288" s="15"/>
    </row>
    <row r="289" ht="15.75" customHeight="1">
      <c r="A289" s="6">
        <v>70904.0</v>
      </c>
      <c r="B289" s="7" t="s">
        <v>23</v>
      </c>
      <c r="C289" s="7" t="s">
        <v>307</v>
      </c>
      <c r="D289" s="8">
        <v>20.0</v>
      </c>
      <c r="E289" s="8">
        <v>282.0</v>
      </c>
      <c r="F289" s="9">
        <f t="shared" si="2"/>
        <v>7.092198582</v>
      </c>
      <c r="G289" s="10">
        <v>12.0</v>
      </c>
      <c r="H289" s="10">
        <v>227.0</v>
      </c>
      <c r="I289" s="9">
        <f t="shared" si="3"/>
        <v>5.286343612</v>
      </c>
      <c r="K289" s="13"/>
      <c r="L289" s="13"/>
      <c r="M289" s="15"/>
      <c r="N289" s="15"/>
      <c r="P289" s="15"/>
      <c r="Q289" s="15"/>
    </row>
    <row r="290" ht="15.75" customHeight="1">
      <c r="A290" s="6">
        <v>71001.0</v>
      </c>
      <c r="B290" s="7" t="s">
        <v>23</v>
      </c>
      <c r="C290" s="7" t="s">
        <v>308</v>
      </c>
      <c r="D290" s="8">
        <v>1642.0</v>
      </c>
      <c r="E290" s="8">
        <v>12196.0</v>
      </c>
      <c r="F290" s="9">
        <f t="shared" si="2"/>
        <v>13.46343063</v>
      </c>
      <c r="G290" s="10">
        <v>755.0</v>
      </c>
      <c r="H290" s="10">
        <v>11823.0</v>
      </c>
      <c r="I290" s="9">
        <f t="shared" si="3"/>
        <v>6.385858073</v>
      </c>
      <c r="K290" s="13"/>
      <c r="L290" s="13"/>
      <c r="M290" s="15"/>
      <c r="N290" s="15"/>
      <c r="P290" s="15"/>
      <c r="Q290" s="15"/>
    </row>
    <row r="291" ht="15.75" customHeight="1">
      <c r="A291" s="6">
        <v>71002.0</v>
      </c>
      <c r="B291" s="7" t="s">
        <v>23</v>
      </c>
      <c r="C291" s="7" t="s">
        <v>309</v>
      </c>
      <c r="D291" s="8">
        <v>118.0</v>
      </c>
      <c r="E291" s="8">
        <v>1495.0</v>
      </c>
      <c r="F291" s="9">
        <f t="shared" si="2"/>
        <v>7.892976589</v>
      </c>
      <c r="G291" s="10">
        <v>113.0</v>
      </c>
      <c r="H291" s="10">
        <v>1593.0</v>
      </c>
      <c r="I291" s="9">
        <f t="shared" si="3"/>
        <v>7.093534212</v>
      </c>
      <c r="K291" s="13"/>
      <c r="L291" s="13"/>
      <c r="M291" s="15"/>
      <c r="N291" s="15"/>
      <c r="P291" s="15"/>
      <c r="Q291" s="15"/>
    </row>
    <row r="292" ht="15.75" customHeight="1">
      <c r="A292" s="6">
        <v>71003.0</v>
      </c>
      <c r="B292" s="7" t="s">
        <v>23</v>
      </c>
      <c r="C292" s="7" t="s">
        <v>310</v>
      </c>
      <c r="D292" s="8">
        <v>196.0</v>
      </c>
      <c r="E292" s="8">
        <v>2536.0</v>
      </c>
      <c r="F292" s="9">
        <f t="shared" si="2"/>
        <v>7.728706625</v>
      </c>
      <c r="G292" s="10">
        <v>138.0</v>
      </c>
      <c r="H292" s="10">
        <v>2154.0</v>
      </c>
      <c r="I292" s="9">
        <f t="shared" si="3"/>
        <v>6.406685237</v>
      </c>
      <c r="K292" s="13"/>
      <c r="L292" s="13"/>
      <c r="M292" s="15"/>
      <c r="N292" s="15"/>
      <c r="P292" s="15"/>
      <c r="Q292" s="15"/>
    </row>
    <row r="293" ht="15.75" customHeight="1">
      <c r="A293" s="6">
        <v>71004.0</v>
      </c>
      <c r="B293" s="7" t="s">
        <v>23</v>
      </c>
      <c r="C293" s="7" t="s">
        <v>311</v>
      </c>
      <c r="D293" s="8">
        <v>155.0</v>
      </c>
      <c r="E293" s="8">
        <v>1927.0</v>
      </c>
      <c r="F293" s="9">
        <f t="shared" si="2"/>
        <v>8.043591074</v>
      </c>
      <c r="G293" s="10">
        <v>69.0</v>
      </c>
      <c r="H293" s="10">
        <v>1514.0</v>
      </c>
      <c r="I293" s="9">
        <f t="shared" si="3"/>
        <v>4.557463672</v>
      </c>
      <c r="K293" s="13"/>
      <c r="L293" s="13"/>
      <c r="M293" s="15"/>
      <c r="N293" s="15"/>
      <c r="P293" s="15"/>
      <c r="Q293" s="15"/>
    </row>
    <row r="294" ht="15.75" customHeight="1">
      <c r="A294" s="6">
        <v>71005.0</v>
      </c>
      <c r="B294" s="7" t="s">
        <v>23</v>
      </c>
      <c r="C294" s="7" t="s">
        <v>312</v>
      </c>
      <c r="D294" s="8">
        <v>180.0</v>
      </c>
      <c r="E294" s="8">
        <v>2387.0</v>
      </c>
      <c r="F294" s="9">
        <f t="shared" si="2"/>
        <v>7.540846251</v>
      </c>
      <c r="G294" s="10">
        <v>84.0</v>
      </c>
      <c r="H294" s="10">
        <v>1598.0</v>
      </c>
      <c r="I294" s="9">
        <f t="shared" si="3"/>
        <v>5.256570713</v>
      </c>
      <c r="K294" s="13"/>
      <c r="L294" s="13"/>
      <c r="M294" s="15"/>
      <c r="N294" s="15"/>
      <c r="P294" s="15"/>
      <c r="Q294" s="15"/>
    </row>
    <row r="295" ht="15.75" customHeight="1">
      <c r="A295" s="6">
        <v>71101.0</v>
      </c>
      <c r="B295" s="7" t="s">
        <v>23</v>
      </c>
      <c r="C295" s="7" t="s">
        <v>313</v>
      </c>
      <c r="D295" s="8">
        <v>130.0</v>
      </c>
      <c r="E295" s="8">
        <v>1977.0</v>
      </c>
      <c r="F295" s="9">
        <f t="shared" si="2"/>
        <v>6.575619626</v>
      </c>
      <c r="G295" s="10">
        <v>143.0</v>
      </c>
      <c r="H295" s="10">
        <v>2825.0</v>
      </c>
      <c r="I295" s="9">
        <f t="shared" si="3"/>
        <v>5.061946903</v>
      </c>
      <c r="K295" s="13"/>
      <c r="L295" s="13"/>
      <c r="M295" s="15"/>
      <c r="N295" s="15"/>
      <c r="P295" s="15"/>
      <c r="Q295" s="15"/>
    </row>
    <row r="296" ht="15.75" customHeight="1">
      <c r="A296" s="6">
        <v>71102.0</v>
      </c>
      <c r="B296" s="7" t="s">
        <v>23</v>
      </c>
      <c r="C296" s="7" t="s">
        <v>314</v>
      </c>
      <c r="D296" s="8">
        <v>56.0</v>
      </c>
      <c r="E296" s="8">
        <v>1459.0</v>
      </c>
      <c r="F296" s="9">
        <f t="shared" si="2"/>
        <v>3.838245374</v>
      </c>
      <c r="G296" s="10">
        <v>65.0</v>
      </c>
      <c r="H296" s="10">
        <v>1349.0</v>
      </c>
      <c r="I296" s="9">
        <f t="shared" si="3"/>
        <v>4.818383988</v>
      </c>
      <c r="K296" s="13"/>
      <c r="L296" s="13"/>
      <c r="M296" s="15"/>
      <c r="N296" s="15"/>
      <c r="P296" s="15"/>
      <c r="Q296" s="15"/>
    </row>
    <row r="297" ht="15.75" customHeight="1">
      <c r="A297" s="6">
        <v>71103.0</v>
      </c>
      <c r="B297" s="7" t="s">
        <v>23</v>
      </c>
      <c r="C297" s="7" t="s">
        <v>315</v>
      </c>
      <c r="D297" s="8">
        <v>330.0</v>
      </c>
      <c r="E297" s="8">
        <v>5230.0</v>
      </c>
      <c r="F297" s="9">
        <f t="shared" si="2"/>
        <v>6.309751434</v>
      </c>
      <c r="G297" s="10">
        <v>39.0</v>
      </c>
      <c r="H297" s="10">
        <v>717.0</v>
      </c>
      <c r="I297" s="9">
        <f t="shared" si="3"/>
        <v>5.439330544</v>
      </c>
      <c r="K297" s="13"/>
      <c r="L297" s="13"/>
      <c r="M297" s="15"/>
      <c r="N297" s="15"/>
      <c r="P297" s="15"/>
      <c r="Q297" s="15"/>
    </row>
    <row r="298" ht="15.75" customHeight="1">
      <c r="A298" s="6">
        <v>71104.0</v>
      </c>
      <c r="B298" s="7" t="s">
        <v>23</v>
      </c>
      <c r="C298" s="7" t="s">
        <v>316</v>
      </c>
      <c r="D298" s="8">
        <v>49.0</v>
      </c>
      <c r="E298" s="8">
        <v>720.0</v>
      </c>
      <c r="F298" s="9">
        <f t="shared" si="2"/>
        <v>6.805555556</v>
      </c>
      <c r="G298" s="10">
        <v>190.0</v>
      </c>
      <c r="H298" s="10">
        <v>4158.0</v>
      </c>
      <c r="I298" s="9">
        <f t="shared" si="3"/>
        <v>4.56950457</v>
      </c>
      <c r="K298" s="13"/>
      <c r="L298" s="13"/>
      <c r="M298" s="15"/>
      <c r="N298" s="15"/>
      <c r="P298" s="15"/>
      <c r="Q298" s="15"/>
    </row>
    <row r="299" ht="15.75" customHeight="1">
      <c r="A299" s="6">
        <v>71105.0</v>
      </c>
      <c r="B299" s="7" t="s">
        <v>23</v>
      </c>
      <c r="C299" s="7" t="s">
        <v>317</v>
      </c>
      <c r="D299" s="8">
        <v>62.0</v>
      </c>
      <c r="E299" s="8">
        <v>866.0</v>
      </c>
      <c r="F299" s="9">
        <f t="shared" si="2"/>
        <v>7.159353349</v>
      </c>
      <c r="G299" s="10">
        <v>34.0</v>
      </c>
      <c r="H299" s="10">
        <v>525.0</v>
      </c>
      <c r="I299" s="9">
        <f t="shared" si="3"/>
        <v>6.476190476</v>
      </c>
      <c r="K299" s="13"/>
      <c r="L299" s="13"/>
      <c r="M299" s="15"/>
      <c r="N299" s="15"/>
      <c r="P299" s="15"/>
      <c r="Q299" s="15"/>
    </row>
    <row r="300" ht="15.75" customHeight="1">
      <c r="A300" s="6">
        <v>71106.0</v>
      </c>
      <c r="B300" s="7" t="s">
        <v>23</v>
      </c>
      <c r="C300" s="7" t="s">
        <v>318</v>
      </c>
      <c r="D300" s="8">
        <v>143.0</v>
      </c>
      <c r="E300" s="8">
        <v>2666.0</v>
      </c>
      <c r="F300" s="9">
        <f t="shared" si="2"/>
        <v>5.36384096</v>
      </c>
      <c r="G300" s="10">
        <v>118.0</v>
      </c>
      <c r="H300" s="10">
        <v>2412.0</v>
      </c>
      <c r="I300" s="9">
        <f t="shared" si="3"/>
        <v>4.892205638</v>
      </c>
      <c r="K300" s="13"/>
      <c r="L300" s="13"/>
      <c r="M300" s="15"/>
      <c r="N300" s="15"/>
      <c r="P300" s="15"/>
      <c r="Q300" s="15"/>
    </row>
    <row r="301" ht="15.75" customHeight="1">
      <c r="A301" s="6">
        <v>71201.0</v>
      </c>
      <c r="B301" s="7" t="s">
        <v>23</v>
      </c>
      <c r="C301" s="7" t="s">
        <v>319</v>
      </c>
      <c r="D301" s="8">
        <v>216.0</v>
      </c>
      <c r="E301" s="8">
        <v>1534.0</v>
      </c>
      <c r="F301" s="9">
        <f t="shared" si="2"/>
        <v>14.08083442</v>
      </c>
      <c r="G301" s="10">
        <v>292.0</v>
      </c>
      <c r="H301" s="10">
        <v>1428.0</v>
      </c>
      <c r="I301" s="9">
        <f t="shared" si="3"/>
        <v>20.44817927</v>
      </c>
      <c r="K301" s="13"/>
      <c r="L301" s="13"/>
      <c r="M301" s="15"/>
      <c r="N301" s="15"/>
      <c r="P301" s="15"/>
      <c r="Q301" s="15"/>
    </row>
    <row r="302" ht="15.75" customHeight="1">
      <c r="A302" s="6">
        <v>71301.0</v>
      </c>
      <c r="B302" s="7" t="s">
        <v>23</v>
      </c>
      <c r="C302" s="7" t="s">
        <v>320</v>
      </c>
      <c r="D302" s="8">
        <v>69.0</v>
      </c>
      <c r="E302" s="8">
        <v>1452.0</v>
      </c>
      <c r="F302" s="9">
        <f t="shared" si="2"/>
        <v>4.752066116</v>
      </c>
      <c r="G302" s="10">
        <v>39.0</v>
      </c>
      <c r="H302" s="10">
        <v>1494.0</v>
      </c>
      <c r="I302" s="9">
        <f t="shared" si="3"/>
        <v>2.610441767</v>
      </c>
      <c r="K302" s="13"/>
      <c r="L302" s="13"/>
      <c r="M302" s="15"/>
      <c r="N302" s="15"/>
      <c r="P302" s="15"/>
      <c r="Q302" s="15"/>
    </row>
    <row r="303" ht="15.75" customHeight="1">
      <c r="A303" s="6">
        <v>71302.0</v>
      </c>
      <c r="B303" s="7" t="s">
        <v>23</v>
      </c>
      <c r="C303" s="7" t="s">
        <v>321</v>
      </c>
      <c r="D303" s="8">
        <v>22.0</v>
      </c>
      <c r="E303" s="8">
        <v>783.0</v>
      </c>
      <c r="F303" s="9">
        <f t="shared" si="2"/>
        <v>2.809706258</v>
      </c>
      <c r="G303" s="10">
        <v>18.0</v>
      </c>
      <c r="H303" s="10">
        <v>563.0</v>
      </c>
      <c r="I303" s="9">
        <f t="shared" si="3"/>
        <v>3.197158082</v>
      </c>
      <c r="K303" s="13"/>
      <c r="L303" s="13"/>
      <c r="M303" s="15"/>
      <c r="N303" s="15"/>
      <c r="P303" s="15"/>
      <c r="Q303" s="15"/>
    </row>
    <row r="304" ht="15.75" customHeight="1">
      <c r="A304" s="6">
        <v>71401.0</v>
      </c>
      <c r="B304" s="7" t="s">
        <v>23</v>
      </c>
      <c r="C304" s="7" t="s">
        <v>322</v>
      </c>
      <c r="D304" s="8">
        <v>348.0</v>
      </c>
      <c r="E304" s="8">
        <v>2218.0</v>
      </c>
      <c r="F304" s="9">
        <f t="shared" si="2"/>
        <v>15.68981064</v>
      </c>
      <c r="G304" s="10">
        <v>247.0</v>
      </c>
      <c r="H304" s="10">
        <v>1726.0</v>
      </c>
      <c r="I304" s="9">
        <f t="shared" si="3"/>
        <v>14.31054461</v>
      </c>
      <c r="K304" s="13"/>
      <c r="L304" s="13"/>
      <c r="M304" s="15"/>
      <c r="N304" s="15"/>
      <c r="P304" s="15"/>
      <c r="Q304" s="15"/>
    </row>
    <row r="305" ht="15.75" customHeight="1">
      <c r="A305" s="6">
        <v>71402.0</v>
      </c>
      <c r="B305" s="7" t="s">
        <v>23</v>
      </c>
      <c r="C305" s="7" t="s">
        <v>323</v>
      </c>
      <c r="D305" s="8">
        <v>204.0</v>
      </c>
      <c r="E305" s="8">
        <v>1792.0</v>
      </c>
      <c r="F305" s="9">
        <f t="shared" si="2"/>
        <v>11.38392857</v>
      </c>
      <c r="G305" s="10">
        <v>191.0</v>
      </c>
      <c r="H305" s="10">
        <v>1746.0</v>
      </c>
      <c r="I305" s="9">
        <f t="shared" si="3"/>
        <v>10.93928981</v>
      </c>
      <c r="K305" s="13"/>
      <c r="L305" s="13"/>
      <c r="M305" s="15"/>
      <c r="N305" s="15"/>
      <c r="P305" s="15"/>
      <c r="Q305" s="15"/>
    </row>
    <row r="306" ht="15.75" customHeight="1">
      <c r="A306" s="6">
        <v>71403.0</v>
      </c>
      <c r="B306" s="7" t="s">
        <v>23</v>
      </c>
      <c r="C306" s="7" t="s">
        <v>324</v>
      </c>
      <c r="D306" s="8">
        <v>77.0</v>
      </c>
      <c r="E306" s="8">
        <v>709.0</v>
      </c>
      <c r="F306" s="9">
        <f t="shared" si="2"/>
        <v>10.86036671</v>
      </c>
      <c r="G306" s="10">
        <v>39.0</v>
      </c>
      <c r="H306" s="10">
        <v>733.0</v>
      </c>
      <c r="I306" s="9">
        <f t="shared" si="3"/>
        <v>5.320600273</v>
      </c>
      <c r="K306" s="13"/>
      <c r="L306" s="13"/>
      <c r="M306" s="15"/>
      <c r="N306" s="15"/>
      <c r="P306" s="15"/>
      <c r="Q306" s="15"/>
    </row>
    <row r="307" ht="15.75" customHeight="1">
      <c r="A307" s="6">
        <v>71501.0</v>
      </c>
      <c r="B307" s="7" t="s">
        <v>23</v>
      </c>
      <c r="C307" s="7" t="s">
        <v>325</v>
      </c>
      <c r="D307" s="8">
        <v>173.0</v>
      </c>
      <c r="E307" s="8">
        <v>2754.0</v>
      </c>
      <c r="F307" s="9">
        <f t="shared" si="2"/>
        <v>6.281771968</v>
      </c>
      <c r="G307" s="10">
        <v>147.0</v>
      </c>
      <c r="H307" s="10">
        <v>3123.0</v>
      </c>
      <c r="I307" s="9">
        <f t="shared" si="3"/>
        <v>4.707012488</v>
      </c>
      <c r="K307" s="13"/>
      <c r="L307" s="13"/>
      <c r="M307" s="15"/>
      <c r="N307" s="15"/>
      <c r="P307" s="15"/>
      <c r="Q307" s="15"/>
    </row>
    <row r="308" ht="15.75" customHeight="1">
      <c r="A308" s="6">
        <v>71502.0</v>
      </c>
      <c r="B308" s="7" t="s">
        <v>23</v>
      </c>
      <c r="C308" s="7" t="s">
        <v>326</v>
      </c>
      <c r="D308" s="8">
        <v>41.0</v>
      </c>
      <c r="E308" s="8">
        <v>694.0</v>
      </c>
      <c r="F308" s="9">
        <f t="shared" si="2"/>
        <v>5.90778098</v>
      </c>
      <c r="G308" s="10">
        <v>51.0</v>
      </c>
      <c r="H308" s="10">
        <v>560.0</v>
      </c>
      <c r="I308" s="9">
        <f t="shared" si="3"/>
        <v>9.107142857</v>
      </c>
      <c r="K308" s="13"/>
      <c r="L308" s="13"/>
      <c r="M308" s="15"/>
      <c r="N308" s="15"/>
      <c r="P308" s="15"/>
      <c r="Q308" s="15"/>
    </row>
    <row r="309" ht="15.75" customHeight="1">
      <c r="A309" s="6">
        <v>71503.0</v>
      </c>
      <c r="B309" s="7" t="s">
        <v>23</v>
      </c>
      <c r="C309" s="7" t="s">
        <v>271</v>
      </c>
      <c r="D309" s="8">
        <v>67.0</v>
      </c>
      <c r="E309" s="8">
        <v>1496.0</v>
      </c>
      <c r="F309" s="9">
        <f t="shared" si="2"/>
        <v>4.478609626</v>
      </c>
      <c r="G309" s="10">
        <v>89.0</v>
      </c>
      <c r="H309" s="10">
        <v>1630.0</v>
      </c>
      <c r="I309" s="9">
        <f t="shared" si="3"/>
        <v>5.460122699</v>
      </c>
      <c r="K309" s="13"/>
      <c r="L309" s="13"/>
      <c r="M309" s="15"/>
      <c r="N309" s="15"/>
      <c r="P309" s="15"/>
      <c r="Q309" s="15"/>
    </row>
    <row r="310" ht="15.75" customHeight="1">
      <c r="A310" s="6">
        <v>80101.0</v>
      </c>
      <c r="B310" s="7" t="s">
        <v>25</v>
      </c>
      <c r="C310" s="7" t="s">
        <v>327</v>
      </c>
      <c r="D310" s="8">
        <v>1967.0</v>
      </c>
      <c r="E310" s="8">
        <v>12142.0</v>
      </c>
      <c r="F310" s="9">
        <f t="shared" si="2"/>
        <v>16.19996706</v>
      </c>
      <c r="G310" s="10">
        <v>956.0</v>
      </c>
      <c r="H310" s="10">
        <v>12873.0</v>
      </c>
      <c r="I310" s="9">
        <f t="shared" si="3"/>
        <v>7.426396333</v>
      </c>
      <c r="K310" s="13"/>
      <c r="L310" s="13"/>
      <c r="M310" s="15"/>
      <c r="N310" s="15"/>
      <c r="P310" s="15"/>
      <c r="Q310" s="15"/>
    </row>
    <row r="311" ht="15.75" customHeight="1">
      <c r="A311" s="6">
        <v>80102.0</v>
      </c>
      <c r="B311" s="7" t="s">
        <v>25</v>
      </c>
      <c r="C311" s="7" t="s">
        <v>314</v>
      </c>
      <c r="D311" s="8">
        <v>20.0</v>
      </c>
      <c r="E311" s="8">
        <v>578.0</v>
      </c>
      <c r="F311" s="9">
        <f t="shared" si="2"/>
        <v>3.460207612</v>
      </c>
      <c r="G311" s="10">
        <v>24.0</v>
      </c>
      <c r="H311" s="10">
        <v>739.0</v>
      </c>
      <c r="I311" s="9">
        <f t="shared" si="3"/>
        <v>3.247631935</v>
      </c>
      <c r="K311" s="13"/>
      <c r="L311" s="13"/>
      <c r="M311" s="15"/>
      <c r="N311" s="15"/>
      <c r="P311" s="15"/>
      <c r="Q311" s="15"/>
    </row>
    <row r="312" ht="15.75" customHeight="1">
      <c r="A312" s="6">
        <v>80201.0</v>
      </c>
      <c r="B312" s="7" t="s">
        <v>25</v>
      </c>
      <c r="C312" s="7" t="s">
        <v>328</v>
      </c>
      <c r="D312" s="8">
        <v>1344.0</v>
      </c>
      <c r="E312" s="8">
        <v>9891.0</v>
      </c>
      <c r="F312" s="9">
        <f t="shared" si="2"/>
        <v>13.5881104</v>
      </c>
      <c r="G312" s="10">
        <v>1090.0</v>
      </c>
      <c r="H312" s="10">
        <v>10950.0</v>
      </c>
      <c r="I312" s="9">
        <f t="shared" si="3"/>
        <v>9.9543379</v>
      </c>
      <c r="K312" s="13"/>
      <c r="L312" s="13"/>
      <c r="M312" s="15"/>
      <c r="N312" s="15"/>
      <c r="P312" s="15"/>
      <c r="Q312" s="15"/>
    </row>
    <row r="313" ht="15.75" customHeight="1">
      <c r="A313" s="6">
        <v>80202.0</v>
      </c>
      <c r="B313" s="7" t="s">
        <v>25</v>
      </c>
      <c r="C313" s="7" t="s">
        <v>329</v>
      </c>
      <c r="D313" s="8">
        <v>474.0</v>
      </c>
      <c r="E313" s="8">
        <v>4572.0</v>
      </c>
      <c r="F313" s="9">
        <f t="shared" si="2"/>
        <v>10.36745407</v>
      </c>
      <c r="G313" s="10">
        <v>554.0</v>
      </c>
      <c r="H313" s="10">
        <v>3955.0</v>
      </c>
      <c r="I313" s="9">
        <f t="shared" si="3"/>
        <v>14.00758534</v>
      </c>
      <c r="K313" s="13"/>
      <c r="L313" s="13"/>
      <c r="M313" s="15"/>
      <c r="N313" s="15"/>
      <c r="P313" s="15"/>
      <c r="Q313" s="15"/>
    </row>
    <row r="314" ht="15.75" customHeight="1">
      <c r="A314" s="6">
        <v>80301.0</v>
      </c>
      <c r="B314" s="7" t="s">
        <v>25</v>
      </c>
      <c r="C314" s="7" t="s">
        <v>330</v>
      </c>
      <c r="D314" s="8">
        <v>118.0</v>
      </c>
      <c r="E314" s="8">
        <v>1422.0</v>
      </c>
      <c r="F314" s="9">
        <f t="shared" si="2"/>
        <v>8.298171589</v>
      </c>
      <c r="G314" s="10">
        <v>84.0</v>
      </c>
      <c r="H314" s="10">
        <v>1003.0</v>
      </c>
      <c r="I314" s="9">
        <f t="shared" si="3"/>
        <v>8.374875374</v>
      </c>
      <c r="K314" s="13"/>
      <c r="L314" s="13"/>
      <c r="M314" s="15"/>
      <c r="N314" s="15"/>
      <c r="P314" s="15"/>
      <c r="Q314" s="15"/>
    </row>
    <row r="315" ht="15.75" customHeight="1">
      <c r="A315" s="6">
        <v>80302.0</v>
      </c>
      <c r="B315" s="7" t="s">
        <v>25</v>
      </c>
      <c r="C315" s="7" t="s">
        <v>331</v>
      </c>
      <c r="D315" s="8">
        <v>215.0</v>
      </c>
      <c r="E315" s="8">
        <v>4150.0</v>
      </c>
      <c r="F315" s="9">
        <f t="shared" si="2"/>
        <v>5.180722892</v>
      </c>
      <c r="G315" s="10">
        <v>183.0</v>
      </c>
      <c r="H315" s="10">
        <v>4008.0</v>
      </c>
      <c r="I315" s="9">
        <f t="shared" si="3"/>
        <v>4.565868263</v>
      </c>
      <c r="K315" s="13"/>
      <c r="L315" s="13"/>
      <c r="M315" s="15"/>
      <c r="N315" s="15"/>
      <c r="P315" s="15"/>
      <c r="Q315" s="15"/>
    </row>
    <row r="316" ht="15.75" customHeight="1">
      <c r="A316" s="6">
        <v>80303.0</v>
      </c>
      <c r="B316" s="7" t="s">
        <v>25</v>
      </c>
      <c r="C316" s="7" t="s">
        <v>332</v>
      </c>
      <c r="D316" s="8">
        <v>58.0</v>
      </c>
      <c r="E316" s="8">
        <v>933.0</v>
      </c>
      <c r="F316" s="9">
        <f t="shared" si="2"/>
        <v>6.216505895</v>
      </c>
      <c r="G316" s="10">
        <v>63.0</v>
      </c>
      <c r="H316" s="10">
        <v>913.0</v>
      </c>
      <c r="I316" s="9">
        <f t="shared" si="3"/>
        <v>6.900328587</v>
      </c>
      <c r="K316" s="13"/>
      <c r="L316" s="13"/>
      <c r="M316" s="15"/>
      <c r="N316" s="15"/>
      <c r="P316" s="15"/>
      <c r="Q316" s="15"/>
    </row>
    <row r="317" ht="15.75" customHeight="1">
      <c r="A317" s="6">
        <v>80304.0</v>
      </c>
      <c r="B317" s="7" t="s">
        <v>25</v>
      </c>
      <c r="C317" s="7" t="s">
        <v>333</v>
      </c>
      <c r="D317" s="8">
        <v>250.0</v>
      </c>
      <c r="E317" s="8">
        <v>2129.0</v>
      </c>
      <c r="F317" s="9">
        <f t="shared" si="2"/>
        <v>11.74260216</v>
      </c>
      <c r="G317" s="10">
        <v>102.0</v>
      </c>
      <c r="H317" s="10">
        <v>2083.0</v>
      </c>
      <c r="I317" s="9">
        <f t="shared" si="3"/>
        <v>4.896783485</v>
      </c>
      <c r="K317" s="13"/>
      <c r="L317" s="13"/>
      <c r="M317" s="15"/>
      <c r="N317" s="15"/>
      <c r="P317" s="15"/>
      <c r="Q317" s="15"/>
    </row>
    <row r="318" ht="15.75" customHeight="1">
      <c r="A318" s="6">
        <v>80401.0</v>
      </c>
      <c r="B318" s="7" t="s">
        <v>25</v>
      </c>
      <c r="C318" s="7" t="s">
        <v>334</v>
      </c>
      <c r="D318" s="8">
        <v>169.0</v>
      </c>
      <c r="E318" s="8">
        <v>1787.0</v>
      </c>
      <c r="F318" s="9">
        <f t="shared" si="2"/>
        <v>9.457190823</v>
      </c>
      <c r="G318" s="10">
        <v>112.0</v>
      </c>
      <c r="H318" s="10">
        <v>1592.0</v>
      </c>
      <c r="I318" s="9">
        <f t="shared" si="3"/>
        <v>7.035175879</v>
      </c>
      <c r="K318" s="13"/>
      <c r="L318" s="13"/>
      <c r="M318" s="15"/>
      <c r="N318" s="15"/>
      <c r="P318" s="15"/>
      <c r="Q318" s="15"/>
    </row>
    <row r="319" ht="15.75" customHeight="1">
      <c r="A319" s="6">
        <v>80402.0</v>
      </c>
      <c r="B319" s="7" t="s">
        <v>25</v>
      </c>
      <c r="C319" s="7" t="s">
        <v>335</v>
      </c>
      <c r="D319" s="8">
        <v>47.0</v>
      </c>
      <c r="E319" s="8">
        <v>754.0</v>
      </c>
      <c r="F319" s="9">
        <f t="shared" si="2"/>
        <v>6.233421751</v>
      </c>
      <c r="G319" s="10">
        <v>68.0</v>
      </c>
      <c r="H319" s="10">
        <v>968.0</v>
      </c>
      <c r="I319" s="9">
        <f t="shared" si="3"/>
        <v>7.024793388</v>
      </c>
      <c r="K319" s="13"/>
      <c r="L319" s="13"/>
      <c r="M319" s="15"/>
      <c r="N319" s="15"/>
      <c r="P319" s="15"/>
      <c r="Q319" s="15"/>
    </row>
    <row r="320" ht="15.75" customHeight="1">
      <c r="A320" s="6">
        <v>80501.0</v>
      </c>
      <c r="B320" s="7" t="s">
        <v>25</v>
      </c>
      <c r="C320" s="7" t="s">
        <v>336</v>
      </c>
      <c r="D320" s="8">
        <v>104.0</v>
      </c>
      <c r="E320" s="8">
        <v>2053.0</v>
      </c>
      <c r="F320" s="9">
        <f t="shared" si="2"/>
        <v>5.065757428</v>
      </c>
      <c r="G320" s="10">
        <v>129.0</v>
      </c>
      <c r="H320" s="10">
        <v>1932.0</v>
      </c>
      <c r="I320" s="9">
        <f t="shared" si="3"/>
        <v>6.677018634</v>
      </c>
      <c r="K320" s="13"/>
      <c r="L320" s="13"/>
      <c r="M320" s="15"/>
      <c r="N320" s="15"/>
      <c r="P320" s="15"/>
      <c r="Q320" s="15"/>
    </row>
    <row r="321" ht="15.75" customHeight="1">
      <c r="A321" s="6">
        <v>80601.0</v>
      </c>
      <c r="B321" s="7" t="s">
        <v>25</v>
      </c>
      <c r="C321" s="7" t="s">
        <v>337</v>
      </c>
      <c r="D321" s="8">
        <v>21.0</v>
      </c>
      <c r="E321" s="8">
        <v>380.0</v>
      </c>
      <c r="F321" s="9">
        <f t="shared" si="2"/>
        <v>5.526315789</v>
      </c>
      <c r="G321" s="10">
        <v>29.0</v>
      </c>
      <c r="H321" s="10">
        <v>318.0</v>
      </c>
      <c r="I321" s="9">
        <f t="shared" si="3"/>
        <v>9.119496855</v>
      </c>
      <c r="K321" s="13"/>
      <c r="L321" s="13"/>
      <c r="M321" s="15"/>
      <c r="N321" s="15"/>
      <c r="P321" s="15"/>
      <c r="Q321" s="15"/>
    </row>
    <row r="322" ht="15.75" customHeight="1">
      <c r="A322" s="6">
        <v>80602.0</v>
      </c>
      <c r="B322" s="7" t="s">
        <v>25</v>
      </c>
      <c r="C322" s="7" t="s">
        <v>338</v>
      </c>
      <c r="D322" s="8">
        <v>71.0</v>
      </c>
      <c r="E322" s="8">
        <v>1364.0</v>
      </c>
      <c r="F322" s="9">
        <f t="shared" si="2"/>
        <v>5.205278592</v>
      </c>
      <c r="G322" s="10">
        <v>50.0</v>
      </c>
      <c r="H322" s="10">
        <v>1427.0</v>
      </c>
      <c r="I322" s="9">
        <f t="shared" si="3"/>
        <v>3.50385424</v>
      </c>
      <c r="K322" s="13"/>
      <c r="L322" s="13"/>
      <c r="M322" s="15"/>
      <c r="N322" s="15"/>
      <c r="P322" s="15"/>
      <c r="Q322" s="15"/>
    </row>
    <row r="323" ht="15.75" customHeight="1">
      <c r="A323" s="6">
        <v>80701.0</v>
      </c>
      <c r="B323" s="7" t="s">
        <v>25</v>
      </c>
      <c r="C323" s="7" t="s">
        <v>339</v>
      </c>
      <c r="D323" s="8">
        <v>167.0</v>
      </c>
      <c r="E323" s="8">
        <v>936.0</v>
      </c>
      <c r="F323" s="9">
        <f t="shared" si="2"/>
        <v>17.84188034</v>
      </c>
      <c r="G323" s="10">
        <v>124.0</v>
      </c>
      <c r="H323" s="10">
        <v>752.0</v>
      </c>
      <c r="I323" s="9">
        <f t="shared" si="3"/>
        <v>16.4893617</v>
      </c>
      <c r="K323" s="13"/>
      <c r="L323" s="13"/>
      <c r="M323" s="15"/>
      <c r="N323" s="15"/>
      <c r="P323" s="15"/>
      <c r="Q323" s="15"/>
    </row>
    <row r="324" ht="15.75" customHeight="1">
      <c r="A324" s="6">
        <v>80702.0</v>
      </c>
      <c r="B324" s="7" t="s">
        <v>25</v>
      </c>
      <c r="C324" s="7" t="s">
        <v>315</v>
      </c>
      <c r="D324" s="8">
        <v>29.0</v>
      </c>
      <c r="E324" s="8">
        <v>508.0</v>
      </c>
      <c r="F324" s="9">
        <f t="shared" si="2"/>
        <v>5.708661417</v>
      </c>
      <c r="G324" s="10">
        <v>26.0</v>
      </c>
      <c r="H324" s="10">
        <v>525.0</v>
      </c>
      <c r="I324" s="9">
        <f t="shared" si="3"/>
        <v>4.952380952</v>
      </c>
      <c r="K324" s="13"/>
      <c r="L324" s="13"/>
      <c r="M324" s="15"/>
      <c r="N324" s="15"/>
      <c r="P324" s="15"/>
      <c r="Q324" s="15"/>
    </row>
    <row r="325" ht="15.75" customHeight="1">
      <c r="A325" s="6">
        <v>80703.0</v>
      </c>
      <c r="B325" s="7" t="s">
        <v>25</v>
      </c>
      <c r="C325" s="7" t="s">
        <v>340</v>
      </c>
      <c r="D325" s="8">
        <v>3.0</v>
      </c>
      <c r="E325" s="8">
        <v>120.0</v>
      </c>
      <c r="F325" s="9">
        <f t="shared" si="2"/>
        <v>2.5</v>
      </c>
      <c r="G325" s="10">
        <v>11.0</v>
      </c>
      <c r="H325" s="10">
        <v>87.0</v>
      </c>
      <c r="I325" s="9">
        <f t="shared" si="3"/>
        <v>12.64367816</v>
      </c>
      <c r="K325" s="13"/>
      <c r="L325" s="13"/>
      <c r="M325" s="15"/>
      <c r="N325" s="15"/>
      <c r="P325" s="15"/>
      <c r="Q325" s="15"/>
    </row>
    <row r="326" ht="15.75" customHeight="1">
      <c r="A326" s="6">
        <v>80801.0</v>
      </c>
      <c r="B326" s="7" t="s">
        <v>25</v>
      </c>
      <c r="C326" s="7" t="s">
        <v>341</v>
      </c>
      <c r="D326" s="8">
        <v>101.0</v>
      </c>
      <c r="E326" s="8">
        <v>1199.0</v>
      </c>
      <c r="F326" s="9">
        <f t="shared" si="2"/>
        <v>8.423686405</v>
      </c>
      <c r="G326" s="10">
        <v>68.0</v>
      </c>
      <c r="H326" s="10">
        <v>1036.0</v>
      </c>
      <c r="I326" s="9">
        <f t="shared" si="3"/>
        <v>6.563706564</v>
      </c>
      <c r="K326" s="13"/>
      <c r="L326" s="13"/>
      <c r="M326" s="15"/>
      <c r="N326" s="15"/>
      <c r="P326" s="15"/>
      <c r="Q326" s="15"/>
    </row>
    <row r="327" ht="15.75" customHeight="1">
      <c r="A327" s="6">
        <v>80802.0</v>
      </c>
      <c r="B327" s="7" t="s">
        <v>25</v>
      </c>
      <c r="C327" s="7" t="s">
        <v>342</v>
      </c>
      <c r="D327" s="8">
        <v>178.0</v>
      </c>
      <c r="E327" s="8">
        <v>826.0</v>
      </c>
      <c r="F327" s="9">
        <f t="shared" si="2"/>
        <v>21.5496368</v>
      </c>
      <c r="G327" s="10">
        <v>111.0</v>
      </c>
      <c r="H327" s="10">
        <v>748.0</v>
      </c>
      <c r="I327" s="9">
        <f t="shared" si="3"/>
        <v>14.83957219</v>
      </c>
      <c r="K327" s="13"/>
      <c r="L327" s="13"/>
      <c r="M327" s="15"/>
      <c r="N327" s="15"/>
      <c r="P327" s="15"/>
      <c r="Q327" s="15"/>
    </row>
    <row r="328" ht="15.75" customHeight="1">
      <c r="A328" s="6">
        <v>80803.0</v>
      </c>
      <c r="B328" s="7" t="s">
        <v>25</v>
      </c>
      <c r="C328" s="7" t="s">
        <v>343</v>
      </c>
      <c r="D328" s="8">
        <v>30.0</v>
      </c>
      <c r="E328" s="8">
        <v>505.0</v>
      </c>
      <c r="F328" s="9">
        <f t="shared" si="2"/>
        <v>5.940594059</v>
      </c>
      <c r="G328" s="10">
        <v>44.0</v>
      </c>
      <c r="H328" s="10">
        <v>390.0</v>
      </c>
      <c r="I328" s="9">
        <f t="shared" si="3"/>
        <v>11.28205128</v>
      </c>
      <c r="K328" s="13"/>
      <c r="L328" s="13"/>
      <c r="M328" s="15"/>
      <c r="N328" s="15"/>
      <c r="P328" s="15"/>
      <c r="Q328" s="15"/>
    </row>
    <row r="329" ht="15.75" customHeight="1">
      <c r="A329" s="6">
        <v>80901.0</v>
      </c>
      <c r="B329" s="7" t="s">
        <v>25</v>
      </c>
      <c r="C329" s="7" t="s">
        <v>344</v>
      </c>
      <c r="D329" s="8">
        <v>12.0</v>
      </c>
      <c r="E329" s="8">
        <v>314.0</v>
      </c>
      <c r="F329" s="9">
        <f t="shared" si="2"/>
        <v>3.821656051</v>
      </c>
      <c r="G329" s="10">
        <v>39.0</v>
      </c>
      <c r="H329" s="10">
        <v>352.0</v>
      </c>
      <c r="I329" s="9">
        <f t="shared" si="3"/>
        <v>11.07954545</v>
      </c>
      <c r="K329" s="13"/>
      <c r="L329" s="13"/>
      <c r="M329" s="15"/>
      <c r="N329" s="15"/>
      <c r="P329" s="15"/>
      <c r="Q329" s="15"/>
    </row>
    <row r="330" ht="15.75" customHeight="1">
      <c r="A330" s="6">
        <v>90101.0</v>
      </c>
      <c r="B330" s="7" t="s">
        <v>27</v>
      </c>
      <c r="C330" s="7" t="s">
        <v>345</v>
      </c>
      <c r="D330" s="8">
        <v>1203.0</v>
      </c>
      <c r="E330" s="8">
        <v>5447.0</v>
      </c>
      <c r="F330" s="9">
        <f t="shared" si="2"/>
        <v>22.08555168</v>
      </c>
      <c r="G330" s="10">
        <v>603.0</v>
      </c>
      <c r="H330" s="10">
        <v>6083.0</v>
      </c>
      <c r="I330" s="9">
        <f t="shared" si="3"/>
        <v>9.912871938</v>
      </c>
      <c r="K330" s="13"/>
      <c r="L330" s="13"/>
      <c r="M330" s="15"/>
      <c r="N330" s="15"/>
      <c r="P330" s="15"/>
      <c r="Q330" s="15"/>
    </row>
    <row r="331" ht="15.75" customHeight="1">
      <c r="A331" s="6">
        <v>90102.0</v>
      </c>
      <c r="B331" s="7" t="s">
        <v>27</v>
      </c>
      <c r="C331" s="7" t="s">
        <v>346</v>
      </c>
      <c r="D331" s="8">
        <v>139.0</v>
      </c>
      <c r="E331" s="8">
        <v>1016.0</v>
      </c>
      <c r="F331" s="9">
        <f t="shared" si="2"/>
        <v>13.68110236</v>
      </c>
      <c r="G331" s="10">
        <v>56.0</v>
      </c>
      <c r="H331" s="10">
        <v>907.0</v>
      </c>
      <c r="I331" s="9">
        <f t="shared" si="3"/>
        <v>6.174200662</v>
      </c>
      <c r="K331" s="13"/>
      <c r="L331" s="13"/>
      <c r="M331" s="15"/>
      <c r="N331" s="15"/>
      <c r="P331" s="15"/>
      <c r="Q331" s="15"/>
    </row>
    <row r="332" ht="15.75" customHeight="1">
      <c r="A332" s="6">
        <v>90103.0</v>
      </c>
      <c r="B332" s="7" t="s">
        <v>27</v>
      </c>
      <c r="C332" s="7" t="s">
        <v>347</v>
      </c>
      <c r="D332" s="8">
        <v>19.0</v>
      </c>
      <c r="E332" s="8">
        <v>245.0</v>
      </c>
      <c r="F332" s="9">
        <f t="shared" si="2"/>
        <v>7.755102041</v>
      </c>
      <c r="G332" s="10">
        <v>22.0</v>
      </c>
      <c r="H332" s="10">
        <v>233.0</v>
      </c>
      <c r="I332" s="9">
        <f t="shared" si="3"/>
        <v>9.442060086</v>
      </c>
      <c r="K332" s="13"/>
      <c r="L332" s="13"/>
      <c r="M332" s="15"/>
      <c r="N332" s="15"/>
      <c r="P332" s="15"/>
      <c r="Q332" s="15"/>
    </row>
    <row r="333" ht="15.75" customHeight="1">
      <c r="A333" s="6">
        <v>90104.0</v>
      </c>
      <c r="B333" s="7" t="s">
        <v>27</v>
      </c>
      <c r="C333" s="7" t="s">
        <v>348</v>
      </c>
      <c r="D333" s="8">
        <v>78.0</v>
      </c>
      <c r="E333" s="8">
        <v>517.0</v>
      </c>
      <c r="F333" s="9">
        <f t="shared" si="2"/>
        <v>15.08704062</v>
      </c>
      <c r="G333" s="10">
        <v>69.0</v>
      </c>
      <c r="H333" s="10">
        <v>374.0</v>
      </c>
      <c r="I333" s="9">
        <f t="shared" si="3"/>
        <v>18.44919786</v>
      </c>
      <c r="K333" s="13"/>
      <c r="L333" s="13"/>
      <c r="M333" s="15"/>
      <c r="N333" s="15"/>
      <c r="P333" s="15"/>
      <c r="Q333" s="15"/>
    </row>
    <row r="334" ht="15.75" customHeight="1">
      <c r="A334" s="6">
        <v>90201.0</v>
      </c>
      <c r="B334" s="7" t="s">
        <v>27</v>
      </c>
      <c r="C334" s="7" t="s">
        <v>349</v>
      </c>
      <c r="D334" s="8">
        <v>349.0</v>
      </c>
      <c r="E334" s="8">
        <v>881.0</v>
      </c>
      <c r="F334" s="9">
        <f t="shared" si="2"/>
        <v>39.61407491</v>
      </c>
      <c r="G334" s="10">
        <v>205.0</v>
      </c>
      <c r="H334" s="10">
        <v>1015.0</v>
      </c>
      <c r="I334" s="9">
        <f t="shared" si="3"/>
        <v>20.19704433</v>
      </c>
      <c r="K334" s="13"/>
      <c r="L334" s="13"/>
      <c r="M334" s="15"/>
      <c r="N334" s="15"/>
      <c r="P334" s="15"/>
      <c r="Q334" s="15"/>
    </row>
    <row r="335" ht="15.75" customHeight="1">
      <c r="A335" s="6">
        <v>90202.0</v>
      </c>
      <c r="B335" s="7" t="s">
        <v>27</v>
      </c>
      <c r="C335" s="7" t="s">
        <v>312</v>
      </c>
      <c r="D335" s="8">
        <v>49.0</v>
      </c>
      <c r="E335" s="8">
        <v>435.0</v>
      </c>
      <c r="F335" s="9">
        <f t="shared" si="2"/>
        <v>11.26436782</v>
      </c>
      <c r="G335" s="10">
        <v>14.0</v>
      </c>
      <c r="H335" s="10">
        <v>372.0</v>
      </c>
      <c r="I335" s="9">
        <f t="shared" si="3"/>
        <v>3.76344086</v>
      </c>
      <c r="K335" s="13"/>
      <c r="L335" s="13"/>
      <c r="M335" s="15"/>
      <c r="N335" s="15"/>
      <c r="P335" s="15"/>
      <c r="Q335" s="15"/>
    </row>
    <row r="336" ht="15.75" customHeight="1">
      <c r="A336" s="6">
        <v>90203.0</v>
      </c>
      <c r="B336" s="7" t="s">
        <v>27</v>
      </c>
      <c r="C336" s="7" t="s">
        <v>350</v>
      </c>
      <c r="D336" s="8">
        <v>24.0</v>
      </c>
      <c r="E336" s="8">
        <v>620.0</v>
      </c>
      <c r="F336" s="9">
        <f t="shared" si="2"/>
        <v>3.870967742</v>
      </c>
      <c r="G336" s="10">
        <v>67.0</v>
      </c>
      <c r="H336" s="10">
        <v>765.0</v>
      </c>
      <c r="I336" s="9">
        <f t="shared" si="3"/>
        <v>8.758169935</v>
      </c>
      <c r="K336" s="13"/>
      <c r="L336" s="13"/>
      <c r="M336" s="15"/>
      <c r="N336" s="15"/>
      <c r="P336" s="15"/>
      <c r="Q336" s="15"/>
    </row>
    <row r="337" ht="15.75" customHeight="1">
      <c r="A337" s="6">
        <v>90301.0</v>
      </c>
      <c r="B337" s="7" t="s">
        <v>27</v>
      </c>
      <c r="C337" s="7" t="s">
        <v>351</v>
      </c>
      <c r="D337" s="8">
        <v>112.0</v>
      </c>
      <c r="E337" s="8">
        <v>1037.0</v>
      </c>
      <c r="F337" s="9">
        <f t="shared" si="2"/>
        <v>10.80038573</v>
      </c>
      <c r="G337" s="10">
        <v>105.0</v>
      </c>
      <c r="H337" s="10">
        <v>1067.0</v>
      </c>
      <c r="I337" s="9">
        <f t="shared" si="3"/>
        <v>9.840674789</v>
      </c>
      <c r="K337" s="13"/>
      <c r="L337" s="13"/>
      <c r="M337" s="15"/>
      <c r="N337" s="15"/>
      <c r="P337" s="15"/>
      <c r="Q337" s="15"/>
    </row>
    <row r="338" ht="15.75" customHeight="1">
      <c r="A338" s="6">
        <v>90302.0</v>
      </c>
      <c r="B338" s="7" t="s">
        <v>27</v>
      </c>
      <c r="C338" s="7" t="s">
        <v>352</v>
      </c>
      <c r="D338" s="8">
        <v>87.0</v>
      </c>
      <c r="E338" s="8">
        <v>864.0</v>
      </c>
      <c r="F338" s="9">
        <f t="shared" si="2"/>
        <v>10.06944444</v>
      </c>
      <c r="G338" s="10">
        <v>75.0</v>
      </c>
      <c r="H338" s="10">
        <v>1039.0</v>
      </c>
      <c r="I338" s="9">
        <f t="shared" si="3"/>
        <v>7.218479307</v>
      </c>
      <c r="K338" s="13"/>
      <c r="L338" s="13"/>
      <c r="M338" s="15"/>
      <c r="N338" s="15"/>
      <c r="P338" s="15"/>
      <c r="Q338" s="15"/>
    </row>
    <row r="339" ht="15.75" customHeight="1">
      <c r="A339" s="6">
        <v>90303.0</v>
      </c>
      <c r="B339" s="7" t="s">
        <v>27</v>
      </c>
      <c r="C339" s="7" t="s">
        <v>353</v>
      </c>
      <c r="D339" s="8">
        <v>86.0</v>
      </c>
      <c r="E339" s="8">
        <v>958.0</v>
      </c>
      <c r="F339" s="9">
        <f t="shared" si="2"/>
        <v>8.977035491</v>
      </c>
      <c r="G339" s="10">
        <v>56.0</v>
      </c>
      <c r="H339" s="10">
        <v>1005.0</v>
      </c>
      <c r="I339" s="9">
        <f t="shared" si="3"/>
        <v>5.572139303</v>
      </c>
      <c r="K339" s="13"/>
      <c r="L339" s="13"/>
      <c r="M339" s="15"/>
      <c r="N339" s="15"/>
      <c r="P339" s="15"/>
      <c r="Q339" s="15"/>
    </row>
    <row r="340" ht="15.75" customHeight="1">
      <c r="A340" s="6">
        <v>90401.0</v>
      </c>
      <c r="B340" s="7" t="s">
        <v>27</v>
      </c>
      <c r="C340" s="7" t="s">
        <v>354</v>
      </c>
      <c r="D340" s="8">
        <v>50.0</v>
      </c>
      <c r="E340" s="8">
        <v>348.0</v>
      </c>
      <c r="F340" s="9">
        <f t="shared" si="2"/>
        <v>14.36781609</v>
      </c>
      <c r="G340" s="10">
        <v>23.0</v>
      </c>
      <c r="H340" s="10">
        <v>278.0</v>
      </c>
      <c r="I340" s="9">
        <f t="shared" si="3"/>
        <v>8.273381295</v>
      </c>
      <c r="K340" s="13"/>
      <c r="L340" s="13"/>
      <c r="M340" s="15"/>
      <c r="N340" s="15"/>
      <c r="P340" s="15"/>
      <c r="Q340" s="15"/>
    </row>
    <row r="341" ht="15.75" customHeight="1">
      <c r="A341" s="6">
        <v>90402.0</v>
      </c>
      <c r="B341" s="7" t="s">
        <v>27</v>
      </c>
      <c r="C341" s="7" t="s">
        <v>355</v>
      </c>
      <c r="D341" s="8">
        <v>21.0</v>
      </c>
      <c r="E341" s="8">
        <v>181.0</v>
      </c>
      <c r="F341" s="9">
        <f t="shared" si="2"/>
        <v>11.60220994</v>
      </c>
      <c r="G341" s="10">
        <v>20.0</v>
      </c>
      <c r="H341" s="10">
        <v>257.0</v>
      </c>
      <c r="I341" s="9">
        <f t="shared" si="3"/>
        <v>7.782101167</v>
      </c>
      <c r="K341" s="13"/>
      <c r="L341" s="13"/>
      <c r="M341" s="15"/>
      <c r="N341" s="15"/>
      <c r="P341" s="15"/>
      <c r="Q341" s="15"/>
    </row>
    <row r="342" ht="15.75" customHeight="1">
      <c r="A342" s="6">
        <v>90501.0</v>
      </c>
      <c r="B342" s="7" t="s">
        <v>27</v>
      </c>
      <c r="C342" s="7" t="s">
        <v>356</v>
      </c>
      <c r="D342" s="8">
        <v>16.0</v>
      </c>
      <c r="E342" s="8">
        <v>307.0</v>
      </c>
      <c r="F342" s="9">
        <f t="shared" si="2"/>
        <v>5.211726384</v>
      </c>
      <c r="G342" s="10">
        <v>5.0</v>
      </c>
      <c r="H342" s="10">
        <v>139.0</v>
      </c>
      <c r="I342" s="9">
        <f t="shared" si="3"/>
        <v>3.597122302</v>
      </c>
      <c r="K342" s="13"/>
      <c r="L342" s="13"/>
      <c r="M342" s="15"/>
      <c r="N342" s="15"/>
      <c r="P342" s="15"/>
      <c r="Q342" s="15"/>
    </row>
    <row r="343" ht="15.75" customHeight="1">
      <c r="A343" s="6">
        <v>90502.0</v>
      </c>
      <c r="B343" s="7" t="s">
        <v>27</v>
      </c>
      <c r="C343" s="7" t="s">
        <v>357</v>
      </c>
      <c r="D343" s="8">
        <v>38.0</v>
      </c>
      <c r="E343" s="8">
        <v>298.0</v>
      </c>
      <c r="F343" s="9">
        <f t="shared" si="2"/>
        <v>12.75167785</v>
      </c>
      <c r="G343" s="10">
        <v>27.0</v>
      </c>
      <c r="H343" s="10">
        <v>262.0</v>
      </c>
      <c r="I343" s="9">
        <f t="shared" si="3"/>
        <v>10.30534351</v>
      </c>
      <c r="K343" s="13"/>
      <c r="L343" s="13"/>
      <c r="M343" s="15"/>
      <c r="N343" s="15"/>
      <c r="P343" s="15"/>
      <c r="Q343" s="15"/>
    </row>
    <row r="344" ht="15.75" customHeight="1">
      <c r="A344" s="6">
        <v>90503.0</v>
      </c>
      <c r="B344" s="7" t="s">
        <v>27</v>
      </c>
      <c r="C344" s="7" t="s">
        <v>358</v>
      </c>
      <c r="D344" s="8">
        <v>9.0</v>
      </c>
      <c r="E344" s="8">
        <v>260.0</v>
      </c>
      <c r="F344" s="9">
        <f t="shared" si="2"/>
        <v>3.461538462</v>
      </c>
      <c r="G344" s="10">
        <v>10.0</v>
      </c>
      <c r="H344" s="10">
        <v>259.0</v>
      </c>
      <c r="I344" s="9">
        <f t="shared" si="3"/>
        <v>3.861003861</v>
      </c>
      <c r="K344" s="13"/>
      <c r="L344" s="13"/>
      <c r="M344" s="15"/>
      <c r="N344" s="15"/>
      <c r="P344" s="15"/>
      <c r="Q344" s="15"/>
    </row>
    <row r="345" ht="15.75" customHeight="1">
      <c r="A345" s="17">
        <v>10.0</v>
      </c>
      <c r="B345" s="7" t="s">
        <v>29</v>
      </c>
      <c r="C345" s="7"/>
      <c r="D345" s="8">
        <f t="shared" ref="D345:E345" si="16">SUM(D246:D248)</f>
        <v>1964</v>
      </c>
      <c r="E345" s="8">
        <f t="shared" si="16"/>
        <v>15685</v>
      </c>
      <c r="F345" s="9">
        <f t="shared" si="2"/>
        <v>12.52151737</v>
      </c>
      <c r="G345" s="8">
        <f t="shared" ref="G345:H345" si="17">SUM(G246:G248)</f>
        <v>1448</v>
      </c>
      <c r="H345" s="8">
        <f t="shared" si="17"/>
        <v>13916</v>
      </c>
      <c r="I345" s="9">
        <f t="shared" si="3"/>
        <v>10.40528888</v>
      </c>
      <c r="K345" s="13"/>
      <c r="L345" s="13"/>
      <c r="M345" s="15"/>
      <c r="N345" s="15"/>
      <c r="P345" s="15"/>
      <c r="Q345" s="15"/>
    </row>
    <row r="346" ht="15.75" customHeight="1">
      <c r="A346" s="18"/>
      <c r="B346" s="19"/>
      <c r="C346" s="19"/>
      <c r="D346" s="15"/>
      <c r="E346" s="15"/>
      <c r="F346" s="14"/>
      <c r="G346" s="15"/>
      <c r="H346" s="15"/>
      <c r="I346" s="14"/>
      <c r="K346" s="13"/>
      <c r="L346" s="13"/>
      <c r="M346" s="15"/>
      <c r="N346" s="15"/>
      <c r="P346" s="15"/>
      <c r="Q346" s="15"/>
    </row>
    <row r="347" ht="15.75" customHeight="1">
      <c r="A347" s="18"/>
      <c r="B347" s="19"/>
      <c r="C347" s="19"/>
      <c r="D347" s="15"/>
      <c r="E347" s="15"/>
      <c r="F347" s="14"/>
      <c r="G347" s="15"/>
      <c r="H347" s="15"/>
      <c r="I347" s="14"/>
      <c r="K347" s="13"/>
      <c r="L347" s="13"/>
      <c r="M347" s="15"/>
      <c r="N347" s="15"/>
      <c r="P347" s="15"/>
      <c r="Q347" s="15"/>
    </row>
    <row r="348" ht="15.75" customHeight="1">
      <c r="A348" s="18"/>
      <c r="B348" s="19"/>
      <c r="C348" s="19"/>
      <c r="D348" s="15"/>
      <c r="E348" s="15"/>
      <c r="F348" s="14"/>
      <c r="G348" s="15"/>
      <c r="H348" s="15"/>
      <c r="I348" s="14"/>
      <c r="K348" s="13"/>
      <c r="L348" s="13"/>
      <c r="M348" s="15"/>
      <c r="N348" s="15"/>
      <c r="P348" s="15"/>
      <c r="Q348" s="15"/>
    </row>
    <row r="349" ht="15.75" customHeight="1">
      <c r="A349" s="18"/>
      <c r="B349" s="19"/>
      <c r="C349" s="19"/>
      <c r="D349" s="15"/>
      <c r="E349" s="15"/>
      <c r="F349" s="14"/>
      <c r="G349" s="15"/>
      <c r="H349" s="15"/>
      <c r="I349" s="14"/>
      <c r="K349" s="13"/>
      <c r="L349" s="13"/>
      <c r="M349" s="15"/>
      <c r="N349" s="15"/>
      <c r="P349" s="15"/>
      <c r="Q349" s="15"/>
    </row>
    <row r="350" ht="15.75" customHeight="1">
      <c r="A350" s="18"/>
      <c r="B350" s="19"/>
      <c r="C350" s="19"/>
      <c r="D350" s="15"/>
      <c r="E350" s="15"/>
      <c r="F350" s="14"/>
      <c r="G350" s="15"/>
      <c r="H350" s="15"/>
      <c r="I350" s="14"/>
      <c r="K350" s="13"/>
      <c r="L350" s="13"/>
      <c r="M350" s="15"/>
      <c r="N350" s="15"/>
      <c r="P350" s="15"/>
      <c r="Q350" s="15"/>
    </row>
    <row r="351" ht="15.75" customHeight="1">
      <c r="A351" s="18"/>
      <c r="B351" s="19"/>
      <c r="C351" s="19"/>
      <c r="D351" s="15"/>
      <c r="E351" s="15"/>
      <c r="F351" s="14"/>
      <c r="G351" s="15"/>
      <c r="H351" s="15"/>
      <c r="I351" s="14"/>
      <c r="K351" s="13"/>
      <c r="L351" s="13"/>
      <c r="M351" s="15"/>
      <c r="N351" s="15"/>
      <c r="P351" s="15"/>
      <c r="Q351" s="15"/>
    </row>
    <row r="352" ht="15.75" customHeight="1">
      <c r="A352" s="18"/>
      <c r="B352" s="19"/>
      <c r="C352" s="19"/>
      <c r="D352" s="15"/>
      <c r="E352" s="15"/>
      <c r="F352" s="14"/>
      <c r="G352" s="15"/>
      <c r="H352" s="15"/>
      <c r="I352" s="14"/>
      <c r="K352" s="13"/>
      <c r="L352" s="13"/>
      <c r="M352" s="15"/>
      <c r="N352" s="15"/>
      <c r="P352" s="15"/>
      <c r="Q352" s="15"/>
    </row>
    <row r="353" ht="15.75" customHeight="1">
      <c r="A353" s="18"/>
      <c r="B353" s="19"/>
      <c r="C353" s="19"/>
      <c r="D353" s="15"/>
      <c r="E353" s="15"/>
      <c r="F353" s="14"/>
      <c r="G353" s="15"/>
      <c r="H353" s="15"/>
      <c r="I353" s="14"/>
      <c r="K353" s="13"/>
      <c r="L353" s="13"/>
      <c r="M353" s="15"/>
      <c r="N353" s="15"/>
      <c r="P353" s="15"/>
      <c r="Q353" s="15"/>
    </row>
    <row r="354" ht="15.75" customHeight="1">
      <c r="A354" s="18"/>
      <c r="B354" s="19"/>
      <c r="C354" s="19"/>
      <c r="D354" s="15"/>
      <c r="E354" s="15"/>
      <c r="F354" s="14"/>
      <c r="G354" s="15"/>
      <c r="H354" s="15"/>
      <c r="I354" s="14"/>
      <c r="K354" s="13"/>
      <c r="L354" s="13"/>
      <c r="M354" s="15"/>
      <c r="N354" s="15"/>
      <c r="P354" s="15"/>
      <c r="Q354" s="15"/>
    </row>
    <row r="355" ht="15.75" customHeight="1">
      <c r="A355" s="18"/>
      <c r="B355" s="19"/>
      <c r="C355" s="19"/>
      <c r="D355" s="15"/>
      <c r="E355" s="15"/>
      <c r="F355" s="14"/>
      <c r="G355" s="15"/>
      <c r="H355" s="15"/>
      <c r="I355" s="14"/>
      <c r="K355" s="13"/>
      <c r="L355" s="13"/>
      <c r="M355" s="15"/>
      <c r="N355" s="15"/>
      <c r="P355" s="15"/>
      <c r="Q355" s="15"/>
    </row>
    <row r="356" ht="15.75" customHeight="1">
      <c r="A356" s="18"/>
      <c r="B356" s="19"/>
      <c r="C356" s="19"/>
      <c r="D356" s="15"/>
      <c r="E356" s="15"/>
      <c r="F356" s="14"/>
      <c r="G356" s="15"/>
      <c r="H356" s="15"/>
      <c r="I356" s="14"/>
      <c r="K356" s="13"/>
      <c r="L356" s="13"/>
      <c r="M356" s="15"/>
      <c r="N356" s="15"/>
      <c r="P356" s="15"/>
      <c r="Q356" s="15"/>
    </row>
    <row r="357" ht="15.75" customHeight="1">
      <c r="A357" s="18"/>
      <c r="B357" s="19"/>
      <c r="C357" s="19"/>
      <c r="D357" s="15"/>
      <c r="E357" s="15"/>
      <c r="F357" s="14"/>
      <c r="G357" s="15"/>
      <c r="H357" s="15"/>
      <c r="I357" s="14"/>
      <c r="K357" s="13"/>
      <c r="L357" s="13"/>
      <c r="M357" s="15"/>
      <c r="N357" s="15"/>
      <c r="P357" s="15"/>
      <c r="Q357" s="15"/>
    </row>
    <row r="358" ht="15.75" customHeight="1">
      <c r="A358" s="18"/>
      <c r="B358" s="19"/>
      <c r="C358" s="19"/>
      <c r="D358" s="15"/>
      <c r="E358" s="15"/>
      <c r="F358" s="14"/>
      <c r="G358" s="15"/>
      <c r="H358" s="15"/>
      <c r="I358" s="14"/>
      <c r="K358" s="13"/>
      <c r="L358" s="13"/>
      <c r="M358" s="15"/>
      <c r="N358" s="15"/>
      <c r="P358" s="15"/>
      <c r="Q358" s="15"/>
    </row>
    <row r="359" ht="15.75" customHeight="1">
      <c r="A359" s="18"/>
      <c r="B359" s="19"/>
      <c r="C359" s="19"/>
      <c r="D359" s="15"/>
      <c r="E359" s="15"/>
      <c r="F359" s="14"/>
      <c r="G359" s="15"/>
      <c r="H359" s="15"/>
      <c r="I359" s="14"/>
      <c r="K359" s="13"/>
      <c r="L359" s="13"/>
      <c r="M359" s="15"/>
      <c r="N359" s="15"/>
      <c r="P359" s="15"/>
      <c r="Q359" s="15"/>
    </row>
    <row r="360" ht="15.75" customHeight="1">
      <c r="A360" s="18"/>
      <c r="B360" s="19"/>
      <c r="C360" s="19"/>
      <c r="D360" s="15"/>
      <c r="E360" s="15"/>
      <c r="F360" s="14"/>
      <c r="G360" s="15"/>
      <c r="H360" s="15"/>
      <c r="I360" s="14"/>
      <c r="K360" s="13"/>
      <c r="L360" s="13"/>
      <c r="M360" s="15"/>
      <c r="N360" s="15"/>
      <c r="P360" s="15"/>
      <c r="Q360" s="15"/>
    </row>
    <row r="361" ht="15.75" customHeight="1">
      <c r="A361" s="18"/>
      <c r="B361" s="19"/>
      <c r="C361" s="19"/>
      <c r="D361" s="15"/>
      <c r="E361" s="15"/>
      <c r="F361" s="14"/>
      <c r="G361" s="15"/>
      <c r="H361" s="15"/>
      <c r="I361" s="14"/>
      <c r="K361" s="13"/>
      <c r="L361" s="13"/>
      <c r="M361" s="15"/>
      <c r="N361" s="15"/>
      <c r="P361" s="15"/>
      <c r="Q361" s="15"/>
    </row>
    <row r="362" ht="15.75" customHeight="1">
      <c r="A362" s="18"/>
      <c r="B362" s="19"/>
      <c r="C362" s="19"/>
      <c r="D362" s="15"/>
      <c r="E362" s="15"/>
      <c r="F362" s="14"/>
      <c r="G362" s="15"/>
      <c r="H362" s="15"/>
      <c r="I362" s="14"/>
      <c r="K362" s="13"/>
      <c r="L362" s="13"/>
      <c r="M362" s="15"/>
      <c r="N362" s="15"/>
      <c r="P362" s="15"/>
      <c r="Q362" s="15"/>
    </row>
    <row r="363" ht="15.75" customHeight="1">
      <c r="A363" s="18"/>
      <c r="B363" s="19"/>
      <c r="C363" s="19"/>
      <c r="D363" s="15"/>
      <c r="E363" s="15"/>
      <c r="F363" s="14"/>
      <c r="G363" s="15"/>
      <c r="H363" s="15"/>
      <c r="I363" s="14"/>
      <c r="K363" s="13"/>
      <c r="L363" s="13"/>
      <c r="M363" s="15"/>
      <c r="N363" s="15"/>
      <c r="P363" s="15"/>
      <c r="Q363" s="15"/>
    </row>
    <row r="364" ht="15.75" customHeight="1">
      <c r="A364" s="18"/>
      <c r="B364" s="19"/>
      <c r="C364" s="19"/>
      <c r="D364" s="15"/>
      <c r="E364" s="15"/>
      <c r="F364" s="14"/>
      <c r="G364" s="15"/>
      <c r="H364" s="15"/>
      <c r="I364" s="14"/>
      <c r="K364" s="13"/>
      <c r="L364" s="13"/>
      <c r="M364" s="15"/>
      <c r="N364" s="15"/>
      <c r="P364" s="15"/>
      <c r="Q364" s="15"/>
    </row>
    <row r="365" ht="15.75" customHeight="1">
      <c r="A365" s="18"/>
      <c r="B365" s="19"/>
      <c r="C365" s="19"/>
      <c r="D365" s="15"/>
      <c r="E365" s="15"/>
      <c r="F365" s="14"/>
      <c r="G365" s="15"/>
      <c r="H365" s="15"/>
      <c r="I365" s="14"/>
      <c r="K365" s="13"/>
      <c r="L365" s="13"/>
      <c r="M365" s="15"/>
      <c r="N365" s="15"/>
      <c r="P365" s="15"/>
      <c r="Q365" s="15"/>
    </row>
    <row r="366" ht="15.75" customHeight="1">
      <c r="A366" s="18"/>
      <c r="B366" s="19"/>
      <c r="C366" s="19"/>
      <c r="D366" s="15"/>
      <c r="E366" s="15"/>
      <c r="F366" s="14"/>
      <c r="G366" s="15"/>
      <c r="H366" s="15"/>
      <c r="I366" s="14"/>
      <c r="K366" s="13"/>
      <c r="L366" s="13"/>
      <c r="M366" s="15"/>
      <c r="N366" s="15"/>
      <c r="P366" s="15"/>
      <c r="Q366" s="15"/>
    </row>
    <row r="367" ht="15.75" customHeight="1">
      <c r="A367" s="18"/>
      <c r="B367" s="19"/>
      <c r="C367" s="19"/>
      <c r="D367" s="15"/>
      <c r="E367" s="15"/>
      <c r="F367" s="14"/>
      <c r="G367" s="15"/>
      <c r="H367" s="15"/>
      <c r="I367" s="14"/>
      <c r="K367" s="13"/>
      <c r="L367" s="13"/>
      <c r="M367" s="15"/>
      <c r="N367" s="15"/>
      <c r="P367" s="15"/>
      <c r="Q367" s="15"/>
    </row>
    <row r="368" ht="15.75" customHeight="1">
      <c r="A368" s="18"/>
      <c r="B368" s="19"/>
      <c r="C368" s="19"/>
      <c r="D368" s="15"/>
      <c r="E368" s="15"/>
      <c r="F368" s="14"/>
      <c r="G368" s="15"/>
      <c r="H368" s="15"/>
      <c r="I368" s="14"/>
      <c r="K368" s="13"/>
      <c r="L368" s="13"/>
      <c r="M368" s="15"/>
      <c r="N368" s="15"/>
      <c r="P368" s="15"/>
      <c r="Q368" s="15"/>
    </row>
    <row r="369" ht="15.75" customHeight="1">
      <c r="A369" s="18"/>
      <c r="B369" s="19"/>
      <c r="C369" s="19"/>
      <c r="D369" s="15"/>
      <c r="E369" s="15"/>
      <c r="F369" s="14"/>
      <c r="G369" s="15"/>
      <c r="H369" s="15"/>
      <c r="I369" s="14"/>
      <c r="K369" s="13"/>
      <c r="L369" s="13"/>
      <c r="M369" s="15"/>
      <c r="N369" s="15"/>
      <c r="P369" s="15"/>
      <c r="Q369" s="15"/>
    </row>
    <row r="370" ht="15.75" customHeight="1">
      <c r="A370" s="18"/>
      <c r="B370" s="19"/>
      <c r="C370" s="19"/>
      <c r="D370" s="15"/>
      <c r="E370" s="15"/>
      <c r="F370" s="14"/>
      <c r="G370" s="15"/>
      <c r="H370" s="15"/>
      <c r="I370" s="14"/>
      <c r="K370" s="13"/>
      <c r="L370" s="13"/>
      <c r="M370" s="15"/>
      <c r="N370" s="15"/>
      <c r="P370" s="15"/>
      <c r="Q370" s="15"/>
    </row>
    <row r="371" ht="15.75" customHeight="1">
      <c r="A371" s="18"/>
      <c r="B371" s="19"/>
      <c r="C371" s="19"/>
      <c r="D371" s="15"/>
      <c r="E371" s="15"/>
      <c r="F371" s="14"/>
      <c r="G371" s="15"/>
      <c r="H371" s="15"/>
      <c r="I371" s="14"/>
      <c r="K371" s="13"/>
      <c r="L371" s="13"/>
      <c r="M371" s="15"/>
      <c r="N371" s="15"/>
      <c r="P371" s="15"/>
      <c r="Q371" s="15"/>
    </row>
    <row r="372" ht="15.75" customHeight="1">
      <c r="A372" s="18"/>
      <c r="B372" s="19"/>
      <c r="C372" s="19"/>
      <c r="D372" s="15"/>
      <c r="E372" s="15"/>
      <c r="F372" s="14"/>
      <c r="G372" s="15"/>
      <c r="H372" s="15"/>
      <c r="I372" s="14"/>
      <c r="K372" s="13"/>
      <c r="L372" s="13"/>
      <c r="M372" s="15"/>
      <c r="N372" s="15"/>
      <c r="P372" s="15"/>
      <c r="Q372" s="15"/>
    </row>
    <row r="373" ht="15.75" customHeight="1">
      <c r="A373" s="18"/>
      <c r="B373" s="19"/>
      <c r="C373" s="19"/>
      <c r="D373" s="15"/>
      <c r="E373" s="15"/>
      <c r="F373" s="14"/>
      <c r="G373" s="15"/>
      <c r="H373" s="15"/>
      <c r="I373" s="14"/>
      <c r="K373" s="13"/>
      <c r="L373" s="13"/>
      <c r="M373" s="15"/>
      <c r="N373" s="15"/>
      <c r="P373" s="15"/>
      <c r="Q373" s="15"/>
    </row>
    <row r="374" ht="15.75" customHeight="1">
      <c r="A374" s="18"/>
      <c r="B374" s="19"/>
      <c r="C374" s="19"/>
      <c r="D374" s="15"/>
      <c r="E374" s="15"/>
      <c r="F374" s="14"/>
      <c r="G374" s="15"/>
      <c r="H374" s="15"/>
      <c r="I374" s="14"/>
      <c r="K374" s="13"/>
      <c r="L374" s="13"/>
      <c r="M374" s="15"/>
      <c r="N374" s="15"/>
      <c r="P374" s="15"/>
      <c r="Q374" s="15"/>
    </row>
    <row r="375" ht="15.75" customHeight="1">
      <c r="A375" s="18"/>
      <c r="B375" s="19"/>
      <c r="C375" s="19"/>
      <c r="D375" s="15"/>
      <c r="E375" s="15"/>
      <c r="F375" s="14"/>
      <c r="G375" s="15"/>
      <c r="H375" s="15"/>
      <c r="I375" s="14"/>
      <c r="K375" s="13"/>
      <c r="L375" s="13"/>
      <c r="M375" s="15"/>
      <c r="N375" s="15"/>
      <c r="P375" s="15"/>
      <c r="Q375" s="15"/>
    </row>
    <row r="376" ht="15.75" customHeight="1">
      <c r="A376" s="18"/>
      <c r="B376" s="19"/>
      <c r="C376" s="19"/>
      <c r="D376" s="15"/>
      <c r="E376" s="15"/>
      <c r="F376" s="14"/>
      <c r="G376" s="15"/>
      <c r="H376" s="15"/>
      <c r="I376" s="14"/>
      <c r="K376" s="13"/>
      <c r="L376" s="13"/>
      <c r="M376" s="15"/>
      <c r="N376" s="15"/>
      <c r="P376" s="15"/>
      <c r="Q376" s="15"/>
    </row>
    <row r="377" ht="15.75" customHeight="1">
      <c r="A377" s="18"/>
      <c r="B377" s="19"/>
      <c r="C377" s="19"/>
      <c r="D377" s="15"/>
      <c r="E377" s="15"/>
      <c r="F377" s="14"/>
      <c r="G377" s="15"/>
      <c r="H377" s="15"/>
      <c r="I377" s="14"/>
      <c r="K377" s="13"/>
      <c r="L377" s="13"/>
      <c r="M377" s="15"/>
      <c r="N377" s="15"/>
      <c r="P377" s="15"/>
      <c r="Q377" s="15"/>
    </row>
    <row r="378" ht="15.75" customHeight="1">
      <c r="A378" s="18"/>
      <c r="B378" s="19"/>
      <c r="C378" s="19"/>
      <c r="D378" s="15"/>
      <c r="E378" s="15"/>
      <c r="F378" s="14"/>
      <c r="G378" s="15"/>
      <c r="H378" s="15"/>
      <c r="I378" s="14"/>
      <c r="K378" s="13"/>
      <c r="L378" s="13"/>
      <c r="M378" s="15"/>
      <c r="N378" s="15"/>
      <c r="P378" s="15"/>
      <c r="Q378" s="15"/>
    </row>
    <row r="379" ht="15.75" customHeight="1">
      <c r="A379" s="18"/>
      <c r="B379" s="19"/>
      <c r="C379" s="19"/>
      <c r="D379" s="15"/>
      <c r="E379" s="15"/>
      <c r="F379" s="14"/>
      <c r="G379" s="15"/>
      <c r="H379" s="15"/>
      <c r="I379" s="14"/>
      <c r="K379" s="13"/>
      <c r="L379" s="13"/>
      <c r="M379" s="15"/>
      <c r="N379" s="15"/>
      <c r="P379" s="15"/>
      <c r="Q379" s="15"/>
    </row>
    <row r="380" ht="15.75" customHeight="1">
      <c r="A380" s="18"/>
      <c r="B380" s="19"/>
      <c r="C380" s="19"/>
      <c r="D380" s="15"/>
      <c r="E380" s="15"/>
      <c r="F380" s="14"/>
      <c r="G380" s="15"/>
      <c r="H380" s="15"/>
      <c r="I380" s="14"/>
      <c r="K380" s="13"/>
      <c r="L380" s="13"/>
      <c r="M380" s="15"/>
      <c r="N380" s="15"/>
      <c r="P380" s="15"/>
      <c r="Q380" s="15"/>
    </row>
    <row r="381" ht="15.75" customHeight="1">
      <c r="A381" s="18"/>
      <c r="B381" s="19"/>
      <c r="C381" s="19"/>
      <c r="D381" s="15"/>
      <c r="E381" s="15"/>
      <c r="F381" s="14"/>
      <c r="G381" s="15"/>
      <c r="H381" s="15"/>
      <c r="I381" s="14"/>
      <c r="K381" s="13"/>
      <c r="L381" s="13"/>
      <c r="M381" s="15"/>
      <c r="N381" s="15"/>
      <c r="P381" s="15"/>
      <c r="Q381" s="15"/>
    </row>
    <row r="382" ht="15.75" customHeight="1">
      <c r="A382" s="18"/>
      <c r="B382" s="19"/>
      <c r="C382" s="19"/>
      <c r="D382" s="15"/>
      <c r="E382" s="15"/>
      <c r="F382" s="14"/>
      <c r="G382" s="15"/>
      <c r="H382" s="15"/>
      <c r="I382" s="14"/>
      <c r="K382" s="13"/>
      <c r="L382" s="13"/>
      <c r="M382" s="15"/>
      <c r="N382" s="15"/>
      <c r="P382" s="15"/>
      <c r="Q382" s="15"/>
    </row>
    <row r="383" ht="15.75" customHeight="1">
      <c r="A383" s="18"/>
      <c r="B383" s="19"/>
      <c r="C383" s="19"/>
      <c r="D383" s="15"/>
      <c r="E383" s="15"/>
      <c r="F383" s="14"/>
      <c r="G383" s="15"/>
      <c r="H383" s="15"/>
      <c r="I383" s="14"/>
      <c r="K383" s="13"/>
      <c r="L383" s="13"/>
      <c r="M383" s="15"/>
      <c r="N383" s="15"/>
      <c r="P383" s="15"/>
      <c r="Q383" s="15"/>
    </row>
    <row r="384" ht="15.75" customHeight="1">
      <c r="A384" s="18"/>
      <c r="B384" s="19"/>
      <c r="C384" s="19"/>
      <c r="D384" s="15"/>
      <c r="E384" s="15"/>
      <c r="F384" s="14"/>
      <c r="G384" s="15"/>
      <c r="H384" s="15"/>
      <c r="I384" s="14"/>
      <c r="K384" s="13"/>
      <c r="L384" s="13"/>
      <c r="M384" s="15"/>
      <c r="N384" s="15"/>
      <c r="P384" s="15"/>
      <c r="Q384" s="15"/>
    </row>
    <row r="385" ht="15.75" customHeight="1">
      <c r="A385" s="18"/>
      <c r="B385" s="19"/>
      <c r="C385" s="19"/>
      <c r="D385" s="15"/>
      <c r="E385" s="15"/>
      <c r="F385" s="14"/>
      <c r="G385" s="15"/>
      <c r="H385" s="15"/>
      <c r="I385" s="14"/>
      <c r="K385" s="13"/>
      <c r="L385" s="13"/>
      <c r="M385" s="15"/>
      <c r="N385" s="15"/>
      <c r="P385" s="15"/>
      <c r="Q385" s="15"/>
    </row>
    <row r="386" ht="15.75" customHeight="1">
      <c r="A386" s="18"/>
      <c r="B386" s="19"/>
      <c r="C386" s="19"/>
      <c r="D386" s="15"/>
      <c r="E386" s="15"/>
      <c r="F386" s="14"/>
      <c r="G386" s="15"/>
      <c r="H386" s="15"/>
      <c r="I386" s="14"/>
      <c r="K386" s="13"/>
      <c r="L386" s="13"/>
      <c r="M386" s="15"/>
      <c r="N386" s="15"/>
      <c r="P386" s="15"/>
      <c r="Q386" s="15"/>
    </row>
    <row r="387" ht="15.75" customHeight="1">
      <c r="A387" s="18"/>
      <c r="B387" s="19"/>
      <c r="C387" s="19"/>
      <c r="D387" s="15"/>
      <c r="E387" s="15"/>
      <c r="F387" s="14"/>
      <c r="G387" s="15"/>
      <c r="H387" s="15"/>
      <c r="I387" s="14"/>
      <c r="K387" s="13"/>
      <c r="L387" s="13"/>
      <c r="M387" s="15"/>
      <c r="N387" s="15"/>
      <c r="P387" s="15"/>
      <c r="Q387" s="15"/>
    </row>
    <row r="388" ht="15.75" customHeight="1">
      <c r="A388" s="18"/>
      <c r="B388" s="19"/>
      <c r="C388" s="19"/>
      <c r="D388" s="15"/>
      <c r="E388" s="15"/>
      <c r="F388" s="14"/>
      <c r="G388" s="15"/>
      <c r="H388" s="15"/>
      <c r="I388" s="14"/>
      <c r="K388" s="13"/>
      <c r="L388" s="13"/>
      <c r="M388" s="15"/>
      <c r="N388" s="15"/>
      <c r="P388" s="15"/>
      <c r="Q388" s="15"/>
    </row>
    <row r="389" ht="15.75" customHeight="1">
      <c r="A389" s="18"/>
      <c r="B389" s="19"/>
      <c r="C389" s="19"/>
      <c r="D389" s="15"/>
      <c r="E389" s="15"/>
      <c r="F389" s="14"/>
      <c r="G389" s="15"/>
      <c r="H389" s="15"/>
      <c r="I389" s="14"/>
      <c r="K389" s="13"/>
      <c r="L389" s="13"/>
      <c r="M389" s="15"/>
      <c r="N389" s="15"/>
      <c r="P389" s="15"/>
      <c r="Q389" s="15"/>
    </row>
    <row r="390" ht="15.75" customHeight="1">
      <c r="A390" s="18"/>
      <c r="B390" s="19"/>
      <c r="C390" s="19"/>
      <c r="D390" s="15"/>
      <c r="E390" s="15"/>
      <c r="F390" s="14"/>
      <c r="G390" s="15"/>
      <c r="H390" s="15"/>
      <c r="I390" s="14"/>
      <c r="K390" s="13"/>
      <c r="L390" s="13"/>
      <c r="M390" s="15"/>
      <c r="N390" s="15"/>
      <c r="P390" s="15"/>
      <c r="Q390" s="15"/>
    </row>
    <row r="391" ht="15.75" customHeight="1">
      <c r="A391" s="18"/>
      <c r="B391" s="19"/>
      <c r="C391" s="19"/>
      <c r="D391" s="15"/>
      <c r="E391" s="15"/>
      <c r="F391" s="14"/>
      <c r="G391" s="15"/>
      <c r="H391" s="15"/>
      <c r="I391" s="14"/>
      <c r="K391" s="13"/>
      <c r="L391" s="13"/>
      <c r="M391" s="15"/>
      <c r="N391" s="15"/>
      <c r="P391" s="15"/>
      <c r="Q391" s="15"/>
    </row>
    <row r="392" ht="15.75" customHeight="1">
      <c r="A392" s="18"/>
      <c r="B392" s="19"/>
      <c r="C392" s="19"/>
      <c r="D392" s="15"/>
      <c r="E392" s="15"/>
      <c r="F392" s="14"/>
      <c r="G392" s="15"/>
      <c r="H392" s="15"/>
      <c r="I392" s="14"/>
      <c r="K392" s="13"/>
      <c r="L392" s="13"/>
      <c r="M392" s="15"/>
      <c r="N392" s="15"/>
      <c r="P392" s="15"/>
      <c r="Q392" s="15"/>
    </row>
    <row r="393" ht="15.75" customHeight="1">
      <c r="A393" s="18"/>
      <c r="B393" s="19"/>
      <c r="C393" s="19"/>
      <c r="D393" s="15"/>
      <c r="E393" s="15"/>
      <c r="F393" s="14"/>
      <c r="G393" s="15"/>
      <c r="H393" s="15"/>
      <c r="I393" s="14"/>
      <c r="K393" s="13"/>
      <c r="L393" s="13"/>
      <c r="M393" s="15"/>
      <c r="N393" s="15"/>
      <c r="P393" s="15"/>
      <c r="Q393" s="15"/>
    </row>
    <row r="394" ht="15.75" customHeight="1">
      <c r="A394" s="18"/>
      <c r="B394" s="19"/>
      <c r="C394" s="19"/>
      <c r="D394" s="15"/>
      <c r="E394" s="15"/>
      <c r="F394" s="14"/>
      <c r="G394" s="15"/>
      <c r="H394" s="15"/>
      <c r="I394" s="14"/>
      <c r="K394" s="13"/>
      <c r="L394" s="13"/>
      <c r="M394" s="15"/>
      <c r="N394" s="15"/>
      <c r="P394" s="15"/>
      <c r="Q394" s="15"/>
    </row>
    <row r="395" ht="15.75" customHeight="1">
      <c r="A395" s="18"/>
      <c r="B395" s="19"/>
      <c r="C395" s="19"/>
      <c r="D395" s="15"/>
      <c r="E395" s="15"/>
      <c r="F395" s="14"/>
      <c r="G395" s="15"/>
      <c r="H395" s="15"/>
      <c r="I395" s="14"/>
      <c r="K395" s="13"/>
      <c r="L395" s="13"/>
      <c r="M395" s="15"/>
      <c r="N395" s="15"/>
      <c r="P395" s="15"/>
      <c r="Q395" s="15"/>
    </row>
    <row r="396" ht="15.75" customHeight="1">
      <c r="A396" s="18"/>
      <c r="B396" s="19"/>
      <c r="C396" s="19"/>
      <c r="D396" s="15"/>
      <c r="E396" s="15"/>
      <c r="F396" s="14"/>
      <c r="G396" s="15"/>
      <c r="H396" s="15"/>
      <c r="I396" s="14"/>
      <c r="K396" s="13"/>
      <c r="L396" s="13"/>
      <c r="M396" s="15"/>
      <c r="N396" s="15"/>
      <c r="P396" s="15"/>
      <c r="Q396" s="15"/>
    </row>
    <row r="397" ht="15.75" customHeight="1">
      <c r="A397" s="18"/>
      <c r="B397" s="19"/>
      <c r="C397" s="19"/>
      <c r="D397" s="15"/>
      <c r="E397" s="15"/>
      <c r="F397" s="14"/>
      <c r="G397" s="15"/>
      <c r="H397" s="15"/>
      <c r="I397" s="14"/>
      <c r="K397" s="13"/>
      <c r="L397" s="13"/>
      <c r="M397" s="15"/>
      <c r="N397" s="15"/>
      <c r="P397" s="15"/>
      <c r="Q397" s="15"/>
    </row>
    <row r="398" ht="15.75" customHeight="1">
      <c r="A398" s="18"/>
      <c r="B398" s="19"/>
      <c r="C398" s="19"/>
      <c r="D398" s="15"/>
      <c r="E398" s="15"/>
      <c r="F398" s="14"/>
      <c r="G398" s="15"/>
      <c r="H398" s="15"/>
      <c r="I398" s="14"/>
      <c r="K398" s="13"/>
      <c r="L398" s="13"/>
      <c r="M398" s="15"/>
      <c r="N398" s="15"/>
      <c r="P398" s="15"/>
      <c r="Q398" s="15"/>
    </row>
    <row r="399" ht="15.75" customHeight="1">
      <c r="A399" s="18"/>
      <c r="B399" s="19"/>
      <c r="C399" s="19"/>
      <c r="D399" s="15"/>
      <c r="E399" s="15"/>
      <c r="F399" s="14"/>
      <c r="G399" s="15"/>
      <c r="H399" s="15"/>
      <c r="I399" s="14"/>
      <c r="K399" s="13"/>
      <c r="L399" s="13"/>
      <c r="M399" s="15"/>
      <c r="N399" s="15"/>
      <c r="P399" s="15"/>
      <c r="Q399" s="15"/>
    </row>
    <row r="400" ht="15.75" customHeight="1">
      <c r="A400" s="18"/>
      <c r="B400" s="19"/>
      <c r="C400" s="19"/>
      <c r="D400" s="15"/>
      <c r="E400" s="15"/>
      <c r="F400" s="14"/>
      <c r="G400" s="15"/>
      <c r="H400" s="15"/>
      <c r="I400" s="14"/>
      <c r="K400" s="13"/>
      <c r="L400" s="13"/>
      <c r="M400" s="15"/>
      <c r="N400" s="15"/>
      <c r="P400" s="15"/>
      <c r="Q400" s="15"/>
    </row>
    <row r="401" ht="15.75" customHeight="1">
      <c r="A401" s="18"/>
      <c r="B401" s="19"/>
      <c r="C401" s="19"/>
      <c r="D401" s="15"/>
      <c r="E401" s="15"/>
      <c r="F401" s="14"/>
      <c r="G401" s="15"/>
      <c r="H401" s="15"/>
      <c r="I401" s="14"/>
      <c r="K401" s="13"/>
      <c r="L401" s="13"/>
      <c r="M401" s="15"/>
      <c r="N401" s="15"/>
      <c r="P401" s="15"/>
      <c r="Q401" s="15"/>
    </row>
    <row r="402" ht="15.75" customHeight="1">
      <c r="A402" s="18"/>
      <c r="B402" s="19"/>
      <c r="C402" s="19"/>
      <c r="D402" s="15"/>
      <c r="E402" s="15"/>
      <c r="F402" s="14"/>
      <c r="G402" s="15"/>
      <c r="H402" s="15"/>
      <c r="I402" s="14"/>
      <c r="K402" s="13"/>
      <c r="L402" s="13"/>
      <c r="M402" s="15"/>
      <c r="N402" s="15"/>
      <c r="P402" s="15"/>
      <c r="Q402" s="15"/>
    </row>
    <row r="403" ht="15.75" customHeight="1">
      <c r="A403" s="18"/>
      <c r="B403" s="19"/>
      <c r="C403" s="19"/>
      <c r="D403" s="15"/>
      <c r="E403" s="15"/>
      <c r="F403" s="14"/>
      <c r="G403" s="15"/>
      <c r="H403" s="15"/>
      <c r="I403" s="14"/>
      <c r="K403" s="13"/>
      <c r="L403" s="13"/>
      <c r="M403" s="15"/>
      <c r="N403" s="15"/>
      <c r="P403" s="15"/>
      <c r="Q403" s="15"/>
    </row>
    <row r="404" ht="15.75" customHeight="1">
      <c r="A404" s="18"/>
      <c r="B404" s="19"/>
      <c r="C404" s="19"/>
      <c r="D404" s="15"/>
      <c r="E404" s="15"/>
      <c r="F404" s="14"/>
      <c r="G404" s="15"/>
      <c r="H404" s="15"/>
      <c r="I404" s="14"/>
      <c r="K404" s="13"/>
      <c r="L404" s="13"/>
      <c r="M404" s="15"/>
      <c r="N404" s="15"/>
      <c r="P404" s="15"/>
      <c r="Q404" s="15"/>
    </row>
    <row r="405" ht="15.75" customHeight="1">
      <c r="A405" s="18"/>
      <c r="B405" s="19"/>
      <c r="C405" s="19"/>
      <c r="D405" s="15"/>
      <c r="E405" s="15"/>
      <c r="F405" s="14"/>
      <c r="G405" s="15"/>
      <c r="H405" s="15"/>
      <c r="I405" s="14"/>
      <c r="K405" s="13"/>
      <c r="L405" s="13"/>
      <c r="M405" s="15"/>
      <c r="N405" s="15"/>
      <c r="P405" s="15"/>
      <c r="Q405" s="15"/>
    </row>
    <row r="406" ht="15.75" customHeight="1">
      <c r="A406" s="18"/>
      <c r="B406" s="19"/>
      <c r="C406" s="19"/>
      <c r="D406" s="15"/>
      <c r="E406" s="15"/>
      <c r="F406" s="14"/>
      <c r="G406" s="15"/>
      <c r="H406" s="15"/>
      <c r="I406" s="14"/>
      <c r="K406" s="13"/>
      <c r="L406" s="13"/>
      <c r="M406" s="15"/>
      <c r="N406" s="15"/>
      <c r="P406" s="15"/>
      <c r="Q406" s="15"/>
    </row>
    <row r="407" ht="15.75" customHeight="1">
      <c r="A407" s="18"/>
      <c r="B407" s="19"/>
      <c r="C407" s="19"/>
      <c r="D407" s="15"/>
      <c r="E407" s="15"/>
      <c r="F407" s="14"/>
      <c r="G407" s="15"/>
      <c r="H407" s="15"/>
      <c r="I407" s="14"/>
      <c r="K407" s="13"/>
      <c r="L407" s="13"/>
      <c r="M407" s="15"/>
      <c r="N407" s="15"/>
      <c r="P407" s="15"/>
      <c r="Q407" s="15"/>
    </row>
    <row r="408" ht="15.75" customHeight="1">
      <c r="A408" s="18"/>
      <c r="B408" s="19"/>
      <c r="C408" s="19"/>
      <c r="D408" s="15"/>
      <c r="E408" s="15"/>
      <c r="F408" s="14"/>
      <c r="G408" s="15"/>
      <c r="H408" s="15"/>
      <c r="I408" s="14"/>
      <c r="K408" s="13"/>
      <c r="L408" s="13"/>
      <c r="M408" s="15"/>
      <c r="N408" s="15"/>
      <c r="P408" s="15"/>
      <c r="Q408" s="15"/>
    </row>
    <row r="409" ht="15.75" customHeight="1">
      <c r="A409" s="18"/>
      <c r="B409" s="19"/>
      <c r="C409" s="19"/>
      <c r="D409" s="15"/>
      <c r="E409" s="15"/>
      <c r="F409" s="14"/>
      <c r="G409" s="15"/>
      <c r="H409" s="15"/>
      <c r="I409" s="14"/>
      <c r="K409" s="13"/>
      <c r="L409" s="13"/>
      <c r="M409" s="15"/>
      <c r="N409" s="15"/>
      <c r="P409" s="15"/>
      <c r="Q409" s="15"/>
    </row>
    <row r="410" ht="15.75" customHeight="1">
      <c r="A410" s="18"/>
      <c r="B410" s="19"/>
      <c r="C410" s="19"/>
      <c r="D410" s="15"/>
      <c r="E410" s="15"/>
      <c r="F410" s="14"/>
      <c r="G410" s="15"/>
      <c r="H410" s="15"/>
      <c r="I410" s="14"/>
      <c r="K410" s="13"/>
      <c r="L410" s="13"/>
      <c r="M410" s="15"/>
      <c r="N410" s="15"/>
      <c r="P410" s="15"/>
      <c r="Q410" s="15"/>
    </row>
    <row r="411" ht="15.75" customHeight="1">
      <c r="A411" s="18"/>
      <c r="B411" s="19"/>
      <c r="C411" s="19"/>
      <c r="D411" s="15"/>
      <c r="E411" s="15"/>
      <c r="F411" s="14"/>
      <c r="G411" s="15"/>
      <c r="H411" s="15"/>
      <c r="I411" s="14"/>
      <c r="K411" s="13"/>
      <c r="L411" s="13"/>
      <c r="M411" s="15"/>
      <c r="N411" s="15"/>
      <c r="P411" s="15"/>
      <c r="Q411" s="15"/>
    </row>
    <row r="412" ht="15.75" customHeight="1">
      <c r="A412" s="18"/>
      <c r="B412" s="19"/>
      <c r="C412" s="19"/>
      <c r="D412" s="15"/>
      <c r="E412" s="15"/>
      <c r="F412" s="14"/>
      <c r="G412" s="15"/>
      <c r="H412" s="15"/>
      <c r="I412" s="14"/>
      <c r="K412" s="13"/>
      <c r="L412" s="13"/>
      <c r="M412" s="15"/>
      <c r="N412" s="15"/>
      <c r="P412" s="15"/>
      <c r="Q412" s="15"/>
    </row>
    <row r="413" ht="15.75" customHeight="1">
      <c r="A413" s="18"/>
      <c r="B413" s="19"/>
      <c r="C413" s="19"/>
      <c r="D413" s="15"/>
      <c r="E413" s="15"/>
      <c r="F413" s="14"/>
      <c r="G413" s="15"/>
      <c r="H413" s="15"/>
      <c r="I413" s="14"/>
      <c r="K413" s="13"/>
      <c r="L413" s="13"/>
      <c r="M413" s="15"/>
      <c r="N413" s="15"/>
      <c r="P413" s="15"/>
      <c r="Q413" s="15"/>
    </row>
    <row r="414" ht="15.75" customHeight="1">
      <c r="A414" s="18"/>
      <c r="B414" s="19"/>
      <c r="C414" s="19"/>
      <c r="D414" s="15"/>
      <c r="E414" s="15"/>
      <c r="F414" s="14"/>
      <c r="G414" s="15"/>
      <c r="H414" s="15"/>
      <c r="I414" s="14"/>
      <c r="K414" s="13"/>
      <c r="L414" s="13"/>
      <c r="M414" s="15"/>
      <c r="N414" s="15"/>
      <c r="P414" s="15"/>
      <c r="Q414" s="15"/>
    </row>
    <row r="415" ht="15.75" customHeight="1">
      <c r="A415" s="18"/>
      <c r="B415" s="19"/>
      <c r="C415" s="19"/>
      <c r="D415" s="15"/>
      <c r="E415" s="15"/>
      <c r="F415" s="14"/>
      <c r="G415" s="15"/>
      <c r="H415" s="15"/>
      <c r="I415" s="14"/>
      <c r="K415" s="13"/>
      <c r="L415" s="13"/>
      <c r="M415" s="15"/>
      <c r="N415" s="15"/>
      <c r="P415" s="15"/>
      <c r="Q415" s="15"/>
    </row>
    <row r="416" ht="15.75" customHeight="1">
      <c r="A416" s="18"/>
      <c r="B416" s="19"/>
      <c r="C416" s="19"/>
      <c r="D416" s="15"/>
      <c r="E416" s="15"/>
      <c r="F416" s="14"/>
      <c r="G416" s="15"/>
      <c r="H416" s="15"/>
      <c r="I416" s="14"/>
      <c r="K416" s="13"/>
      <c r="L416" s="13"/>
      <c r="M416" s="15"/>
      <c r="N416" s="15"/>
      <c r="P416" s="15"/>
      <c r="Q416" s="15"/>
    </row>
    <row r="417" ht="15.75" customHeight="1">
      <c r="A417" s="18"/>
      <c r="B417" s="19"/>
      <c r="C417" s="19"/>
      <c r="D417" s="15"/>
      <c r="E417" s="15"/>
      <c r="F417" s="14"/>
      <c r="G417" s="15"/>
      <c r="H417" s="15"/>
      <c r="I417" s="14"/>
      <c r="K417" s="13"/>
      <c r="L417" s="13"/>
      <c r="M417" s="15"/>
      <c r="N417" s="15"/>
      <c r="P417" s="15"/>
      <c r="Q417" s="15"/>
    </row>
    <row r="418" ht="15.75" customHeight="1">
      <c r="A418" s="18"/>
      <c r="B418" s="19"/>
      <c r="C418" s="19"/>
      <c r="D418" s="15"/>
      <c r="E418" s="15"/>
      <c r="F418" s="14"/>
      <c r="G418" s="15"/>
      <c r="H418" s="15"/>
      <c r="I418" s="14"/>
      <c r="K418" s="13"/>
      <c r="L418" s="13"/>
      <c r="M418" s="15"/>
      <c r="N418" s="15"/>
      <c r="P418" s="15"/>
      <c r="Q418" s="15"/>
    </row>
    <row r="419" ht="15.75" customHeight="1">
      <c r="A419" s="18"/>
      <c r="B419" s="19"/>
      <c r="C419" s="19"/>
      <c r="D419" s="15"/>
      <c r="E419" s="15"/>
      <c r="F419" s="14"/>
      <c r="G419" s="15"/>
      <c r="H419" s="15"/>
      <c r="I419" s="14"/>
      <c r="K419" s="13"/>
      <c r="L419" s="13"/>
      <c r="M419" s="15"/>
      <c r="N419" s="15"/>
      <c r="P419" s="15"/>
      <c r="Q419" s="15"/>
    </row>
    <row r="420" ht="15.75" customHeight="1">
      <c r="A420" s="18"/>
      <c r="B420" s="19"/>
      <c r="C420" s="19"/>
      <c r="D420" s="15"/>
      <c r="E420" s="15"/>
      <c r="F420" s="14"/>
      <c r="G420" s="15"/>
      <c r="H420" s="15"/>
      <c r="I420" s="14"/>
      <c r="K420" s="13"/>
      <c r="L420" s="13"/>
      <c r="M420" s="15"/>
      <c r="N420" s="15"/>
      <c r="P420" s="15"/>
      <c r="Q420" s="15"/>
    </row>
    <row r="421" ht="15.75" customHeight="1">
      <c r="A421" s="18"/>
      <c r="B421" s="19"/>
      <c r="C421" s="19"/>
      <c r="D421" s="15"/>
      <c r="E421" s="15"/>
      <c r="F421" s="14"/>
      <c r="G421" s="15"/>
      <c r="H421" s="15"/>
      <c r="I421" s="14"/>
      <c r="K421" s="13"/>
      <c r="L421" s="13"/>
      <c r="M421" s="15"/>
      <c r="N421" s="15"/>
      <c r="P421" s="15"/>
      <c r="Q421" s="15"/>
    </row>
    <row r="422" ht="15.75" customHeight="1">
      <c r="A422" s="18"/>
      <c r="B422" s="19"/>
      <c r="C422" s="19"/>
      <c r="D422" s="15"/>
      <c r="E422" s="15"/>
      <c r="F422" s="14"/>
      <c r="G422" s="15"/>
      <c r="H422" s="15"/>
      <c r="I422" s="14"/>
      <c r="K422" s="13"/>
      <c r="L422" s="13"/>
      <c r="M422" s="15"/>
      <c r="N422" s="15"/>
      <c r="P422" s="15"/>
      <c r="Q422" s="15"/>
    </row>
    <row r="423" ht="15.75" customHeight="1">
      <c r="A423" s="18"/>
      <c r="B423" s="19"/>
      <c r="C423" s="19"/>
      <c r="D423" s="15"/>
      <c r="E423" s="15"/>
      <c r="F423" s="14"/>
      <c r="G423" s="15"/>
      <c r="H423" s="15"/>
      <c r="I423" s="14"/>
      <c r="K423" s="13"/>
      <c r="L423" s="13"/>
      <c r="M423" s="15"/>
      <c r="N423" s="15"/>
      <c r="P423" s="15"/>
      <c r="Q423" s="15"/>
    </row>
    <row r="424" ht="15.75" customHeight="1">
      <c r="A424" s="18"/>
      <c r="B424" s="19"/>
      <c r="C424" s="19"/>
      <c r="D424" s="15"/>
      <c r="E424" s="15"/>
      <c r="F424" s="14"/>
      <c r="G424" s="15"/>
      <c r="H424" s="15"/>
      <c r="I424" s="14"/>
      <c r="K424" s="13"/>
      <c r="L424" s="13"/>
      <c r="M424" s="15"/>
      <c r="N424" s="15"/>
      <c r="P424" s="15"/>
      <c r="Q424" s="15"/>
    </row>
    <row r="425" ht="15.75" customHeight="1">
      <c r="A425" s="18"/>
      <c r="B425" s="19"/>
      <c r="C425" s="19"/>
      <c r="D425" s="15"/>
      <c r="E425" s="15"/>
      <c r="F425" s="14"/>
      <c r="G425" s="15"/>
      <c r="H425" s="15"/>
      <c r="I425" s="14"/>
      <c r="K425" s="13"/>
      <c r="L425" s="13"/>
      <c r="M425" s="15"/>
      <c r="N425" s="15"/>
      <c r="P425" s="15"/>
      <c r="Q425" s="15"/>
    </row>
    <row r="426" ht="15.75" customHeight="1">
      <c r="A426" s="18"/>
      <c r="B426" s="19"/>
      <c r="C426" s="19"/>
      <c r="D426" s="15"/>
      <c r="E426" s="15"/>
      <c r="F426" s="14"/>
      <c r="G426" s="15"/>
      <c r="H426" s="15"/>
      <c r="I426" s="14"/>
      <c r="K426" s="13"/>
      <c r="L426" s="13"/>
      <c r="M426" s="15"/>
      <c r="N426" s="15"/>
      <c r="P426" s="15"/>
      <c r="Q426" s="15"/>
    </row>
    <row r="427" ht="15.75" customHeight="1">
      <c r="A427" s="18"/>
      <c r="B427" s="19"/>
      <c r="C427" s="19"/>
      <c r="D427" s="15"/>
      <c r="E427" s="15"/>
      <c r="F427" s="14"/>
      <c r="G427" s="15"/>
      <c r="H427" s="15"/>
      <c r="I427" s="14"/>
      <c r="K427" s="13"/>
      <c r="L427" s="13"/>
      <c r="M427" s="15"/>
      <c r="N427" s="15"/>
      <c r="P427" s="15"/>
      <c r="Q427" s="15"/>
    </row>
    <row r="428" ht="15.75" customHeight="1">
      <c r="A428" s="18"/>
      <c r="B428" s="19"/>
      <c r="C428" s="19"/>
      <c r="D428" s="15"/>
      <c r="E428" s="15"/>
      <c r="F428" s="14"/>
      <c r="G428" s="15"/>
      <c r="H428" s="15"/>
      <c r="I428" s="14"/>
      <c r="K428" s="13"/>
      <c r="L428" s="13"/>
      <c r="M428" s="15"/>
      <c r="N428" s="15"/>
      <c r="P428" s="15"/>
      <c r="Q428" s="15"/>
    </row>
    <row r="429" ht="15.75" customHeight="1">
      <c r="A429" s="18"/>
      <c r="B429" s="19"/>
      <c r="C429" s="19"/>
      <c r="D429" s="15"/>
      <c r="E429" s="15"/>
      <c r="F429" s="14"/>
      <c r="G429" s="15"/>
      <c r="H429" s="15"/>
      <c r="I429" s="14"/>
      <c r="K429" s="13"/>
      <c r="L429" s="13"/>
      <c r="M429" s="15"/>
      <c r="N429" s="15"/>
      <c r="P429" s="15"/>
      <c r="Q429" s="15"/>
    </row>
    <row r="430" ht="15.75" customHeight="1">
      <c r="A430" s="18"/>
      <c r="B430" s="19"/>
      <c r="C430" s="19"/>
      <c r="D430" s="15"/>
      <c r="E430" s="15"/>
      <c r="F430" s="14"/>
      <c r="G430" s="15"/>
      <c r="H430" s="15"/>
      <c r="I430" s="14"/>
      <c r="K430" s="13"/>
      <c r="L430" s="13"/>
      <c r="M430" s="15"/>
      <c r="N430" s="15"/>
      <c r="P430" s="15"/>
      <c r="Q430" s="15"/>
    </row>
    <row r="431" ht="15.75" customHeight="1">
      <c r="A431" s="18"/>
      <c r="B431" s="19"/>
      <c r="C431" s="19"/>
      <c r="D431" s="15"/>
      <c r="E431" s="15"/>
      <c r="F431" s="14"/>
      <c r="G431" s="15"/>
      <c r="H431" s="15"/>
      <c r="I431" s="14"/>
      <c r="K431" s="13"/>
      <c r="L431" s="13"/>
      <c r="M431" s="15"/>
      <c r="N431" s="15"/>
      <c r="P431" s="15"/>
      <c r="Q431" s="15"/>
    </row>
    <row r="432" ht="15.75" customHeight="1">
      <c r="A432" s="18"/>
      <c r="B432" s="19"/>
      <c r="C432" s="19"/>
      <c r="D432" s="15"/>
      <c r="E432" s="15"/>
      <c r="F432" s="14"/>
      <c r="G432" s="15"/>
      <c r="H432" s="15"/>
      <c r="I432" s="14"/>
      <c r="K432" s="13"/>
      <c r="L432" s="13"/>
      <c r="M432" s="15"/>
      <c r="N432" s="15"/>
      <c r="P432" s="15"/>
      <c r="Q432" s="15"/>
    </row>
    <row r="433" ht="15.75" customHeight="1">
      <c r="A433" s="18"/>
      <c r="B433" s="19"/>
      <c r="C433" s="19"/>
      <c r="D433" s="15"/>
      <c r="E433" s="15"/>
      <c r="F433" s="14"/>
      <c r="G433" s="15"/>
      <c r="H433" s="15"/>
      <c r="I433" s="14"/>
      <c r="K433" s="13"/>
      <c r="L433" s="13"/>
      <c r="M433" s="15"/>
      <c r="N433" s="15"/>
      <c r="P433" s="15"/>
      <c r="Q433" s="15"/>
    </row>
    <row r="434" ht="15.75" customHeight="1">
      <c r="A434" s="18"/>
      <c r="B434" s="19"/>
      <c r="C434" s="19"/>
      <c r="D434" s="15"/>
      <c r="E434" s="15"/>
      <c r="F434" s="14"/>
      <c r="G434" s="15"/>
      <c r="H434" s="15"/>
      <c r="I434" s="14"/>
      <c r="K434" s="13"/>
      <c r="L434" s="13"/>
      <c r="M434" s="15"/>
      <c r="N434" s="15"/>
      <c r="P434" s="15"/>
      <c r="Q434" s="15"/>
    </row>
    <row r="435" ht="15.75" customHeight="1">
      <c r="A435" s="18"/>
      <c r="B435" s="19"/>
      <c r="C435" s="19"/>
      <c r="D435" s="15"/>
      <c r="E435" s="15"/>
      <c r="F435" s="14"/>
      <c r="G435" s="15"/>
      <c r="H435" s="15"/>
      <c r="I435" s="14"/>
      <c r="K435" s="13"/>
      <c r="L435" s="13"/>
      <c r="M435" s="15"/>
      <c r="N435" s="15"/>
      <c r="P435" s="15"/>
      <c r="Q435" s="15"/>
    </row>
    <row r="436" ht="15.75" customHeight="1">
      <c r="A436" s="18"/>
      <c r="B436" s="19"/>
      <c r="C436" s="19"/>
      <c r="D436" s="15"/>
      <c r="E436" s="15"/>
      <c r="F436" s="14"/>
      <c r="G436" s="15"/>
      <c r="H436" s="15"/>
      <c r="I436" s="14"/>
      <c r="K436" s="13"/>
      <c r="L436" s="13"/>
      <c r="M436" s="15"/>
      <c r="N436" s="15"/>
      <c r="P436" s="15"/>
      <c r="Q436" s="15"/>
    </row>
    <row r="437" ht="15.75" customHeight="1">
      <c r="A437" s="18"/>
      <c r="B437" s="19"/>
      <c r="C437" s="19"/>
      <c r="D437" s="15"/>
      <c r="E437" s="15"/>
      <c r="F437" s="14"/>
      <c r="G437" s="15"/>
      <c r="H437" s="15"/>
      <c r="I437" s="14"/>
      <c r="K437" s="13"/>
      <c r="L437" s="13"/>
      <c r="M437" s="15"/>
      <c r="N437" s="15"/>
      <c r="P437" s="15"/>
      <c r="Q437" s="15"/>
    </row>
    <row r="438" ht="15.75" customHeight="1">
      <c r="A438" s="18"/>
      <c r="B438" s="19"/>
      <c r="C438" s="19"/>
      <c r="D438" s="15"/>
      <c r="E438" s="15"/>
      <c r="F438" s="14"/>
      <c r="G438" s="15"/>
      <c r="H438" s="15"/>
      <c r="I438" s="14"/>
      <c r="K438" s="13"/>
      <c r="L438" s="13"/>
      <c r="M438" s="15"/>
      <c r="N438" s="15"/>
      <c r="P438" s="15"/>
      <c r="Q438" s="15"/>
    </row>
    <row r="439" ht="15.75" customHeight="1">
      <c r="A439" s="18"/>
      <c r="B439" s="19"/>
      <c r="C439" s="19"/>
      <c r="D439" s="15"/>
      <c r="E439" s="15"/>
      <c r="F439" s="14"/>
      <c r="G439" s="15"/>
      <c r="H439" s="15"/>
      <c r="I439" s="14"/>
      <c r="K439" s="13"/>
      <c r="L439" s="13"/>
      <c r="M439" s="15"/>
      <c r="N439" s="15"/>
      <c r="P439" s="15"/>
      <c r="Q439" s="15"/>
    </row>
    <row r="440" ht="15.75" customHeight="1">
      <c r="A440" s="18"/>
      <c r="B440" s="19"/>
      <c r="C440" s="19"/>
      <c r="D440" s="15"/>
      <c r="E440" s="15"/>
      <c r="F440" s="14"/>
      <c r="G440" s="15"/>
      <c r="H440" s="15"/>
      <c r="I440" s="14"/>
      <c r="K440" s="13"/>
      <c r="L440" s="13"/>
      <c r="M440" s="15"/>
      <c r="N440" s="15"/>
      <c r="P440" s="15"/>
      <c r="Q440" s="15"/>
    </row>
    <row r="441" ht="15.75" customHeight="1">
      <c r="A441" s="18"/>
      <c r="B441" s="19"/>
      <c r="C441" s="19"/>
      <c r="D441" s="15"/>
      <c r="E441" s="15"/>
      <c r="F441" s="14"/>
      <c r="G441" s="15"/>
      <c r="H441" s="15"/>
      <c r="I441" s="14"/>
      <c r="K441" s="13"/>
      <c r="L441" s="13"/>
      <c r="M441" s="15"/>
      <c r="N441" s="15"/>
      <c r="P441" s="15"/>
      <c r="Q441" s="15"/>
    </row>
    <row r="442" ht="15.75" customHeight="1">
      <c r="A442" s="18"/>
      <c r="B442" s="19"/>
      <c r="C442" s="19"/>
      <c r="D442" s="15"/>
      <c r="E442" s="15"/>
      <c r="F442" s="14"/>
      <c r="G442" s="15"/>
      <c r="H442" s="15"/>
      <c r="I442" s="14"/>
      <c r="K442" s="13"/>
      <c r="L442" s="13"/>
      <c r="M442" s="15"/>
      <c r="N442" s="15"/>
      <c r="P442" s="15"/>
      <c r="Q442" s="15"/>
    </row>
    <row r="443" ht="15.75" customHeight="1">
      <c r="A443" s="18"/>
      <c r="B443" s="19"/>
      <c r="C443" s="19"/>
      <c r="D443" s="15"/>
      <c r="E443" s="15"/>
      <c r="F443" s="14"/>
      <c r="G443" s="15"/>
      <c r="H443" s="15"/>
      <c r="I443" s="14"/>
      <c r="K443" s="13"/>
      <c r="L443" s="13"/>
      <c r="M443" s="15"/>
      <c r="N443" s="15"/>
      <c r="P443" s="15"/>
      <c r="Q443" s="15"/>
    </row>
    <row r="444" ht="15.75" customHeight="1">
      <c r="A444" s="18"/>
      <c r="B444" s="19"/>
      <c r="C444" s="19"/>
      <c r="D444" s="15"/>
      <c r="E444" s="15"/>
      <c r="F444" s="14"/>
      <c r="G444" s="15"/>
      <c r="H444" s="15"/>
      <c r="I444" s="14"/>
      <c r="K444" s="13"/>
      <c r="L444" s="13"/>
      <c r="M444" s="15"/>
      <c r="N444" s="15"/>
      <c r="P444" s="15"/>
      <c r="Q444" s="15"/>
    </row>
    <row r="445" ht="15.75" customHeight="1">
      <c r="A445" s="18"/>
      <c r="B445" s="19"/>
      <c r="C445" s="19"/>
      <c r="D445" s="15"/>
      <c r="E445" s="15"/>
      <c r="F445" s="14"/>
      <c r="G445" s="15"/>
      <c r="H445" s="15"/>
      <c r="I445" s="14"/>
      <c r="K445" s="13"/>
      <c r="L445" s="13"/>
      <c r="M445" s="15"/>
      <c r="N445" s="15"/>
      <c r="P445" s="15"/>
      <c r="Q445" s="15"/>
    </row>
    <row r="446" ht="15.75" customHeight="1">
      <c r="A446" s="18"/>
      <c r="B446" s="19"/>
      <c r="C446" s="19"/>
      <c r="D446" s="15"/>
      <c r="E446" s="15"/>
      <c r="F446" s="14"/>
      <c r="G446" s="15"/>
      <c r="H446" s="15"/>
      <c r="I446" s="14"/>
      <c r="K446" s="13"/>
      <c r="L446" s="13"/>
      <c r="M446" s="15"/>
      <c r="N446" s="15"/>
      <c r="P446" s="15"/>
      <c r="Q446" s="15"/>
    </row>
    <row r="447" ht="15.75" customHeight="1">
      <c r="A447" s="18"/>
      <c r="B447" s="19"/>
      <c r="C447" s="19"/>
      <c r="D447" s="15"/>
      <c r="E447" s="15"/>
      <c r="F447" s="14"/>
      <c r="G447" s="15"/>
      <c r="H447" s="15"/>
      <c r="I447" s="14"/>
      <c r="K447" s="13"/>
      <c r="L447" s="13"/>
      <c r="M447" s="15"/>
      <c r="N447" s="15"/>
      <c r="P447" s="15"/>
      <c r="Q447" s="15"/>
    </row>
    <row r="448" ht="15.75" customHeight="1">
      <c r="A448" s="18"/>
      <c r="B448" s="19"/>
      <c r="C448" s="19"/>
      <c r="D448" s="15"/>
      <c r="E448" s="15"/>
      <c r="F448" s="14"/>
      <c r="G448" s="15"/>
      <c r="H448" s="15"/>
      <c r="I448" s="14"/>
      <c r="K448" s="13"/>
      <c r="L448" s="13"/>
      <c r="M448" s="15"/>
      <c r="N448" s="15"/>
      <c r="P448" s="15"/>
      <c r="Q448" s="15"/>
    </row>
    <row r="449" ht="15.75" customHeight="1">
      <c r="A449" s="18"/>
      <c r="B449" s="19"/>
      <c r="C449" s="19"/>
      <c r="D449" s="15"/>
      <c r="E449" s="15"/>
      <c r="F449" s="14"/>
      <c r="G449" s="15"/>
      <c r="H449" s="15"/>
      <c r="I449" s="14"/>
      <c r="K449" s="13"/>
      <c r="L449" s="13"/>
      <c r="M449" s="15"/>
      <c r="N449" s="15"/>
      <c r="P449" s="15"/>
      <c r="Q449" s="15"/>
    </row>
    <row r="450" ht="15.75" customHeight="1">
      <c r="A450" s="18"/>
      <c r="B450" s="19"/>
      <c r="C450" s="19"/>
      <c r="D450" s="15"/>
      <c r="E450" s="15"/>
      <c r="F450" s="14"/>
      <c r="G450" s="15"/>
      <c r="H450" s="15"/>
      <c r="I450" s="14"/>
      <c r="K450" s="13"/>
      <c r="L450" s="13"/>
      <c r="M450" s="15"/>
      <c r="N450" s="15"/>
      <c r="P450" s="15"/>
      <c r="Q450" s="15"/>
    </row>
    <row r="451" ht="15.75" customHeight="1">
      <c r="A451" s="18"/>
      <c r="B451" s="19"/>
      <c r="C451" s="19"/>
      <c r="D451" s="15"/>
      <c r="E451" s="15"/>
      <c r="F451" s="14"/>
      <c r="G451" s="15"/>
      <c r="H451" s="15"/>
      <c r="I451" s="14"/>
      <c r="K451" s="13"/>
      <c r="L451" s="13"/>
      <c r="M451" s="15"/>
      <c r="N451" s="15"/>
      <c r="P451" s="15"/>
      <c r="Q451" s="15"/>
    </row>
    <row r="452" ht="15.75" customHeight="1">
      <c r="A452" s="18"/>
      <c r="B452" s="19"/>
      <c r="C452" s="19"/>
      <c r="D452" s="15"/>
      <c r="E452" s="15"/>
      <c r="F452" s="14"/>
      <c r="G452" s="15"/>
      <c r="H452" s="15"/>
      <c r="I452" s="14"/>
      <c r="K452" s="13"/>
      <c r="L452" s="13"/>
      <c r="M452" s="15"/>
      <c r="N452" s="15"/>
      <c r="P452" s="15"/>
      <c r="Q452" s="15"/>
    </row>
    <row r="453" ht="15.75" customHeight="1">
      <c r="A453" s="18"/>
      <c r="B453" s="19"/>
      <c r="C453" s="19"/>
      <c r="D453" s="15"/>
      <c r="E453" s="15"/>
      <c r="F453" s="14"/>
      <c r="G453" s="15"/>
      <c r="H453" s="15"/>
      <c r="I453" s="14"/>
      <c r="K453" s="13"/>
      <c r="L453" s="13"/>
      <c r="M453" s="15"/>
      <c r="N453" s="15"/>
      <c r="P453" s="15"/>
      <c r="Q453" s="15"/>
    </row>
    <row r="454" ht="15.75" customHeight="1">
      <c r="A454" s="18"/>
      <c r="B454" s="19"/>
      <c r="C454" s="19"/>
      <c r="D454" s="15"/>
      <c r="E454" s="15"/>
      <c r="F454" s="14"/>
      <c r="G454" s="15"/>
      <c r="H454" s="15"/>
      <c r="I454" s="14"/>
      <c r="K454" s="13"/>
      <c r="L454" s="13"/>
      <c r="M454" s="15"/>
      <c r="N454" s="15"/>
      <c r="P454" s="15"/>
      <c r="Q454" s="15"/>
    </row>
    <row r="455" ht="15.75" customHeight="1">
      <c r="A455" s="18"/>
      <c r="B455" s="19"/>
      <c r="C455" s="19"/>
      <c r="D455" s="15"/>
      <c r="E455" s="15"/>
      <c r="F455" s="14"/>
      <c r="G455" s="15"/>
      <c r="H455" s="15"/>
      <c r="I455" s="14"/>
      <c r="K455" s="13"/>
      <c r="L455" s="13"/>
      <c r="M455" s="15"/>
      <c r="N455" s="15"/>
      <c r="P455" s="15"/>
      <c r="Q455" s="15"/>
    </row>
    <row r="456" ht="15.75" customHeight="1">
      <c r="A456" s="18"/>
      <c r="B456" s="19"/>
      <c r="C456" s="19"/>
      <c r="D456" s="15"/>
      <c r="E456" s="15"/>
      <c r="F456" s="14"/>
      <c r="G456" s="15"/>
      <c r="H456" s="15"/>
      <c r="I456" s="14"/>
      <c r="K456" s="13"/>
      <c r="L456" s="13"/>
      <c r="M456" s="15"/>
      <c r="N456" s="15"/>
      <c r="P456" s="15"/>
      <c r="Q456" s="15"/>
    </row>
    <row r="457" ht="15.75" customHeight="1">
      <c r="A457" s="18"/>
      <c r="B457" s="19"/>
      <c r="C457" s="19"/>
      <c r="D457" s="15"/>
      <c r="E457" s="15"/>
      <c r="F457" s="14"/>
      <c r="G457" s="15"/>
      <c r="H457" s="15"/>
      <c r="I457" s="14"/>
      <c r="K457" s="13"/>
      <c r="L457" s="13"/>
      <c r="M457" s="15"/>
      <c r="N457" s="15"/>
      <c r="P457" s="15"/>
      <c r="Q457" s="15"/>
    </row>
    <row r="458" ht="15.75" customHeight="1">
      <c r="A458" s="18"/>
      <c r="B458" s="19"/>
      <c r="C458" s="19"/>
      <c r="D458" s="15"/>
      <c r="E458" s="15"/>
      <c r="F458" s="14"/>
      <c r="G458" s="15"/>
      <c r="H458" s="15"/>
      <c r="I458" s="14"/>
      <c r="K458" s="13"/>
      <c r="L458" s="13"/>
      <c r="M458" s="15"/>
      <c r="N458" s="15"/>
      <c r="P458" s="15"/>
      <c r="Q458" s="15"/>
    </row>
    <row r="459" ht="15.75" customHeight="1">
      <c r="A459" s="18"/>
      <c r="B459" s="19"/>
      <c r="C459" s="19"/>
      <c r="D459" s="15"/>
      <c r="E459" s="15"/>
      <c r="F459" s="14"/>
      <c r="G459" s="15"/>
      <c r="H459" s="15"/>
      <c r="I459" s="14"/>
      <c r="K459" s="13"/>
      <c r="L459" s="13"/>
      <c r="M459" s="15"/>
      <c r="N459" s="15"/>
      <c r="P459" s="15"/>
      <c r="Q459" s="15"/>
    </row>
    <row r="460" ht="15.75" customHeight="1">
      <c r="A460" s="18"/>
      <c r="B460" s="19"/>
      <c r="C460" s="19"/>
      <c r="D460" s="15"/>
      <c r="E460" s="15"/>
      <c r="F460" s="14"/>
      <c r="G460" s="15"/>
      <c r="H460" s="15"/>
      <c r="I460" s="14"/>
      <c r="K460" s="13"/>
      <c r="L460" s="13"/>
      <c r="M460" s="15"/>
      <c r="N460" s="15"/>
      <c r="P460" s="15"/>
      <c r="Q460" s="15"/>
    </row>
    <row r="461" ht="15.75" customHeight="1">
      <c r="A461" s="18"/>
      <c r="B461" s="19"/>
      <c r="C461" s="19"/>
      <c r="D461" s="15"/>
      <c r="E461" s="15"/>
      <c r="F461" s="14"/>
      <c r="G461" s="15"/>
      <c r="H461" s="15"/>
      <c r="I461" s="14"/>
      <c r="K461" s="13"/>
      <c r="L461" s="13"/>
      <c r="M461" s="15"/>
      <c r="N461" s="15"/>
      <c r="P461" s="15"/>
      <c r="Q461" s="15"/>
    </row>
    <row r="462" ht="15.75" customHeight="1">
      <c r="A462" s="18"/>
      <c r="B462" s="19"/>
      <c r="C462" s="19"/>
      <c r="D462" s="15"/>
      <c r="E462" s="15"/>
      <c r="F462" s="14"/>
      <c r="G462" s="15"/>
      <c r="H462" s="15"/>
      <c r="I462" s="14"/>
      <c r="K462" s="13"/>
      <c r="L462" s="13"/>
      <c r="M462" s="15"/>
      <c r="N462" s="15"/>
      <c r="P462" s="15"/>
      <c r="Q462" s="15"/>
    </row>
    <row r="463" ht="15.75" customHeight="1">
      <c r="A463" s="18"/>
      <c r="B463" s="19"/>
      <c r="C463" s="19"/>
      <c r="D463" s="15"/>
      <c r="E463" s="15"/>
      <c r="F463" s="14"/>
      <c r="G463" s="15"/>
      <c r="H463" s="15"/>
      <c r="I463" s="14"/>
      <c r="K463" s="13"/>
      <c r="L463" s="13"/>
      <c r="M463" s="15"/>
      <c r="N463" s="15"/>
      <c r="P463" s="15"/>
      <c r="Q463" s="15"/>
    </row>
    <row r="464" ht="15.75" customHeight="1">
      <c r="A464" s="18"/>
      <c r="B464" s="19"/>
      <c r="C464" s="19"/>
      <c r="D464" s="15"/>
      <c r="E464" s="15"/>
      <c r="F464" s="14"/>
      <c r="G464" s="15"/>
      <c r="H464" s="15"/>
      <c r="I464" s="14"/>
      <c r="K464" s="13"/>
      <c r="L464" s="13"/>
      <c r="M464" s="15"/>
      <c r="N464" s="15"/>
      <c r="P464" s="15"/>
      <c r="Q464" s="15"/>
    </row>
    <row r="465" ht="15.75" customHeight="1">
      <c r="A465" s="18"/>
      <c r="B465" s="19"/>
      <c r="C465" s="19"/>
      <c r="D465" s="15"/>
      <c r="E465" s="15"/>
      <c r="F465" s="14"/>
      <c r="G465" s="15"/>
      <c r="H465" s="15"/>
      <c r="I465" s="14"/>
      <c r="K465" s="13"/>
      <c r="L465" s="13"/>
      <c r="M465" s="15"/>
      <c r="N465" s="15"/>
      <c r="P465" s="15"/>
      <c r="Q465" s="15"/>
    </row>
    <row r="466" ht="15.75" customHeight="1">
      <c r="A466" s="18"/>
      <c r="B466" s="19"/>
      <c r="C466" s="19"/>
      <c r="D466" s="15"/>
      <c r="E466" s="15"/>
      <c r="F466" s="14"/>
      <c r="G466" s="15"/>
      <c r="H466" s="15"/>
      <c r="I466" s="14"/>
      <c r="K466" s="13"/>
      <c r="L466" s="13"/>
      <c r="M466" s="15"/>
      <c r="N466" s="15"/>
      <c r="P466" s="15"/>
      <c r="Q466" s="15"/>
    </row>
    <row r="467" ht="15.75" customHeight="1">
      <c r="A467" s="18"/>
      <c r="B467" s="19"/>
      <c r="C467" s="19"/>
      <c r="D467" s="15"/>
      <c r="E467" s="15"/>
      <c r="F467" s="14"/>
      <c r="G467" s="15"/>
      <c r="H467" s="15"/>
      <c r="I467" s="14"/>
      <c r="K467" s="13"/>
      <c r="L467" s="13"/>
      <c r="M467" s="15"/>
      <c r="N467" s="15"/>
      <c r="P467" s="15"/>
      <c r="Q467" s="15"/>
    </row>
    <row r="468" ht="15.75" customHeight="1">
      <c r="A468" s="18"/>
      <c r="B468" s="19"/>
      <c r="C468" s="19"/>
      <c r="D468" s="15"/>
      <c r="E468" s="15"/>
      <c r="F468" s="14"/>
      <c r="G468" s="15"/>
      <c r="H468" s="15"/>
      <c r="I468" s="14"/>
      <c r="K468" s="13"/>
      <c r="L468" s="13"/>
      <c r="M468" s="15"/>
      <c r="N468" s="15"/>
      <c r="P468" s="15"/>
      <c r="Q468" s="15"/>
    </row>
    <row r="469" ht="15.75" customHeight="1">
      <c r="A469" s="18"/>
      <c r="B469" s="19"/>
      <c r="C469" s="19"/>
      <c r="D469" s="15"/>
      <c r="E469" s="15"/>
      <c r="F469" s="14"/>
      <c r="G469" s="15"/>
      <c r="H469" s="15"/>
      <c r="I469" s="14"/>
      <c r="K469" s="13"/>
      <c r="L469" s="13"/>
      <c r="M469" s="15"/>
      <c r="N469" s="15"/>
      <c r="P469" s="15"/>
      <c r="Q469" s="15"/>
    </row>
    <row r="470" ht="15.75" customHeight="1">
      <c r="A470" s="18"/>
      <c r="B470" s="19"/>
      <c r="C470" s="19"/>
      <c r="D470" s="15"/>
      <c r="E470" s="15"/>
      <c r="F470" s="14"/>
      <c r="G470" s="15"/>
      <c r="H470" s="15"/>
      <c r="I470" s="14"/>
      <c r="K470" s="13"/>
      <c r="L470" s="13"/>
      <c r="M470" s="15"/>
      <c r="N470" s="15"/>
      <c r="P470" s="15"/>
      <c r="Q470" s="15"/>
    </row>
    <row r="471" ht="15.75" customHeight="1">
      <c r="A471" s="18"/>
      <c r="B471" s="19"/>
      <c r="C471" s="19"/>
      <c r="D471" s="15"/>
      <c r="E471" s="15"/>
      <c r="F471" s="14"/>
      <c r="G471" s="15"/>
      <c r="H471" s="15"/>
      <c r="I471" s="14"/>
      <c r="K471" s="13"/>
      <c r="L471" s="13"/>
      <c r="M471" s="15"/>
      <c r="N471" s="15"/>
      <c r="P471" s="15"/>
      <c r="Q471" s="15"/>
    </row>
    <row r="472" ht="15.75" customHeight="1">
      <c r="A472" s="18"/>
      <c r="B472" s="19"/>
      <c r="C472" s="19"/>
      <c r="D472" s="15"/>
      <c r="E472" s="15"/>
      <c r="F472" s="14"/>
      <c r="G472" s="15"/>
      <c r="H472" s="15"/>
      <c r="I472" s="14"/>
      <c r="K472" s="13"/>
      <c r="L472" s="13"/>
      <c r="M472" s="15"/>
      <c r="N472" s="15"/>
      <c r="P472" s="15"/>
      <c r="Q472" s="15"/>
    </row>
    <row r="473" ht="15.75" customHeight="1">
      <c r="A473" s="18"/>
      <c r="B473" s="19"/>
      <c r="C473" s="19"/>
      <c r="D473" s="15"/>
      <c r="E473" s="15"/>
      <c r="F473" s="14"/>
      <c r="G473" s="15"/>
      <c r="H473" s="15"/>
      <c r="I473" s="14"/>
      <c r="K473" s="13"/>
      <c r="L473" s="13"/>
      <c r="M473" s="15"/>
      <c r="N473" s="15"/>
      <c r="P473" s="15"/>
      <c r="Q473" s="15"/>
    </row>
    <row r="474" ht="15.75" customHeight="1">
      <c r="A474" s="18"/>
      <c r="B474" s="19"/>
      <c r="C474" s="19"/>
      <c r="D474" s="15"/>
      <c r="E474" s="15"/>
      <c r="F474" s="14"/>
      <c r="G474" s="15"/>
      <c r="H474" s="15"/>
      <c r="I474" s="14"/>
      <c r="K474" s="13"/>
      <c r="L474" s="13"/>
      <c r="M474" s="15"/>
      <c r="N474" s="15"/>
      <c r="P474" s="15"/>
      <c r="Q474" s="15"/>
    </row>
    <row r="475" ht="15.75" customHeight="1">
      <c r="A475" s="18"/>
      <c r="B475" s="19"/>
      <c r="C475" s="19"/>
      <c r="D475" s="15"/>
      <c r="E475" s="15"/>
      <c r="F475" s="14"/>
      <c r="G475" s="15"/>
      <c r="H475" s="15"/>
      <c r="I475" s="14"/>
      <c r="K475" s="13"/>
      <c r="L475" s="13"/>
      <c r="M475" s="15"/>
      <c r="N475" s="15"/>
      <c r="P475" s="15"/>
      <c r="Q475" s="15"/>
    </row>
    <row r="476" ht="15.75" customHeight="1">
      <c r="A476" s="18"/>
      <c r="B476" s="19"/>
      <c r="C476" s="19"/>
      <c r="D476" s="15"/>
      <c r="E476" s="15"/>
      <c r="F476" s="14"/>
      <c r="G476" s="15"/>
      <c r="H476" s="15"/>
      <c r="I476" s="14"/>
      <c r="K476" s="13"/>
      <c r="L476" s="13"/>
      <c r="M476" s="15"/>
      <c r="N476" s="15"/>
      <c r="P476" s="15"/>
      <c r="Q476" s="15"/>
    </row>
    <row r="477" ht="15.75" customHeight="1">
      <c r="A477" s="18"/>
      <c r="B477" s="19"/>
      <c r="C477" s="19"/>
      <c r="D477" s="15"/>
      <c r="E477" s="15"/>
      <c r="F477" s="14"/>
      <c r="G477" s="15"/>
      <c r="H477" s="15"/>
      <c r="I477" s="14"/>
      <c r="K477" s="13"/>
      <c r="L477" s="13"/>
      <c r="M477" s="15"/>
      <c r="N477" s="15"/>
      <c r="P477" s="15"/>
      <c r="Q477" s="15"/>
    </row>
    <row r="478" ht="15.75" customHeight="1">
      <c r="A478" s="18"/>
      <c r="B478" s="19"/>
      <c r="C478" s="19"/>
      <c r="D478" s="15"/>
      <c r="E478" s="15"/>
      <c r="F478" s="14"/>
      <c r="G478" s="15"/>
      <c r="H478" s="15"/>
      <c r="I478" s="14"/>
      <c r="K478" s="13"/>
      <c r="L478" s="13"/>
      <c r="M478" s="15"/>
      <c r="N478" s="15"/>
      <c r="P478" s="15"/>
      <c r="Q478" s="15"/>
    </row>
    <row r="479" ht="15.75" customHeight="1">
      <c r="A479" s="18"/>
      <c r="B479" s="19"/>
      <c r="C479" s="19"/>
      <c r="D479" s="15"/>
      <c r="E479" s="15"/>
      <c r="F479" s="14"/>
      <c r="G479" s="15"/>
      <c r="H479" s="15"/>
      <c r="I479" s="14"/>
      <c r="K479" s="13"/>
      <c r="L479" s="13"/>
      <c r="M479" s="15"/>
      <c r="N479" s="15"/>
      <c r="P479" s="15"/>
      <c r="Q479" s="15"/>
    </row>
    <row r="480" ht="15.75" customHeight="1">
      <c r="A480" s="18"/>
      <c r="B480" s="19"/>
      <c r="C480" s="19"/>
      <c r="D480" s="15"/>
      <c r="E480" s="15"/>
      <c r="F480" s="14"/>
      <c r="G480" s="15"/>
      <c r="H480" s="15"/>
      <c r="I480" s="14"/>
      <c r="K480" s="13"/>
      <c r="L480" s="13"/>
      <c r="M480" s="15"/>
      <c r="N480" s="15"/>
      <c r="P480" s="15"/>
      <c r="Q480" s="15"/>
    </row>
    <row r="481" ht="15.75" customHeight="1">
      <c r="A481" s="18"/>
      <c r="B481" s="19"/>
      <c r="C481" s="19"/>
      <c r="D481" s="15"/>
      <c r="E481" s="15"/>
      <c r="F481" s="14"/>
      <c r="G481" s="15"/>
      <c r="H481" s="15"/>
      <c r="I481" s="14"/>
      <c r="K481" s="13"/>
      <c r="L481" s="13"/>
      <c r="M481" s="15"/>
      <c r="N481" s="15"/>
      <c r="P481" s="15"/>
      <c r="Q481" s="15"/>
    </row>
    <row r="482" ht="15.75" customHeight="1">
      <c r="A482" s="18"/>
      <c r="B482" s="19"/>
      <c r="C482" s="19"/>
      <c r="D482" s="15"/>
      <c r="E482" s="15"/>
      <c r="F482" s="14"/>
      <c r="G482" s="15"/>
      <c r="H482" s="15"/>
      <c r="I482" s="14"/>
      <c r="K482" s="13"/>
      <c r="L482" s="13"/>
      <c r="M482" s="15"/>
      <c r="N482" s="15"/>
      <c r="P482" s="15"/>
      <c r="Q482" s="15"/>
    </row>
    <row r="483" ht="15.75" customHeight="1">
      <c r="A483" s="18"/>
      <c r="B483" s="19"/>
      <c r="C483" s="19"/>
      <c r="D483" s="15"/>
      <c r="E483" s="15"/>
      <c r="F483" s="14"/>
      <c r="G483" s="15"/>
      <c r="H483" s="15"/>
      <c r="I483" s="14"/>
      <c r="K483" s="13"/>
      <c r="L483" s="13"/>
      <c r="M483" s="15"/>
      <c r="N483" s="15"/>
      <c r="P483" s="15"/>
      <c r="Q483" s="15"/>
    </row>
    <row r="484" ht="15.75" customHeight="1">
      <c r="A484" s="18"/>
      <c r="B484" s="19"/>
      <c r="C484" s="19"/>
      <c r="D484" s="15"/>
      <c r="E484" s="15"/>
      <c r="F484" s="14"/>
      <c r="G484" s="15"/>
      <c r="H484" s="15"/>
      <c r="I484" s="14"/>
      <c r="K484" s="13"/>
      <c r="L484" s="13"/>
      <c r="M484" s="15"/>
      <c r="N484" s="15"/>
      <c r="P484" s="15"/>
      <c r="Q484" s="15"/>
    </row>
    <row r="485" ht="15.75" customHeight="1">
      <c r="A485" s="18"/>
      <c r="B485" s="19"/>
      <c r="C485" s="19"/>
      <c r="D485" s="15"/>
      <c r="E485" s="15"/>
      <c r="F485" s="14"/>
      <c r="G485" s="15"/>
      <c r="H485" s="15"/>
      <c r="I485" s="14"/>
      <c r="K485" s="13"/>
      <c r="L485" s="13"/>
      <c r="M485" s="15"/>
      <c r="N485" s="15"/>
      <c r="P485" s="15"/>
      <c r="Q485" s="15"/>
    </row>
    <row r="486" ht="15.75" customHeight="1">
      <c r="A486" s="18"/>
      <c r="B486" s="19"/>
      <c r="C486" s="19"/>
      <c r="D486" s="15"/>
      <c r="E486" s="15"/>
      <c r="F486" s="14"/>
      <c r="G486" s="15"/>
      <c r="H486" s="15"/>
      <c r="I486" s="14"/>
      <c r="K486" s="13"/>
      <c r="L486" s="13"/>
      <c r="M486" s="15"/>
      <c r="N486" s="15"/>
      <c r="P486" s="15"/>
      <c r="Q486" s="15"/>
    </row>
    <row r="487" ht="15.75" customHeight="1">
      <c r="A487" s="18"/>
      <c r="B487" s="19"/>
      <c r="C487" s="19"/>
      <c r="D487" s="15"/>
      <c r="E487" s="15"/>
      <c r="F487" s="14"/>
      <c r="G487" s="15"/>
      <c r="H487" s="15"/>
      <c r="I487" s="14"/>
      <c r="K487" s="13"/>
      <c r="L487" s="13"/>
      <c r="M487" s="15"/>
      <c r="N487" s="15"/>
      <c r="P487" s="15"/>
      <c r="Q487" s="15"/>
    </row>
    <row r="488" ht="15.75" customHeight="1">
      <c r="A488" s="18"/>
      <c r="B488" s="19"/>
      <c r="C488" s="19"/>
      <c r="D488" s="15"/>
      <c r="E488" s="15"/>
      <c r="F488" s="14"/>
      <c r="G488" s="15"/>
      <c r="H488" s="15"/>
      <c r="I488" s="14"/>
      <c r="K488" s="13"/>
      <c r="L488" s="13"/>
      <c r="M488" s="15"/>
      <c r="N488" s="15"/>
      <c r="P488" s="15"/>
      <c r="Q488" s="15"/>
    </row>
    <row r="489" ht="15.75" customHeight="1">
      <c r="A489" s="18"/>
      <c r="B489" s="19"/>
      <c r="C489" s="19"/>
      <c r="D489" s="15"/>
      <c r="E489" s="15"/>
      <c r="F489" s="14"/>
      <c r="G489" s="15"/>
      <c r="H489" s="15"/>
      <c r="I489" s="14"/>
      <c r="K489" s="13"/>
      <c r="L489" s="13"/>
      <c r="M489" s="15"/>
      <c r="N489" s="15"/>
      <c r="P489" s="15"/>
      <c r="Q489" s="15"/>
    </row>
    <row r="490" ht="15.75" customHeight="1">
      <c r="A490" s="18"/>
      <c r="B490" s="19"/>
      <c r="C490" s="19"/>
      <c r="D490" s="15"/>
      <c r="E490" s="15"/>
      <c r="F490" s="14"/>
      <c r="G490" s="15"/>
      <c r="H490" s="15"/>
      <c r="I490" s="14"/>
      <c r="K490" s="13"/>
      <c r="L490" s="13"/>
      <c r="M490" s="15"/>
      <c r="N490" s="15"/>
      <c r="P490" s="15"/>
      <c r="Q490" s="15"/>
    </row>
    <row r="491" ht="15.75" customHeight="1">
      <c r="A491" s="18"/>
      <c r="B491" s="19"/>
      <c r="C491" s="19"/>
      <c r="D491" s="15"/>
      <c r="E491" s="15"/>
      <c r="F491" s="14"/>
      <c r="G491" s="15"/>
      <c r="H491" s="15"/>
      <c r="I491" s="14"/>
      <c r="K491" s="13"/>
      <c r="L491" s="13"/>
      <c r="M491" s="15"/>
      <c r="N491" s="15"/>
      <c r="P491" s="15"/>
      <c r="Q491" s="15"/>
    </row>
    <row r="492" ht="15.75" customHeight="1">
      <c r="A492" s="18"/>
      <c r="B492" s="19"/>
      <c r="C492" s="19"/>
      <c r="D492" s="15"/>
      <c r="E492" s="15"/>
      <c r="F492" s="14"/>
      <c r="G492" s="15"/>
      <c r="H492" s="15"/>
      <c r="I492" s="14"/>
      <c r="K492" s="13"/>
      <c r="L492" s="13"/>
      <c r="M492" s="15"/>
      <c r="N492" s="15"/>
      <c r="P492" s="15"/>
      <c r="Q492" s="15"/>
    </row>
    <row r="493" ht="15.75" customHeight="1">
      <c r="A493" s="18"/>
      <c r="B493" s="19"/>
      <c r="C493" s="19"/>
      <c r="D493" s="15"/>
      <c r="E493" s="15"/>
      <c r="F493" s="14"/>
      <c r="G493" s="15"/>
      <c r="H493" s="15"/>
      <c r="I493" s="14"/>
      <c r="K493" s="13"/>
      <c r="L493" s="13"/>
      <c r="M493" s="15"/>
      <c r="N493" s="15"/>
      <c r="P493" s="15"/>
      <c r="Q493" s="15"/>
    </row>
    <row r="494" ht="15.75" customHeight="1">
      <c r="A494" s="18"/>
      <c r="B494" s="19"/>
      <c r="C494" s="19"/>
      <c r="D494" s="15"/>
      <c r="E494" s="15"/>
      <c r="F494" s="14"/>
      <c r="G494" s="15"/>
      <c r="H494" s="15"/>
      <c r="I494" s="14"/>
      <c r="K494" s="13"/>
      <c r="L494" s="13"/>
      <c r="M494" s="15"/>
      <c r="N494" s="15"/>
      <c r="P494" s="15"/>
      <c r="Q494" s="15"/>
    </row>
    <row r="495" ht="15.75" customHeight="1">
      <c r="A495" s="18"/>
      <c r="B495" s="19"/>
      <c r="C495" s="19"/>
      <c r="D495" s="15"/>
      <c r="E495" s="15"/>
      <c r="F495" s="14"/>
      <c r="G495" s="15"/>
      <c r="H495" s="15"/>
      <c r="I495" s="14"/>
      <c r="K495" s="13"/>
      <c r="L495" s="13"/>
      <c r="M495" s="15"/>
      <c r="N495" s="15"/>
      <c r="P495" s="15"/>
      <c r="Q495" s="15"/>
    </row>
    <row r="496" ht="15.75" customHeight="1">
      <c r="A496" s="18"/>
      <c r="B496" s="19"/>
      <c r="C496" s="19"/>
      <c r="D496" s="15"/>
      <c r="E496" s="15"/>
      <c r="F496" s="14"/>
      <c r="G496" s="15"/>
      <c r="H496" s="15"/>
      <c r="I496" s="14"/>
      <c r="K496" s="13"/>
      <c r="L496" s="13"/>
      <c r="M496" s="15"/>
      <c r="N496" s="15"/>
      <c r="P496" s="15"/>
      <c r="Q496" s="15"/>
    </row>
    <row r="497" ht="15.75" customHeight="1">
      <c r="A497" s="18"/>
      <c r="B497" s="19"/>
      <c r="C497" s="19"/>
      <c r="D497" s="15"/>
      <c r="E497" s="15"/>
      <c r="F497" s="14"/>
      <c r="G497" s="15"/>
      <c r="H497" s="15"/>
      <c r="I497" s="14"/>
      <c r="K497" s="13"/>
      <c r="L497" s="13"/>
      <c r="M497" s="15"/>
      <c r="N497" s="15"/>
      <c r="P497" s="15"/>
      <c r="Q497" s="15"/>
    </row>
    <row r="498" ht="15.75" customHeight="1">
      <c r="A498" s="18"/>
      <c r="B498" s="19"/>
      <c r="C498" s="19"/>
      <c r="D498" s="15"/>
      <c r="E498" s="15"/>
      <c r="F498" s="14"/>
      <c r="G498" s="15"/>
      <c r="H498" s="15"/>
      <c r="I498" s="14"/>
      <c r="K498" s="13"/>
      <c r="L498" s="13"/>
      <c r="M498" s="15"/>
      <c r="N498" s="15"/>
      <c r="P498" s="15"/>
      <c r="Q498" s="15"/>
    </row>
    <row r="499" ht="15.75" customHeight="1">
      <c r="A499" s="18"/>
      <c r="B499" s="19"/>
      <c r="C499" s="19"/>
      <c r="D499" s="15"/>
      <c r="E499" s="15"/>
      <c r="F499" s="14"/>
      <c r="G499" s="15"/>
      <c r="H499" s="15"/>
      <c r="I499" s="14"/>
      <c r="K499" s="13"/>
      <c r="L499" s="13"/>
      <c r="M499" s="15"/>
      <c r="N499" s="15"/>
      <c r="P499" s="15"/>
      <c r="Q499" s="15"/>
    </row>
    <row r="500" ht="15.75" customHeight="1">
      <c r="A500" s="18"/>
      <c r="B500" s="19"/>
      <c r="C500" s="19"/>
      <c r="D500" s="15"/>
      <c r="E500" s="15"/>
      <c r="F500" s="14"/>
      <c r="G500" s="15"/>
      <c r="H500" s="15"/>
      <c r="I500" s="14"/>
      <c r="K500" s="13"/>
      <c r="L500" s="13"/>
      <c r="M500" s="15"/>
      <c r="N500" s="15"/>
      <c r="P500" s="15"/>
      <c r="Q500" s="15"/>
    </row>
    <row r="501" ht="15.75" customHeight="1">
      <c r="A501" s="18"/>
      <c r="B501" s="19"/>
      <c r="C501" s="19"/>
      <c r="D501" s="15"/>
      <c r="E501" s="15"/>
      <c r="F501" s="14"/>
      <c r="G501" s="15"/>
      <c r="H501" s="15"/>
      <c r="I501" s="14"/>
      <c r="K501" s="13"/>
      <c r="L501" s="13"/>
      <c r="M501" s="15"/>
      <c r="N501" s="15"/>
      <c r="P501" s="15"/>
      <c r="Q501" s="15"/>
    </row>
    <row r="502" ht="15.75" customHeight="1">
      <c r="A502" s="18"/>
      <c r="B502" s="19"/>
      <c r="C502" s="19"/>
      <c r="D502" s="15"/>
      <c r="E502" s="15"/>
      <c r="F502" s="14"/>
      <c r="G502" s="15"/>
      <c r="H502" s="15"/>
      <c r="I502" s="14"/>
      <c r="K502" s="13"/>
      <c r="L502" s="13"/>
      <c r="M502" s="15"/>
      <c r="N502" s="15"/>
      <c r="P502" s="15"/>
      <c r="Q502" s="15"/>
    </row>
    <row r="503" ht="15.75" customHeight="1">
      <c r="A503" s="18"/>
      <c r="B503" s="19"/>
      <c r="C503" s="19"/>
      <c r="D503" s="15"/>
      <c r="E503" s="15"/>
      <c r="F503" s="14"/>
      <c r="G503" s="15"/>
      <c r="H503" s="15"/>
      <c r="I503" s="14"/>
      <c r="K503" s="13"/>
      <c r="L503" s="13"/>
      <c r="M503" s="15"/>
      <c r="N503" s="15"/>
      <c r="P503" s="15"/>
      <c r="Q503" s="15"/>
    </row>
    <row r="504" ht="15.75" customHeight="1">
      <c r="A504" s="18"/>
      <c r="B504" s="19"/>
      <c r="C504" s="19"/>
      <c r="D504" s="15"/>
      <c r="E504" s="15"/>
      <c r="F504" s="14"/>
      <c r="G504" s="15"/>
      <c r="H504" s="15"/>
      <c r="I504" s="14"/>
      <c r="K504" s="13"/>
      <c r="L504" s="13"/>
      <c r="M504" s="15"/>
      <c r="N504" s="15"/>
      <c r="P504" s="15"/>
      <c r="Q504" s="15"/>
    </row>
    <row r="505" ht="15.75" customHeight="1">
      <c r="A505" s="18"/>
      <c r="B505" s="19"/>
      <c r="C505" s="19"/>
      <c r="D505" s="15"/>
      <c r="E505" s="15"/>
      <c r="F505" s="14"/>
      <c r="G505" s="15"/>
      <c r="H505" s="15"/>
      <c r="I505" s="14"/>
      <c r="K505" s="13"/>
      <c r="L505" s="13"/>
      <c r="M505" s="15"/>
      <c r="N505" s="15"/>
      <c r="P505" s="15"/>
      <c r="Q505" s="15"/>
    </row>
    <row r="506" ht="15.75" customHeight="1">
      <c r="A506" s="18"/>
      <c r="B506" s="19"/>
      <c r="C506" s="19"/>
      <c r="D506" s="15"/>
      <c r="E506" s="15"/>
      <c r="F506" s="14"/>
      <c r="G506" s="15"/>
      <c r="H506" s="15"/>
      <c r="I506" s="14"/>
      <c r="K506" s="13"/>
      <c r="L506" s="13"/>
      <c r="M506" s="15"/>
      <c r="N506" s="15"/>
      <c r="P506" s="15"/>
      <c r="Q506" s="15"/>
    </row>
    <row r="507" ht="15.75" customHeight="1">
      <c r="A507" s="18"/>
      <c r="B507" s="19"/>
      <c r="C507" s="19"/>
      <c r="D507" s="15"/>
      <c r="E507" s="15"/>
      <c r="F507" s="14"/>
      <c r="G507" s="15"/>
      <c r="H507" s="15"/>
      <c r="I507" s="14"/>
      <c r="K507" s="13"/>
      <c r="L507" s="13"/>
      <c r="M507" s="15"/>
      <c r="N507" s="15"/>
      <c r="P507" s="15"/>
      <c r="Q507" s="15"/>
    </row>
    <row r="508" ht="15.75" customHeight="1">
      <c r="A508" s="18"/>
      <c r="B508" s="19"/>
      <c r="C508" s="19"/>
      <c r="D508" s="15"/>
      <c r="E508" s="15"/>
      <c r="F508" s="14"/>
      <c r="G508" s="15"/>
      <c r="H508" s="15"/>
      <c r="I508" s="14"/>
      <c r="K508" s="13"/>
      <c r="L508" s="13"/>
      <c r="M508" s="15"/>
      <c r="N508" s="15"/>
      <c r="P508" s="15"/>
      <c r="Q508" s="15"/>
    </row>
    <row r="509" ht="15.75" customHeight="1">
      <c r="A509" s="18"/>
      <c r="B509" s="19"/>
      <c r="C509" s="19"/>
      <c r="D509" s="15"/>
      <c r="E509" s="15"/>
      <c r="F509" s="14"/>
      <c r="G509" s="15"/>
      <c r="H509" s="15"/>
      <c r="I509" s="14"/>
      <c r="K509" s="13"/>
      <c r="L509" s="13"/>
      <c r="M509" s="15"/>
      <c r="N509" s="15"/>
      <c r="P509" s="15"/>
      <c r="Q509" s="15"/>
    </row>
    <row r="510" ht="15.75" customHeight="1">
      <c r="A510" s="18"/>
      <c r="B510" s="19"/>
      <c r="C510" s="19"/>
      <c r="D510" s="15"/>
      <c r="E510" s="15"/>
      <c r="F510" s="14"/>
      <c r="G510" s="15"/>
      <c r="H510" s="15"/>
      <c r="I510" s="14"/>
      <c r="K510" s="13"/>
      <c r="L510" s="13"/>
      <c r="M510" s="15"/>
      <c r="N510" s="15"/>
      <c r="P510" s="15"/>
      <c r="Q510" s="15"/>
    </row>
    <row r="511" ht="15.75" customHeight="1">
      <c r="A511" s="18"/>
      <c r="B511" s="19"/>
      <c r="C511" s="19"/>
      <c r="D511" s="15"/>
      <c r="E511" s="15"/>
      <c r="F511" s="14"/>
      <c r="G511" s="15"/>
      <c r="H511" s="15"/>
      <c r="I511" s="14"/>
      <c r="K511" s="13"/>
      <c r="L511" s="13"/>
      <c r="M511" s="15"/>
      <c r="N511" s="15"/>
      <c r="P511" s="15"/>
      <c r="Q511" s="15"/>
    </row>
    <row r="512" ht="15.75" customHeight="1">
      <c r="A512" s="18"/>
      <c r="B512" s="19"/>
      <c r="C512" s="19"/>
      <c r="D512" s="15"/>
      <c r="E512" s="15"/>
      <c r="F512" s="14"/>
      <c r="G512" s="15"/>
      <c r="H512" s="15"/>
      <c r="I512" s="14"/>
      <c r="K512" s="13"/>
      <c r="L512" s="13"/>
      <c r="M512" s="15"/>
      <c r="N512" s="15"/>
      <c r="P512" s="15"/>
      <c r="Q512" s="15"/>
    </row>
    <row r="513" ht="15.75" customHeight="1">
      <c r="A513" s="18"/>
      <c r="B513" s="19"/>
      <c r="C513" s="19"/>
      <c r="D513" s="15"/>
      <c r="E513" s="15"/>
      <c r="F513" s="14"/>
      <c r="G513" s="15"/>
      <c r="H513" s="15"/>
      <c r="I513" s="14"/>
      <c r="K513" s="13"/>
      <c r="L513" s="13"/>
      <c r="M513" s="15"/>
      <c r="N513" s="15"/>
      <c r="P513" s="15"/>
      <c r="Q513" s="15"/>
    </row>
    <row r="514" ht="15.75" customHeight="1">
      <c r="A514" s="18"/>
      <c r="B514" s="19"/>
      <c r="C514" s="19"/>
      <c r="D514" s="15"/>
      <c r="E514" s="15"/>
      <c r="F514" s="14"/>
      <c r="G514" s="15"/>
      <c r="H514" s="15"/>
      <c r="I514" s="14"/>
      <c r="K514" s="13"/>
      <c r="L514" s="13"/>
      <c r="M514" s="15"/>
      <c r="N514" s="15"/>
      <c r="P514" s="15"/>
      <c r="Q514" s="15"/>
    </row>
    <row r="515" ht="15.75" customHeight="1">
      <c r="A515" s="18"/>
      <c r="B515" s="19"/>
      <c r="C515" s="19"/>
      <c r="D515" s="15"/>
      <c r="E515" s="15"/>
      <c r="F515" s="14"/>
      <c r="G515" s="15"/>
      <c r="H515" s="15"/>
      <c r="I515" s="14"/>
      <c r="K515" s="13"/>
      <c r="L515" s="13"/>
      <c r="M515" s="15"/>
      <c r="N515" s="15"/>
      <c r="P515" s="15"/>
      <c r="Q515" s="15"/>
    </row>
    <row r="516" ht="15.75" customHeight="1">
      <c r="A516" s="18"/>
      <c r="B516" s="19"/>
      <c r="C516" s="19"/>
      <c r="D516" s="15"/>
      <c r="E516" s="15"/>
      <c r="F516" s="14"/>
      <c r="G516" s="15"/>
      <c r="H516" s="15"/>
      <c r="I516" s="14"/>
      <c r="K516" s="13"/>
      <c r="L516" s="13"/>
      <c r="M516" s="15"/>
      <c r="N516" s="15"/>
      <c r="P516" s="15"/>
      <c r="Q516" s="15"/>
    </row>
    <row r="517" ht="15.75" customHeight="1">
      <c r="A517" s="18"/>
      <c r="B517" s="19"/>
      <c r="C517" s="19"/>
      <c r="D517" s="15"/>
      <c r="E517" s="15"/>
      <c r="F517" s="14"/>
      <c r="G517" s="15"/>
      <c r="H517" s="15"/>
      <c r="I517" s="14"/>
      <c r="K517" s="13"/>
      <c r="L517" s="13"/>
      <c r="M517" s="15"/>
      <c r="N517" s="15"/>
      <c r="P517" s="15"/>
      <c r="Q517" s="15"/>
    </row>
    <row r="518" ht="15.75" customHeight="1">
      <c r="A518" s="18"/>
      <c r="B518" s="19"/>
      <c r="C518" s="19"/>
      <c r="D518" s="15"/>
      <c r="E518" s="15"/>
      <c r="F518" s="14"/>
      <c r="G518" s="15"/>
      <c r="H518" s="15"/>
      <c r="I518" s="14"/>
      <c r="K518" s="13"/>
      <c r="L518" s="13"/>
      <c r="M518" s="15"/>
      <c r="N518" s="15"/>
      <c r="P518" s="15"/>
      <c r="Q518" s="15"/>
    </row>
    <row r="519" ht="15.75" customHeight="1">
      <c r="A519" s="18"/>
      <c r="B519" s="19"/>
      <c r="C519" s="19"/>
      <c r="D519" s="15"/>
      <c r="E519" s="15"/>
      <c r="F519" s="14"/>
      <c r="G519" s="15"/>
      <c r="H519" s="15"/>
      <c r="I519" s="14"/>
      <c r="K519" s="13"/>
      <c r="L519" s="13"/>
      <c r="M519" s="15"/>
      <c r="N519" s="15"/>
      <c r="P519" s="15"/>
      <c r="Q519" s="15"/>
    </row>
    <row r="520" ht="15.75" customHeight="1">
      <c r="A520" s="18"/>
      <c r="B520" s="19"/>
      <c r="C520" s="19"/>
      <c r="D520" s="15"/>
      <c r="E520" s="15"/>
      <c r="F520" s="14"/>
      <c r="G520" s="15"/>
      <c r="H520" s="15"/>
      <c r="I520" s="14"/>
      <c r="K520" s="13"/>
      <c r="L520" s="13"/>
      <c r="M520" s="15"/>
      <c r="N520" s="15"/>
      <c r="P520" s="15"/>
      <c r="Q520" s="15"/>
    </row>
    <row r="521" ht="15.75" customHeight="1">
      <c r="A521" s="18"/>
      <c r="B521" s="19"/>
      <c r="C521" s="19"/>
      <c r="D521" s="15"/>
      <c r="E521" s="15"/>
      <c r="F521" s="14"/>
      <c r="G521" s="15"/>
      <c r="H521" s="15"/>
      <c r="I521" s="14"/>
      <c r="K521" s="13"/>
      <c r="L521" s="13"/>
      <c r="M521" s="15"/>
      <c r="N521" s="15"/>
      <c r="P521" s="15"/>
      <c r="Q521" s="15"/>
    </row>
    <row r="522" ht="15.75" customHeight="1">
      <c r="A522" s="18"/>
      <c r="B522" s="19"/>
      <c r="C522" s="19"/>
      <c r="D522" s="15"/>
      <c r="E522" s="15"/>
      <c r="F522" s="14"/>
      <c r="G522" s="15"/>
      <c r="H522" s="15"/>
      <c r="I522" s="14"/>
      <c r="K522" s="13"/>
      <c r="L522" s="13"/>
      <c r="M522" s="15"/>
      <c r="N522" s="15"/>
      <c r="P522" s="15"/>
      <c r="Q522" s="15"/>
    </row>
    <row r="523" ht="15.75" customHeight="1">
      <c r="A523" s="18"/>
      <c r="B523" s="19"/>
      <c r="C523" s="19"/>
      <c r="D523" s="15"/>
      <c r="E523" s="15"/>
      <c r="F523" s="14"/>
      <c r="G523" s="15"/>
      <c r="H523" s="15"/>
      <c r="I523" s="14"/>
      <c r="K523" s="13"/>
      <c r="L523" s="13"/>
      <c r="M523" s="15"/>
      <c r="N523" s="15"/>
      <c r="P523" s="15"/>
      <c r="Q523" s="15"/>
    </row>
    <row r="524" ht="15.75" customHeight="1">
      <c r="A524" s="18"/>
      <c r="B524" s="19"/>
      <c r="C524" s="19"/>
      <c r="D524" s="15"/>
      <c r="E524" s="15"/>
      <c r="F524" s="14"/>
      <c r="G524" s="15"/>
      <c r="H524" s="15"/>
      <c r="I524" s="14"/>
      <c r="K524" s="13"/>
      <c r="L524" s="13"/>
      <c r="M524" s="15"/>
      <c r="N524" s="15"/>
      <c r="P524" s="15"/>
      <c r="Q524" s="15"/>
    </row>
    <row r="525" ht="15.75" customHeight="1">
      <c r="A525" s="18"/>
      <c r="B525" s="19"/>
      <c r="C525" s="19"/>
      <c r="D525" s="15"/>
      <c r="E525" s="15"/>
      <c r="F525" s="14"/>
      <c r="G525" s="15"/>
      <c r="H525" s="15"/>
      <c r="I525" s="14"/>
      <c r="K525" s="13"/>
      <c r="L525" s="13"/>
      <c r="M525" s="15"/>
      <c r="N525" s="15"/>
      <c r="P525" s="15"/>
      <c r="Q525" s="15"/>
    </row>
    <row r="526" ht="15.75" customHeight="1">
      <c r="A526" s="18"/>
      <c r="B526" s="19"/>
      <c r="C526" s="19"/>
      <c r="D526" s="15"/>
      <c r="E526" s="15"/>
      <c r="F526" s="14"/>
      <c r="G526" s="15"/>
      <c r="H526" s="15"/>
      <c r="I526" s="14"/>
      <c r="K526" s="13"/>
      <c r="L526" s="13"/>
      <c r="M526" s="15"/>
      <c r="N526" s="15"/>
      <c r="P526" s="15"/>
      <c r="Q526" s="15"/>
    </row>
    <row r="527" ht="15.75" customHeight="1">
      <c r="A527" s="18"/>
      <c r="B527" s="19"/>
      <c r="C527" s="19"/>
      <c r="D527" s="15"/>
      <c r="E527" s="15"/>
      <c r="F527" s="14"/>
      <c r="G527" s="15"/>
      <c r="H527" s="15"/>
      <c r="I527" s="14"/>
      <c r="K527" s="13"/>
      <c r="L527" s="13"/>
      <c r="M527" s="15"/>
      <c r="N527" s="15"/>
      <c r="P527" s="15"/>
      <c r="Q527" s="15"/>
    </row>
    <row r="528" ht="15.75" customHeight="1">
      <c r="A528" s="18"/>
      <c r="B528" s="19"/>
      <c r="C528" s="19"/>
      <c r="D528" s="15"/>
      <c r="E528" s="15"/>
      <c r="F528" s="14"/>
      <c r="G528" s="15"/>
      <c r="H528" s="15"/>
      <c r="I528" s="14"/>
      <c r="K528" s="13"/>
      <c r="L528" s="13"/>
      <c r="M528" s="15"/>
      <c r="N528" s="15"/>
      <c r="P528" s="15"/>
      <c r="Q528" s="15"/>
    </row>
    <row r="529" ht="15.75" customHeight="1">
      <c r="A529" s="18"/>
      <c r="B529" s="19"/>
      <c r="C529" s="19"/>
      <c r="D529" s="15"/>
      <c r="E529" s="15"/>
      <c r="F529" s="14"/>
      <c r="G529" s="15"/>
      <c r="H529" s="15"/>
      <c r="I529" s="14"/>
      <c r="K529" s="13"/>
      <c r="L529" s="13"/>
      <c r="M529" s="15"/>
      <c r="N529" s="15"/>
      <c r="P529" s="15"/>
      <c r="Q529" s="15"/>
    </row>
    <row r="530" ht="15.75" customHeight="1">
      <c r="A530" s="18"/>
      <c r="B530" s="19"/>
      <c r="C530" s="19"/>
      <c r="D530" s="15"/>
      <c r="E530" s="15"/>
      <c r="F530" s="14"/>
      <c r="G530" s="15"/>
      <c r="H530" s="15"/>
      <c r="I530" s="14"/>
      <c r="K530" s="13"/>
      <c r="L530" s="13"/>
      <c r="M530" s="15"/>
      <c r="N530" s="15"/>
      <c r="P530" s="15"/>
      <c r="Q530" s="15"/>
    </row>
    <row r="531" ht="15.75" customHeight="1">
      <c r="A531" s="18"/>
      <c r="B531" s="19"/>
      <c r="C531" s="19"/>
      <c r="D531" s="15"/>
      <c r="E531" s="15"/>
      <c r="F531" s="14"/>
      <c r="G531" s="15"/>
      <c r="H531" s="15"/>
      <c r="I531" s="14"/>
      <c r="K531" s="13"/>
      <c r="L531" s="13"/>
      <c r="M531" s="15"/>
      <c r="N531" s="15"/>
      <c r="P531" s="15"/>
      <c r="Q531" s="15"/>
    </row>
    <row r="532" ht="15.75" customHeight="1">
      <c r="A532" s="18"/>
      <c r="B532" s="19"/>
      <c r="C532" s="19"/>
      <c r="D532" s="15"/>
      <c r="E532" s="15"/>
      <c r="F532" s="14"/>
      <c r="G532" s="15"/>
      <c r="H532" s="15"/>
      <c r="I532" s="14"/>
      <c r="K532" s="13"/>
      <c r="L532" s="13"/>
      <c r="M532" s="15"/>
      <c r="N532" s="15"/>
      <c r="P532" s="15"/>
      <c r="Q532" s="15"/>
    </row>
    <row r="533" ht="15.75" customHeight="1">
      <c r="A533" s="18"/>
      <c r="B533" s="19"/>
      <c r="C533" s="19"/>
      <c r="D533" s="15"/>
      <c r="E533" s="15"/>
      <c r="F533" s="14"/>
      <c r="G533" s="15"/>
      <c r="H533" s="15"/>
      <c r="I533" s="14"/>
      <c r="K533" s="13"/>
      <c r="L533" s="13"/>
      <c r="M533" s="15"/>
      <c r="N533" s="15"/>
      <c r="P533" s="15"/>
      <c r="Q533" s="15"/>
    </row>
    <row r="534" ht="15.75" customHeight="1">
      <c r="A534" s="18"/>
      <c r="B534" s="19"/>
      <c r="C534" s="19"/>
      <c r="D534" s="15"/>
      <c r="E534" s="15"/>
      <c r="F534" s="14"/>
      <c r="G534" s="15"/>
      <c r="H534" s="15"/>
      <c r="I534" s="14"/>
      <c r="K534" s="13"/>
      <c r="L534" s="13"/>
      <c r="M534" s="15"/>
      <c r="N534" s="15"/>
      <c r="P534" s="15"/>
      <c r="Q534" s="15"/>
    </row>
    <row r="535" ht="15.75" customHeight="1">
      <c r="A535" s="18"/>
      <c r="B535" s="19"/>
      <c r="C535" s="19"/>
      <c r="D535" s="15"/>
      <c r="E535" s="15"/>
      <c r="F535" s="14"/>
      <c r="G535" s="15"/>
      <c r="H535" s="15"/>
      <c r="I535" s="14"/>
      <c r="K535" s="13"/>
      <c r="L535" s="13"/>
      <c r="M535" s="15"/>
      <c r="N535" s="15"/>
      <c r="P535" s="15"/>
      <c r="Q535" s="15"/>
    </row>
    <row r="536" ht="15.75" customHeight="1">
      <c r="A536" s="18"/>
      <c r="B536" s="19"/>
      <c r="C536" s="19"/>
      <c r="D536" s="15"/>
      <c r="E536" s="15"/>
      <c r="F536" s="14"/>
      <c r="G536" s="15"/>
      <c r="H536" s="15"/>
      <c r="I536" s="14"/>
      <c r="K536" s="13"/>
      <c r="L536" s="13"/>
      <c r="M536" s="15"/>
      <c r="N536" s="15"/>
      <c r="P536" s="15"/>
      <c r="Q536" s="15"/>
    </row>
    <row r="537" ht="15.75" customHeight="1">
      <c r="A537" s="18"/>
      <c r="B537" s="19"/>
      <c r="C537" s="19"/>
      <c r="D537" s="15"/>
      <c r="E537" s="15"/>
      <c r="F537" s="14"/>
      <c r="G537" s="15"/>
      <c r="H537" s="15"/>
      <c r="I537" s="14"/>
      <c r="K537" s="13"/>
      <c r="L537" s="13"/>
      <c r="M537" s="15"/>
      <c r="N537" s="15"/>
      <c r="P537" s="15"/>
      <c r="Q537" s="15"/>
    </row>
    <row r="538" ht="15.75" customHeight="1">
      <c r="A538" s="18"/>
      <c r="B538" s="19"/>
      <c r="C538" s="19"/>
      <c r="D538" s="15"/>
      <c r="E538" s="15"/>
      <c r="F538" s="14"/>
      <c r="G538" s="15"/>
      <c r="H538" s="15"/>
      <c r="I538" s="14"/>
      <c r="K538" s="13"/>
      <c r="L538" s="13"/>
      <c r="M538" s="15"/>
      <c r="N538" s="15"/>
      <c r="P538" s="15"/>
      <c r="Q538" s="15"/>
    </row>
    <row r="539" ht="15.75" customHeight="1">
      <c r="A539" s="18"/>
      <c r="B539" s="19"/>
      <c r="C539" s="19"/>
      <c r="D539" s="15"/>
      <c r="E539" s="15"/>
      <c r="F539" s="14"/>
      <c r="G539" s="15"/>
      <c r="H539" s="15"/>
      <c r="I539" s="14"/>
      <c r="K539" s="13"/>
      <c r="L539" s="13"/>
      <c r="M539" s="15"/>
      <c r="N539" s="15"/>
      <c r="P539" s="15"/>
      <c r="Q539" s="15"/>
    </row>
    <row r="540" ht="15.75" customHeight="1">
      <c r="A540" s="18"/>
      <c r="B540" s="19"/>
      <c r="C540" s="19"/>
      <c r="D540" s="15"/>
      <c r="E540" s="15"/>
      <c r="F540" s="14"/>
      <c r="G540" s="15"/>
      <c r="H540" s="15"/>
      <c r="I540" s="14"/>
      <c r="K540" s="13"/>
      <c r="L540" s="13"/>
      <c r="M540" s="15"/>
      <c r="N540" s="15"/>
      <c r="P540" s="15"/>
      <c r="Q540" s="15"/>
    </row>
    <row r="541" ht="15.75" customHeight="1">
      <c r="A541" s="18"/>
      <c r="B541" s="19"/>
      <c r="C541" s="19"/>
      <c r="D541" s="15"/>
      <c r="E541" s="15"/>
      <c r="F541" s="14"/>
      <c r="G541" s="15"/>
      <c r="H541" s="15"/>
      <c r="I541" s="14"/>
      <c r="K541" s="13"/>
      <c r="L541" s="13"/>
      <c r="M541" s="15"/>
      <c r="N541" s="15"/>
      <c r="P541" s="15"/>
      <c r="Q541" s="15"/>
    </row>
    <row r="542" ht="15.75" customHeight="1">
      <c r="A542" s="18"/>
      <c r="B542" s="19"/>
      <c r="C542" s="19"/>
      <c r="D542" s="15"/>
      <c r="E542" s="15"/>
      <c r="F542" s="14"/>
      <c r="G542" s="15"/>
      <c r="H542" s="15"/>
      <c r="I542" s="14"/>
      <c r="K542" s="13"/>
      <c r="L542" s="13"/>
      <c r="M542" s="15"/>
      <c r="N542" s="15"/>
      <c r="P542" s="15"/>
      <c r="Q542" s="15"/>
    </row>
    <row r="543" ht="15.75" customHeight="1">
      <c r="A543" s="18"/>
      <c r="B543" s="19"/>
      <c r="C543" s="19"/>
      <c r="D543" s="15"/>
      <c r="E543" s="15"/>
      <c r="F543" s="14"/>
      <c r="G543" s="15"/>
      <c r="H543" s="15"/>
      <c r="I543" s="14"/>
      <c r="K543" s="13"/>
      <c r="L543" s="13"/>
      <c r="M543" s="15"/>
      <c r="N543" s="15"/>
      <c r="P543" s="15"/>
      <c r="Q543" s="15"/>
    </row>
    <row r="544" ht="15.75" customHeight="1">
      <c r="A544" s="18"/>
      <c r="B544" s="19"/>
      <c r="C544" s="19"/>
      <c r="D544" s="15"/>
      <c r="E544" s="15"/>
      <c r="F544" s="14"/>
      <c r="G544" s="15"/>
      <c r="H544" s="15"/>
      <c r="I544" s="14"/>
      <c r="K544" s="13"/>
      <c r="L544" s="13"/>
      <c r="M544" s="15"/>
      <c r="N544" s="15"/>
      <c r="P544" s="15"/>
      <c r="Q544" s="15"/>
    </row>
    <row r="545" ht="15.75" customHeight="1">
      <c r="A545" s="18"/>
      <c r="B545" s="13"/>
      <c r="C545" s="13"/>
      <c r="D545" s="15"/>
      <c r="E545" s="15"/>
      <c r="F545" s="14"/>
      <c r="G545" s="15"/>
      <c r="H545" s="15"/>
      <c r="I545" s="14"/>
      <c r="K545" s="13"/>
      <c r="L545" s="13"/>
      <c r="M545" s="15"/>
      <c r="N545" s="15"/>
      <c r="P545" s="15"/>
      <c r="Q545" s="15"/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8.25"/>
    <col customWidth="1" min="4" max="4" width="27.0"/>
    <col customWidth="1" min="5" max="6" width="12.63"/>
  </cols>
  <sheetData>
    <row r="1" ht="54.0" customHeight="1">
      <c r="A1" s="20" t="s">
        <v>0</v>
      </c>
      <c r="B1" s="21" t="s">
        <v>2</v>
      </c>
      <c r="C1" s="4" t="s">
        <v>5</v>
      </c>
      <c r="D1" s="4" t="s">
        <v>8</v>
      </c>
    </row>
    <row r="2" ht="15.75" customHeight="1">
      <c r="A2" s="22">
        <v>10101.0</v>
      </c>
      <c r="B2" s="23" t="s">
        <v>11</v>
      </c>
      <c r="C2" s="24">
        <v>22.485579791818605</v>
      </c>
      <c r="D2" s="24">
        <v>3.8578512396694213</v>
      </c>
    </row>
    <row r="3" ht="15.75" customHeight="1">
      <c r="A3" s="25">
        <v>10102.0</v>
      </c>
      <c r="B3" s="26" t="s">
        <v>12</v>
      </c>
      <c r="C3" s="9">
        <v>9.603340292275574</v>
      </c>
      <c r="D3" s="9">
        <v>1.6883116883116882</v>
      </c>
    </row>
    <row r="4" ht="15.75" customHeight="1">
      <c r="A4" s="25">
        <v>10103.0</v>
      </c>
      <c r="B4" s="26" t="s">
        <v>14</v>
      </c>
      <c r="C4" s="9">
        <v>6.223358908780904</v>
      </c>
      <c r="D4" s="9">
        <v>5.169340463458111</v>
      </c>
    </row>
    <row r="5" ht="15.75" customHeight="1">
      <c r="A5" s="25">
        <v>10201.0</v>
      </c>
      <c r="B5" s="26" t="s">
        <v>16</v>
      </c>
      <c r="C5" s="9">
        <v>8.837209302325581</v>
      </c>
      <c r="D5" s="9">
        <v>6.521739130434782</v>
      </c>
    </row>
    <row r="6" ht="15.75" customHeight="1">
      <c r="A6" s="25">
        <v>10202.0</v>
      </c>
      <c r="B6" s="26" t="s">
        <v>18</v>
      </c>
      <c r="C6" s="9">
        <v>7.328385899814471</v>
      </c>
      <c r="D6" s="9">
        <v>5.733788395904437</v>
      </c>
    </row>
    <row r="7" ht="15.75" customHeight="1">
      <c r="A7" s="25">
        <v>10301.0</v>
      </c>
      <c r="B7" s="26" t="s">
        <v>20</v>
      </c>
      <c r="C7" s="9">
        <v>9.323432343234323</v>
      </c>
      <c r="D7" s="9">
        <v>4.888569374550683</v>
      </c>
    </row>
    <row r="8" ht="15.75" customHeight="1">
      <c r="A8" s="25">
        <v>10302.0</v>
      </c>
      <c r="B8" s="26" t="s">
        <v>22</v>
      </c>
      <c r="C8" s="9">
        <v>9.39476061427281</v>
      </c>
      <c r="D8" s="9">
        <v>4.572271386430678</v>
      </c>
    </row>
    <row r="9" ht="15.75" customHeight="1">
      <c r="A9" s="25">
        <v>10303.0</v>
      </c>
      <c r="B9" s="26" t="s">
        <v>24</v>
      </c>
      <c r="C9" s="9">
        <v>7.18232044198895</v>
      </c>
      <c r="D9" s="9">
        <v>4.285714285714286</v>
      </c>
    </row>
    <row r="10" ht="15.75" customHeight="1">
      <c r="A10" s="25">
        <v>10304.0</v>
      </c>
      <c r="B10" s="26" t="s">
        <v>26</v>
      </c>
      <c r="C10" s="9">
        <v>7.132018209408194</v>
      </c>
      <c r="D10" s="9">
        <v>7.569296375266525</v>
      </c>
    </row>
    <row r="11" ht="15.75" customHeight="1">
      <c r="A11" s="25">
        <v>10401.0</v>
      </c>
      <c r="B11" s="26" t="s">
        <v>28</v>
      </c>
      <c r="C11" s="9">
        <v>7.452725250278086</v>
      </c>
      <c r="D11" s="9">
        <v>5.997001499250374</v>
      </c>
    </row>
    <row r="12" ht="15.75" customHeight="1">
      <c r="A12" s="25">
        <v>10402.0</v>
      </c>
      <c r="B12" s="26" t="s">
        <v>30</v>
      </c>
      <c r="C12" s="9">
        <v>7.8005115089514065</v>
      </c>
      <c r="D12" s="9">
        <v>6.649937264742785</v>
      </c>
    </row>
    <row r="13" ht="15.75" customHeight="1">
      <c r="A13" s="25">
        <v>10403.0</v>
      </c>
      <c r="B13" s="26" t="s">
        <v>32</v>
      </c>
      <c r="C13" s="9">
        <v>7.441860465116279</v>
      </c>
      <c r="D13" s="9">
        <v>6.092124814264487</v>
      </c>
    </row>
    <row r="14" ht="15.75" customHeight="1">
      <c r="A14" s="25">
        <v>10404.0</v>
      </c>
      <c r="B14" s="26" t="s">
        <v>34</v>
      </c>
      <c r="C14" s="9">
        <v>13.67837338262477</v>
      </c>
      <c r="D14" s="9">
        <v>5.573770491803279</v>
      </c>
    </row>
    <row r="15" ht="15.75" customHeight="1">
      <c r="A15" s="25">
        <v>10405.0</v>
      </c>
      <c r="B15" s="26" t="s">
        <v>36</v>
      </c>
      <c r="C15" s="9">
        <v>12.114537444933921</v>
      </c>
      <c r="D15" s="9">
        <v>8.158995815899582</v>
      </c>
    </row>
    <row r="16" ht="15.75" customHeight="1">
      <c r="A16" s="25">
        <v>10501.0</v>
      </c>
      <c r="B16" s="26" t="s">
        <v>37</v>
      </c>
      <c r="C16" s="9">
        <v>6.750524109014674</v>
      </c>
      <c r="D16" s="9">
        <v>3.699843668577384</v>
      </c>
    </row>
    <row r="17" ht="15.75" customHeight="1">
      <c r="A17" s="25">
        <v>10502.0</v>
      </c>
      <c r="B17" s="26" t="s">
        <v>39</v>
      </c>
      <c r="C17" s="9">
        <v>5.668016194331984</v>
      </c>
      <c r="D17" s="9">
        <v>4.3999999999999995</v>
      </c>
    </row>
    <row r="18" ht="15.75" customHeight="1">
      <c r="A18" s="25">
        <v>10601.0</v>
      </c>
      <c r="B18" s="26" t="s">
        <v>41</v>
      </c>
      <c r="C18" s="9">
        <v>9.631949882537198</v>
      </c>
      <c r="D18" s="9">
        <v>4.073150457190358</v>
      </c>
    </row>
    <row r="19" ht="15.75" customHeight="1">
      <c r="A19" s="25">
        <v>10602.0</v>
      </c>
      <c r="B19" s="26" t="s">
        <v>42</v>
      </c>
      <c r="C19" s="9">
        <v>9.885931558935361</v>
      </c>
      <c r="D19" s="9">
        <v>5.339805825242718</v>
      </c>
    </row>
    <row r="20" ht="15.75" customHeight="1">
      <c r="A20" s="25">
        <v>10701.0</v>
      </c>
      <c r="B20" s="26" t="s">
        <v>43</v>
      </c>
      <c r="C20" s="9">
        <v>6.651884700665188</v>
      </c>
      <c r="D20" s="9">
        <v>3.8860103626943006</v>
      </c>
    </row>
    <row r="21" ht="15.75" customHeight="1">
      <c r="A21" s="25">
        <v>10702.0</v>
      </c>
      <c r="B21" s="26" t="s">
        <v>44</v>
      </c>
      <c r="C21" s="9">
        <v>6.779661016949152</v>
      </c>
      <c r="D21" s="9">
        <v>4.505686789151356</v>
      </c>
    </row>
    <row r="22" ht="15.75" customHeight="1">
      <c r="A22" s="25">
        <v>10703.0</v>
      </c>
      <c r="B22" s="26" t="s">
        <v>45</v>
      </c>
      <c r="C22" s="9">
        <v>10.23916292974589</v>
      </c>
      <c r="D22" s="9">
        <v>4.713804713804714</v>
      </c>
    </row>
    <row r="23" ht="15.75" customHeight="1">
      <c r="A23" s="25">
        <v>10704.0</v>
      </c>
      <c r="B23" s="26" t="s">
        <v>46</v>
      </c>
      <c r="C23" s="9">
        <v>8.670520231213873</v>
      </c>
      <c r="D23" s="9">
        <v>6.671299513551077</v>
      </c>
    </row>
    <row r="24" ht="15.75" customHeight="1">
      <c r="A24" s="25">
        <v>10801.0</v>
      </c>
      <c r="B24" s="26" t="s">
        <v>47</v>
      </c>
      <c r="C24" s="9">
        <v>10.607521697203472</v>
      </c>
      <c r="D24" s="9">
        <v>2.900378310214376</v>
      </c>
    </row>
    <row r="25" ht="15.75" customHeight="1">
      <c r="A25" s="25">
        <v>10901.0</v>
      </c>
      <c r="B25" s="26" t="s">
        <v>48</v>
      </c>
      <c r="C25" s="9">
        <v>8.115942028985506</v>
      </c>
      <c r="D25" s="9">
        <v>4.86815415821501</v>
      </c>
    </row>
    <row r="26" ht="15.75" customHeight="1">
      <c r="A26" s="25">
        <v>10902.0</v>
      </c>
      <c r="B26" s="26" t="s">
        <v>49</v>
      </c>
      <c r="C26" s="9">
        <v>9.393737508327781</v>
      </c>
      <c r="D26" s="9">
        <v>5.47945205479452</v>
      </c>
    </row>
    <row r="27" ht="15.75" customHeight="1">
      <c r="A27" s="25">
        <v>10903.0</v>
      </c>
      <c r="B27" s="26" t="s">
        <v>50</v>
      </c>
      <c r="C27" s="9">
        <v>5.633802816901409</v>
      </c>
      <c r="D27" s="9">
        <v>5.613305613305614</v>
      </c>
    </row>
    <row r="28" ht="15.75" customHeight="1">
      <c r="A28" s="25">
        <v>11001.0</v>
      </c>
      <c r="B28" s="26" t="s">
        <v>51</v>
      </c>
      <c r="C28" s="9">
        <v>13.125590179414543</v>
      </c>
      <c r="D28" s="9">
        <v>2.0754716981132075</v>
      </c>
    </row>
    <row r="29" ht="15.75" customHeight="1">
      <c r="A29" s="25">
        <v>11002.0</v>
      </c>
      <c r="B29" s="26" t="s">
        <v>52</v>
      </c>
      <c r="C29" s="9">
        <v>14.652014652014653</v>
      </c>
      <c r="D29" s="9">
        <v>6.25</v>
      </c>
    </row>
    <row r="30" ht="15.75" customHeight="1">
      <c r="A30" s="25">
        <v>11003.0</v>
      </c>
      <c r="B30" s="26" t="s">
        <v>53</v>
      </c>
      <c r="C30" s="9">
        <v>13.940092165898617</v>
      </c>
      <c r="D30" s="9">
        <v>10.949720670391061</v>
      </c>
    </row>
    <row r="31" ht="15.75" customHeight="1">
      <c r="A31" s="25">
        <v>20101.0</v>
      </c>
      <c r="B31" s="26" t="s">
        <v>54</v>
      </c>
      <c r="C31" s="9">
        <v>22.876980114593863</v>
      </c>
      <c r="D31" s="9">
        <v>5.261765849863866</v>
      </c>
    </row>
    <row r="32" ht="15.75" customHeight="1">
      <c r="A32" s="25">
        <v>20102.0</v>
      </c>
      <c r="B32" s="26" t="s">
        <v>55</v>
      </c>
      <c r="C32" s="9">
        <v>4.421983575489577</v>
      </c>
      <c r="D32" s="9">
        <v>4.21865715983363</v>
      </c>
    </row>
    <row r="33" ht="15.75" customHeight="1">
      <c r="A33" s="25">
        <v>20103.0</v>
      </c>
      <c r="B33" s="26" t="s">
        <v>56</v>
      </c>
      <c r="C33" s="9">
        <v>5.117845117845118</v>
      </c>
      <c r="D33" s="9">
        <v>2.488231338264963</v>
      </c>
    </row>
    <row r="34" ht="15.75" customHeight="1">
      <c r="A34" s="25">
        <v>20104.0</v>
      </c>
      <c r="B34" s="26" t="s">
        <v>57</v>
      </c>
      <c r="C34" s="9">
        <v>10.23546371936569</v>
      </c>
      <c r="D34" s="9">
        <v>3.586656634060698</v>
      </c>
    </row>
    <row r="35" ht="15.75" customHeight="1">
      <c r="A35" s="25">
        <v>20105.0</v>
      </c>
      <c r="B35" s="26" t="s">
        <v>58</v>
      </c>
      <c r="C35" s="9">
        <v>14.62120176757323</v>
      </c>
      <c r="D35" s="9">
        <v>4.37617686031104</v>
      </c>
    </row>
    <row r="36" ht="15.75" customHeight="1">
      <c r="A36" s="25">
        <v>20201.0</v>
      </c>
      <c r="B36" s="26" t="s">
        <v>59</v>
      </c>
      <c r="C36" s="9">
        <v>13.562708102108767</v>
      </c>
      <c r="D36" s="9">
        <v>5.47756674924305</v>
      </c>
    </row>
    <row r="37" ht="15.75" customHeight="1">
      <c r="A37" s="25">
        <v>20202.0</v>
      </c>
      <c r="B37" s="26" t="s">
        <v>60</v>
      </c>
      <c r="C37" s="9">
        <v>4.651162790697675</v>
      </c>
      <c r="D37" s="9">
        <v>3.7209302325581395</v>
      </c>
    </row>
    <row r="38" ht="15.75" customHeight="1">
      <c r="A38" s="25">
        <v>20203.0</v>
      </c>
      <c r="B38" s="26" t="s">
        <v>61</v>
      </c>
      <c r="C38" s="9">
        <v>8.347245409015025</v>
      </c>
      <c r="D38" s="9">
        <v>15.285714285714286</v>
      </c>
    </row>
    <row r="39" ht="15.75" customHeight="1">
      <c r="A39" s="25">
        <v>20204.0</v>
      </c>
      <c r="B39" s="26" t="s">
        <v>62</v>
      </c>
      <c r="C39" s="9">
        <v>11.363636363636363</v>
      </c>
      <c r="D39" s="9">
        <v>2.3605150214592276</v>
      </c>
    </row>
    <row r="40" ht="15.75" customHeight="1">
      <c r="A40" s="25">
        <v>20205.0</v>
      </c>
      <c r="B40" s="26" t="s">
        <v>63</v>
      </c>
      <c r="C40" s="9">
        <v>26.08695652173913</v>
      </c>
      <c r="D40" s="9">
        <v>4.672897196261682</v>
      </c>
    </row>
    <row r="41" ht="15.75" customHeight="1">
      <c r="A41" s="25">
        <v>20206.0</v>
      </c>
      <c r="B41" s="26" t="s">
        <v>64</v>
      </c>
      <c r="C41" s="9">
        <v>25.889328063241106</v>
      </c>
      <c r="D41" s="9">
        <v>10.198300283286118</v>
      </c>
    </row>
    <row r="42" ht="15.75" customHeight="1">
      <c r="A42" s="25">
        <v>20301.0</v>
      </c>
      <c r="B42" s="26" t="s">
        <v>65</v>
      </c>
      <c r="C42" s="9">
        <v>20.304568527918782</v>
      </c>
      <c r="D42" s="9">
        <v>17.604617604617605</v>
      </c>
    </row>
    <row r="43" ht="15.75" customHeight="1">
      <c r="A43" s="25">
        <v>20302.0</v>
      </c>
      <c r="B43" s="26" t="s">
        <v>66</v>
      </c>
      <c r="C43" s="9">
        <v>6.001765225066196</v>
      </c>
      <c r="D43" s="9">
        <v>2.629193109700816</v>
      </c>
    </row>
    <row r="44" ht="15.75" customHeight="1">
      <c r="A44" s="25">
        <v>20303.0</v>
      </c>
      <c r="B44" s="26" t="s">
        <v>67</v>
      </c>
      <c r="C44" s="9">
        <v>6.163522012578617</v>
      </c>
      <c r="D44" s="9">
        <v>3.080568720379147</v>
      </c>
    </row>
    <row r="45" ht="15.75" customHeight="1">
      <c r="A45" s="25">
        <v>20304.0</v>
      </c>
      <c r="B45" s="26" t="s">
        <v>68</v>
      </c>
      <c r="C45" s="9">
        <v>6.825938566552901</v>
      </c>
      <c r="D45" s="9">
        <v>2.1447721179624666</v>
      </c>
    </row>
    <row r="46" ht="15.75" customHeight="1">
      <c r="A46" s="25">
        <v>20305.0</v>
      </c>
      <c r="B46" s="26" t="s">
        <v>69</v>
      </c>
      <c r="C46" s="9">
        <v>14.981273408239701</v>
      </c>
      <c r="D46" s="9">
        <v>16.15598885793872</v>
      </c>
    </row>
    <row r="47" ht="15.75" customHeight="1">
      <c r="A47" s="25">
        <v>20306.0</v>
      </c>
      <c r="B47" s="26" t="s">
        <v>70</v>
      </c>
      <c r="C47" s="9">
        <v>11.398176291793312</v>
      </c>
      <c r="D47" s="9">
        <v>2.660406885758998</v>
      </c>
    </row>
    <row r="48" ht="15.75" customHeight="1">
      <c r="A48" s="25">
        <v>20307.0</v>
      </c>
      <c r="B48" s="26" t="s">
        <v>71</v>
      </c>
      <c r="C48" s="9">
        <v>1.282051282051282</v>
      </c>
      <c r="D48" s="9">
        <v>2.7439024390243905</v>
      </c>
    </row>
    <row r="49" ht="15.75" customHeight="1">
      <c r="A49" s="25">
        <v>20308.0</v>
      </c>
      <c r="B49" s="26" t="s">
        <v>72</v>
      </c>
      <c r="C49" s="9">
        <v>4.364326375711575</v>
      </c>
      <c r="D49" s="9">
        <v>2.0325203252032518</v>
      </c>
    </row>
    <row r="50" ht="15.75" customHeight="1">
      <c r="A50" s="25">
        <v>20401.0</v>
      </c>
      <c r="B50" s="26" t="s">
        <v>73</v>
      </c>
      <c r="C50" s="9">
        <v>6.155507559395248</v>
      </c>
      <c r="D50" s="9">
        <v>7.019438444924406</v>
      </c>
    </row>
    <row r="51" ht="15.75" customHeight="1">
      <c r="A51" s="25">
        <v>20402.0</v>
      </c>
      <c r="B51" s="26" t="s">
        <v>74</v>
      </c>
      <c r="C51" s="9">
        <v>5.259417199715707</v>
      </c>
      <c r="D51" s="9">
        <v>4.416403785488959</v>
      </c>
    </row>
    <row r="52" ht="15.75" customHeight="1">
      <c r="A52" s="25">
        <v>20403.0</v>
      </c>
      <c r="B52" s="26" t="s">
        <v>75</v>
      </c>
      <c r="C52" s="9">
        <v>15.413533834586465</v>
      </c>
      <c r="D52" s="9">
        <v>7.763259031514219</v>
      </c>
    </row>
    <row r="53" ht="15.75" customHeight="1">
      <c r="A53" s="25">
        <v>20404.0</v>
      </c>
      <c r="B53" s="26" t="s">
        <v>76</v>
      </c>
      <c r="C53" s="9">
        <v>3.9761431411530817</v>
      </c>
      <c r="D53" s="9">
        <v>3.4246575342465753</v>
      </c>
    </row>
    <row r="54" ht="15.75" customHeight="1">
      <c r="A54" s="25">
        <v>20405.0</v>
      </c>
      <c r="B54" s="26" t="s">
        <v>77</v>
      </c>
      <c r="C54" s="9">
        <v>8.333333333333332</v>
      </c>
      <c r="D54" s="9">
        <v>3.225806451612903</v>
      </c>
    </row>
    <row r="55" ht="15.75" customHeight="1">
      <c r="A55" s="25">
        <v>20501.0</v>
      </c>
      <c r="B55" s="26" t="s">
        <v>78</v>
      </c>
      <c r="C55" s="9">
        <v>3.9861351819757362</v>
      </c>
      <c r="D55" s="9">
        <v>5.548128342245989</v>
      </c>
    </row>
    <row r="56" ht="15.75" customHeight="1">
      <c r="A56" s="25">
        <v>20502.0</v>
      </c>
      <c r="B56" s="26" t="s">
        <v>79</v>
      </c>
      <c r="C56" s="9">
        <v>2.545068928950159</v>
      </c>
      <c r="D56" s="9">
        <v>6.8557919621749415</v>
      </c>
    </row>
    <row r="57" ht="15.75" customHeight="1">
      <c r="A57" s="25">
        <v>20503.0</v>
      </c>
      <c r="B57" s="26" t="s">
        <v>80</v>
      </c>
      <c r="C57" s="9">
        <v>5.436573311367381</v>
      </c>
      <c r="D57" s="9">
        <v>4.426229508196721</v>
      </c>
    </row>
    <row r="58" ht="15.75" customHeight="1">
      <c r="A58" s="25">
        <v>20601.0</v>
      </c>
      <c r="B58" s="26" t="s">
        <v>81</v>
      </c>
      <c r="C58" s="9">
        <v>6.675392670157068</v>
      </c>
      <c r="D58" s="9">
        <v>5.395072217502124</v>
      </c>
    </row>
    <row r="59" ht="15.75" customHeight="1">
      <c r="A59" s="25">
        <v>20602.0</v>
      </c>
      <c r="B59" s="26" t="s">
        <v>82</v>
      </c>
      <c r="C59" s="9">
        <v>10.134739308728765</v>
      </c>
      <c r="D59" s="9">
        <v>4.415760869565218</v>
      </c>
    </row>
    <row r="60" ht="15.75" customHeight="1">
      <c r="A60" s="25">
        <v>20603.0</v>
      </c>
      <c r="B60" s="26" t="s">
        <v>83</v>
      </c>
      <c r="C60" s="9">
        <v>4.565217391304348</v>
      </c>
      <c r="D60" s="9">
        <v>6.473988439306358</v>
      </c>
    </row>
    <row r="61" ht="15.75" customHeight="1">
      <c r="A61" s="25">
        <v>20604.0</v>
      </c>
      <c r="B61" s="26" t="s">
        <v>84</v>
      </c>
      <c r="C61" s="9">
        <v>2.142857142857143</v>
      </c>
      <c r="D61" s="9">
        <v>6.830601092896176</v>
      </c>
    </row>
    <row r="62" ht="15.75" customHeight="1">
      <c r="A62" s="25">
        <v>20605.0</v>
      </c>
      <c r="B62" s="26" t="s">
        <v>85</v>
      </c>
      <c r="C62" s="9">
        <v>5.965909090909091</v>
      </c>
      <c r="D62" s="9">
        <v>3.404255319148936</v>
      </c>
    </row>
    <row r="63" ht="15.75" customHeight="1">
      <c r="A63" s="25">
        <v>20606.0</v>
      </c>
      <c r="B63" s="26" t="s">
        <v>86</v>
      </c>
      <c r="C63" s="9">
        <v>5.9067357512953365</v>
      </c>
      <c r="D63" s="9">
        <v>5.194805194805195</v>
      </c>
    </row>
    <row r="64" ht="15.75" customHeight="1">
      <c r="A64" s="25">
        <v>20607.0</v>
      </c>
      <c r="B64" s="26" t="s">
        <v>87</v>
      </c>
      <c r="C64" s="9">
        <v>4.724919093851133</v>
      </c>
      <c r="D64" s="9">
        <v>10.03700277520814</v>
      </c>
    </row>
    <row r="65" ht="15.75" customHeight="1">
      <c r="A65" s="25">
        <v>20608.0</v>
      </c>
      <c r="B65" s="26" t="s">
        <v>88</v>
      </c>
      <c r="C65" s="9">
        <v>4.706927175843695</v>
      </c>
      <c r="D65" s="9">
        <v>6.163328197226503</v>
      </c>
    </row>
    <row r="66" ht="15.75" customHeight="1">
      <c r="A66" s="25">
        <v>20701.0</v>
      </c>
      <c r="B66" s="26" t="s">
        <v>89</v>
      </c>
      <c r="C66" s="9">
        <v>17.615511551155116</v>
      </c>
      <c r="D66" s="9">
        <v>14.729064039408868</v>
      </c>
    </row>
    <row r="67" ht="15.75" customHeight="1">
      <c r="A67" s="25">
        <v>20702.0</v>
      </c>
      <c r="B67" s="26" t="s">
        <v>90</v>
      </c>
      <c r="C67" s="9">
        <v>11.08764519535375</v>
      </c>
      <c r="D67" s="9">
        <v>9.131602506714414</v>
      </c>
    </row>
    <row r="68" ht="15.75" customHeight="1">
      <c r="A68" s="25">
        <v>20801.0</v>
      </c>
      <c r="B68" s="26" t="s">
        <v>91</v>
      </c>
      <c r="C68" s="9">
        <v>16.195109461016514</v>
      </c>
      <c r="D68" s="9">
        <v>7.2773250913177865</v>
      </c>
    </row>
    <row r="69" ht="15.75" customHeight="1">
      <c r="A69" s="25">
        <v>20802.0</v>
      </c>
      <c r="B69" s="26" t="s">
        <v>92</v>
      </c>
      <c r="C69" s="9">
        <v>33.15290933694182</v>
      </c>
      <c r="D69" s="9">
        <v>37.99019607843137</v>
      </c>
    </row>
    <row r="70" ht="15.75" customHeight="1">
      <c r="A70" s="25">
        <v>20803.0</v>
      </c>
      <c r="B70" s="26" t="s">
        <v>93</v>
      </c>
      <c r="C70" s="9">
        <v>12.296983758700696</v>
      </c>
      <c r="D70" s="9">
        <v>4.048582995951417</v>
      </c>
    </row>
    <row r="71" ht="15.75" customHeight="1">
      <c r="A71" s="25">
        <v>20804.0</v>
      </c>
      <c r="B71" s="26" t="s">
        <v>94</v>
      </c>
      <c r="C71" s="9">
        <v>8.935361216730039</v>
      </c>
      <c r="D71" s="9">
        <v>6.745362563237774</v>
      </c>
    </row>
    <row r="72" ht="15.75" customHeight="1">
      <c r="A72" s="25">
        <v>20805.0</v>
      </c>
      <c r="B72" s="26" t="s">
        <v>95</v>
      </c>
      <c r="C72" s="9">
        <v>9.090909090909092</v>
      </c>
      <c r="D72" s="9">
        <v>1.9230769230769231</v>
      </c>
    </row>
    <row r="73" ht="15.75" customHeight="1">
      <c r="A73" s="25">
        <v>20806.0</v>
      </c>
      <c r="B73" s="26" t="s">
        <v>96</v>
      </c>
      <c r="C73" s="9">
        <v>7.578008915304606</v>
      </c>
      <c r="D73" s="9">
        <v>2.38290879211175</v>
      </c>
    </row>
    <row r="74" ht="15.75" customHeight="1">
      <c r="A74" s="25">
        <v>20807.0</v>
      </c>
      <c r="B74" s="26" t="s">
        <v>97</v>
      </c>
      <c r="C74" s="9">
        <v>9.236947791164658</v>
      </c>
      <c r="D74" s="9">
        <v>4.3577981651376145</v>
      </c>
    </row>
    <row r="75" ht="15.75" customHeight="1">
      <c r="A75" s="25">
        <v>20901.0</v>
      </c>
      <c r="B75" s="26" t="s">
        <v>98</v>
      </c>
      <c r="C75" s="9">
        <v>6.1368209255533195</v>
      </c>
      <c r="D75" s="9">
        <v>3.9780521262002746</v>
      </c>
    </row>
    <row r="76" ht="15.75" customHeight="1">
      <c r="A76" s="25">
        <v>20902.0</v>
      </c>
      <c r="B76" s="26" t="s">
        <v>99</v>
      </c>
      <c r="C76" s="9">
        <v>4.625984251968504</v>
      </c>
      <c r="D76" s="9">
        <v>3.1535269709543567</v>
      </c>
    </row>
    <row r="77" ht="15.75" customHeight="1">
      <c r="A77" s="25">
        <v>20903.0</v>
      </c>
      <c r="B77" s="26" t="s">
        <v>100</v>
      </c>
      <c r="C77" s="9">
        <v>4.233576642335766</v>
      </c>
      <c r="D77" s="9">
        <v>5.745212323064113</v>
      </c>
    </row>
    <row r="78" ht="15.75" customHeight="1">
      <c r="A78" s="25">
        <v>20904.0</v>
      </c>
      <c r="B78" s="26" t="s">
        <v>101</v>
      </c>
      <c r="C78" s="9">
        <v>10.26615969581749</v>
      </c>
      <c r="D78" s="9">
        <v>6.16822429906542</v>
      </c>
    </row>
    <row r="79" ht="15.75" customHeight="1">
      <c r="A79" s="25">
        <v>20905.0</v>
      </c>
      <c r="B79" s="26" t="s">
        <v>102</v>
      </c>
      <c r="C79" s="9">
        <v>2.343017806935333</v>
      </c>
      <c r="D79" s="9">
        <v>4.1522491349480966</v>
      </c>
    </row>
    <row r="80" ht="15.75" customHeight="1">
      <c r="A80" s="25">
        <v>21001.0</v>
      </c>
      <c r="B80" s="26" t="s">
        <v>103</v>
      </c>
      <c r="C80" s="9">
        <v>4.0918880114860015</v>
      </c>
      <c r="D80" s="9">
        <v>4.934415990006246</v>
      </c>
    </row>
    <row r="81" ht="15.75" customHeight="1">
      <c r="A81" s="25">
        <v>21002.0</v>
      </c>
      <c r="B81" s="26" t="s">
        <v>104</v>
      </c>
      <c r="C81" s="9">
        <v>7.622739018087856</v>
      </c>
      <c r="D81" s="9">
        <v>4.864253393665159</v>
      </c>
    </row>
    <row r="82" ht="15.75" customHeight="1">
      <c r="A82" s="25">
        <v>21003.0</v>
      </c>
      <c r="B82" s="26" t="s">
        <v>105</v>
      </c>
      <c r="C82" s="9">
        <v>10.241545893719808</v>
      </c>
      <c r="D82" s="9">
        <v>4.513888888888888</v>
      </c>
    </row>
    <row r="83" ht="15.75" customHeight="1">
      <c r="A83" s="25">
        <v>21004.0</v>
      </c>
      <c r="B83" s="26" t="s">
        <v>106</v>
      </c>
      <c r="C83" s="9">
        <v>7.816571130797289</v>
      </c>
      <c r="D83" s="9">
        <v>3.273809523809524</v>
      </c>
    </row>
    <row r="84" ht="15.75" customHeight="1">
      <c r="A84" s="25">
        <v>21005.0</v>
      </c>
      <c r="B84" s="26" t="s">
        <v>107</v>
      </c>
      <c r="C84" s="9">
        <v>3.0456852791878175</v>
      </c>
      <c r="D84" s="9">
        <v>4.648648648648648</v>
      </c>
    </row>
    <row r="85" ht="15.75" customHeight="1">
      <c r="A85" s="25">
        <v>21006.0</v>
      </c>
      <c r="B85" s="26" t="s">
        <v>108</v>
      </c>
      <c r="C85" s="9">
        <v>8.270676691729323</v>
      </c>
      <c r="D85" s="9">
        <v>7.153284671532846</v>
      </c>
    </row>
    <row r="86" ht="15.75" customHeight="1">
      <c r="A86" s="25">
        <v>21101.0</v>
      </c>
      <c r="B86" s="26" t="s">
        <v>109</v>
      </c>
      <c r="C86" s="9">
        <v>5.126541207008436</v>
      </c>
      <c r="D86" s="9">
        <v>3.774981495188749</v>
      </c>
    </row>
    <row r="87" ht="15.75" customHeight="1">
      <c r="A87" s="25">
        <v>21102.0</v>
      </c>
      <c r="B87" s="26" t="s">
        <v>110</v>
      </c>
      <c r="C87" s="9">
        <v>3.758949880668258</v>
      </c>
      <c r="D87" s="9">
        <v>3.4530386740331496</v>
      </c>
    </row>
    <row r="88" ht="15.75" customHeight="1">
      <c r="A88" s="25">
        <v>21103.0</v>
      </c>
      <c r="B88" s="26" t="s">
        <v>111</v>
      </c>
      <c r="C88" s="9">
        <v>5.815831987075929</v>
      </c>
      <c r="D88" s="9">
        <v>5.657237936772046</v>
      </c>
    </row>
    <row r="89" ht="15.75" customHeight="1">
      <c r="A89" s="25">
        <v>21104.0</v>
      </c>
      <c r="B89" s="26" t="s">
        <v>112</v>
      </c>
      <c r="C89" s="9">
        <v>4.207119741100324</v>
      </c>
      <c r="D89" s="9">
        <v>3.284132841328413</v>
      </c>
    </row>
    <row r="90" ht="15.75" customHeight="1">
      <c r="A90" s="25">
        <v>21105.0</v>
      </c>
      <c r="B90" s="26" t="s">
        <v>113</v>
      </c>
      <c r="C90" s="9">
        <v>3.4977188789919613</v>
      </c>
      <c r="D90" s="9">
        <v>3.2286795813849927</v>
      </c>
    </row>
    <row r="91" ht="15.75" customHeight="1">
      <c r="A91" s="25">
        <v>21201.0</v>
      </c>
      <c r="B91" s="26" t="s">
        <v>114</v>
      </c>
      <c r="C91" s="9">
        <v>7.9470198675496695</v>
      </c>
      <c r="D91" s="9">
        <v>4.0</v>
      </c>
    </row>
    <row r="92" ht="15.75" customHeight="1">
      <c r="A92" s="25">
        <v>21202.0</v>
      </c>
      <c r="B92" s="26" t="s">
        <v>115</v>
      </c>
      <c r="C92" s="9">
        <v>8.631578947368421</v>
      </c>
      <c r="D92" s="9">
        <v>4.236111111111112</v>
      </c>
    </row>
    <row r="93" ht="15.75" customHeight="1">
      <c r="A93" s="25">
        <v>21203.0</v>
      </c>
      <c r="B93" s="26" t="s">
        <v>116</v>
      </c>
      <c r="C93" s="9">
        <v>8.565989847715736</v>
      </c>
      <c r="D93" s="9">
        <v>3.51123595505618</v>
      </c>
    </row>
    <row r="94" ht="15.75" customHeight="1">
      <c r="A94" s="25">
        <v>21204.0</v>
      </c>
      <c r="B94" s="26" t="s">
        <v>117</v>
      </c>
      <c r="C94" s="9">
        <v>8.671586715867159</v>
      </c>
      <c r="D94" s="9">
        <v>7.113821138211382</v>
      </c>
    </row>
    <row r="95" ht="15.75" customHeight="1">
      <c r="A95" s="25">
        <v>21301.0</v>
      </c>
      <c r="B95" s="26" t="s">
        <v>118</v>
      </c>
      <c r="C95" s="9">
        <v>9.502407704654896</v>
      </c>
      <c r="D95" s="9">
        <v>4.852993269571378</v>
      </c>
    </row>
    <row r="96" ht="15.75" customHeight="1">
      <c r="A96" s="25">
        <v>21302.0</v>
      </c>
      <c r="B96" s="26" t="s">
        <v>119</v>
      </c>
      <c r="C96" s="9">
        <v>5.255878284923928</v>
      </c>
      <c r="D96" s="9">
        <v>3.040540540540541</v>
      </c>
    </row>
    <row r="97" ht="15.75" customHeight="1">
      <c r="A97" s="25">
        <v>21303.0</v>
      </c>
      <c r="B97" s="26" t="s">
        <v>120</v>
      </c>
      <c r="C97" s="9">
        <v>2.61136712749616</v>
      </c>
      <c r="D97" s="9">
        <v>4.310344827586207</v>
      </c>
    </row>
    <row r="98" ht="15.75" customHeight="1">
      <c r="A98" s="25">
        <v>21304.0</v>
      </c>
      <c r="B98" s="26" t="s">
        <v>121</v>
      </c>
      <c r="C98" s="9">
        <v>6.282722513089005</v>
      </c>
      <c r="D98" s="9">
        <v>5.414847161572053</v>
      </c>
    </row>
    <row r="99" ht="15.75" customHeight="1">
      <c r="A99" s="25">
        <v>21305.0</v>
      </c>
      <c r="B99" s="26" t="s">
        <v>122</v>
      </c>
      <c r="C99" s="9">
        <v>13.134704154427194</v>
      </c>
      <c r="D99" s="9">
        <v>10.008779631255488</v>
      </c>
    </row>
    <row r="100" ht="15.75" customHeight="1">
      <c r="A100" s="25">
        <v>21306.0</v>
      </c>
      <c r="B100" s="26" t="s">
        <v>123</v>
      </c>
      <c r="C100" s="9">
        <v>8.383838383838384</v>
      </c>
      <c r="D100" s="9">
        <v>7.173447537473233</v>
      </c>
    </row>
    <row r="101" ht="15.75" customHeight="1">
      <c r="A101" s="25">
        <v>21307.0</v>
      </c>
      <c r="B101" s="26" t="s">
        <v>124</v>
      </c>
      <c r="C101" s="9">
        <v>6.430155210643015</v>
      </c>
      <c r="D101" s="9">
        <v>8.863636363636363</v>
      </c>
    </row>
    <row r="102" ht="15.75" customHeight="1">
      <c r="A102" s="25">
        <v>21401.0</v>
      </c>
      <c r="B102" s="26" t="s">
        <v>125</v>
      </c>
      <c r="C102" s="9">
        <v>7.003686150605581</v>
      </c>
      <c r="D102" s="9">
        <v>4.190919674039581</v>
      </c>
    </row>
    <row r="103" ht="15.75" customHeight="1">
      <c r="A103" s="25">
        <v>21402.0</v>
      </c>
      <c r="B103" s="26" t="s">
        <v>126</v>
      </c>
      <c r="C103" s="9">
        <v>4.4089456869009584</v>
      </c>
      <c r="D103" s="9">
        <v>3.2956222331529763</v>
      </c>
    </row>
    <row r="104" ht="15.75" customHeight="1">
      <c r="A104" s="25">
        <v>21501.0</v>
      </c>
      <c r="B104" s="26" t="s">
        <v>127</v>
      </c>
      <c r="C104" s="9">
        <v>8.640776699029127</v>
      </c>
      <c r="D104" s="9">
        <v>4.728546409807356</v>
      </c>
    </row>
    <row r="105" ht="15.75" customHeight="1">
      <c r="A105" s="25">
        <v>21502.0</v>
      </c>
      <c r="B105" s="26" t="s">
        <v>128</v>
      </c>
      <c r="C105" s="9">
        <v>6.577344701583435</v>
      </c>
      <c r="D105" s="9">
        <v>6.265984654731457</v>
      </c>
    </row>
    <row r="106" ht="15.75" customHeight="1">
      <c r="A106" s="25">
        <v>21601.0</v>
      </c>
      <c r="B106" s="26" t="s">
        <v>129</v>
      </c>
      <c r="C106" s="9">
        <v>7.180650037792895</v>
      </c>
      <c r="D106" s="9">
        <v>6.0899653979238755</v>
      </c>
    </row>
    <row r="107" ht="15.75" customHeight="1">
      <c r="A107" s="25">
        <v>21602.0</v>
      </c>
      <c r="B107" s="26" t="s">
        <v>130</v>
      </c>
      <c r="C107" s="9">
        <v>11.003236245954692</v>
      </c>
      <c r="D107" s="9">
        <v>8.859060402684564</v>
      </c>
    </row>
    <row r="108" ht="15.75" customHeight="1">
      <c r="A108" s="25">
        <v>21701.0</v>
      </c>
      <c r="B108" s="26" t="s">
        <v>131</v>
      </c>
      <c r="C108" s="9">
        <v>7.380738073807381</v>
      </c>
      <c r="D108" s="9">
        <v>6.957186544342507</v>
      </c>
    </row>
    <row r="109" ht="15.75" customHeight="1">
      <c r="A109" s="25">
        <v>21702.0</v>
      </c>
      <c r="B109" s="26" t="s">
        <v>132</v>
      </c>
      <c r="C109" s="9">
        <v>18.34862385321101</v>
      </c>
      <c r="D109" s="9">
        <v>10.432190760059612</v>
      </c>
    </row>
    <row r="110" ht="15.75" customHeight="1">
      <c r="A110" s="25">
        <v>21703.0</v>
      </c>
      <c r="B110" s="26" t="s">
        <v>133</v>
      </c>
      <c r="C110" s="9">
        <v>11.884057971014492</v>
      </c>
      <c r="D110" s="9">
        <v>6.351791530944626</v>
      </c>
    </row>
    <row r="111" ht="15.75" customHeight="1">
      <c r="A111" s="25">
        <v>21801.0</v>
      </c>
      <c r="B111" s="26" t="s">
        <v>134</v>
      </c>
      <c r="C111" s="9">
        <v>6.753554502369669</v>
      </c>
      <c r="D111" s="9">
        <v>5.037037037037037</v>
      </c>
    </row>
    <row r="112" ht="15.75" customHeight="1">
      <c r="A112" s="25">
        <v>21802.0</v>
      </c>
      <c r="B112" s="26" t="s">
        <v>135</v>
      </c>
      <c r="C112" s="9">
        <v>8.553654743390357</v>
      </c>
      <c r="D112" s="9">
        <v>6.828193832599119</v>
      </c>
    </row>
    <row r="113" ht="15.75" customHeight="1">
      <c r="A113" s="25">
        <v>21803.0</v>
      </c>
      <c r="B113" s="26" t="s">
        <v>136</v>
      </c>
      <c r="C113" s="9">
        <v>7.4324324324324325</v>
      </c>
      <c r="D113" s="9">
        <v>6.0402684563758395</v>
      </c>
    </row>
    <row r="114" ht="15.75" customHeight="1">
      <c r="A114" s="25">
        <v>21901.0</v>
      </c>
      <c r="B114" s="26" t="s">
        <v>137</v>
      </c>
      <c r="C114" s="9">
        <v>11.730205278592376</v>
      </c>
      <c r="D114" s="9">
        <v>5.338809034907597</v>
      </c>
    </row>
    <row r="115" ht="15.75" customHeight="1">
      <c r="A115" s="25">
        <v>21902.0</v>
      </c>
      <c r="B115" s="26" t="s">
        <v>138</v>
      </c>
      <c r="C115" s="9">
        <v>4.53257790368272</v>
      </c>
      <c r="D115" s="9">
        <v>4.11522633744856</v>
      </c>
    </row>
    <row r="116" ht="15.75" customHeight="1">
      <c r="A116" s="25">
        <v>22001.0</v>
      </c>
      <c r="B116" s="26" t="s">
        <v>139</v>
      </c>
      <c r="C116" s="9">
        <v>10.500171291538198</v>
      </c>
      <c r="D116" s="9">
        <v>5.793742757821553</v>
      </c>
    </row>
    <row r="117" ht="15.75" customHeight="1">
      <c r="A117" s="25">
        <v>22002.0</v>
      </c>
      <c r="B117" s="26" t="s">
        <v>140</v>
      </c>
      <c r="C117" s="9">
        <v>5.105105105105105</v>
      </c>
      <c r="D117" s="9">
        <v>3.285420944558522</v>
      </c>
    </row>
    <row r="118" ht="15.75" customHeight="1">
      <c r="A118" s="25">
        <v>30101.0</v>
      </c>
      <c r="B118" s="26" t="s">
        <v>15</v>
      </c>
      <c r="C118" s="9">
        <v>19.03247785600727</v>
      </c>
      <c r="D118" s="9">
        <v>4.822179033570871</v>
      </c>
    </row>
    <row r="119" ht="15.75" customHeight="1">
      <c r="A119" s="25">
        <v>30201.0</v>
      </c>
      <c r="B119" s="26" t="s">
        <v>141</v>
      </c>
      <c r="C119" s="9">
        <v>7.748538011695906</v>
      </c>
      <c r="D119" s="9">
        <v>3.6654620547237995</v>
      </c>
    </row>
    <row r="120" ht="15.75" customHeight="1">
      <c r="A120" s="25">
        <v>30202.0</v>
      </c>
      <c r="B120" s="26" t="s">
        <v>142</v>
      </c>
      <c r="C120" s="9">
        <v>9.746328437917223</v>
      </c>
      <c r="D120" s="9">
        <v>5.650684931506849</v>
      </c>
    </row>
    <row r="121" ht="15.75" customHeight="1">
      <c r="A121" s="25">
        <v>30203.0</v>
      </c>
      <c r="B121" s="26" t="s">
        <v>143</v>
      </c>
      <c r="C121" s="9">
        <v>4.840940525587829</v>
      </c>
      <c r="D121" s="9">
        <v>4.753820033955857</v>
      </c>
    </row>
    <row r="122" ht="15.75" customHeight="1">
      <c r="A122" s="25">
        <v>30301.0</v>
      </c>
      <c r="B122" s="26" t="s">
        <v>144</v>
      </c>
      <c r="C122" s="9">
        <v>2.6578073089700998</v>
      </c>
      <c r="D122" s="9">
        <v>2.296918767507003</v>
      </c>
    </row>
    <row r="123" ht="15.75" customHeight="1">
      <c r="A123" s="25">
        <v>30302.0</v>
      </c>
      <c r="B123" s="26" t="s">
        <v>145</v>
      </c>
      <c r="C123" s="9">
        <v>2.933780385582565</v>
      </c>
      <c r="D123" s="9">
        <v>4.340567612687813</v>
      </c>
    </row>
    <row r="124" ht="15.75" customHeight="1">
      <c r="A124" s="25">
        <v>30303.0</v>
      </c>
      <c r="B124" s="26" t="s">
        <v>146</v>
      </c>
      <c r="C124" s="9">
        <v>7.647345348270823</v>
      </c>
      <c r="D124" s="9">
        <v>2.957121734844751</v>
      </c>
    </row>
    <row r="125" ht="15.75" customHeight="1">
      <c r="A125" s="25">
        <v>30401.0</v>
      </c>
      <c r="B125" s="26" t="s">
        <v>147</v>
      </c>
      <c r="C125" s="9">
        <v>29.605263157894733</v>
      </c>
      <c r="D125" s="9">
        <v>5.432287681713849</v>
      </c>
    </row>
    <row r="126" ht="15.75" customHeight="1">
      <c r="A126" s="25">
        <v>30402.0</v>
      </c>
      <c r="B126" s="26" t="s">
        <v>148</v>
      </c>
      <c r="C126" s="9">
        <v>5.689655172413794</v>
      </c>
      <c r="D126" s="9">
        <v>3.481624758220503</v>
      </c>
    </row>
    <row r="127" ht="15.75" customHeight="1">
      <c r="A127" s="25">
        <v>30403.0</v>
      </c>
      <c r="B127" s="26" t="s">
        <v>149</v>
      </c>
      <c r="C127" s="9">
        <v>10.182926829268292</v>
      </c>
      <c r="D127" s="9">
        <v>4.381543233811555</v>
      </c>
    </row>
    <row r="128" ht="15.75" customHeight="1">
      <c r="A128" s="25">
        <v>30404.0</v>
      </c>
      <c r="B128" s="26" t="s">
        <v>150</v>
      </c>
      <c r="C128" s="9">
        <v>7.3979591836734695</v>
      </c>
      <c r="D128" s="9">
        <v>4.72972972972973</v>
      </c>
    </row>
    <row r="129" ht="15.75" customHeight="1">
      <c r="A129" s="25">
        <v>30501.0</v>
      </c>
      <c r="B129" s="26" t="s">
        <v>151</v>
      </c>
      <c r="C129" s="9">
        <v>13.312693498452013</v>
      </c>
      <c r="D129" s="9">
        <v>3.917301414581066</v>
      </c>
    </row>
    <row r="130" ht="15.75" customHeight="1">
      <c r="A130" s="25">
        <v>30502.0</v>
      </c>
      <c r="B130" s="26" t="s">
        <v>152</v>
      </c>
      <c r="C130" s="9">
        <v>5.07399577167019</v>
      </c>
      <c r="D130" s="9">
        <v>2.945736434108527</v>
      </c>
    </row>
    <row r="131" ht="15.75" customHeight="1">
      <c r="A131" s="25">
        <v>30601.0</v>
      </c>
      <c r="B131" s="26" t="s">
        <v>153</v>
      </c>
      <c r="C131" s="9">
        <v>3.5678889990089195</v>
      </c>
      <c r="D131" s="9">
        <v>3.5751840168243953</v>
      </c>
    </row>
    <row r="132" ht="15.75" customHeight="1">
      <c r="A132" s="25">
        <v>30602.0</v>
      </c>
      <c r="B132" s="26" t="s">
        <v>154</v>
      </c>
      <c r="C132" s="9">
        <v>3.75</v>
      </c>
      <c r="D132" s="9">
        <v>6.187624750499002</v>
      </c>
    </row>
    <row r="133" ht="15.75" customHeight="1">
      <c r="A133" s="25">
        <v>30701.0</v>
      </c>
      <c r="B133" s="26" t="s">
        <v>155</v>
      </c>
      <c r="C133" s="9">
        <v>7.772277227722772</v>
      </c>
      <c r="D133" s="9">
        <v>4.273504273504273</v>
      </c>
    </row>
    <row r="134" ht="15.75" customHeight="1">
      <c r="A134" s="25">
        <v>30702.0</v>
      </c>
      <c r="B134" s="26" t="s">
        <v>156</v>
      </c>
      <c r="C134" s="9">
        <v>20.943134535367545</v>
      </c>
      <c r="D134" s="9">
        <v>11.678832116788321</v>
      </c>
    </row>
    <row r="135" ht="15.75" customHeight="1">
      <c r="A135" s="25">
        <v>30703.0</v>
      </c>
      <c r="B135" s="26" t="s">
        <v>157</v>
      </c>
      <c r="C135" s="9">
        <v>4.8517520215633425</v>
      </c>
      <c r="D135" s="9">
        <v>6.521739130434782</v>
      </c>
    </row>
    <row r="136" ht="15.75" customHeight="1">
      <c r="A136" s="25">
        <v>30801.0</v>
      </c>
      <c r="B136" s="26" t="s">
        <v>158</v>
      </c>
      <c r="C136" s="9">
        <v>15.52823315118397</v>
      </c>
      <c r="D136" s="9">
        <v>4.118993135011442</v>
      </c>
    </row>
    <row r="137" ht="15.75" customHeight="1">
      <c r="A137" s="25">
        <v>30802.0</v>
      </c>
      <c r="B137" s="26" t="s">
        <v>159</v>
      </c>
      <c r="C137" s="9">
        <v>13.098591549295774</v>
      </c>
      <c r="D137" s="9">
        <v>5.593220338983051</v>
      </c>
    </row>
    <row r="138" ht="15.75" customHeight="1">
      <c r="A138" s="25">
        <v>30803.0</v>
      </c>
      <c r="B138" s="26" t="s">
        <v>160</v>
      </c>
      <c r="C138" s="9">
        <v>42.96875</v>
      </c>
      <c r="D138" s="9">
        <v>33.59826589595375</v>
      </c>
    </row>
    <row r="139" ht="15.75" customHeight="1">
      <c r="A139" s="25">
        <v>30901.0</v>
      </c>
      <c r="B139" s="26" t="s">
        <v>161</v>
      </c>
      <c r="C139" s="9">
        <v>17.536562458070577</v>
      </c>
      <c r="D139" s="9">
        <v>6.112437875169431</v>
      </c>
    </row>
    <row r="140" ht="15.75" customHeight="1">
      <c r="A140" s="25">
        <v>30902.0</v>
      </c>
      <c r="B140" s="26" t="s">
        <v>162</v>
      </c>
      <c r="C140" s="9">
        <v>9.611913357400722</v>
      </c>
      <c r="D140" s="9">
        <v>4.696517412935323</v>
      </c>
    </row>
    <row r="141" ht="15.75" customHeight="1">
      <c r="A141" s="25">
        <v>30903.0</v>
      </c>
      <c r="B141" s="26" t="s">
        <v>163</v>
      </c>
      <c r="C141" s="9">
        <v>14.746309180383504</v>
      </c>
      <c r="D141" s="9">
        <v>3.9112050739957716</v>
      </c>
    </row>
    <row r="142" ht="15.75" customHeight="1">
      <c r="A142" s="25">
        <v>30904.0</v>
      </c>
      <c r="B142" s="26" t="s">
        <v>164</v>
      </c>
      <c r="C142" s="9">
        <v>13.18447634237108</v>
      </c>
      <c r="D142" s="9">
        <v>3.7023392890035</v>
      </c>
    </row>
    <row r="143" ht="15.75" customHeight="1">
      <c r="A143" s="25">
        <v>30905.0</v>
      </c>
      <c r="B143" s="26" t="s">
        <v>165</v>
      </c>
      <c r="C143" s="9">
        <v>18.000366233290606</v>
      </c>
      <c r="D143" s="9">
        <v>3.3974895397489537</v>
      </c>
    </row>
    <row r="144" ht="15.75" customHeight="1">
      <c r="A144" s="25">
        <v>31001.0</v>
      </c>
      <c r="B144" s="26" t="s">
        <v>166</v>
      </c>
      <c r="C144" s="9">
        <v>15.66788533884385</v>
      </c>
      <c r="D144" s="9">
        <v>3.6577213255658485</v>
      </c>
    </row>
    <row r="145" ht="15.75" customHeight="1">
      <c r="A145" s="25">
        <v>31002.0</v>
      </c>
      <c r="B145" s="26" t="s">
        <v>167</v>
      </c>
      <c r="C145" s="9">
        <v>11.448395490026018</v>
      </c>
      <c r="D145" s="9">
        <v>9.190371991247265</v>
      </c>
    </row>
    <row r="146" ht="15.75" customHeight="1">
      <c r="A146" s="25">
        <v>31003.0</v>
      </c>
      <c r="B146" s="26" t="s">
        <v>168</v>
      </c>
      <c r="C146" s="9">
        <v>7.03852788959172</v>
      </c>
      <c r="D146" s="9">
        <v>6.20831195484864</v>
      </c>
    </row>
    <row r="147" ht="15.75" customHeight="1">
      <c r="A147" s="25">
        <v>31101.0</v>
      </c>
      <c r="B147" s="26" t="s">
        <v>169</v>
      </c>
      <c r="C147" s="9">
        <v>2.8793774319066148</v>
      </c>
      <c r="D147" s="9">
        <v>4.3375766148043375</v>
      </c>
    </row>
    <row r="148" ht="15.75" customHeight="1">
      <c r="A148" s="25">
        <v>31201.0</v>
      </c>
      <c r="B148" s="26" t="s">
        <v>170</v>
      </c>
      <c r="C148" s="9">
        <v>3.5294117647058822</v>
      </c>
      <c r="D148" s="9">
        <v>1.602136181575434</v>
      </c>
    </row>
    <row r="149" ht="15.75" customHeight="1">
      <c r="A149" s="25">
        <v>31202.0</v>
      </c>
      <c r="B149" s="26" t="s">
        <v>171</v>
      </c>
      <c r="C149" s="9">
        <v>4.375569735642662</v>
      </c>
      <c r="D149" s="9">
        <v>2.401921537229784</v>
      </c>
    </row>
    <row r="150" ht="15.75" customHeight="1">
      <c r="A150" s="25">
        <v>31203.0</v>
      </c>
      <c r="B150" s="26" t="s">
        <v>172</v>
      </c>
      <c r="C150" s="9">
        <v>2.9812606473594547</v>
      </c>
      <c r="D150" s="9">
        <v>3.313840155945419</v>
      </c>
    </row>
    <row r="151" ht="15.75" customHeight="1">
      <c r="A151" s="25">
        <v>31204.0</v>
      </c>
      <c r="B151" s="26" t="s">
        <v>173</v>
      </c>
      <c r="C151" s="9">
        <v>10.356224752111642</v>
      </c>
      <c r="D151" s="9">
        <v>11.439114391143912</v>
      </c>
    </row>
    <row r="152" ht="15.75" customHeight="1">
      <c r="A152" s="25">
        <v>31205.0</v>
      </c>
      <c r="B152" s="26" t="s">
        <v>174</v>
      </c>
      <c r="C152" s="9">
        <v>6.641208699983397</v>
      </c>
      <c r="D152" s="9">
        <v>5.801316393693556</v>
      </c>
    </row>
    <row r="153" ht="15.75" customHeight="1">
      <c r="A153" s="25">
        <v>31206.0</v>
      </c>
      <c r="B153" s="26" t="s">
        <v>175</v>
      </c>
      <c r="C153" s="9">
        <v>12.819899545563263</v>
      </c>
      <c r="D153" s="9">
        <v>9.463859344475797</v>
      </c>
    </row>
    <row r="154" ht="15.75" customHeight="1">
      <c r="A154" s="25">
        <v>31301.0</v>
      </c>
      <c r="B154" s="26" t="s">
        <v>176</v>
      </c>
      <c r="C154" s="9">
        <v>3.731695795937648</v>
      </c>
      <c r="D154" s="9">
        <v>2.7744270205066344</v>
      </c>
    </row>
    <row r="155" ht="15.75" customHeight="1">
      <c r="A155" s="25">
        <v>31302.0</v>
      </c>
      <c r="B155" s="26" t="s">
        <v>177</v>
      </c>
      <c r="C155" s="9">
        <v>6.5055762081784385</v>
      </c>
      <c r="D155" s="9">
        <v>6.944444444444445</v>
      </c>
    </row>
    <row r="156" ht="15.75" customHeight="1">
      <c r="A156" s="25">
        <v>31303.0</v>
      </c>
      <c r="B156" s="26" t="s">
        <v>178</v>
      </c>
      <c r="C156" s="9">
        <v>6.231454005934718</v>
      </c>
      <c r="D156" s="9">
        <v>5.88235294117647</v>
      </c>
    </row>
    <row r="157" ht="15.75" customHeight="1">
      <c r="A157" s="25">
        <v>31304.0</v>
      </c>
      <c r="B157" s="26" t="s">
        <v>179</v>
      </c>
      <c r="C157" s="9">
        <v>1.5712682379349048</v>
      </c>
      <c r="D157" s="9">
        <v>4.186602870813397</v>
      </c>
    </row>
    <row r="158" ht="15.75" customHeight="1">
      <c r="A158" s="25">
        <v>31401.0</v>
      </c>
      <c r="B158" s="26" t="s">
        <v>180</v>
      </c>
      <c r="C158" s="9">
        <v>16.9811320754717</v>
      </c>
      <c r="D158" s="9">
        <v>3.9473684210526314</v>
      </c>
    </row>
    <row r="159" ht="15.75" customHeight="1">
      <c r="A159" s="25">
        <v>31402.0</v>
      </c>
      <c r="B159" s="26" t="s">
        <v>181</v>
      </c>
      <c r="C159" s="9">
        <v>14.81958762886598</v>
      </c>
      <c r="D159" s="9">
        <v>6.51872399445215</v>
      </c>
    </row>
    <row r="160" ht="15.75" customHeight="1">
      <c r="A160" s="25">
        <v>31403.0</v>
      </c>
      <c r="B160" s="26" t="s">
        <v>182</v>
      </c>
      <c r="C160" s="9">
        <v>13.88888888888889</v>
      </c>
      <c r="D160" s="9">
        <v>3.581526861451461</v>
      </c>
    </row>
    <row r="161" ht="15.75" customHeight="1">
      <c r="A161" s="25">
        <v>31404.0</v>
      </c>
      <c r="B161" s="26" t="s">
        <v>183</v>
      </c>
      <c r="C161" s="9">
        <v>12.396694214876034</v>
      </c>
      <c r="D161" s="9">
        <v>5.434782608695652</v>
      </c>
    </row>
    <row r="162" ht="15.75" customHeight="1">
      <c r="A162" s="25">
        <v>31405.0</v>
      </c>
      <c r="B162" s="26" t="s">
        <v>184</v>
      </c>
      <c r="C162" s="9">
        <v>15.686274509803921</v>
      </c>
      <c r="D162" s="9">
        <v>4.320987654320987</v>
      </c>
    </row>
    <row r="163" ht="15.75" customHeight="1">
      <c r="A163" s="25">
        <v>31501.0</v>
      </c>
      <c r="B163" s="26" t="s">
        <v>185</v>
      </c>
      <c r="C163" s="9">
        <v>2.122015915119363</v>
      </c>
      <c r="D163" s="9">
        <v>5.1655629139072845</v>
      </c>
    </row>
    <row r="164" ht="15.75" customHeight="1">
      <c r="A164" s="25">
        <v>31601.0</v>
      </c>
      <c r="B164" s="26" t="s">
        <v>186</v>
      </c>
      <c r="C164" s="9">
        <v>3.8129822968679075</v>
      </c>
      <c r="D164" s="9">
        <v>3.2974001268230815</v>
      </c>
    </row>
    <row r="165" ht="15.75" customHeight="1">
      <c r="A165" s="25">
        <v>31602.0</v>
      </c>
      <c r="B165" s="26" t="s">
        <v>187</v>
      </c>
      <c r="C165" s="9">
        <v>6.388780677834048</v>
      </c>
      <c r="D165" s="9">
        <v>8.279009126466754</v>
      </c>
    </row>
    <row r="166" ht="15.75" customHeight="1">
      <c r="A166" s="25">
        <v>40101.0</v>
      </c>
      <c r="B166" s="26" t="s">
        <v>17</v>
      </c>
      <c r="C166" s="9">
        <v>21.013720054027154</v>
      </c>
      <c r="D166" s="9">
        <v>3.886509635974304</v>
      </c>
    </row>
    <row r="167" ht="15.75" customHeight="1">
      <c r="A167" s="25">
        <v>40102.0</v>
      </c>
      <c r="B167" s="26" t="s">
        <v>188</v>
      </c>
      <c r="C167" s="9">
        <v>12.668213457076567</v>
      </c>
      <c r="D167" s="9">
        <v>3.8930581613508446</v>
      </c>
    </row>
    <row r="168" ht="15.75" customHeight="1">
      <c r="A168" s="25">
        <v>40103.0</v>
      </c>
      <c r="B168" s="26" t="s">
        <v>189</v>
      </c>
      <c r="C168" s="9">
        <v>8.419689119170984</v>
      </c>
      <c r="D168" s="9">
        <v>4.089219330855019</v>
      </c>
    </row>
    <row r="169" ht="15.75" customHeight="1">
      <c r="A169" s="25">
        <v>40104.0</v>
      </c>
      <c r="B169" s="26" t="s">
        <v>190</v>
      </c>
      <c r="C169" s="9">
        <v>7.506053268765134</v>
      </c>
      <c r="D169" s="9">
        <v>5.280259951259139</v>
      </c>
    </row>
    <row r="170" ht="15.75" customHeight="1">
      <c r="A170" s="25">
        <v>40201.0</v>
      </c>
      <c r="B170" s="26" t="s">
        <v>191</v>
      </c>
      <c r="C170" s="9">
        <v>18.739635157545607</v>
      </c>
      <c r="D170" s="9">
        <v>4.48943661971831</v>
      </c>
    </row>
    <row r="171" ht="15.75" customHeight="1">
      <c r="A171" s="25">
        <v>40202.0</v>
      </c>
      <c r="B171" s="26" t="s">
        <v>192</v>
      </c>
      <c r="C171" s="9">
        <v>5.128205128205128</v>
      </c>
      <c r="D171" s="9">
        <v>2.558139534883721</v>
      </c>
    </row>
    <row r="172" ht="15.75" customHeight="1">
      <c r="A172" s="25">
        <v>40301.0</v>
      </c>
      <c r="B172" s="26" t="s">
        <v>193</v>
      </c>
      <c r="C172" s="9">
        <v>25.485436893203882</v>
      </c>
      <c r="D172" s="9">
        <v>8.834446919079436</v>
      </c>
    </row>
    <row r="173" ht="15.75" customHeight="1">
      <c r="A173" s="25">
        <v>40302.0</v>
      </c>
      <c r="B173" s="26" t="s">
        <v>194</v>
      </c>
      <c r="C173" s="9">
        <v>10.256410256410255</v>
      </c>
      <c r="D173" s="9">
        <v>5.714285714285714</v>
      </c>
    </row>
    <row r="174" ht="15.75" customHeight="1">
      <c r="A174" s="25">
        <v>40401.0</v>
      </c>
      <c r="B174" s="26" t="s">
        <v>195</v>
      </c>
      <c r="C174" s="9">
        <v>40.94903339191564</v>
      </c>
      <c r="D174" s="9">
        <v>21.419518377693283</v>
      </c>
    </row>
    <row r="175" ht="15.75" customHeight="1">
      <c r="A175" s="25">
        <v>40402.0</v>
      </c>
      <c r="B175" s="26" t="s">
        <v>196</v>
      </c>
      <c r="C175" s="9">
        <v>11.306532663316583</v>
      </c>
      <c r="D175" s="9">
        <v>5.42299349240781</v>
      </c>
    </row>
    <row r="176" ht="15.75" customHeight="1">
      <c r="A176" s="25">
        <v>40501.0</v>
      </c>
      <c r="B176" s="26" t="s">
        <v>197</v>
      </c>
      <c r="C176" s="9">
        <v>70.82152974504248</v>
      </c>
      <c r="D176" s="9">
        <v>14.5748987854251</v>
      </c>
    </row>
    <row r="177" ht="15.75" customHeight="1">
      <c r="A177" s="25">
        <v>40502.0</v>
      </c>
      <c r="B177" s="26" t="s">
        <v>198</v>
      </c>
      <c r="C177" s="9">
        <v>11.633663366336634</v>
      </c>
      <c r="D177" s="9">
        <v>6.133333333333333</v>
      </c>
    </row>
    <row r="178" ht="15.75" customHeight="1">
      <c r="A178" s="25">
        <v>40503.0</v>
      </c>
      <c r="B178" s="26" t="s">
        <v>199</v>
      </c>
      <c r="C178" s="9">
        <v>16.56804733727811</v>
      </c>
      <c r="D178" s="9">
        <v>5.333333333333334</v>
      </c>
    </row>
    <row r="179" ht="15.75" customHeight="1">
      <c r="A179" s="25">
        <v>40504.0</v>
      </c>
      <c r="B179" s="26" t="s">
        <v>200</v>
      </c>
      <c r="C179" s="9">
        <v>13.20754716981132</v>
      </c>
      <c r="D179" s="9">
        <v>6.976744186046512</v>
      </c>
    </row>
    <row r="180" ht="15.75" customHeight="1">
      <c r="A180" s="25">
        <v>40505.0</v>
      </c>
      <c r="B180" s="26" t="s">
        <v>201</v>
      </c>
      <c r="C180" s="9">
        <v>17.921146953405017</v>
      </c>
      <c r="D180" s="9">
        <v>6.956521739130435</v>
      </c>
    </row>
    <row r="181" ht="15.75" customHeight="1">
      <c r="A181" s="25">
        <v>40601.0</v>
      </c>
      <c r="B181" s="26" t="s">
        <v>202</v>
      </c>
      <c r="C181" s="9">
        <v>19.52247191011236</v>
      </c>
      <c r="D181" s="9">
        <v>3.072625698324022</v>
      </c>
    </row>
    <row r="182" ht="15.75" customHeight="1">
      <c r="A182" s="25">
        <v>40602.0</v>
      </c>
      <c r="B182" s="26" t="s">
        <v>203</v>
      </c>
      <c r="C182" s="9">
        <v>10.961968680089486</v>
      </c>
      <c r="D182" s="9">
        <v>5.901639344262295</v>
      </c>
    </row>
    <row r="183" ht="15.75" customHeight="1">
      <c r="A183" s="25">
        <v>40603.0</v>
      </c>
      <c r="B183" s="26" t="s">
        <v>204</v>
      </c>
      <c r="C183" s="9">
        <v>9.45945945945946</v>
      </c>
      <c r="D183" s="9">
        <v>2.973977695167286</v>
      </c>
    </row>
    <row r="184" ht="15.75" customHeight="1">
      <c r="A184" s="25">
        <v>40701.0</v>
      </c>
      <c r="B184" s="26" t="s">
        <v>205</v>
      </c>
      <c r="C184" s="9">
        <v>15.26001705029838</v>
      </c>
      <c r="D184" s="9">
        <v>6.018054162487462</v>
      </c>
    </row>
    <row r="185" ht="15.75" customHeight="1">
      <c r="A185" s="25">
        <v>40702.0</v>
      </c>
      <c r="B185" s="26" t="s">
        <v>206</v>
      </c>
      <c r="C185" s="9">
        <v>20.388349514563107</v>
      </c>
      <c r="D185" s="9">
        <v>4.989154013015185</v>
      </c>
    </row>
    <row r="186" ht="15.75" customHeight="1">
      <c r="A186" s="25">
        <v>40801.0</v>
      </c>
      <c r="B186" s="26" t="s">
        <v>207</v>
      </c>
      <c r="C186" s="9">
        <v>9.801762114537445</v>
      </c>
      <c r="D186" s="9">
        <v>4.156862745098039</v>
      </c>
    </row>
    <row r="187" ht="15.75" customHeight="1">
      <c r="A187" s="25">
        <v>40802.0</v>
      </c>
      <c r="B187" s="26" t="s">
        <v>208</v>
      </c>
      <c r="C187" s="9">
        <v>8.25242718446602</v>
      </c>
      <c r="D187" s="9">
        <v>2.8688524590163933</v>
      </c>
    </row>
    <row r="188" ht="15.75" customHeight="1">
      <c r="A188" s="25">
        <v>40901.0</v>
      </c>
      <c r="B188" s="26" t="s">
        <v>209</v>
      </c>
      <c r="C188" s="9">
        <v>17.914110429447852</v>
      </c>
      <c r="D188" s="9">
        <v>6.705539358600583</v>
      </c>
    </row>
    <row r="189" ht="15.75" customHeight="1">
      <c r="A189" s="25">
        <v>40902.0</v>
      </c>
      <c r="B189" s="26" t="s">
        <v>210</v>
      </c>
      <c r="C189" s="9">
        <v>19.642857142857142</v>
      </c>
      <c r="D189" s="9">
        <v>12.096774193548388</v>
      </c>
    </row>
    <row r="190" ht="15.75" customHeight="1">
      <c r="A190" s="25">
        <v>40903.0</v>
      </c>
      <c r="B190" s="26" t="s">
        <v>211</v>
      </c>
      <c r="C190" s="9">
        <v>11.46788990825688</v>
      </c>
      <c r="D190" s="9">
        <v>18.37837837837838</v>
      </c>
    </row>
    <row r="191" ht="15.75" customHeight="1">
      <c r="A191" s="25">
        <v>41001.0</v>
      </c>
      <c r="B191" s="26" t="s">
        <v>212</v>
      </c>
      <c r="C191" s="9">
        <v>7.73067331670823</v>
      </c>
      <c r="D191" s="9">
        <v>4.691075514874142</v>
      </c>
    </row>
    <row r="192" ht="15.75" customHeight="1">
      <c r="A192" s="25">
        <v>41101.0</v>
      </c>
      <c r="B192" s="26" t="s">
        <v>213</v>
      </c>
      <c r="C192" s="9">
        <v>10.612244897959183</v>
      </c>
      <c r="D192" s="9">
        <v>3.4934497816593884</v>
      </c>
    </row>
    <row r="193" ht="15.75" customHeight="1">
      <c r="A193" s="25">
        <v>41201.0</v>
      </c>
      <c r="B193" s="26" t="s">
        <v>214</v>
      </c>
      <c r="C193" s="9">
        <v>12.30366492146597</v>
      </c>
      <c r="D193" s="9">
        <v>2.947845804988662</v>
      </c>
    </row>
    <row r="194" ht="15.75" customHeight="1">
      <c r="A194" s="25">
        <v>41202.0</v>
      </c>
      <c r="B194" s="26" t="s">
        <v>215</v>
      </c>
      <c r="C194" s="9">
        <v>7.643312101910828</v>
      </c>
      <c r="D194" s="9">
        <v>4.545454545454546</v>
      </c>
    </row>
    <row r="195" ht="15.75" customHeight="1">
      <c r="A195" s="25">
        <v>41301.0</v>
      </c>
      <c r="B195" s="26" t="s">
        <v>216</v>
      </c>
      <c r="C195" s="9">
        <v>7.858546168958743</v>
      </c>
      <c r="D195" s="9">
        <v>5.040322580645161</v>
      </c>
    </row>
    <row r="196" ht="15.75" customHeight="1">
      <c r="A196" s="25">
        <v>41401.0</v>
      </c>
      <c r="B196" s="26" t="s">
        <v>217</v>
      </c>
      <c r="C196" s="9">
        <v>11.266447368421053</v>
      </c>
      <c r="D196" s="9">
        <v>5.385996409335727</v>
      </c>
    </row>
    <row r="197" ht="15.75" customHeight="1">
      <c r="A197" s="25">
        <v>41501.0</v>
      </c>
      <c r="B197" s="26" t="s">
        <v>218</v>
      </c>
      <c r="C197" s="9">
        <v>8.823529411764707</v>
      </c>
      <c r="D197" s="9">
        <v>17.647058823529413</v>
      </c>
    </row>
    <row r="198" ht="15.75" customHeight="1">
      <c r="A198" s="25">
        <v>41502.0</v>
      </c>
      <c r="B198" s="26" t="s">
        <v>219</v>
      </c>
      <c r="C198" s="9">
        <v>38.613861386138616</v>
      </c>
      <c r="D198" s="9">
        <v>21.12676056338028</v>
      </c>
    </row>
    <row r="199" ht="15.75" customHeight="1">
      <c r="A199" s="25">
        <v>41503.0</v>
      </c>
      <c r="B199" s="26" t="s">
        <v>220</v>
      </c>
      <c r="C199" s="9">
        <v>14.666666666666666</v>
      </c>
      <c r="D199" s="9">
        <v>8.333333333333332</v>
      </c>
    </row>
    <row r="200" ht="15.75" customHeight="1">
      <c r="A200" s="25">
        <v>41601.0</v>
      </c>
      <c r="B200" s="26" t="s">
        <v>221</v>
      </c>
      <c r="C200" s="9">
        <v>10.311750599520384</v>
      </c>
      <c r="D200" s="9">
        <v>2.5236593059936907</v>
      </c>
    </row>
    <row r="201" ht="15.75" customHeight="1">
      <c r="A201" s="25">
        <v>50101.0</v>
      </c>
      <c r="B201" s="26" t="s">
        <v>19</v>
      </c>
      <c r="C201" s="9">
        <v>18.832309043020192</v>
      </c>
      <c r="D201" s="9">
        <v>3.5324431951276645</v>
      </c>
    </row>
    <row r="202" ht="15.75" customHeight="1">
      <c r="A202" s="25">
        <v>50102.0</v>
      </c>
      <c r="B202" s="26" t="s">
        <v>222</v>
      </c>
      <c r="C202" s="9">
        <v>5.067837190742218</v>
      </c>
      <c r="D202" s="9">
        <v>3.757325060324026</v>
      </c>
    </row>
    <row r="203" ht="15.75" customHeight="1">
      <c r="A203" s="25">
        <v>50103.0</v>
      </c>
      <c r="B203" s="26" t="s">
        <v>223</v>
      </c>
      <c r="C203" s="9">
        <v>7.74365821094793</v>
      </c>
      <c r="D203" s="9">
        <v>2.166064981949458</v>
      </c>
    </row>
    <row r="204" ht="15.75" customHeight="1">
      <c r="A204" s="25">
        <v>50104.0</v>
      </c>
      <c r="B204" s="26" t="s">
        <v>224</v>
      </c>
      <c r="C204" s="9">
        <v>5.88235294117647</v>
      </c>
      <c r="D204" s="9">
        <v>2.9850746268656714</v>
      </c>
    </row>
    <row r="205" ht="15.75" customHeight="1">
      <c r="A205" s="25">
        <v>50201.0</v>
      </c>
      <c r="B205" s="26" t="s">
        <v>225</v>
      </c>
      <c r="C205" s="9">
        <v>12.991959373677528</v>
      </c>
      <c r="D205" s="9">
        <v>9.111210361768647</v>
      </c>
    </row>
    <row r="206" ht="15.75" customHeight="1">
      <c r="A206" s="25">
        <v>50202.0</v>
      </c>
      <c r="B206" s="26" t="s">
        <v>226</v>
      </c>
      <c r="C206" s="9">
        <v>6.5549890750182085</v>
      </c>
      <c r="D206" s="9">
        <v>4.243191893603546</v>
      </c>
    </row>
    <row r="207" ht="15.75" customHeight="1">
      <c r="A207" s="25">
        <v>50203.0</v>
      </c>
      <c r="B207" s="26" t="s">
        <v>227</v>
      </c>
      <c r="C207" s="9">
        <v>17.417350787663636</v>
      </c>
      <c r="D207" s="9">
        <v>2.4276968545492927</v>
      </c>
    </row>
    <row r="208" ht="15.75" customHeight="1">
      <c r="A208" s="25">
        <v>50204.0</v>
      </c>
      <c r="B208" s="26" t="s">
        <v>228</v>
      </c>
      <c r="C208" s="9">
        <v>7.552083333333333</v>
      </c>
      <c r="D208" s="9">
        <v>3.3623910336239105</v>
      </c>
    </row>
    <row r="209" ht="15.75" customHeight="1">
      <c r="A209" s="25">
        <v>50301.0</v>
      </c>
      <c r="B209" s="26" t="s">
        <v>229</v>
      </c>
      <c r="C209" s="9">
        <v>6.523887973640857</v>
      </c>
      <c r="D209" s="9">
        <v>4.048582995951417</v>
      </c>
    </row>
    <row r="210" ht="15.75" customHeight="1">
      <c r="A210" s="25">
        <v>50302.0</v>
      </c>
      <c r="B210" s="26" t="s">
        <v>230</v>
      </c>
      <c r="C210" s="9">
        <v>8.463541666666668</v>
      </c>
      <c r="D210" s="9">
        <v>4.848484848484849</v>
      </c>
    </row>
    <row r="211" ht="15.75" customHeight="1">
      <c r="A211" s="25">
        <v>50303.0</v>
      </c>
      <c r="B211" s="26" t="s">
        <v>231</v>
      </c>
      <c r="C211" s="9">
        <v>5.737704918032787</v>
      </c>
      <c r="D211" s="9">
        <v>4.312267657992565</v>
      </c>
    </row>
    <row r="212" ht="15.75" customHeight="1">
      <c r="A212" s="25">
        <v>50401.0</v>
      </c>
      <c r="B212" s="26" t="s">
        <v>232</v>
      </c>
      <c r="C212" s="9">
        <v>4.861580013504389</v>
      </c>
      <c r="D212" s="9">
        <v>2.9579067121729237</v>
      </c>
    </row>
    <row r="213" ht="15.75" customHeight="1">
      <c r="A213" s="25">
        <v>50402.0</v>
      </c>
      <c r="B213" s="26" t="s">
        <v>233</v>
      </c>
      <c r="C213" s="9">
        <v>5.665181413112667</v>
      </c>
      <c r="D213" s="9">
        <v>3.3306255077173033</v>
      </c>
    </row>
    <row r="214" ht="15.75" customHeight="1">
      <c r="A214" s="25">
        <v>50403.0</v>
      </c>
      <c r="B214" s="26" t="s">
        <v>234</v>
      </c>
      <c r="C214" s="9">
        <v>6.288751107174491</v>
      </c>
      <c r="D214" s="9">
        <v>4.858156028368795</v>
      </c>
    </row>
    <row r="215" ht="15.75" customHeight="1">
      <c r="A215" s="25">
        <v>50404.0</v>
      </c>
      <c r="B215" s="26" t="s">
        <v>235</v>
      </c>
      <c r="C215" s="9">
        <v>4.768892149669846</v>
      </c>
      <c r="D215" s="9">
        <v>3.5502958579881656</v>
      </c>
    </row>
    <row r="216" ht="15.75" customHeight="1">
      <c r="A216" s="25">
        <v>50405.0</v>
      </c>
      <c r="B216" s="26" t="s">
        <v>236</v>
      </c>
      <c r="C216" s="9">
        <v>3.2073310423825885</v>
      </c>
      <c r="D216" s="9">
        <v>3.1945788964181996</v>
      </c>
    </row>
    <row r="217" ht="15.75" customHeight="1">
      <c r="A217" s="25">
        <v>50501.0</v>
      </c>
      <c r="B217" s="26" t="s">
        <v>237</v>
      </c>
      <c r="C217" s="9">
        <v>5.367867867867868</v>
      </c>
      <c r="D217" s="9">
        <v>5.219206680584551</v>
      </c>
    </row>
    <row r="218" ht="15.75" customHeight="1">
      <c r="A218" s="25">
        <v>50502.0</v>
      </c>
      <c r="B218" s="26" t="s">
        <v>238</v>
      </c>
      <c r="C218" s="9">
        <v>7.6923076923076925</v>
      </c>
      <c r="D218" s="9">
        <v>5.204460966542751</v>
      </c>
    </row>
    <row r="219" ht="15.75" customHeight="1">
      <c r="A219" s="25">
        <v>50601.0</v>
      </c>
      <c r="B219" s="26" t="s">
        <v>239</v>
      </c>
      <c r="C219" s="9">
        <v>6.639973306639973</v>
      </c>
      <c r="D219" s="9">
        <v>4.425162689804772</v>
      </c>
    </row>
    <row r="220" ht="15.75" customHeight="1">
      <c r="A220" s="25">
        <v>50602.0</v>
      </c>
      <c r="B220" s="26" t="s">
        <v>240</v>
      </c>
      <c r="C220" s="9">
        <v>9.788654060066742</v>
      </c>
      <c r="D220" s="9">
        <v>4.918032786885246</v>
      </c>
    </row>
    <row r="221" ht="15.75" customHeight="1">
      <c r="A221" s="25">
        <v>50701.0</v>
      </c>
      <c r="B221" s="26" t="s">
        <v>241</v>
      </c>
      <c r="C221" s="9">
        <v>3.916004540295119</v>
      </c>
      <c r="D221" s="9">
        <v>3.2577903682719547</v>
      </c>
    </row>
    <row r="222" ht="15.75" customHeight="1">
      <c r="A222" s="25">
        <v>50702.0</v>
      </c>
      <c r="B222" s="26" t="s">
        <v>242</v>
      </c>
      <c r="C222" s="9">
        <v>3.9886039886039883</v>
      </c>
      <c r="D222" s="9">
        <v>5.02092050209205</v>
      </c>
    </row>
    <row r="223" ht="15.75" customHeight="1">
      <c r="A223" s="25">
        <v>50801.0</v>
      </c>
      <c r="B223" s="26" t="s">
        <v>243</v>
      </c>
      <c r="C223" s="9">
        <v>12.848297213622292</v>
      </c>
      <c r="D223" s="9">
        <v>9.360126916975146</v>
      </c>
    </row>
    <row r="224" ht="15.75" customHeight="1">
      <c r="A224" s="25">
        <v>50802.0</v>
      </c>
      <c r="B224" s="26" t="s">
        <v>244</v>
      </c>
      <c r="C224" s="9">
        <v>8.253358925143955</v>
      </c>
      <c r="D224" s="9">
        <v>1.9498607242339834</v>
      </c>
    </row>
    <row r="225" ht="15.75" customHeight="1">
      <c r="A225" s="25">
        <v>50901.0</v>
      </c>
      <c r="B225" s="26" t="s">
        <v>245</v>
      </c>
      <c r="C225" s="9">
        <v>18.515797207935343</v>
      </c>
      <c r="D225" s="9">
        <v>26.169064748201436</v>
      </c>
    </row>
    <row r="226" ht="15.75" customHeight="1">
      <c r="A226" s="25">
        <v>50902.0</v>
      </c>
      <c r="B226" s="26" t="s">
        <v>246</v>
      </c>
      <c r="C226" s="9">
        <v>15.11627906976744</v>
      </c>
      <c r="D226" s="9">
        <v>14.285714285714285</v>
      </c>
    </row>
    <row r="227" ht="15.75" customHeight="1">
      <c r="A227" s="25">
        <v>51001.0</v>
      </c>
      <c r="B227" s="26" t="s">
        <v>247</v>
      </c>
      <c r="C227" s="9">
        <v>11.84573002754821</v>
      </c>
      <c r="D227" s="9">
        <v>17.8343949044586</v>
      </c>
    </row>
    <row r="228" ht="15.75" customHeight="1">
      <c r="A228" s="25">
        <v>51002.0</v>
      </c>
      <c r="B228" s="26" t="s">
        <v>248</v>
      </c>
      <c r="C228" s="9">
        <v>17.82178217821782</v>
      </c>
      <c r="D228" s="9">
        <v>5.681818181818182</v>
      </c>
    </row>
    <row r="229" ht="15.75" customHeight="1">
      <c r="A229" s="25">
        <v>51003.0</v>
      </c>
      <c r="B229" s="26" t="s">
        <v>249</v>
      </c>
      <c r="C229" s="9">
        <v>4.455445544554455</v>
      </c>
      <c r="D229" s="9">
        <v>7.4074074074074066</v>
      </c>
    </row>
    <row r="230" ht="15.75" customHeight="1">
      <c r="A230" s="25">
        <v>51101.0</v>
      </c>
      <c r="B230" s="26" t="s">
        <v>250</v>
      </c>
      <c r="C230" s="9">
        <v>9.598330725091289</v>
      </c>
      <c r="D230" s="9">
        <v>4.26731078904992</v>
      </c>
    </row>
    <row r="231" ht="15.75" customHeight="1">
      <c r="A231" s="25">
        <v>51102.0</v>
      </c>
      <c r="B231" s="26" t="s">
        <v>251</v>
      </c>
      <c r="C231" s="9">
        <v>12.444046553267682</v>
      </c>
      <c r="D231" s="9">
        <v>2.2914757103574703</v>
      </c>
    </row>
    <row r="232" ht="15.75" customHeight="1">
      <c r="A232" s="25">
        <v>51103.0</v>
      </c>
      <c r="B232" s="26" t="s">
        <v>252</v>
      </c>
      <c r="C232" s="9">
        <v>5.509433962264151</v>
      </c>
      <c r="D232" s="9">
        <v>3.994190268700073</v>
      </c>
    </row>
    <row r="233" ht="15.75" customHeight="1">
      <c r="A233" s="25">
        <v>51201.0</v>
      </c>
      <c r="B233" s="26" t="s">
        <v>253</v>
      </c>
      <c r="C233" s="9">
        <v>13.33098839254309</v>
      </c>
      <c r="D233" s="9">
        <v>9.49326491340603</v>
      </c>
    </row>
    <row r="234" ht="15.75" customHeight="1">
      <c r="A234" s="25">
        <v>51202.0</v>
      </c>
      <c r="B234" s="26" t="s">
        <v>254</v>
      </c>
      <c r="C234" s="9">
        <v>8.176100628930817</v>
      </c>
      <c r="D234" s="9">
        <v>5.534351145038168</v>
      </c>
    </row>
    <row r="235" ht="15.75" customHeight="1">
      <c r="A235" s="25">
        <v>51203.0</v>
      </c>
      <c r="B235" s="26" t="s">
        <v>255</v>
      </c>
      <c r="C235" s="9">
        <v>5.289421157684631</v>
      </c>
      <c r="D235" s="9">
        <v>3.0821917808219177</v>
      </c>
    </row>
    <row r="236" ht="15.75" customHeight="1">
      <c r="A236" s="25">
        <v>51204.0</v>
      </c>
      <c r="B236" s="26" t="s">
        <v>256</v>
      </c>
      <c r="C236" s="9">
        <v>7.7071290944123305</v>
      </c>
      <c r="D236" s="9">
        <v>4.62962962962963</v>
      </c>
    </row>
    <row r="237" ht="15.75" customHeight="1">
      <c r="A237" s="25">
        <v>51301.0</v>
      </c>
      <c r="B237" s="26" t="s">
        <v>257</v>
      </c>
      <c r="C237" s="9">
        <v>5.405405405405405</v>
      </c>
      <c r="D237" s="9">
        <v>4.29042904290429</v>
      </c>
    </row>
    <row r="238" ht="15.75" customHeight="1">
      <c r="A238" s="25">
        <v>51302.0</v>
      </c>
      <c r="B238" s="26" t="s">
        <v>258</v>
      </c>
      <c r="C238" s="9">
        <v>5.642023346303502</v>
      </c>
      <c r="D238" s="9">
        <v>1.5673981191222568</v>
      </c>
    </row>
    <row r="239" ht="15.75" customHeight="1">
      <c r="A239" s="25">
        <v>51401.0</v>
      </c>
      <c r="B239" s="26" t="s">
        <v>259</v>
      </c>
      <c r="C239" s="9">
        <v>16.335540838852097</v>
      </c>
      <c r="D239" s="9">
        <v>14.320987654320987</v>
      </c>
    </row>
    <row r="240" ht="15.75" customHeight="1">
      <c r="A240" s="25">
        <v>51402.0</v>
      </c>
      <c r="B240" s="26" t="s">
        <v>260</v>
      </c>
      <c r="C240" s="9">
        <v>13.513513513513514</v>
      </c>
      <c r="D240" s="9">
        <v>5.88235294117647</v>
      </c>
    </row>
    <row r="241" ht="15.75" customHeight="1">
      <c r="A241" s="25">
        <v>51501.0</v>
      </c>
      <c r="B241" s="26" t="s">
        <v>261</v>
      </c>
      <c r="C241" s="9">
        <v>9.56564177647633</v>
      </c>
      <c r="D241" s="9">
        <v>4.724214692060351</v>
      </c>
    </row>
    <row r="242" ht="15.75" customHeight="1">
      <c r="A242" s="25">
        <v>51601.0</v>
      </c>
      <c r="B242" s="26" t="s">
        <v>262</v>
      </c>
      <c r="C242" s="9">
        <v>10.135135135135135</v>
      </c>
      <c r="D242" s="9">
        <v>14.814814814814813</v>
      </c>
    </row>
    <row r="243" ht="15.75" customHeight="1">
      <c r="A243" s="25">
        <v>60101.0</v>
      </c>
      <c r="B243" s="26" t="s">
        <v>21</v>
      </c>
      <c r="C243" s="9">
        <v>18.084820227741417</v>
      </c>
      <c r="D243" s="9">
        <v>5.873659117997616</v>
      </c>
    </row>
    <row r="244" ht="15.75" customHeight="1">
      <c r="A244" s="25">
        <v>60201.0</v>
      </c>
      <c r="B244" s="26" t="s">
        <v>263</v>
      </c>
      <c r="C244" s="9">
        <v>5.027652086475616</v>
      </c>
      <c r="D244" s="9">
        <v>5.377906976744186</v>
      </c>
    </row>
    <row r="245" ht="15.75" customHeight="1">
      <c r="A245" s="25">
        <v>60202.0</v>
      </c>
      <c r="B245" s="26" t="s">
        <v>264</v>
      </c>
      <c r="C245" s="9">
        <v>10.822510822510822</v>
      </c>
      <c r="D245" s="9">
        <v>6.89900426742532</v>
      </c>
    </row>
    <row r="246" ht="15.75" customHeight="1">
      <c r="A246" s="25">
        <v>60301.0</v>
      </c>
      <c r="B246" s="26" t="s">
        <v>265</v>
      </c>
      <c r="C246" s="9">
        <v>10.861541706211113</v>
      </c>
      <c r="D246" s="9">
        <v>9.693580333216824</v>
      </c>
    </row>
    <row r="247" ht="15.75" customHeight="1">
      <c r="A247" s="25">
        <v>60302.0</v>
      </c>
      <c r="B247" s="26" t="s">
        <v>266</v>
      </c>
      <c r="C247" s="9">
        <v>5.597667638483965</v>
      </c>
      <c r="D247" s="9">
        <v>5.928509154315606</v>
      </c>
    </row>
    <row r="248" ht="15.75" customHeight="1">
      <c r="A248" s="25">
        <v>60303.0</v>
      </c>
      <c r="B248" s="26" t="s">
        <v>267</v>
      </c>
      <c r="C248" s="9">
        <v>18.676175618453307</v>
      </c>
      <c r="D248" s="9">
        <v>13.09125656951744</v>
      </c>
    </row>
    <row r="249" ht="15.75" customHeight="1">
      <c r="A249" s="25">
        <v>60401.0</v>
      </c>
      <c r="B249" s="26" t="s">
        <v>268</v>
      </c>
      <c r="C249" s="9">
        <v>4.9286640726329445</v>
      </c>
      <c r="D249" s="9">
        <v>3.182179793158314</v>
      </c>
    </row>
    <row r="250" ht="15.75" customHeight="1">
      <c r="A250" s="25">
        <v>60402.0</v>
      </c>
      <c r="B250" s="26" t="s">
        <v>269</v>
      </c>
      <c r="C250" s="9">
        <v>4.705882352941177</v>
      </c>
      <c r="D250" s="9">
        <v>4.27807486631016</v>
      </c>
    </row>
    <row r="251" ht="15.75" customHeight="1">
      <c r="A251" s="25">
        <v>60501.0</v>
      </c>
      <c r="B251" s="26" t="s">
        <v>270</v>
      </c>
      <c r="C251" s="9">
        <v>8.459770114942529</v>
      </c>
      <c r="D251" s="9">
        <v>4.213600333750522</v>
      </c>
    </row>
    <row r="252" ht="15.75" customHeight="1">
      <c r="A252" s="25">
        <v>60502.0</v>
      </c>
      <c r="B252" s="26" t="s">
        <v>271</v>
      </c>
      <c r="C252" s="9">
        <v>3.8728897715988087</v>
      </c>
      <c r="D252" s="9">
        <v>6.3467492260061915</v>
      </c>
    </row>
    <row r="253" ht="15.75" customHeight="1">
      <c r="A253" s="25">
        <v>60601.0</v>
      </c>
      <c r="B253" s="26" t="s">
        <v>175</v>
      </c>
      <c r="C253" s="9">
        <v>7.0356472795497185</v>
      </c>
      <c r="D253" s="9">
        <v>3.568977350720659</v>
      </c>
    </row>
    <row r="254" ht="15.75" customHeight="1">
      <c r="A254" s="25">
        <v>70101.0</v>
      </c>
      <c r="B254" s="26" t="s">
        <v>272</v>
      </c>
      <c r="C254" s="9">
        <v>13.391463579495877</v>
      </c>
      <c r="D254" s="9">
        <v>4.581472710478981</v>
      </c>
    </row>
    <row r="255" ht="15.75" customHeight="1">
      <c r="A255" s="25">
        <v>70102.0</v>
      </c>
      <c r="B255" s="26" t="s">
        <v>273</v>
      </c>
      <c r="C255" s="9">
        <v>7.584407111401076</v>
      </c>
      <c r="D255" s="9">
        <v>4.941296579887697</v>
      </c>
    </row>
    <row r="256" ht="15.75" customHeight="1">
      <c r="A256" s="25">
        <v>70103.0</v>
      </c>
      <c r="B256" s="26" t="s">
        <v>274</v>
      </c>
      <c r="C256" s="9">
        <v>8.22538860103627</v>
      </c>
      <c r="D256" s="9">
        <v>3.3553355335533555</v>
      </c>
    </row>
    <row r="257" ht="15.75" customHeight="1">
      <c r="A257" s="25">
        <v>70104.0</v>
      </c>
      <c r="B257" s="26" t="s">
        <v>275</v>
      </c>
      <c r="C257" s="9">
        <v>8.846777462505067</v>
      </c>
      <c r="D257" s="9">
        <v>3.9746587223772534</v>
      </c>
    </row>
    <row r="258" ht="15.75" customHeight="1">
      <c r="A258" s="25">
        <v>70105.0</v>
      </c>
      <c r="B258" s="26" t="s">
        <v>276</v>
      </c>
      <c r="C258" s="9">
        <v>7.621410847217298</v>
      </c>
      <c r="D258" s="9">
        <v>4.46255335661622</v>
      </c>
    </row>
    <row r="259" ht="15.75" customHeight="1">
      <c r="A259" s="25">
        <v>70201.0</v>
      </c>
      <c r="B259" s="26" t="s">
        <v>277</v>
      </c>
      <c r="C259" s="9">
        <v>8.06919308069193</v>
      </c>
      <c r="D259" s="9">
        <v>5.91896003319043</v>
      </c>
    </row>
    <row r="260" ht="15.75" customHeight="1">
      <c r="A260" s="25">
        <v>70202.0</v>
      </c>
      <c r="B260" s="26" t="s">
        <v>278</v>
      </c>
      <c r="C260" s="9">
        <v>7.224606580829756</v>
      </c>
      <c r="D260" s="9">
        <v>4.811715481171548</v>
      </c>
    </row>
    <row r="261" ht="15.75" customHeight="1">
      <c r="A261" s="25">
        <v>70301.0</v>
      </c>
      <c r="B261" s="26" t="s">
        <v>279</v>
      </c>
      <c r="C261" s="9">
        <v>7.955614068083506</v>
      </c>
      <c r="D261" s="9">
        <v>4.8622865056162485</v>
      </c>
    </row>
    <row r="262" ht="15.75" customHeight="1">
      <c r="A262" s="25">
        <v>70302.0</v>
      </c>
      <c r="B262" s="26" t="s">
        <v>280</v>
      </c>
      <c r="C262" s="9">
        <v>4.155614500442087</v>
      </c>
      <c r="D262" s="9">
        <v>4.820261437908497</v>
      </c>
    </row>
    <row r="263" ht="15.75" customHeight="1">
      <c r="A263" s="25">
        <v>70303.0</v>
      </c>
      <c r="B263" s="26" t="s">
        <v>281</v>
      </c>
      <c r="C263" s="9">
        <v>6.119162640901772</v>
      </c>
      <c r="D263" s="9">
        <v>3.968253968253968</v>
      </c>
    </row>
    <row r="264" ht="15.75" customHeight="1">
      <c r="A264" s="25">
        <v>70401.0</v>
      </c>
      <c r="B264" s="26" t="s">
        <v>282</v>
      </c>
      <c r="C264" s="9">
        <v>11.920980926430518</v>
      </c>
      <c r="D264" s="9">
        <v>17.900302114803626</v>
      </c>
    </row>
    <row r="265" ht="15.75" customHeight="1">
      <c r="A265" s="25">
        <v>70402.0</v>
      </c>
      <c r="B265" s="26" t="s">
        <v>283</v>
      </c>
      <c r="C265" s="9">
        <v>9.01749663526245</v>
      </c>
      <c r="D265" s="9">
        <v>5.113636363636364</v>
      </c>
    </row>
    <row r="266" ht="15.75" customHeight="1">
      <c r="A266" s="25">
        <v>70403.0</v>
      </c>
      <c r="B266" s="26" t="s">
        <v>284</v>
      </c>
      <c r="C266" s="9">
        <v>6.498007277768152</v>
      </c>
      <c r="D266" s="9">
        <v>7.526881720430108</v>
      </c>
    </row>
    <row r="267" ht="15.75" customHeight="1">
      <c r="A267" s="25">
        <v>70404.0</v>
      </c>
      <c r="B267" s="26" t="s">
        <v>285</v>
      </c>
      <c r="C267" s="9">
        <v>5.4945054945054945</v>
      </c>
      <c r="D267" s="9">
        <v>7.165437302423603</v>
      </c>
    </row>
    <row r="268" ht="15.75" customHeight="1">
      <c r="A268" s="25">
        <v>70501.0</v>
      </c>
      <c r="B268" s="26" t="s">
        <v>286</v>
      </c>
      <c r="C268" s="9">
        <v>8.589540412044375</v>
      </c>
      <c r="D268" s="9">
        <v>8.542976939203355</v>
      </c>
    </row>
    <row r="269" ht="15.75" customHeight="1">
      <c r="A269" s="25">
        <v>70502.0</v>
      </c>
      <c r="B269" s="26" t="s">
        <v>287</v>
      </c>
      <c r="C269" s="9">
        <v>6.267806267806268</v>
      </c>
      <c r="D269" s="9">
        <v>3.970271856053198</v>
      </c>
    </row>
    <row r="270" ht="15.75" customHeight="1">
      <c r="A270" s="25">
        <v>70503.0</v>
      </c>
      <c r="B270" s="26" t="s">
        <v>288</v>
      </c>
      <c r="C270" s="9">
        <v>28.850978424485703</v>
      </c>
      <c r="D270" s="9">
        <v>27.99237005245589</v>
      </c>
    </row>
    <row r="271" ht="15.75" customHeight="1">
      <c r="A271" s="25">
        <v>70601.0</v>
      </c>
      <c r="B271" s="26" t="s">
        <v>289</v>
      </c>
      <c r="C271" s="9">
        <v>9.799897383273473</v>
      </c>
      <c r="D271" s="9">
        <v>4.824063564131668</v>
      </c>
    </row>
    <row r="272" ht="15.75" customHeight="1">
      <c r="A272" s="25">
        <v>70602.0</v>
      </c>
      <c r="B272" s="26" t="s">
        <v>290</v>
      </c>
      <c r="C272" s="9">
        <v>7.578084997439836</v>
      </c>
      <c r="D272" s="9">
        <v>6.130268199233716</v>
      </c>
    </row>
    <row r="273" ht="15.75" customHeight="1">
      <c r="A273" s="25">
        <v>70603.0</v>
      </c>
      <c r="B273" s="26" t="s">
        <v>291</v>
      </c>
      <c r="C273" s="9">
        <v>9.14826498422713</v>
      </c>
      <c r="D273" s="9">
        <v>8.31758034026465</v>
      </c>
    </row>
    <row r="274" ht="15.75" customHeight="1">
      <c r="A274" s="25">
        <v>70701.0</v>
      </c>
      <c r="B274" s="26" t="s">
        <v>292</v>
      </c>
      <c r="C274" s="9">
        <v>7.879924953095685</v>
      </c>
      <c r="D274" s="9">
        <v>4.048582995951417</v>
      </c>
    </row>
    <row r="275" ht="15.75" customHeight="1">
      <c r="A275" s="25">
        <v>70702.0</v>
      </c>
      <c r="B275" s="26" t="s">
        <v>293</v>
      </c>
      <c r="C275" s="9">
        <v>13.183279742765272</v>
      </c>
      <c r="D275" s="9">
        <v>13.860887096774194</v>
      </c>
    </row>
    <row r="276" ht="15.75" customHeight="1">
      <c r="A276" s="25">
        <v>70703.0</v>
      </c>
      <c r="B276" s="26" t="s">
        <v>294</v>
      </c>
      <c r="C276" s="9">
        <v>7.99213887979037</v>
      </c>
      <c r="D276" s="9">
        <v>9.03010033444816</v>
      </c>
    </row>
    <row r="277" ht="15.75" customHeight="1">
      <c r="A277" s="25">
        <v>70704.0</v>
      </c>
      <c r="B277" s="26" t="s">
        <v>295</v>
      </c>
      <c r="C277" s="9">
        <v>20.212765957446805</v>
      </c>
      <c r="D277" s="9">
        <v>30.211480362537763</v>
      </c>
    </row>
    <row r="278" ht="15.75" customHeight="1">
      <c r="A278" s="25">
        <v>70705.0</v>
      </c>
      <c r="B278" s="26" t="s">
        <v>296</v>
      </c>
      <c r="C278" s="9">
        <v>8.94874022589053</v>
      </c>
      <c r="D278" s="9">
        <v>5.688202247191011</v>
      </c>
    </row>
    <row r="279" ht="15.75" customHeight="1">
      <c r="A279" s="25">
        <v>70706.0</v>
      </c>
      <c r="B279" s="26" t="s">
        <v>297</v>
      </c>
      <c r="C279" s="9">
        <v>23.31386086032926</v>
      </c>
      <c r="D279" s="9">
        <v>6.947645702996379</v>
      </c>
    </row>
    <row r="280" ht="15.75" customHeight="1">
      <c r="A280" s="25">
        <v>70707.0</v>
      </c>
      <c r="B280" s="26" t="s">
        <v>298</v>
      </c>
      <c r="C280" s="9">
        <v>24.552845528455283</v>
      </c>
      <c r="D280" s="9">
        <v>39.376770538243626</v>
      </c>
    </row>
    <row r="281" ht="15.75" customHeight="1">
      <c r="A281" s="25">
        <v>70801.0</v>
      </c>
      <c r="B281" s="26" t="s">
        <v>299</v>
      </c>
      <c r="C281" s="9">
        <v>6.507462686567164</v>
      </c>
      <c r="D281" s="9">
        <v>2.3993808049535605</v>
      </c>
    </row>
    <row r="282" ht="15.75" customHeight="1">
      <c r="A282" s="25">
        <v>70802.0</v>
      </c>
      <c r="B282" s="26" t="s">
        <v>300</v>
      </c>
      <c r="C282" s="9">
        <v>5.46448087431694</v>
      </c>
      <c r="D282" s="9">
        <v>2.73972602739726</v>
      </c>
    </row>
    <row r="283" ht="15.75" customHeight="1">
      <c r="A283" s="25">
        <v>70803.0</v>
      </c>
      <c r="B283" s="26" t="s">
        <v>301</v>
      </c>
      <c r="C283" s="9">
        <v>3.474903474903475</v>
      </c>
      <c r="D283" s="9">
        <v>1.0</v>
      </c>
    </row>
    <row r="284" ht="15.75" customHeight="1">
      <c r="A284" s="25">
        <v>70804.0</v>
      </c>
      <c r="B284" s="26" t="s">
        <v>302</v>
      </c>
      <c r="C284" s="9">
        <v>4.444444444444445</v>
      </c>
      <c r="D284" s="9">
        <v>6.993006993006993</v>
      </c>
    </row>
    <row r="285" ht="15.75" customHeight="1">
      <c r="A285" s="25">
        <v>70805.0</v>
      </c>
      <c r="B285" s="26" t="s">
        <v>303</v>
      </c>
      <c r="C285" s="9">
        <v>6.666666666666667</v>
      </c>
      <c r="D285" s="9">
        <v>2.73972602739726</v>
      </c>
    </row>
    <row r="286" ht="15.75" customHeight="1">
      <c r="A286" s="25">
        <v>70901.0</v>
      </c>
      <c r="B286" s="26" t="s">
        <v>304</v>
      </c>
      <c r="C286" s="9">
        <v>3.4126163391933813</v>
      </c>
      <c r="D286" s="9">
        <v>3.518123667377399</v>
      </c>
    </row>
    <row r="287" ht="15.75" customHeight="1">
      <c r="A287" s="25">
        <v>70902.0</v>
      </c>
      <c r="B287" s="26" t="s">
        <v>305</v>
      </c>
      <c r="C287" s="9">
        <v>3.781979977753059</v>
      </c>
      <c r="D287" s="9">
        <v>2.722772277227723</v>
      </c>
    </row>
    <row r="288" ht="15.75" customHeight="1">
      <c r="A288" s="25">
        <v>70903.0</v>
      </c>
      <c r="B288" s="26" t="s">
        <v>306</v>
      </c>
      <c r="C288" s="9">
        <v>3.6964980544747084</v>
      </c>
      <c r="D288" s="9">
        <v>3.265666372462489</v>
      </c>
    </row>
    <row r="289" ht="15.75" customHeight="1">
      <c r="A289" s="25">
        <v>70904.0</v>
      </c>
      <c r="B289" s="26" t="s">
        <v>307</v>
      </c>
      <c r="C289" s="9">
        <v>7.092198581560284</v>
      </c>
      <c r="D289" s="9">
        <v>5.286343612334802</v>
      </c>
    </row>
    <row r="290" ht="15.75" customHeight="1">
      <c r="A290" s="25">
        <v>71001.0</v>
      </c>
      <c r="B290" s="26" t="s">
        <v>308</v>
      </c>
      <c r="C290" s="9">
        <v>13.463430632994426</v>
      </c>
      <c r="D290" s="9">
        <v>6.385858073247061</v>
      </c>
    </row>
    <row r="291" ht="15.75" customHeight="1">
      <c r="A291" s="25">
        <v>71002.0</v>
      </c>
      <c r="B291" s="26" t="s">
        <v>309</v>
      </c>
      <c r="C291" s="9">
        <v>7.892976588628763</v>
      </c>
      <c r="D291" s="9">
        <v>7.09353421217828</v>
      </c>
    </row>
    <row r="292" ht="15.75" customHeight="1">
      <c r="A292" s="25">
        <v>71003.0</v>
      </c>
      <c r="B292" s="26" t="s">
        <v>310</v>
      </c>
      <c r="C292" s="9">
        <v>7.728706624605679</v>
      </c>
      <c r="D292" s="9">
        <v>6.406685236768802</v>
      </c>
    </row>
    <row r="293" ht="15.75" customHeight="1">
      <c r="A293" s="25">
        <v>71004.0</v>
      </c>
      <c r="B293" s="26" t="s">
        <v>311</v>
      </c>
      <c r="C293" s="9">
        <v>8.043591074208614</v>
      </c>
      <c r="D293" s="9">
        <v>4.557463672391017</v>
      </c>
    </row>
    <row r="294" ht="15.75" customHeight="1">
      <c r="A294" s="25">
        <v>71005.0</v>
      </c>
      <c r="B294" s="26" t="s">
        <v>312</v>
      </c>
      <c r="C294" s="9">
        <v>7.5408462505236695</v>
      </c>
      <c r="D294" s="9">
        <v>5.256570713391739</v>
      </c>
    </row>
    <row r="295" ht="15.75" customHeight="1">
      <c r="A295" s="25">
        <v>71101.0</v>
      </c>
      <c r="B295" s="26" t="s">
        <v>313</v>
      </c>
      <c r="C295" s="9">
        <v>6.575619625695499</v>
      </c>
      <c r="D295" s="9">
        <v>5.061946902654867</v>
      </c>
    </row>
    <row r="296" ht="15.75" customHeight="1">
      <c r="A296" s="25">
        <v>71102.0</v>
      </c>
      <c r="B296" s="26" t="s">
        <v>314</v>
      </c>
      <c r="C296" s="9">
        <v>3.838245373543523</v>
      </c>
      <c r="D296" s="9">
        <v>4.818383988139362</v>
      </c>
    </row>
    <row r="297" ht="15.75" customHeight="1">
      <c r="A297" s="25">
        <v>71103.0</v>
      </c>
      <c r="B297" s="26" t="s">
        <v>315</v>
      </c>
      <c r="C297" s="9">
        <v>6.309751434034416</v>
      </c>
      <c r="D297" s="9">
        <v>5.439330543933055</v>
      </c>
    </row>
    <row r="298" ht="15.75" customHeight="1">
      <c r="A298" s="25">
        <v>71104.0</v>
      </c>
      <c r="B298" s="26" t="s">
        <v>316</v>
      </c>
      <c r="C298" s="9">
        <v>6.805555555555555</v>
      </c>
      <c r="D298" s="9">
        <v>4.56950456950457</v>
      </c>
    </row>
    <row r="299" ht="15.75" customHeight="1">
      <c r="A299" s="25">
        <v>71105.0</v>
      </c>
      <c r="B299" s="26" t="s">
        <v>317</v>
      </c>
      <c r="C299" s="9">
        <v>7.159353348729793</v>
      </c>
      <c r="D299" s="9">
        <v>6.476190476190475</v>
      </c>
    </row>
    <row r="300" ht="15.75" customHeight="1">
      <c r="A300" s="25">
        <v>71106.0</v>
      </c>
      <c r="B300" s="26" t="s">
        <v>318</v>
      </c>
      <c r="C300" s="9">
        <v>5.36384096024006</v>
      </c>
      <c r="D300" s="9">
        <v>4.892205638474295</v>
      </c>
    </row>
    <row r="301" ht="15.75" customHeight="1">
      <c r="A301" s="25">
        <v>71201.0</v>
      </c>
      <c r="B301" s="26" t="s">
        <v>319</v>
      </c>
      <c r="C301" s="9">
        <v>14.08083441981747</v>
      </c>
      <c r="D301" s="9">
        <v>20.448179271708682</v>
      </c>
    </row>
    <row r="302" ht="15.75" customHeight="1">
      <c r="A302" s="25">
        <v>71301.0</v>
      </c>
      <c r="B302" s="26" t="s">
        <v>320</v>
      </c>
      <c r="C302" s="9">
        <v>4.75206611570248</v>
      </c>
      <c r="D302" s="9">
        <v>2.610441767068273</v>
      </c>
    </row>
    <row r="303" ht="15.75" customHeight="1">
      <c r="A303" s="25">
        <v>71302.0</v>
      </c>
      <c r="B303" s="26" t="s">
        <v>321</v>
      </c>
      <c r="C303" s="9">
        <v>2.80970625798212</v>
      </c>
      <c r="D303" s="9">
        <v>3.197158081705151</v>
      </c>
    </row>
    <row r="304" ht="15.75" customHeight="1">
      <c r="A304" s="25">
        <v>71401.0</v>
      </c>
      <c r="B304" s="26" t="s">
        <v>322</v>
      </c>
      <c r="C304" s="9">
        <v>15.689810640216411</v>
      </c>
      <c r="D304" s="9">
        <v>14.310544611819234</v>
      </c>
    </row>
    <row r="305" ht="15.75" customHeight="1">
      <c r="A305" s="25">
        <v>71402.0</v>
      </c>
      <c r="B305" s="26" t="s">
        <v>323</v>
      </c>
      <c r="C305" s="9">
        <v>11.383928571428571</v>
      </c>
      <c r="D305" s="9">
        <v>10.939289805269187</v>
      </c>
    </row>
    <row r="306" ht="15.75" customHeight="1">
      <c r="A306" s="25">
        <v>71403.0</v>
      </c>
      <c r="B306" s="26" t="s">
        <v>324</v>
      </c>
      <c r="C306" s="9">
        <v>10.860366713681241</v>
      </c>
      <c r="D306" s="9">
        <v>5.320600272851296</v>
      </c>
    </row>
    <row r="307" ht="15.75" customHeight="1">
      <c r="A307" s="25">
        <v>71501.0</v>
      </c>
      <c r="B307" s="26" t="s">
        <v>325</v>
      </c>
      <c r="C307" s="9">
        <v>6.281771968046478</v>
      </c>
      <c r="D307" s="9">
        <v>4.707012487992316</v>
      </c>
    </row>
    <row r="308" ht="15.75" customHeight="1">
      <c r="A308" s="25">
        <v>71502.0</v>
      </c>
      <c r="B308" s="26" t="s">
        <v>326</v>
      </c>
      <c r="C308" s="9">
        <v>5.9077809798270895</v>
      </c>
      <c r="D308" s="9">
        <v>9.107142857142856</v>
      </c>
    </row>
    <row r="309" ht="15.75" customHeight="1">
      <c r="A309" s="25">
        <v>71503.0</v>
      </c>
      <c r="B309" s="26" t="s">
        <v>271</v>
      </c>
      <c r="C309" s="9">
        <v>4.478609625668449</v>
      </c>
      <c r="D309" s="9">
        <v>5.460122699386503</v>
      </c>
    </row>
    <row r="310" ht="15.75" customHeight="1">
      <c r="A310" s="25">
        <v>80101.0</v>
      </c>
      <c r="B310" s="26" t="s">
        <v>327</v>
      </c>
      <c r="C310" s="9">
        <v>16.199967056498103</v>
      </c>
      <c r="D310" s="9">
        <v>7.426396333411016</v>
      </c>
    </row>
    <row r="311" ht="15.75" customHeight="1">
      <c r="A311" s="25">
        <v>80102.0</v>
      </c>
      <c r="B311" s="26" t="s">
        <v>314</v>
      </c>
      <c r="C311" s="9">
        <v>3.4602076124567476</v>
      </c>
      <c r="D311" s="9">
        <v>3.247631935047361</v>
      </c>
    </row>
    <row r="312" ht="15.75" customHeight="1">
      <c r="A312" s="25">
        <v>80201.0</v>
      </c>
      <c r="B312" s="26" t="s">
        <v>328</v>
      </c>
      <c r="C312" s="9">
        <v>13.588110403397028</v>
      </c>
      <c r="D312" s="9">
        <v>9.954337899543379</v>
      </c>
    </row>
    <row r="313" ht="15.75" customHeight="1">
      <c r="A313" s="25">
        <v>80202.0</v>
      </c>
      <c r="B313" s="26" t="s">
        <v>329</v>
      </c>
      <c r="C313" s="9">
        <v>10.36745406824147</v>
      </c>
      <c r="D313" s="9">
        <v>14.007585335018963</v>
      </c>
    </row>
    <row r="314" ht="15.75" customHeight="1">
      <c r="A314" s="25">
        <v>80301.0</v>
      </c>
      <c r="B314" s="26" t="s">
        <v>330</v>
      </c>
      <c r="C314" s="9">
        <v>8.29817158931083</v>
      </c>
      <c r="D314" s="9">
        <v>8.374875373878366</v>
      </c>
    </row>
    <row r="315" ht="15.75" customHeight="1">
      <c r="A315" s="25">
        <v>80302.0</v>
      </c>
      <c r="B315" s="26" t="s">
        <v>331</v>
      </c>
      <c r="C315" s="9">
        <v>5.1807228915662655</v>
      </c>
      <c r="D315" s="9">
        <v>4.565868263473054</v>
      </c>
    </row>
    <row r="316" ht="15.75" customHeight="1">
      <c r="A316" s="25">
        <v>80303.0</v>
      </c>
      <c r="B316" s="26" t="s">
        <v>332</v>
      </c>
      <c r="C316" s="9">
        <v>6.216505894962487</v>
      </c>
      <c r="D316" s="9">
        <v>6.900328587075576</v>
      </c>
    </row>
    <row r="317" ht="15.75" customHeight="1">
      <c r="A317" s="25">
        <v>80304.0</v>
      </c>
      <c r="B317" s="26" t="s">
        <v>333</v>
      </c>
      <c r="C317" s="9">
        <v>11.742602160638798</v>
      </c>
      <c r="D317" s="9">
        <v>4.896783485357657</v>
      </c>
    </row>
    <row r="318" ht="15.75" customHeight="1">
      <c r="A318" s="25">
        <v>80401.0</v>
      </c>
      <c r="B318" s="26" t="s">
        <v>334</v>
      </c>
      <c r="C318" s="9">
        <v>9.457190822607723</v>
      </c>
      <c r="D318" s="9">
        <v>7.035175879396985</v>
      </c>
    </row>
    <row r="319" ht="15.75" customHeight="1">
      <c r="A319" s="25">
        <v>80402.0</v>
      </c>
      <c r="B319" s="26" t="s">
        <v>335</v>
      </c>
      <c r="C319" s="9">
        <v>6.23342175066313</v>
      </c>
      <c r="D319" s="9">
        <v>7.024793388429752</v>
      </c>
    </row>
    <row r="320" ht="15.75" customHeight="1">
      <c r="A320" s="25">
        <v>80501.0</v>
      </c>
      <c r="B320" s="26" t="s">
        <v>336</v>
      </c>
      <c r="C320" s="9">
        <v>5.065757428153921</v>
      </c>
      <c r="D320" s="9">
        <v>6.6770186335403725</v>
      </c>
    </row>
    <row r="321" ht="15.75" customHeight="1">
      <c r="A321" s="25">
        <v>80601.0</v>
      </c>
      <c r="B321" s="26" t="s">
        <v>337</v>
      </c>
      <c r="C321" s="9">
        <v>5.526315789473684</v>
      </c>
      <c r="D321" s="9">
        <v>9.119496855345911</v>
      </c>
    </row>
    <row r="322" ht="15.75" customHeight="1">
      <c r="A322" s="25">
        <v>80602.0</v>
      </c>
      <c r="B322" s="26" t="s">
        <v>338</v>
      </c>
      <c r="C322" s="9">
        <v>5.205278592375366</v>
      </c>
      <c r="D322" s="9">
        <v>3.50385423966363</v>
      </c>
    </row>
    <row r="323" ht="15.75" customHeight="1">
      <c r="A323" s="25">
        <v>80701.0</v>
      </c>
      <c r="B323" s="26" t="s">
        <v>339</v>
      </c>
      <c r="C323" s="9">
        <v>17.84188034188034</v>
      </c>
      <c r="D323" s="9">
        <v>16.48936170212766</v>
      </c>
    </row>
    <row r="324" ht="15.75" customHeight="1">
      <c r="A324" s="25">
        <v>80702.0</v>
      </c>
      <c r="B324" s="26" t="s">
        <v>315</v>
      </c>
      <c r="C324" s="9">
        <v>5.708661417322835</v>
      </c>
      <c r="D324" s="9">
        <v>4.9523809523809526</v>
      </c>
    </row>
    <row r="325" ht="15.75" customHeight="1">
      <c r="A325" s="25">
        <v>80703.0</v>
      </c>
      <c r="B325" s="26" t="s">
        <v>340</v>
      </c>
      <c r="C325" s="9">
        <v>2.5</v>
      </c>
      <c r="D325" s="9">
        <v>12.643678160919542</v>
      </c>
    </row>
    <row r="326" ht="15.75" customHeight="1">
      <c r="A326" s="25">
        <v>80801.0</v>
      </c>
      <c r="B326" s="26" t="s">
        <v>341</v>
      </c>
      <c r="C326" s="9">
        <v>8.423686405337781</v>
      </c>
      <c r="D326" s="9">
        <v>6.563706563706563</v>
      </c>
    </row>
    <row r="327" ht="15.75" customHeight="1">
      <c r="A327" s="25">
        <v>80802.0</v>
      </c>
      <c r="B327" s="26" t="s">
        <v>342</v>
      </c>
      <c r="C327" s="9">
        <v>21.54963680387409</v>
      </c>
      <c r="D327" s="9">
        <v>14.83957219251337</v>
      </c>
    </row>
    <row r="328" ht="15.75" customHeight="1">
      <c r="A328" s="25">
        <v>80803.0</v>
      </c>
      <c r="B328" s="26" t="s">
        <v>343</v>
      </c>
      <c r="C328" s="9">
        <v>5.9405940594059405</v>
      </c>
      <c r="D328" s="9">
        <v>11.282051282051283</v>
      </c>
    </row>
    <row r="329" ht="15.75" customHeight="1">
      <c r="A329" s="25">
        <v>80901.0</v>
      </c>
      <c r="B329" s="26" t="s">
        <v>344</v>
      </c>
      <c r="C329" s="9">
        <v>3.821656050955414</v>
      </c>
      <c r="D329" s="9">
        <v>11.079545454545455</v>
      </c>
    </row>
    <row r="330" ht="15.75" customHeight="1">
      <c r="A330" s="25">
        <v>90101.0</v>
      </c>
      <c r="B330" s="26" t="s">
        <v>345</v>
      </c>
      <c r="C330" s="9">
        <v>22.085551679823755</v>
      </c>
      <c r="D330" s="9">
        <v>9.912871938188395</v>
      </c>
    </row>
    <row r="331" ht="15.75" customHeight="1">
      <c r="A331" s="25">
        <v>90102.0</v>
      </c>
      <c r="B331" s="26" t="s">
        <v>346</v>
      </c>
      <c r="C331" s="9">
        <v>13.681102362204726</v>
      </c>
      <c r="D331" s="9">
        <v>6.174200661521499</v>
      </c>
    </row>
    <row r="332" ht="15.75" customHeight="1">
      <c r="A332" s="25">
        <v>90103.0</v>
      </c>
      <c r="B332" s="26" t="s">
        <v>347</v>
      </c>
      <c r="C332" s="9">
        <v>7.755102040816326</v>
      </c>
      <c r="D332" s="9">
        <v>9.44206008583691</v>
      </c>
    </row>
    <row r="333" ht="15.75" customHeight="1">
      <c r="A333" s="25">
        <v>90104.0</v>
      </c>
      <c r="B333" s="26" t="s">
        <v>348</v>
      </c>
      <c r="C333" s="9">
        <v>15.087040618955513</v>
      </c>
      <c r="D333" s="9">
        <v>18.449197860962567</v>
      </c>
    </row>
    <row r="334" ht="15.75" customHeight="1">
      <c r="A334" s="25">
        <v>90201.0</v>
      </c>
      <c r="B334" s="26" t="s">
        <v>349</v>
      </c>
      <c r="C334" s="9">
        <v>39.61407491486947</v>
      </c>
      <c r="D334" s="9">
        <v>20.19704433497537</v>
      </c>
    </row>
    <row r="335" ht="15.75" customHeight="1">
      <c r="A335" s="25">
        <v>90202.0</v>
      </c>
      <c r="B335" s="26" t="s">
        <v>312</v>
      </c>
      <c r="C335" s="9">
        <v>11.264367816091953</v>
      </c>
      <c r="D335" s="9">
        <v>3.763440860215054</v>
      </c>
    </row>
    <row r="336" ht="15.75" customHeight="1">
      <c r="A336" s="25">
        <v>90203.0</v>
      </c>
      <c r="B336" s="26" t="s">
        <v>350</v>
      </c>
      <c r="C336" s="9">
        <v>3.870967741935484</v>
      </c>
      <c r="D336" s="9">
        <v>8.758169934640522</v>
      </c>
    </row>
    <row r="337" ht="15.75" customHeight="1">
      <c r="A337" s="25">
        <v>90301.0</v>
      </c>
      <c r="B337" s="26" t="s">
        <v>351</v>
      </c>
      <c r="C337" s="9">
        <v>10.800385728061716</v>
      </c>
      <c r="D337" s="9">
        <v>9.840674789128398</v>
      </c>
    </row>
    <row r="338" ht="15.75" customHeight="1">
      <c r="A338" s="25">
        <v>90302.0</v>
      </c>
      <c r="B338" s="26" t="s">
        <v>352</v>
      </c>
      <c r="C338" s="9">
        <v>10.069444444444445</v>
      </c>
      <c r="D338" s="9">
        <v>7.218479307025986</v>
      </c>
    </row>
    <row r="339" ht="15.75" customHeight="1">
      <c r="A339" s="25">
        <v>90303.0</v>
      </c>
      <c r="B339" s="26" t="s">
        <v>353</v>
      </c>
      <c r="C339" s="9">
        <v>8.977035490605429</v>
      </c>
      <c r="D339" s="9">
        <v>5.5721393034825875</v>
      </c>
    </row>
    <row r="340" ht="15.75" customHeight="1">
      <c r="A340" s="25">
        <v>90401.0</v>
      </c>
      <c r="B340" s="26" t="s">
        <v>354</v>
      </c>
      <c r="C340" s="9">
        <v>14.367816091954023</v>
      </c>
      <c r="D340" s="9">
        <v>8.273381294964029</v>
      </c>
    </row>
    <row r="341" ht="15.75" customHeight="1">
      <c r="A341" s="25">
        <v>90402.0</v>
      </c>
      <c r="B341" s="26" t="s">
        <v>355</v>
      </c>
      <c r="C341" s="9">
        <v>11.602209944751381</v>
      </c>
      <c r="D341" s="9">
        <v>7.782101167315175</v>
      </c>
    </row>
    <row r="342" ht="15.75" customHeight="1">
      <c r="A342" s="25">
        <v>90501.0</v>
      </c>
      <c r="B342" s="26" t="s">
        <v>356</v>
      </c>
      <c r="C342" s="9">
        <v>5.211726384364821</v>
      </c>
      <c r="D342" s="9">
        <v>3.597122302158273</v>
      </c>
    </row>
    <row r="343" ht="15.75" customHeight="1">
      <c r="A343" s="25">
        <v>90502.0</v>
      </c>
      <c r="B343" s="26" t="s">
        <v>357</v>
      </c>
      <c r="C343" s="9">
        <v>12.751677852348994</v>
      </c>
      <c r="D343" s="9">
        <v>10.305343511450381</v>
      </c>
    </row>
    <row r="344" ht="15.75" customHeight="1">
      <c r="A344" s="25">
        <v>90503.0</v>
      </c>
      <c r="B344" s="26" t="s">
        <v>358</v>
      </c>
      <c r="C344" s="9">
        <v>3.4615384615384617</v>
      </c>
      <c r="D344" s="9">
        <v>3.861003861003861</v>
      </c>
    </row>
    <row r="345" ht="15.75" customHeight="1">
      <c r="A345" s="18"/>
      <c r="B345" s="19"/>
      <c r="C345" s="14"/>
      <c r="D345" s="14"/>
    </row>
    <row r="346" ht="15.75" customHeight="1">
      <c r="A346" s="18"/>
      <c r="B346" s="19"/>
      <c r="C346" s="14"/>
      <c r="D346" s="14"/>
    </row>
    <row r="347" ht="15.75" customHeight="1">
      <c r="A347" s="18"/>
      <c r="B347" s="19"/>
      <c r="C347" s="14"/>
      <c r="D347" s="14"/>
    </row>
    <row r="348" ht="15.75" customHeight="1">
      <c r="A348" s="18"/>
      <c r="B348" s="19"/>
      <c r="C348" s="14"/>
      <c r="D348" s="14"/>
    </row>
    <row r="349" ht="15.75" customHeight="1">
      <c r="A349" s="18"/>
      <c r="B349" s="19"/>
      <c r="C349" s="14"/>
      <c r="D349" s="14"/>
    </row>
    <row r="350" ht="15.75" customHeight="1">
      <c r="A350" s="18"/>
      <c r="B350" s="19"/>
      <c r="C350" s="14"/>
      <c r="D350" s="14"/>
    </row>
    <row r="351" ht="15.75" customHeight="1">
      <c r="A351" s="18"/>
      <c r="B351" s="19"/>
      <c r="C351" s="14"/>
      <c r="D351" s="14"/>
    </row>
    <row r="352" ht="15.75" customHeight="1">
      <c r="A352" s="18"/>
      <c r="B352" s="19"/>
      <c r="C352" s="14"/>
      <c r="D352" s="14"/>
    </row>
    <row r="353" ht="15.75" customHeight="1">
      <c r="A353" s="18"/>
      <c r="B353" s="19"/>
      <c r="C353" s="14"/>
      <c r="D353" s="14"/>
    </row>
    <row r="354" ht="15.75" customHeight="1">
      <c r="A354" s="18"/>
      <c r="B354" s="19"/>
      <c r="C354" s="14"/>
      <c r="D354" s="14"/>
    </row>
    <row r="355" ht="15.75" customHeight="1">
      <c r="A355" s="18"/>
      <c r="B355" s="19"/>
      <c r="C355" s="14"/>
      <c r="D355" s="14"/>
    </row>
    <row r="356" ht="15.75" customHeight="1">
      <c r="A356" s="18"/>
      <c r="B356" s="19"/>
      <c r="C356" s="14"/>
      <c r="D356" s="14"/>
    </row>
    <row r="357" ht="15.75" customHeight="1">
      <c r="A357" s="18"/>
      <c r="B357" s="19"/>
      <c r="C357" s="14"/>
      <c r="D357" s="14"/>
    </row>
    <row r="358" ht="15.75" customHeight="1">
      <c r="A358" s="18"/>
      <c r="B358" s="19"/>
      <c r="C358" s="14"/>
      <c r="D358" s="14"/>
    </row>
    <row r="359" ht="15.75" customHeight="1">
      <c r="A359" s="18"/>
      <c r="B359" s="19"/>
      <c r="C359" s="14"/>
      <c r="D359" s="14"/>
    </row>
    <row r="360" ht="15.75" customHeight="1">
      <c r="A360" s="18"/>
      <c r="B360" s="19"/>
      <c r="C360" s="14"/>
      <c r="D360" s="14"/>
    </row>
    <row r="361" ht="15.75" customHeight="1">
      <c r="A361" s="18"/>
      <c r="B361" s="19"/>
      <c r="C361" s="14"/>
      <c r="D361" s="14"/>
    </row>
    <row r="362" ht="15.75" customHeight="1">
      <c r="A362" s="18"/>
      <c r="B362" s="19"/>
      <c r="C362" s="14"/>
      <c r="D362" s="14"/>
    </row>
    <row r="363" ht="15.75" customHeight="1">
      <c r="A363" s="18"/>
      <c r="B363" s="19"/>
      <c r="C363" s="14"/>
      <c r="D363" s="14"/>
    </row>
    <row r="364" ht="15.75" customHeight="1">
      <c r="A364" s="18"/>
      <c r="B364" s="19"/>
      <c r="C364" s="14"/>
      <c r="D364" s="14"/>
    </row>
    <row r="365" ht="15.75" customHeight="1">
      <c r="A365" s="18"/>
      <c r="B365" s="19"/>
      <c r="C365" s="14"/>
      <c r="D365" s="14"/>
    </row>
    <row r="366" ht="15.75" customHeight="1">
      <c r="A366" s="18"/>
      <c r="B366" s="19"/>
      <c r="C366" s="14"/>
      <c r="D366" s="14"/>
    </row>
    <row r="367" ht="15.75" customHeight="1">
      <c r="A367" s="18"/>
      <c r="B367" s="19"/>
      <c r="C367" s="14"/>
      <c r="D367" s="14"/>
    </row>
    <row r="368" ht="15.75" customHeight="1">
      <c r="A368" s="18"/>
      <c r="B368" s="19"/>
      <c r="C368" s="14"/>
      <c r="D368" s="14"/>
    </row>
    <row r="369" ht="15.75" customHeight="1">
      <c r="A369" s="18"/>
      <c r="B369" s="19"/>
      <c r="C369" s="14"/>
      <c r="D369" s="14"/>
    </row>
    <row r="370" ht="15.75" customHeight="1">
      <c r="A370" s="18"/>
      <c r="B370" s="19"/>
      <c r="C370" s="14"/>
      <c r="D370" s="14"/>
    </row>
    <row r="371" ht="15.75" customHeight="1">
      <c r="A371" s="18"/>
      <c r="B371" s="19"/>
      <c r="C371" s="14"/>
      <c r="D371" s="14"/>
    </row>
    <row r="372" ht="15.75" customHeight="1">
      <c r="A372" s="18"/>
      <c r="B372" s="19"/>
      <c r="C372" s="14"/>
      <c r="D372" s="14"/>
    </row>
    <row r="373" ht="15.75" customHeight="1">
      <c r="A373" s="18"/>
      <c r="B373" s="19"/>
      <c r="C373" s="14"/>
      <c r="D373" s="14"/>
    </row>
    <row r="374" ht="15.75" customHeight="1">
      <c r="A374" s="18"/>
      <c r="B374" s="19"/>
      <c r="C374" s="14"/>
      <c r="D374" s="14"/>
    </row>
    <row r="375" ht="15.75" customHeight="1">
      <c r="A375" s="18"/>
      <c r="B375" s="19"/>
      <c r="C375" s="14"/>
      <c r="D375" s="14"/>
    </row>
    <row r="376" ht="15.75" customHeight="1">
      <c r="A376" s="18"/>
      <c r="B376" s="19"/>
      <c r="C376" s="14"/>
      <c r="D376" s="14"/>
    </row>
    <row r="377" ht="15.75" customHeight="1">
      <c r="A377" s="18"/>
      <c r="B377" s="19"/>
      <c r="C377" s="14"/>
      <c r="D377" s="14"/>
    </row>
    <row r="378" ht="15.75" customHeight="1">
      <c r="A378" s="18"/>
      <c r="B378" s="19"/>
      <c r="C378" s="14"/>
      <c r="D378" s="14"/>
    </row>
    <row r="379" ht="15.75" customHeight="1">
      <c r="A379" s="18"/>
      <c r="B379" s="19"/>
      <c r="C379" s="14"/>
      <c r="D379" s="14"/>
    </row>
    <row r="380" ht="15.75" customHeight="1">
      <c r="A380" s="18"/>
      <c r="B380" s="19"/>
      <c r="C380" s="14"/>
      <c r="D380" s="14"/>
    </row>
    <row r="381" ht="15.75" customHeight="1">
      <c r="A381" s="18"/>
      <c r="B381" s="19"/>
      <c r="C381" s="14"/>
      <c r="D381" s="14"/>
    </row>
    <row r="382" ht="15.75" customHeight="1">
      <c r="A382" s="18"/>
      <c r="B382" s="19"/>
      <c r="C382" s="14"/>
      <c r="D382" s="14"/>
    </row>
    <row r="383" ht="15.75" customHeight="1">
      <c r="A383" s="18"/>
      <c r="B383" s="19"/>
      <c r="C383" s="14"/>
      <c r="D383" s="14"/>
    </row>
    <row r="384" ht="15.75" customHeight="1">
      <c r="A384" s="18"/>
      <c r="B384" s="19"/>
      <c r="C384" s="14"/>
      <c r="D384" s="14"/>
    </row>
    <row r="385" ht="15.75" customHeight="1">
      <c r="A385" s="18"/>
      <c r="B385" s="19"/>
      <c r="C385" s="14"/>
      <c r="D385" s="14"/>
    </row>
    <row r="386" ht="15.75" customHeight="1">
      <c r="A386" s="18"/>
      <c r="B386" s="19"/>
      <c r="C386" s="14"/>
      <c r="D386" s="14"/>
    </row>
    <row r="387" ht="15.75" customHeight="1">
      <c r="A387" s="18"/>
      <c r="B387" s="19"/>
      <c r="C387" s="14"/>
      <c r="D387" s="14"/>
    </row>
    <row r="388" ht="15.75" customHeight="1">
      <c r="A388" s="18"/>
      <c r="B388" s="19"/>
      <c r="C388" s="14"/>
      <c r="D388" s="14"/>
    </row>
    <row r="389" ht="15.75" customHeight="1">
      <c r="A389" s="18"/>
      <c r="B389" s="19"/>
      <c r="C389" s="14"/>
      <c r="D389" s="14"/>
    </row>
    <row r="390" ht="15.75" customHeight="1">
      <c r="A390" s="18"/>
      <c r="B390" s="19"/>
      <c r="C390" s="14"/>
      <c r="D390" s="14"/>
    </row>
    <row r="391" ht="15.75" customHeight="1">
      <c r="A391" s="18"/>
      <c r="B391" s="19"/>
      <c r="C391" s="14"/>
      <c r="D391" s="14"/>
    </row>
    <row r="392" ht="15.75" customHeight="1">
      <c r="A392" s="18"/>
      <c r="B392" s="19"/>
      <c r="C392" s="14"/>
      <c r="D392" s="14"/>
    </row>
    <row r="393" ht="15.75" customHeight="1">
      <c r="A393" s="18"/>
      <c r="B393" s="19"/>
      <c r="C393" s="14"/>
      <c r="D393" s="14"/>
    </row>
    <row r="394" ht="15.75" customHeight="1">
      <c r="A394" s="18"/>
      <c r="B394" s="19"/>
      <c r="C394" s="14"/>
      <c r="D394" s="14"/>
    </row>
    <row r="395" ht="15.75" customHeight="1">
      <c r="A395" s="18"/>
      <c r="B395" s="19"/>
      <c r="C395" s="14"/>
      <c r="D395" s="14"/>
    </row>
    <row r="396" ht="15.75" customHeight="1">
      <c r="A396" s="18"/>
      <c r="B396" s="19"/>
      <c r="C396" s="14"/>
      <c r="D396" s="14"/>
    </row>
    <row r="397" ht="15.75" customHeight="1">
      <c r="A397" s="18"/>
      <c r="B397" s="19"/>
      <c r="C397" s="14"/>
      <c r="D397" s="14"/>
    </row>
    <row r="398" ht="15.75" customHeight="1">
      <c r="A398" s="18"/>
      <c r="B398" s="19"/>
      <c r="C398" s="14"/>
      <c r="D398" s="14"/>
    </row>
    <row r="399" ht="15.75" customHeight="1">
      <c r="A399" s="18"/>
      <c r="B399" s="19"/>
      <c r="C399" s="14"/>
      <c r="D399" s="14"/>
    </row>
    <row r="400" ht="15.75" customHeight="1">
      <c r="A400" s="18"/>
      <c r="B400" s="19"/>
      <c r="C400" s="14"/>
      <c r="D400" s="14"/>
    </row>
    <row r="401" ht="15.75" customHeight="1">
      <c r="A401" s="18"/>
      <c r="B401" s="19"/>
      <c r="C401" s="14"/>
      <c r="D401" s="14"/>
    </row>
    <row r="402" ht="15.75" customHeight="1">
      <c r="A402" s="18"/>
      <c r="B402" s="19"/>
      <c r="C402" s="14"/>
      <c r="D402" s="14"/>
    </row>
    <row r="403" ht="15.75" customHeight="1">
      <c r="A403" s="18"/>
      <c r="B403" s="19"/>
      <c r="C403" s="14"/>
      <c r="D403" s="14"/>
    </row>
    <row r="404" ht="15.75" customHeight="1">
      <c r="A404" s="18"/>
      <c r="B404" s="19"/>
      <c r="C404" s="14"/>
      <c r="D404" s="14"/>
    </row>
    <row r="405" ht="15.75" customHeight="1">
      <c r="A405" s="18"/>
      <c r="B405" s="19"/>
      <c r="C405" s="14"/>
      <c r="D405" s="14"/>
    </row>
    <row r="406" ht="15.75" customHeight="1">
      <c r="A406" s="18"/>
      <c r="B406" s="19"/>
      <c r="C406" s="14"/>
      <c r="D406" s="14"/>
    </row>
    <row r="407" ht="15.75" customHeight="1">
      <c r="A407" s="18"/>
      <c r="B407" s="19"/>
      <c r="C407" s="14"/>
      <c r="D407" s="14"/>
    </row>
    <row r="408" ht="15.75" customHeight="1">
      <c r="A408" s="18"/>
      <c r="B408" s="19"/>
      <c r="C408" s="14"/>
      <c r="D408" s="14"/>
    </row>
    <row r="409" ht="15.75" customHeight="1">
      <c r="A409" s="18"/>
      <c r="B409" s="19"/>
      <c r="C409" s="14"/>
      <c r="D409" s="14"/>
    </row>
    <row r="410" ht="15.75" customHeight="1">
      <c r="A410" s="18"/>
      <c r="B410" s="19"/>
      <c r="C410" s="14"/>
      <c r="D410" s="14"/>
    </row>
    <row r="411" ht="15.75" customHeight="1">
      <c r="A411" s="18"/>
      <c r="B411" s="19"/>
      <c r="C411" s="14"/>
      <c r="D411" s="14"/>
    </row>
    <row r="412" ht="15.75" customHeight="1">
      <c r="A412" s="18"/>
      <c r="B412" s="19"/>
      <c r="C412" s="14"/>
      <c r="D412" s="14"/>
    </row>
    <row r="413" ht="15.75" customHeight="1">
      <c r="A413" s="18"/>
      <c r="B413" s="19"/>
      <c r="C413" s="14"/>
      <c r="D413" s="14"/>
    </row>
    <row r="414" ht="15.75" customHeight="1">
      <c r="A414" s="18"/>
      <c r="B414" s="19"/>
      <c r="C414" s="14"/>
      <c r="D414" s="14"/>
    </row>
    <row r="415" ht="15.75" customHeight="1">
      <c r="A415" s="18"/>
      <c r="B415" s="19"/>
      <c r="C415" s="14"/>
      <c r="D415" s="14"/>
    </row>
    <row r="416" ht="15.75" customHeight="1">
      <c r="A416" s="18"/>
      <c r="B416" s="19"/>
      <c r="C416" s="14"/>
      <c r="D416" s="14"/>
    </row>
    <row r="417" ht="15.75" customHeight="1">
      <c r="A417" s="18"/>
      <c r="B417" s="19"/>
      <c r="C417" s="14"/>
      <c r="D417" s="14"/>
    </row>
    <row r="418" ht="15.75" customHeight="1">
      <c r="A418" s="18"/>
      <c r="B418" s="19"/>
      <c r="C418" s="14"/>
      <c r="D418" s="14"/>
    </row>
    <row r="419" ht="15.75" customHeight="1">
      <c r="A419" s="18"/>
      <c r="B419" s="19"/>
      <c r="C419" s="14"/>
      <c r="D419" s="14"/>
    </row>
    <row r="420" ht="15.75" customHeight="1">
      <c r="A420" s="18"/>
      <c r="B420" s="19"/>
      <c r="C420" s="14"/>
      <c r="D420" s="14"/>
    </row>
    <row r="421" ht="15.75" customHeight="1">
      <c r="A421" s="18"/>
      <c r="B421" s="19"/>
      <c r="C421" s="14"/>
      <c r="D421" s="14"/>
    </row>
    <row r="422" ht="15.75" customHeight="1">
      <c r="A422" s="18"/>
      <c r="B422" s="19"/>
      <c r="C422" s="14"/>
      <c r="D422" s="14"/>
    </row>
    <row r="423" ht="15.75" customHeight="1">
      <c r="A423" s="18"/>
      <c r="B423" s="19"/>
      <c r="C423" s="14"/>
      <c r="D423" s="14"/>
    </row>
    <row r="424" ht="15.75" customHeight="1">
      <c r="A424" s="18"/>
      <c r="B424" s="19"/>
      <c r="C424" s="14"/>
      <c r="D424" s="14"/>
    </row>
    <row r="425" ht="15.75" customHeight="1">
      <c r="A425" s="18"/>
      <c r="B425" s="19"/>
      <c r="C425" s="14"/>
      <c r="D425" s="14"/>
    </row>
    <row r="426" ht="15.75" customHeight="1">
      <c r="A426" s="18"/>
      <c r="B426" s="19"/>
      <c r="C426" s="14"/>
      <c r="D426" s="14"/>
    </row>
    <row r="427" ht="15.75" customHeight="1">
      <c r="A427" s="18"/>
      <c r="B427" s="19"/>
      <c r="C427" s="14"/>
      <c r="D427" s="14"/>
    </row>
    <row r="428" ht="15.75" customHeight="1">
      <c r="A428" s="18"/>
      <c r="B428" s="19"/>
      <c r="C428" s="14"/>
      <c r="D428" s="14"/>
    </row>
    <row r="429" ht="15.75" customHeight="1">
      <c r="A429" s="18"/>
      <c r="B429" s="19"/>
      <c r="C429" s="14"/>
      <c r="D429" s="14"/>
    </row>
    <row r="430" ht="15.75" customHeight="1">
      <c r="A430" s="18"/>
      <c r="B430" s="19"/>
      <c r="C430" s="14"/>
      <c r="D430" s="14"/>
    </row>
    <row r="431" ht="15.75" customHeight="1">
      <c r="A431" s="18"/>
      <c r="B431" s="19"/>
      <c r="C431" s="14"/>
      <c r="D431" s="14"/>
    </row>
    <row r="432" ht="15.75" customHeight="1">
      <c r="A432" s="18"/>
      <c r="B432" s="19"/>
      <c r="C432" s="14"/>
      <c r="D432" s="14"/>
    </row>
    <row r="433" ht="15.75" customHeight="1">
      <c r="A433" s="18"/>
      <c r="B433" s="19"/>
      <c r="C433" s="14"/>
      <c r="D433" s="14"/>
    </row>
    <row r="434" ht="15.75" customHeight="1">
      <c r="A434" s="18"/>
      <c r="B434" s="19"/>
      <c r="C434" s="14"/>
      <c r="D434" s="14"/>
    </row>
    <row r="435" ht="15.75" customHeight="1">
      <c r="A435" s="18"/>
      <c r="B435" s="19"/>
      <c r="C435" s="14"/>
      <c r="D435" s="14"/>
    </row>
    <row r="436" ht="15.75" customHeight="1">
      <c r="A436" s="18"/>
      <c r="B436" s="19"/>
      <c r="C436" s="14"/>
      <c r="D436" s="14"/>
    </row>
    <row r="437" ht="15.75" customHeight="1">
      <c r="A437" s="18"/>
      <c r="B437" s="19"/>
      <c r="C437" s="14"/>
      <c r="D437" s="14"/>
    </row>
    <row r="438" ht="15.75" customHeight="1">
      <c r="A438" s="18"/>
      <c r="B438" s="19"/>
      <c r="C438" s="14"/>
      <c r="D438" s="14"/>
    </row>
    <row r="439" ht="15.75" customHeight="1">
      <c r="A439" s="18"/>
      <c r="B439" s="19"/>
      <c r="C439" s="14"/>
      <c r="D439" s="14"/>
    </row>
    <row r="440" ht="15.75" customHeight="1">
      <c r="A440" s="18"/>
      <c r="B440" s="19"/>
      <c r="C440" s="14"/>
      <c r="D440" s="14"/>
    </row>
    <row r="441" ht="15.75" customHeight="1">
      <c r="A441" s="18"/>
      <c r="B441" s="19"/>
      <c r="C441" s="14"/>
      <c r="D441" s="14"/>
    </row>
    <row r="442" ht="15.75" customHeight="1">
      <c r="A442" s="18"/>
      <c r="B442" s="19"/>
      <c r="C442" s="14"/>
      <c r="D442" s="14"/>
    </row>
    <row r="443" ht="15.75" customHeight="1">
      <c r="A443" s="18"/>
      <c r="B443" s="19"/>
      <c r="C443" s="14"/>
      <c r="D443" s="14"/>
    </row>
    <row r="444" ht="15.75" customHeight="1">
      <c r="A444" s="18"/>
      <c r="B444" s="19"/>
      <c r="C444" s="14"/>
      <c r="D444" s="14"/>
    </row>
    <row r="445" ht="15.75" customHeight="1">
      <c r="A445" s="18"/>
      <c r="B445" s="19"/>
      <c r="C445" s="14"/>
      <c r="D445" s="14"/>
    </row>
    <row r="446" ht="15.75" customHeight="1">
      <c r="A446" s="18"/>
      <c r="B446" s="19"/>
      <c r="C446" s="14"/>
      <c r="D446" s="14"/>
    </row>
    <row r="447" ht="15.75" customHeight="1">
      <c r="A447" s="18"/>
      <c r="B447" s="19"/>
      <c r="C447" s="14"/>
      <c r="D447" s="14"/>
    </row>
    <row r="448" ht="15.75" customHeight="1">
      <c r="A448" s="18"/>
      <c r="B448" s="19"/>
      <c r="C448" s="14"/>
      <c r="D448" s="14"/>
    </row>
    <row r="449" ht="15.75" customHeight="1">
      <c r="A449" s="18"/>
      <c r="B449" s="19"/>
      <c r="C449" s="14"/>
      <c r="D449" s="14"/>
    </row>
    <row r="450" ht="15.75" customHeight="1">
      <c r="A450" s="18"/>
      <c r="B450" s="19"/>
      <c r="C450" s="14"/>
      <c r="D450" s="14"/>
    </row>
    <row r="451" ht="15.75" customHeight="1">
      <c r="A451" s="18"/>
      <c r="B451" s="19"/>
      <c r="C451" s="14"/>
      <c r="D451" s="14"/>
    </row>
    <row r="452" ht="15.75" customHeight="1">
      <c r="A452" s="18"/>
      <c r="B452" s="19"/>
      <c r="C452" s="14"/>
      <c r="D452" s="14"/>
    </row>
    <row r="453" ht="15.75" customHeight="1">
      <c r="A453" s="18"/>
      <c r="B453" s="19"/>
      <c r="C453" s="14"/>
      <c r="D453" s="14"/>
    </row>
    <row r="454" ht="15.75" customHeight="1">
      <c r="A454" s="18"/>
      <c r="B454" s="19"/>
      <c r="C454" s="14"/>
      <c r="D454" s="14"/>
    </row>
    <row r="455" ht="15.75" customHeight="1">
      <c r="A455" s="18"/>
      <c r="B455" s="19"/>
      <c r="C455" s="14"/>
      <c r="D455" s="14"/>
    </row>
    <row r="456" ht="15.75" customHeight="1">
      <c r="A456" s="18"/>
      <c r="B456" s="19"/>
      <c r="C456" s="14"/>
      <c r="D456" s="14"/>
    </row>
    <row r="457" ht="15.75" customHeight="1">
      <c r="A457" s="18"/>
      <c r="B457" s="19"/>
      <c r="C457" s="14"/>
      <c r="D457" s="14"/>
    </row>
    <row r="458" ht="15.75" customHeight="1">
      <c r="A458" s="18"/>
      <c r="B458" s="19"/>
      <c r="C458" s="14"/>
      <c r="D458" s="14"/>
    </row>
    <row r="459" ht="15.75" customHeight="1">
      <c r="A459" s="18"/>
      <c r="B459" s="19"/>
      <c r="C459" s="14"/>
      <c r="D459" s="14"/>
    </row>
    <row r="460" ht="15.75" customHeight="1">
      <c r="A460" s="18"/>
      <c r="B460" s="19"/>
      <c r="C460" s="14"/>
      <c r="D460" s="14"/>
    </row>
    <row r="461" ht="15.75" customHeight="1">
      <c r="A461" s="18"/>
      <c r="B461" s="19"/>
      <c r="C461" s="14"/>
      <c r="D461" s="14"/>
    </row>
    <row r="462" ht="15.75" customHeight="1">
      <c r="A462" s="18"/>
      <c r="B462" s="19"/>
      <c r="C462" s="14"/>
      <c r="D462" s="14"/>
    </row>
    <row r="463" ht="15.75" customHeight="1">
      <c r="A463" s="18"/>
      <c r="B463" s="19"/>
      <c r="C463" s="14"/>
      <c r="D463" s="14"/>
    </row>
    <row r="464" ht="15.75" customHeight="1">
      <c r="A464" s="18"/>
      <c r="B464" s="19"/>
      <c r="C464" s="14"/>
      <c r="D464" s="14"/>
    </row>
    <row r="465" ht="15.75" customHeight="1">
      <c r="A465" s="18"/>
      <c r="B465" s="19"/>
      <c r="C465" s="14"/>
      <c r="D465" s="14"/>
    </row>
    <row r="466" ht="15.75" customHeight="1">
      <c r="A466" s="18"/>
      <c r="B466" s="19"/>
      <c r="C466" s="14"/>
      <c r="D466" s="14"/>
    </row>
    <row r="467" ht="15.75" customHeight="1">
      <c r="A467" s="18"/>
      <c r="B467" s="19"/>
      <c r="C467" s="14"/>
      <c r="D467" s="14"/>
    </row>
    <row r="468" ht="15.75" customHeight="1">
      <c r="A468" s="18"/>
      <c r="B468" s="19"/>
      <c r="C468" s="14"/>
      <c r="D468" s="14"/>
    </row>
    <row r="469" ht="15.75" customHeight="1">
      <c r="A469" s="18"/>
      <c r="B469" s="19"/>
      <c r="C469" s="14"/>
      <c r="D469" s="14"/>
    </row>
    <row r="470" ht="15.75" customHeight="1">
      <c r="A470" s="18"/>
      <c r="B470" s="19"/>
      <c r="C470" s="14"/>
      <c r="D470" s="14"/>
    </row>
    <row r="471" ht="15.75" customHeight="1">
      <c r="A471" s="18"/>
      <c r="B471" s="19"/>
      <c r="C471" s="14"/>
      <c r="D471" s="14"/>
    </row>
    <row r="472" ht="15.75" customHeight="1">
      <c r="A472" s="18"/>
      <c r="B472" s="19"/>
      <c r="C472" s="14"/>
      <c r="D472" s="14"/>
    </row>
    <row r="473" ht="15.75" customHeight="1">
      <c r="A473" s="18"/>
      <c r="B473" s="19"/>
      <c r="C473" s="14"/>
      <c r="D473" s="14"/>
    </row>
    <row r="474" ht="15.75" customHeight="1">
      <c r="A474" s="18"/>
      <c r="B474" s="19"/>
      <c r="C474" s="14"/>
      <c r="D474" s="14"/>
    </row>
    <row r="475" ht="15.75" customHeight="1">
      <c r="A475" s="18"/>
      <c r="B475" s="19"/>
      <c r="C475" s="14"/>
      <c r="D475" s="14"/>
    </row>
    <row r="476" ht="15.75" customHeight="1">
      <c r="A476" s="18"/>
      <c r="B476" s="19"/>
      <c r="C476" s="14"/>
      <c r="D476" s="14"/>
    </row>
    <row r="477" ht="15.75" customHeight="1">
      <c r="A477" s="18"/>
      <c r="B477" s="19"/>
      <c r="C477" s="14"/>
      <c r="D477" s="14"/>
    </row>
    <row r="478" ht="15.75" customHeight="1">
      <c r="A478" s="18"/>
      <c r="B478" s="19"/>
      <c r="C478" s="14"/>
      <c r="D478" s="14"/>
    </row>
    <row r="479" ht="15.75" customHeight="1">
      <c r="A479" s="18"/>
      <c r="B479" s="19"/>
      <c r="C479" s="14"/>
      <c r="D479" s="14"/>
    </row>
    <row r="480" ht="15.75" customHeight="1">
      <c r="A480" s="18"/>
      <c r="B480" s="19"/>
      <c r="C480" s="14"/>
      <c r="D480" s="14"/>
    </row>
    <row r="481" ht="15.75" customHeight="1">
      <c r="A481" s="18"/>
      <c r="B481" s="19"/>
      <c r="C481" s="14"/>
      <c r="D481" s="14"/>
    </row>
    <row r="482" ht="15.75" customHeight="1">
      <c r="A482" s="18"/>
      <c r="B482" s="19"/>
      <c r="C482" s="14"/>
      <c r="D482" s="14"/>
    </row>
    <row r="483" ht="15.75" customHeight="1">
      <c r="A483" s="18"/>
      <c r="B483" s="19"/>
      <c r="C483" s="14"/>
      <c r="D483" s="14"/>
    </row>
    <row r="484" ht="15.75" customHeight="1">
      <c r="A484" s="18"/>
      <c r="B484" s="19"/>
      <c r="C484" s="14"/>
      <c r="D484" s="14"/>
    </row>
    <row r="485" ht="15.75" customHeight="1">
      <c r="A485" s="18"/>
      <c r="B485" s="19"/>
      <c r="C485" s="14"/>
      <c r="D485" s="14"/>
    </row>
    <row r="486" ht="15.75" customHeight="1">
      <c r="A486" s="18"/>
      <c r="B486" s="19"/>
      <c r="C486" s="14"/>
      <c r="D486" s="14"/>
    </row>
    <row r="487" ht="15.75" customHeight="1">
      <c r="A487" s="18"/>
      <c r="B487" s="19"/>
      <c r="C487" s="14"/>
      <c r="D487" s="14"/>
    </row>
    <row r="488" ht="15.75" customHeight="1">
      <c r="A488" s="18"/>
      <c r="B488" s="19"/>
      <c r="C488" s="14"/>
      <c r="D488" s="14"/>
    </row>
    <row r="489" ht="15.75" customHeight="1">
      <c r="A489" s="18"/>
      <c r="B489" s="19"/>
      <c r="C489" s="14"/>
      <c r="D489" s="14"/>
    </row>
    <row r="490" ht="15.75" customHeight="1">
      <c r="A490" s="18"/>
      <c r="B490" s="19"/>
      <c r="C490" s="14"/>
      <c r="D490" s="14"/>
    </row>
    <row r="491" ht="15.75" customHeight="1">
      <c r="A491" s="18"/>
      <c r="B491" s="19"/>
      <c r="C491" s="14"/>
      <c r="D491" s="14"/>
    </row>
    <row r="492" ht="15.75" customHeight="1">
      <c r="A492" s="18"/>
      <c r="B492" s="19"/>
      <c r="C492" s="14"/>
      <c r="D492" s="14"/>
    </row>
    <row r="493" ht="15.75" customHeight="1">
      <c r="A493" s="18"/>
      <c r="B493" s="19"/>
      <c r="C493" s="14"/>
      <c r="D493" s="14"/>
    </row>
    <row r="494" ht="15.75" customHeight="1">
      <c r="A494" s="18"/>
      <c r="B494" s="19"/>
      <c r="C494" s="14"/>
      <c r="D494" s="14"/>
    </row>
    <row r="495" ht="15.75" customHeight="1">
      <c r="A495" s="18"/>
      <c r="B495" s="19"/>
      <c r="C495" s="14"/>
      <c r="D495" s="14"/>
    </row>
    <row r="496" ht="15.75" customHeight="1">
      <c r="A496" s="18"/>
      <c r="B496" s="19"/>
      <c r="C496" s="14"/>
      <c r="D496" s="14"/>
    </row>
    <row r="497" ht="15.75" customHeight="1">
      <c r="A497" s="18"/>
      <c r="B497" s="19"/>
      <c r="C497" s="14"/>
      <c r="D497" s="14"/>
    </row>
    <row r="498" ht="15.75" customHeight="1">
      <c r="A498" s="18"/>
      <c r="B498" s="19"/>
      <c r="C498" s="14"/>
      <c r="D498" s="14"/>
    </row>
    <row r="499" ht="15.75" customHeight="1">
      <c r="A499" s="18"/>
      <c r="B499" s="19"/>
      <c r="C499" s="14"/>
      <c r="D499" s="14"/>
    </row>
    <row r="500" ht="15.75" customHeight="1">
      <c r="A500" s="18"/>
      <c r="B500" s="19"/>
      <c r="C500" s="14"/>
      <c r="D500" s="14"/>
    </row>
    <row r="501" ht="15.75" customHeight="1">
      <c r="A501" s="18"/>
      <c r="B501" s="19"/>
      <c r="C501" s="14"/>
      <c r="D501" s="14"/>
    </row>
    <row r="502" ht="15.75" customHeight="1">
      <c r="A502" s="18"/>
      <c r="B502" s="19"/>
      <c r="C502" s="14"/>
      <c r="D502" s="14"/>
    </row>
    <row r="503" ht="15.75" customHeight="1">
      <c r="A503" s="18"/>
      <c r="B503" s="19"/>
      <c r="C503" s="14"/>
      <c r="D503" s="14"/>
    </row>
    <row r="504" ht="15.75" customHeight="1">
      <c r="A504" s="18"/>
      <c r="B504" s="19"/>
      <c r="C504" s="14"/>
      <c r="D504" s="14"/>
    </row>
    <row r="505" ht="15.75" customHeight="1">
      <c r="A505" s="18"/>
      <c r="B505" s="19"/>
      <c r="C505" s="14"/>
      <c r="D505" s="14"/>
    </row>
    <row r="506" ht="15.75" customHeight="1">
      <c r="A506" s="18"/>
      <c r="B506" s="19"/>
      <c r="C506" s="14"/>
      <c r="D506" s="14"/>
    </row>
    <row r="507" ht="15.75" customHeight="1">
      <c r="A507" s="18"/>
      <c r="B507" s="19"/>
      <c r="C507" s="14"/>
      <c r="D507" s="14"/>
    </row>
    <row r="508" ht="15.75" customHeight="1">
      <c r="A508" s="18"/>
      <c r="B508" s="19"/>
      <c r="C508" s="14"/>
      <c r="D508" s="14"/>
    </row>
    <row r="509" ht="15.75" customHeight="1">
      <c r="A509" s="18"/>
      <c r="B509" s="19"/>
      <c r="C509" s="14"/>
      <c r="D509" s="14"/>
    </row>
    <row r="510" ht="15.75" customHeight="1">
      <c r="A510" s="18"/>
      <c r="B510" s="19"/>
      <c r="C510" s="14"/>
      <c r="D510" s="14"/>
    </row>
    <row r="511" ht="15.75" customHeight="1">
      <c r="A511" s="18"/>
      <c r="B511" s="19"/>
      <c r="C511" s="14"/>
      <c r="D511" s="14"/>
    </row>
    <row r="512" ht="15.75" customHeight="1">
      <c r="A512" s="18"/>
      <c r="B512" s="19"/>
      <c r="C512" s="14"/>
      <c r="D512" s="14"/>
    </row>
    <row r="513" ht="15.75" customHeight="1">
      <c r="A513" s="18"/>
      <c r="B513" s="19"/>
      <c r="C513" s="14"/>
      <c r="D513" s="14"/>
    </row>
    <row r="514" ht="15.75" customHeight="1">
      <c r="A514" s="18"/>
      <c r="B514" s="19"/>
      <c r="C514" s="14"/>
      <c r="D514" s="14"/>
    </row>
    <row r="515" ht="15.75" customHeight="1">
      <c r="A515" s="18"/>
      <c r="B515" s="19"/>
      <c r="C515" s="14"/>
      <c r="D515" s="14"/>
    </row>
    <row r="516" ht="15.75" customHeight="1">
      <c r="A516" s="18"/>
      <c r="B516" s="19"/>
      <c r="C516" s="14"/>
      <c r="D516" s="14"/>
    </row>
    <row r="517" ht="15.75" customHeight="1">
      <c r="A517" s="18"/>
      <c r="B517" s="19"/>
      <c r="C517" s="14"/>
      <c r="D517" s="14"/>
    </row>
    <row r="518" ht="15.75" customHeight="1">
      <c r="A518" s="18"/>
      <c r="B518" s="19"/>
      <c r="C518" s="14"/>
      <c r="D518" s="14"/>
    </row>
    <row r="519" ht="15.75" customHeight="1">
      <c r="A519" s="18"/>
      <c r="B519" s="19"/>
      <c r="C519" s="14"/>
      <c r="D519" s="14"/>
    </row>
    <row r="520" ht="15.75" customHeight="1">
      <c r="A520" s="18"/>
      <c r="B520" s="19"/>
      <c r="C520" s="14"/>
      <c r="D520" s="14"/>
    </row>
    <row r="521" ht="15.75" customHeight="1">
      <c r="A521" s="18"/>
      <c r="B521" s="19"/>
      <c r="C521" s="14"/>
      <c r="D521" s="14"/>
    </row>
    <row r="522" ht="15.75" customHeight="1">
      <c r="A522" s="18"/>
      <c r="B522" s="19"/>
      <c r="C522" s="14"/>
      <c r="D522" s="14"/>
    </row>
    <row r="523" ht="15.75" customHeight="1">
      <c r="A523" s="18"/>
      <c r="B523" s="19"/>
      <c r="C523" s="14"/>
      <c r="D523" s="14"/>
    </row>
    <row r="524" ht="15.75" customHeight="1">
      <c r="A524" s="18"/>
      <c r="B524" s="19"/>
      <c r="C524" s="14"/>
      <c r="D524" s="14"/>
    </row>
    <row r="525" ht="15.75" customHeight="1">
      <c r="A525" s="18"/>
      <c r="B525" s="19"/>
      <c r="C525" s="14"/>
      <c r="D525" s="14"/>
    </row>
    <row r="526" ht="15.75" customHeight="1">
      <c r="A526" s="18"/>
      <c r="B526" s="19"/>
      <c r="C526" s="14"/>
      <c r="D526" s="14"/>
    </row>
    <row r="527" ht="15.75" customHeight="1">
      <c r="A527" s="18"/>
      <c r="B527" s="19"/>
      <c r="C527" s="14"/>
      <c r="D527" s="14"/>
    </row>
    <row r="528" ht="15.75" customHeight="1">
      <c r="A528" s="18"/>
      <c r="B528" s="19"/>
      <c r="C528" s="14"/>
      <c r="D528" s="14"/>
    </row>
    <row r="529" ht="15.75" customHeight="1">
      <c r="A529" s="18"/>
      <c r="B529" s="19"/>
      <c r="C529" s="14"/>
      <c r="D529" s="14"/>
    </row>
    <row r="530" ht="15.75" customHeight="1">
      <c r="A530" s="18"/>
      <c r="B530" s="19"/>
      <c r="C530" s="14"/>
      <c r="D530" s="14"/>
    </row>
    <row r="531" ht="15.75" customHeight="1">
      <c r="A531" s="18"/>
      <c r="B531" s="19"/>
      <c r="C531" s="14"/>
      <c r="D531" s="14"/>
    </row>
    <row r="532" ht="15.75" customHeight="1">
      <c r="A532" s="18"/>
      <c r="B532" s="19"/>
      <c r="C532" s="14"/>
      <c r="D532" s="14"/>
    </row>
    <row r="533" ht="15.75" customHeight="1">
      <c r="A533" s="18"/>
      <c r="B533" s="19"/>
      <c r="C533" s="14"/>
      <c r="D533" s="14"/>
    </row>
    <row r="534" ht="15.75" customHeight="1">
      <c r="A534" s="18"/>
      <c r="B534" s="19"/>
      <c r="C534" s="14"/>
      <c r="D534" s="14"/>
    </row>
    <row r="535" ht="15.75" customHeight="1">
      <c r="A535" s="18"/>
      <c r="B535" s="19"/>
      <c r="C535" s="14"/>
      <c r="D535" s="14"/>
    </row>
    <row r="536" ht="15.75" customHeight="1">
      <c r="A536" s="18"/>
      <c r="B536" s="19"/>
      <c r="C536" s="14"/>
      <c r="D536" s="14"/>
    </row>
    <row r="537" ht="15.75" customHeight="1">
      <c r="A537" s="18"/>
      <c r="B537" s="19"/>
      <c r="C537" s="14"/>
      <c r="D537" s="14"/>
    </row>
    <row r="538" ht="15.75" customHeight="1">
      <c r="A538" s="18"/>
      <c r="B538" s="19"/>
      <c r="C538" s="14"/>
      <c r="D538" s="14"/>
    </row>
    <row r="539" ht="15.75" customHeight="1">
      <c r="A539" s="18"/>
      <c r="B539" s="19"/>
      <c r="C539" s="14"/>
      <c r="D539" s="14"/>
    </row>
    <row r="540" ht="15.75" customHeight="1">
      <c r="A540" s="18"/>
      <c r="B540" s="19"/>
      <c r="C540" s="14"/>
      <c r="D540" s="14"/>
    </row>
    <row r="541" ht="15.75" customHeight="1">
      <c r="A541" s="18"/>
      <c r="B541" s="19"/>
      <c r="C541" s="14"/>
      <c r="D541" s="14"/>
    </row>
    <row r="542" ht="15.75" customHeight="1">
      <c r="A542" s="18"/>
      <c r="B542" s="19"/>
      <c r="C542" s="14"/>
      <c r="D542" s="14"/>
    </row>
    <row r="543" ht="15.75" customHeight="1">
      <c r="A543" s="18"/>
      <c r="B543" s="19"/>
      <c r="C543" s="14"/>
      <c r="D543" s="14"/>
    </row>
    <row r="544" ht="15.75" customHeight="1">
      <c r="A544" s="18"/>
      <c r="B544" s="19"/>
      <c r="C544" s="14"/>
      <c r="D544" s="14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0.38"/>
    <col customWidth="1" min="4" max="4" width="26.75"/>
    <col customWidth="1" min="5" max="6" width="12.63"/>
  </cols>
  <sheetData>
    <row r="1" ht="51.75" customHeight="1">
      <c r="A1" s="27" t="s">
        <v>0</v>
      </c>
      <c r="B1" s="2" t="s">
        <v>2</v>
      </c>
      <c r="C1" s="4" t="s">
        <v>359</v>
      </c>
      <c r="D1" s="4" t="s">
        <v>360</v>
      </c>
    </row>
    <row r="2" ht="15.75" customHeight="1">
      <c r="A2" s="28">
        <v>10101.0</v>
      </c>
      <c r="B2" s="29" t="s">
        <v>11</v>
      </c>
      <c r="C2" s="30">
        <v>6783.0</v>
      </c>
      <c r="D2" s="31">
        <v>1167.0</v>
      </c>
    </row>
    <row r="3" ht="15.75" customHeight="1">
      <c r="A3" s="6">
        <v>10102.0</v>
      </c>
      <c r="B3" s="7" t="s">
        <v>12</v>
      </c>
      <c r="C3" s="8">
        <v>92.0</v>
      </c>
      <c r="D3" s="11">
        <v>13.0</v>
      </c>
    </row>
    <row r="4" ht="15.75" customHeight="1">
      <c r="A4" s="6">
        <v>10103.0</v>
      </c>
      <c r="B4" s="7" t="s">
        <v>14</v>
      </c>
      <c r="C4" s="8">
        <v>73.0</v>
      </c>
      <c r="D4" s="11">
        <v>58.0</v>
      </c>
    </row>
    <row r="5" ht="15.75" customHeight="1">
      <c r="A5" s="6">
        <v>10201.0</v>
      </c>
      <c r="B5" s="7" t="s">
        <v>16</v>
      </c>
      <c r="C5" s="8">
        <v>76.0</v>
      </c>
      <c r="D5" s="11">
        <v>39.0</v>
      </c>
    </row>
    <row r="6" ht="15.75" customHeight="1">
      <c r="A6" s="6">
        <v>10202.0</v>
      </c>
      <c r="B6" s="7" t="s">
        <v>18</v>
      </c>
      <c r="C6" s="8">
        <v>79.0</v>
      </c>
      <c r="D6" s="11">
        <v>84.0</v>
      </c>
    </row>
    <row r="7" ht="15.75" customHeight="1">
      <c r="A7" s="6">
        <v>10301.0</v>
      </c>
      <c r="B7" s="7" t="s">
        <v>20</v>
      </c>
      <c r="C7" s="8">
        <v>113.0</v>
      </c>
      <c r="D7" s="11">
        <v>68.0</v>
      </c>
    </row>
    <row r="8" ht="15.75" customHeight="1">
      <c r="A8" s="6">
        <v>10302.0</v>
      </c>
      <c r="B8" s="7" t="s">
        <v>22</v>
      </c>
      <c r="C8" s="8">
        <v>104.0</v>
      </c>
      <c r="D8" s="11">
        <v>62.0</v>
      </c>
    </row>
    <row r="9" ht="15.75" customHeight="1">
      <c r="A9" s="6">
        <v>10303.0</v>
      </c>
      <c r="B9" s="7" t="s">
        <v>24</v>
      </c>
      <c r="C9" s="8">
        <v>52.0</v>
      </c>
      <c r="D9" s="11">
        <v>33.0</v>
      </c>
    </row>
    <row r="10" ht="15.75" customHeight="1">
      <c r="A10" s="6">
        <v>10304.0</v>
      </c>
      <c r="B10" s="7" t="s">
        <v>26</v>
      </c>
      <c r="C10" s="8">
        <v>47.0</v>
      </c>
      <c r="D10" s="11">
        <v>71.0</v>
      </c>
    </row>
    <row r="11" ht="15.75" customHeight="1">
      <c r="A11" s="6">
        <v>10401.0</v>
      </c>
      <c r="B11" s="7" t="s">
        <v>28</v>
      </c>
      <c r="C11" s="8">
        <v>67.0</v>
      </c>
      <c r="D11" s="11">
        <v>40.0</v>
      </c>
    </row>
    <row r="12" ht="15.75" customHeight="1">
      <c r="A12" s="6">
        <v>10402.0</v>
      </c>
      <c r="B12" s="7" t="s">
        <v>30</v>
      </c>
      <c r="C12" s="8">
        <v>61.0</v>
      </c>
      <c r="D12" s="11">
        <v>53.0</v>
      </c>
    </row>
    <row r="13" ht="15.75" customHeight="1">
      <c r="A13" s="6">
        <v>10403.0</v>
      </c>
      <c r="B13" s="7" t="s">
        <v>32</v>
      </c>
      <c r="C13" s="8">
        <v>48.0</v>
      </c>
      <c r="D13" s="11">
        <v>41.0</v>
      </c>
    </row>
    <row r="14" ht="15.75" customHeight="1">
      <c r="A14" s="6">
        <v>10404.0</v>
      </c>
      <c r="B14" s="7" t="s">
        <v>34</v>
      </c>
      <c r="C14" s="8">
        <v>74.0</v>
      </c>
      <c r="D14" s="11">
        <v>17.0</v>
      </c>
    </row>
    <row r="15" ht="15.75" customHeight="1">
      <c r="A15" s="6">
        <v>10405.0</v>
      </c>
      <c r="B15" s="7" t="s">
        <v>36</v>
      </c>
      <c r="C15" s="8">
        <v>55.0</v>
      </c>
      <c r="D15" s="11">
        <v>39.0</v>
      </c>
    </row>
    <row r="16" ht="15.75" customHeight="1">
      <c r="A16" s="6">
        <v>10501.0</v>
      </c>
      <c r="B16" s="7" t="s">
        <v>37</v>
      </c>
      <c r="C16" s="8">
        <v>161.0</v>
      </c>
      <c r="D16" s="11">
        <v>71.0</v>
      </c>
    </row>
    <row r="17" ht="15.75" customHeight="1">
      <c r="A17" s="6">
        <v>10502.0</v>
      </c>
      <c r="B17" s="7" t="s">
        <v>39</v>
      </c>
      <c r="C17" s="8">
        <v>42.0</v>
      </c>
      <c r="D17" s="11">
        <v>22.0</v>
      </c>
    </row>
    <row r="18" ht="15.75" customHeight="1">
      <c r="A18" s="6">
        <v>10601.0</v>
      </c>
      <c r="B18" s="7" t="s">
        <v>41</v>
      </c>
      <c r="C18" s="8">
        <v>123.0</v>
      </c>
      <c r="D18" s="11">
        <v>49.0</v>
      </c>
    </row>
    <row r="19" ht="15.75" customHeight="1">
      <c r="A19" s="6">
        <v>10602.0</v>
      </c>
      <c r="B19" s="7" t="s">
        <v>42</v>
      </c>
      <c r="C19" s="8">
        <v>78.0</v>
      </c>
      <c r="D19" s="11">
        <v>33.0</v>
      </c>
    </row>
    <row r="20" ht="15.75" customHeight="1">
      <c r="A20" s="6">
        <v>10701.0</v>
      </c>
      <c r="B20" s="7" t="s">
        <v>43</v>
      </c>
      <c r="C20" s="8">
        <v>90.0</v>
      </c>
      <c r="D20" s="11">
        <v>45.0</v>
      </c>
    </row>
    <row r="21" ht="15.75" customHeight="1">
      <c r="A21" s="6">
        <v>10702.0</v>
      </c>
      <c r="B21" s="7" t="s">
        <v>44</v>
      </c>
      <c r="C21" s="8">
        <v>172.0</v>
      </c>
      <c r="D21" s="11">
        <v>103.0</v>
      </c>
    </row>
    <row r="22" ht="15.75" customHeight="1">
      <c r="A22" s="6">
        <v>10703.0</v>
      </c>
      <c r="B22" s="7" t="s">
        <v>45</v>
      </c>
      <c r="C22" s="8">
        <v>137.0</v>
      </c>
      <c r="D22" s="11">
        <v>70.0</v>
      </c>
    </row>
    <row r="23" ht="15.75" customHeight="1">
      <c r="A23" s="6">
        <v>10704.0</v>
      </c>
      <c r="B23" s="7" t="s">
        <v>46</v>
      </c>
      <c r="C23" s="8">
        <v>135.0</v>
      </c>
      <c r="D23" s="11">
        <v>96.0</v>
      </c>
    </row>
    <row r="24" ht="15.75" customHeight="1">
      <c r="A24" s="6">
        <v>10801.0</v>
      </c>
      <c r="B24" s="7" t="s">
        <v>47</v>
      </c>
      <c r="C24" s="8">
        <v>110.0</v>
      </c>
      <c r="D24" s="11">
        <v>23.0</v>
      </c>
    </row>
    <row r="25" ht="15.75" customHeight="1">
      <c r="A25" s="6">
        <v>10901.0</v>
      </c>
      <c r="B25" s="7" t="s">
        <v>48</v>
      </c>
      <c r="C25" s="8">
        <v>28.0</v>
      </c>
      <c r="D25" s="11">
        <v>24.0</v>
      </c>
    </row>
    <row r="26" ht="15.75" customHeight="1">
      <c r="A26" s="6">
        <v>10902.0</v>
      </c>
      <c r="B26" s="7" t="s">
        <v>49</v>
      </c>
      <c r="C26" s="8">
        <v>141.0</v>
      </c>
      <c r="D26" s="11">
        <v>68.0</v>
      </c>
    </row>
    <row r="27" ht="15.75" customHeight="1">
      <c r="A27" s="6">
        <v>10903.0</v>
      </c>
      <c r="B27" s="7" t="s">
        <v>50</v>
      </c>
      <c r="C27" s="8">
        <v>24.0</v>
      </c>
      <c r="D27" s="11">
        <v>27.0</v>
      </c>
    </row>
    <row r="28" ht="15.75" customHeight="1">
      <c r="A28" s="6">
        <v>11001.0</v>
      </c>
      <c r="B28" s="7" t="s">
        <v>51</v>
      </c>
      <c r="C28" s="8">
        <v>139.0</v>
      </c>
      <c r="D28" s="11">
        <v>33.0</v>
      </c>
    </row>
    <row r="29" ht="15.75" customHeight="1">
      <c r="A29" s="6">
        <v>11002.0</v>
      </c>
      <c r="B29" s="7" t="s">
        <v>52</v>
      </c>
      <c r="C29" s="8">
        <v>40.0</v>
      </c>
      <c r="D29" s="11">
        <v>13.0</v>
      </c>
    </row>
    <row r="30" ht="15.75" customHeight="1">
      <c r="A30" s="6">
        <v>11003.0</v>
      </c>
      <c r="B30" s="7" t="s">
        <v>53</v>
      </c>
      <c r="C30" s="8">
        <v>121.0</v>
      </c>
      <c r="D30" s="11">
        <v>98.0</v>
      </c>
    </row>
    <row r="31" ht="15.75" customHeight="1">
      <c r="A31" s="6">
        <v>20101.0</v>
      </c>
      <c r="B31" s="7" t="s">
        <v>54</v>
      </c>
      <c r="C31" s="8">
        <v>16969.0</v>
      </c>
      <c r="D31" s="11">
        <v>3382.0</v>
      </c>
    </row>
    <row r="32" ht="15.75" customHeight="1">
      <c r="A32" s="6">
        <v>20102.0</v>
      </c>
      <c r="B32" s="7" t="s">
        <v>55</v>
      </c>
      <c r="C32" s="8">
        <v>70.0</v>
      </c>
      <c r="D32" s="11">
        <v>71.0</v>
      </c>
    </row>
    <row r="33" ht="15.75" customHeight="1">
      <c r="A33" s="6">
        <v>20103.0</v>
      </c>
      <c r="B33" s="7" t="s">
        <v>56</v>
      </c>
      <c r="C33" s="8">
        <v>76.0</v>
      </c>
      <c r="D33" s="11">
        <v>37.0</v>
      </c>
    </row>
    <row r="34" ht="15.75" customHeight="1">
      <c r="A34" s="6">
        <v>20104.0</v>
      </c>
      <c r="B34" s="7" t="s">
        <v>57</v>
      </c>
      <c r="C34" s="8">
        <v>213.0</v>
      </c>
      <c r="D34" s="11">
        <v>143.0</v>
      </c>
    </row>
    <row r="35" ht="15.75" customHeight="1">
      <c r="A35" s="6">
        <v>20105.0</v>
      </c>
      <c r="B35" s="7" t="s">
        <v>58</v>
      </c>
      <c r="C35" s="8">
        <v>12838.0</v>
      </c>
      <c r="D35" s="11">
        <v>3765.0</v>
      </c>
    </row>
    <row r="36" ht="15.75" customHeight="1">
      <c r="A36" s="6">
        <v>20201.0</v>
      </c>
      <c r="B36" s="7" t="s">
        <v>59</v>
      </c>
      <c r="C36" s="8">
        <v>611.0</v>
      </c>
      <c r="D36" s="11">
        <v>199.0</v>
      </c>
    </row>
    <row r="37" ht="15.75" customHeight="1">
      <c r="A37" s="6">
        <v>20202.0</v>
      </c>
      <c r="B37" s="7" t="s">
        <v>60</v>
      </c>
      <c r="C37" s="8">
        <v>54.0</v>
      </c>
      <c r="D37" s="11">
        <v>40.0</v>
      </c>
    </row>
    <row r="38" ht="15.75" customHeight="1">
      <c r="A38" s="6">
        <v>20203.0</v>
      </c>
      <c r="B38" s="7" t="s">
        <v>61</v>
      </c>
      <c r="C38" s="8">
        <v>50.0</v>
      </c>
      <c r="D38" s="11">
        <v>107.0</v>
      </c>
    </row>
    <row r="39" ht="15.75" customHeight="1">
      <c r="A39" s="6">
        <v>20204.0</v>
      </c>
      <c r="B39" s="7" t="s">
        <v>62</v>
      </c>
      <c r="C39" s="8">
        <v>75.0</v>
      </c>
      <c r="D39" s="11">
        <v>11.0</v>
      </c>
    </row>
    <row r="40" ht="15.75" customHeight="1">
      <c r="A40" s="6">
        <v>20205.0</v>
      </c>
      <c r="B40" s="7" t="s">
        <v>63</v>
      </c>
      <c r="C40" s="8">
        <v>72.0</v>
      </c>
      <c r="D40" s="11">
        <v>25.0</v>
      </c>
    </row>
    <row r="41" ht="15.75" customHeight="1">
      <c r="A41" s="6">
        <v>20206.0</v>
      </c>
      <c r="B41" s="7" t="s">
        <v>64</v>
      </c>
      <c r="C41" s="8">
        <v>131.0</v>
      </c>
      <c r="D41" s="11">
        <v>36.0</v>
      </c>
    </row>
    <row r="42" ht="15.75" customHeight="1">
      <c r="A42" s="6">
        <v>20301.0</v>
      </c>
      <c r="B42" s="7" t="s">
        <v>65</v>
      </c>
      <c r="C42" s="8">
        <v>240.0</v>
      </c>
      <c r="D42" s="11">
        <v>244.0</v>
      </c>
    </row>
    <row r="43" ht="15.75" customHeight="1">
      <c r="A43" s="6">
        <v>20302.0</v>
      </c>
      <c r="B43" s="7" t="s">
        <v>66</v>
      </c>
      <c r="C43" s="8">
        <v>68.0</v>
      </c>
      <c r="D43" s="11">
        <v>29.0</v>
      </c>
    </row>
    <row r="44" ht="15.75" customHeight="1">
      <c r="A44" s="6">
        <v>20303.0</v>
      </c>
      <c r="B44" s="7" t="s">
        <v>67</v>
      </c>
      <c r="C44" s="8">
        <v>49.0</v>
      </c>
      <c r="D44" s="11">
        <v>26.0</v>
      </c>
    </row>
    <row r="45" ht="15.75" customHeight="1">
      <c r="A45" s="6">
        <v>20304.0</v>
      </c>
      <c r="B45" s="7" t="s">
        <v>68</v>
      </c>
      <c r="C45" s="8">
        <v>20.0</v>
      </c>
      <c r="D45" s="11">
        <v>8.0</v>
      </c>
    </row>
    <row r="46" ht="15.75" customHeight="1">
      <c r="A46" s="6">
        <v>20305.0</v>
      </c>
      <c r="B46" s="7" t="s">
        <v>69</v>
      </c>
      <c r="C46" s="8">
        <v>40.0</v>
      </c>
      <c r="D46" s="11">
        <v>58.0</v>
      </c>
    </row>
    <row r="47" ht="15.75" customHeight="1">
      <c r="A47" s="6">
        <v>20306.0</v>
      </c>
      <c r="B47" s="7" t="s">
        <v>70</v>
      </c>
      <c r="C47" s="8">
        <v>75.0</v>
      </c>
      <c r="D47" s="11">
        <v>17.0</v>
      </c>
    </row>
    <row r="48" ht="15.75" customHeight="1">
      <c r="A48" s="6">
        <v>20307.0</v>
      </c>
      <c r="B48" s="7" t="s">
        <v>71</v>
      </c>
      <c r="C48" s="8">
        <v>1.0</v>
      </c>
      <c r="D48" s="11">
        <v>9.0</v>
      </c>
    </row>
    <row r="49" ht="15.75" customHeight="1">
      <c r="A49" s="6">
        <v>20308.0</v>
      </c>
      <c r="B49" s="7" t="s">
        <v>72</v>
      </c>
      <c r="C49" s="8">
        <v>23.0</v>
      </c>
      <c r="D49" s="11">
        <v>10.0</v>
      </c>
    </row>
    <row r="50" ht="15.75" customHeight="1">
      <c r="A50" s="6">
        <v>20401.0</v>
      </c>
      <c r="B50" s="7" t="s">
        <v>73</v>
      </c>
      <c r="C50" s="8">
        <v>57.0</v>
      </c>
      <c r="D50" s="11">
        <v>65.0</v>
      </c>
    </row>
    <row r="51" ht="15.75" customHeight="1">
      <c r="A51" s="6">
        <v>20402.0</v>
      </c>
      <c r="B51" s="7" t="s">
        <v>74</v>
      </c>
      <c r="C51" s="8">
        <v>74.0</v>
      </c>
      <c r="D51" s="11">
        <v>56.0</v>
      </c>
    </row>
    <row r="52" ht="15.75" customHeight="1">
      <c r="A52" s="6">
        <v>20403.0</v>
      </c>
      <c r="B52" s="7" t="s">
        <v>75</v>
      </c>
      <c r="C52" s="8">
        <v>205.0</v>
      </c>
      <c r="D52" s="11">
        <v>101.0</v>
      </c>
    </row>
    <row r="53" ht="15.75" customHeight="1">
      <c r="A53" s="6">
        <v>20404.0</v>
      </c>
      <c r="B53" s="7" t="s">
        <v>76</v>
      </c>
      <c r="C53" s="8">
        <v>20.0</v>
      </c>
      <c r="D53" s="11">
        <v>15.0</v>
      </c>
    </row>
    <row r="54" ht="15.75" customHeight="1">
      <c r="A54" s="6">
        <v>20405.0</v>
      </c>
      <c r="B54" s="7" t="s">
        <v>77</v>
      </c>
      <c r="C54" s="8">
        <v>45.0</v>
      </c>
      <c r="D54" s="11">
        <v>19.0</v>
      </c>
    </row>
    <row r="55" ht="15.75" customHeight="1">
      <c r="A55" s="6">
        <v>20501.0</v>
      </c>
      <c r="B55" s="7" t="s">
        <v>78</v>
      </c>
      <c r="C55" s="8">
        <v>46.0</v>
      </c>
      <c r="D55" s="11">
        <v>83.0</v>
      </c>
    </row>
    <row r="56" ht="15.75" customHeight="1">
      <c r="A56" s="6">
        <v>20502.0</v>
      </c>
      <c r="B56" s="7" t="s">
        <v>79</v>
      </c>
      <c r="C56" s="8">
        <v>24.0</v>
      </c>
      <c r="D56" s="11">
        <v>58.0</v>
      </c>
    </row>
    <row r="57" ht="15.75" customHeight="1">
      <c r="A57" s="6">
        <v>20503.0</v>
      </c>
      <c r="B57" s="7" t="s">
        <v>80</v>
      </c>
      <c r="C57" s="8">
        <v>33.0</v>
      </c>
      <c r="D57" s="11">
        <v>27.0</v>
      </c>
    </row>
    <row r="58" ht="15.75" customHeight="1">
      <c r="A58" s="6">
        <v>20601.0</v>
      </c>
      <c r="B58" s="7" t="s">
        <v>81</v>
      </c>
      <c r="C58" s="8">
        <v>153.0</v>
      </c>
      <c r="D58" s="11">
        <v>127.0</v>
      </c>
    </row>
    <row r="59" ht="15.75" customHeight="1">
      <c r="A59" s="6">
        <v>20602.0</v>
      </c>
      <c r="B59" s="7" t="s">
        <v>82</v>
      </c>
      <c r="C59" s="8">
        <v>173.0</v>
      </c>
      <c r="D59" s="11">
        <v>65.0</v>
      </c>
    </row>
    <row r="60" ht="15.75" customHeight="1">
      <c r="A60" s="6">
        <v>20603.0</v>
      </c>
      <c r="B60" s="7" t="s">
        <v>83</v>
      </c>
      <c r="C60" s="8">
        <v>42.0</v>
      </c>
      <c r="D60" s="11">
        <v>56.0</v>
      </c>
    </row>
    <row r="61" ht="15.75" customHeight="1">
      <c r="A61" s="6">
        <v>20604.0</v>
      </c>
      <c r="B61" s="7" t="s">
        <v>84</v>
      </c>
      <c r="C61" s="8">
        <v>6.0</v>
      </c>
      <c r="D61" s="11">
        <v>25.0</v>
      </c>
    </row>
    <row r="62" ht="15.75" customHeight="1">
      <c r="A62" s="6">
        <v>20605.0</v>
      </c>
      <c r="B62" s="7" t="s">
        <v>85</v>
      </c>
      <c r="C62" s="8">
        <v>21.0</v>
      </c>
      <c r="D62" s="11">
        <v>8.0</v>
      </c>
    </row>
    <row r="63" ht="15.75" customHeight="1">
      <c r="A63" s="6">
        <v>20606.0</v>
      </c>
      <c r="B63" s="7" t="s">
        <v>86</v>
      </c>
      <c r="C63" s="8">
        <v>57.0</v>
      </c>
      <c r="D63" s="11">
        <v>32.0</v>
      </c>
    </row>
    <row r="64" ht="15.75" customHeight="1">
      <c r="A64" s="6">
        <v>20607.0</v>
      </c>
      <c r="B64" s="7" t="s">
        <v>87</v>
      </c>
      <c r="C64" s="8">
        <v>73.0</v>
      </c>
      <c r="D64" s="11">
        <v>217.0</v>
      </c>
    </row>
    <row r="65" ht="15.75" customHeight="1">
      <c r="A65" s="6">
        <v>20608.0</v>
      </c>
      <c r="B65" s="7" t="s">
        <v>88</v>
      </c>
      <c r="C65" s="8">
        <v>53.0</v>
      </c>
      <c r="D65" s="11">
        <v>80.0</v>
      </c>
    </row>
    <row r="66" ht="15.75" customHeight="1">
      <c r="A66" s="6">
        <v>20701.0</v>
      </c>
      <c r="B66" s="7" t="s">
        <v>89</v>
      </c>
      <c r="C66" s="8">
        <v>427.0</v>
      </c>
      <c r="D66" s="11">
        <v>299.0</v>
      </c>
    </row>
    <row r="67" ht="15.75" customHeight="1">
      <c r="A67" s="6">
        <v>20702.0</v>
      </c>
      <c r="B67" s="7" t="s">
        <v>90</v>
      </c>
      <c r="C67" s="8">
        <v>105.0</v>
      </c>
      <c r="D67" s="11">
        <v>102.0</v>
      </c>
    </row>
    <row r="68" ht="15.75" customHeight="1">
      <c r="A68" s="6">
        <v>20801.0</v>
      </c>
      <c r="B68" s="7" t="s">
        <v>91</v>
      </c>
      <c r="C68" s="8">
        <v>1265.0</v>
      </c>
      <c r="D68" s="11">
        <v>777.0</v>
      </c>
    </row>
    <row r="69" ht="15.75" customHeight="1">
      <c r="A69" s="6">
        <v>20802.0</v>
      </c>
      <c r="B69" s="7" t="s">
        <v>92</v>
      </c>
      <c r="C69" s="8">
        <v>245.0</v>
      </c>
      <c r="D69" s="11">
        <v>310.0</v>
      </c>
    </row>
    <row r="70" ht="15.75" customHeight="1">
      <c r="A70" s="6">
        <v>20803.0</v>
      </c>
      <c r="B70" s="7" t="s">
        <v>93</v>
      </c>
      <c r="C70" s="8">
        <v>159.0</v>
      </c>
      <c r="D70" s="11">
        <v>40.0</v>
      </c>
    </row>
    <row r="71" ht="15.75" customHeight="1">
      <c r="A71" s="6">
        <v>20804.0</v>
      </c>
      <c r="B71" s="7" t="s">
        <v>94</v>
      </c>
      <c r="C71" s="8">
        <v>47.0</v>
      </c>
      <c r="D71" s="11">
        <v>40.0</v>
      </c>
    </row>
    <row r="72" ht="15.75" customHeight="1">
      <c r="A72" s="6">
        <v>20805.0</v>
      </c>
      <c r="B72" s="7" t="s">
        <v>95</v>
      </c>
      <c r="C72" s="8">
        <v>43.0</v>
      </c>
      <c r="D72" s="11">
        <v>10.0</v>
      </c>
    </row>
    <row r="73" ht="15.75" customHeight="1">
      <c r="A73" s="6">
        <v>20806.0</v>
      </c>
      <c r="B73" s="7" t="s">
        <v>96</v>
      </c>
      <c r="C73" s="8">
        <v>102.0</v>
      </c>
      <c r="D73" s="11">
        <v>29.0</v>
      </c>
    </row>
    <row r="74" ht="15.75" customHeight="1">
      <c r="A74" s="6">
        <v>20807.0</v>
      </c>
      <c r="B74" s="7" t="s">
        <v>97</v>
      </c>
      <c r="C74" s="8">
        <v>46.0</v>
      </c>
      <c r="D74" s="11">
        <v>19.0</v>
      </c>
    </row>
    <row r="75" ht="15.75" customHeight="1">
      <c r="A75" s="6">
        <v>20901.0</v>
      </c>
      <c r="B75" s="7" t="s">
        <v>98</v>
      </c>
      <c r="C75" s="8">
        <v>61.0</v>
      </c>
      <c r="D75" s="11">
        <v>29.0</v>
      </c>
    </row>
    <row r="76" ht="15.75" customHeight="1">
      <c r="A76" s="6">
        <v>20902.0</v>
      </c>
      <c r="B76" s="7" t="s">
        <v>99</v>
      </c>
      <c r="C76" s="8">
        <v>47.0</v>
      </c>
      <c r="D76" s="11">
        <v>38.0</v>
      </c>
    </row>
    <row r="77" ht="15.75" customHeight="1">
      <c r="A77" s="6">
        <v>20903.0</v>
      </c>
      <c r="B77" s="7" t="s">
        <v>100</v>
      </c>
      <c r="C77" s="8">
        <v>29.0</v>
      </c>
      <c r="D77" s="11">
        <v>69.0</v>
      </c>
    </row>
    <row r="78" ht="15.75" customHeight="1">
      <c r="A78" s="6">
        <v>20904.0</v>
      </c>
      <c r="B78" s="7" t="s">
        <v>101</v>
      </c>
      <c r="C78" s="8">
        <v>54.0</v>
      </c>
      <c r="D78" s="11">
        <v>33.0</v>
      </c>
    </row>
    <row r="79" ht="15.75" customHeight="1">
      <c r="A79" s="6">
        <v>20905.0</v>
      </c>
      <c r="B79" s="7" t="s">
        <v>102</v>
      </c>
      <c r="C79" s="8">
        <v>25.0</v>
      </c>
      <c r="D79" s="11">
        <v>48.0</v>
      </c>
    </row>
    <row r="80" ht="15.75" customHeight="1">
      <c r="A80" s="6">
        <v>21001.0</v>
      </c>
      <c r="B80" s="7" t="s">
        <v>103</v>
      </c>
      <c r="C80" s="8">
        <v>57.0</v>
      </c>
      <c r="D80" s="11">
        <v>79.0</v>
      </c>
    </row>
    <row r="81" ht="15.75" customHeight="1">
      <c r="A81" s="6">
        <v>21002.0</v>
      </c>
      <c r="B81" s="7" t="s">
        <v>104</v>
      </c>
      <c r="C81" s="8">
        <v>59.0</v>
      </c>
      <c r="D81" s="11">
        <v>43.0</v>
      </c>
    </row>
    <row r="82" ht="15.75" customHeight="1">
      <c r="A82" s="6">
        <v>21003.0</v>
      </c>
      <c r="B82" s="7" t="s">
        <v>105</v>
      </c>
      <c r="C82" s="8">
        <v>106.0</v>
      </c>
      <c r="D82" s="11">
        <v>65.0</v>
      </c>
    </row>
    <row r="83" ht="15.75" customHeight="1">
      <c r="A83" s="6">
        <v>21004.0</v>
      </c>
      <c r="B83" s="7" t="s">
        <v>106</v>
      </c>
      <c r="C83" s="8">
        <v>150.0</v>
      </c>
      <c r="D83" s="11">
        <v>66.0</v>
      </c>
    </row>
    <row r="84" ht="15.75" customHeight="1">
      <c r="A84" s="6">
        <v>21005.0</v>
      </c>
      <c r="B84" s="7" t="s">
        <v>107</v>
      </c>
      <c r="C84" s="8">
        <v>24.0</v>
      </c>
      <c r="D84" s="11">
        <v>43.0</v>
      </c>
    </row>
    <row r="85" ht="15.75" customHeight="1">
      <c r="A85" s="6">
        <v>21006.0</v>
      </c>
      <c r="B85" s="7" t="s">
        <v>108</v>
      </c>
      <c r="C85" s="8">
        <v>55.0</v>
      </c>
      <c r="D85" s="11">
        <v>49.0</v>
      </c>
    </row>
    <row r="86" ht="15.75" customHeight="1">
      <c r="A86" s="6">
        <v>21101.0</v>
      </c>
      <c r="B86" s="7" t="s">
        <v>109</v>
      </c>
      <c r="C86" s="8">
        <v>79.0</v>
      </c>
      <c r="D86" s="11">
        <v>51.0</v>
      </c>
    </row>
    <row r="87" ht="15.75" customHeight="1">
      <c r="A87" s="6">
        <v>21102.0</v>
      </c>
      <c r="B87" s="7" t="s">
        <v>110</v>
      </c>
      <c r="C87" s="8">
        <v>63.0</v>
      </c>
      <c r="D87" s="11">
        <v>75.0</v>
      </c>
    </row>
    <row r="88" ht="15.75" customHeight="1">
      <c r="A88" s="6">
        <v>21103.0</v>
      </c>
      <c r="B88" s="7" t="s">
        <v>111</v>
      </c>
      <c r="C88" s="8">
        <v>36.0</v>
      </c>
      <c r="D88" s="11">
        <v>34.0</v>
      </c>
    </row>
    <row r="89" ht="15.75" customHeight="1">
      <c r="A89" s="6">
        <v>21104.0</v>
      </c>
      <c r="B89" s="7" t="s">
        <v>112</v>
      </c>
      <c r="C89" s="8">
        <v>117.0</v>
      </c>
      <c r="D89" s="11">
        <v>89.0</v>
      </c>
    </row>
    <row r="90" ht="15.75" customHeight="1">
      <c r="A90" s="6">
        <v>21105.0</v>
      </c>
      <c r="B90" s="7" t="s">
        <v>113</v>
      </c>
      <c r="C90" s="8">
        <v>161.0</v>
      </c>
      <c r="D90" s="11">
        <v>145.0</v>
      </c>
    </row>
    <row r="91" ht="15.75" customHeight="1">
      <c r="A91" s="6">
        <v>21201.0</v>
      </c>
      <c r="B91" s="7" t="s">
        <v>114</v>
      </c>
      <c r="C91" s="8">
        <v>228.0</v>
      </c>
      <c r="D91" s="11">
        <v>153.0</v>
      </c>
    </row>
    <row r="92" ht="15.75" customHeight="1">
      <c r="A92" s="6">
        <v>21202.0</v>
      </c>
      <c r="B92" s="7" t="s">
        <v>115</v>
      </c>
      <c r="C92" s="8">
        <v>205.0</v>
      </c>
      <c r="D92" s="11">
        <v>122.0</v>
      </c>
    </row>
    <row r="93" ht="15.75" customHeight="1">
      <c r="A93" s="6">
        <v>21203.0</v>
      </c>
      <c r="B93" s="7" t="s">
        <v>116</v>
      </c>
      <c r="C93" s="8">
        <v>135.0</v>
      </c>
      <c r="D93" s="11">
        <v>50.0</v>
      </c>
    </row>
    <row r="94" ht="15.75" customHeight="1">
      <c r="A94" s="6">
        <v>21204.0</v>
      </c>
      <c r="B94" s="7" t="s">
        <v>117</v>
      </c>
      <c r="C94" s="8">
        <v>47.0</v>
      </c>
      <c r="D94" s="11">
        <v>35.0</v>
      </c>
    </row>
    <row r="95" ht="15.75" customHeight="1">
      <c r="A95" s="6">
        <v>21301.0</v>
      </c>
      <c r="B95" s="7" t="s">
        <v>118</v>
      </c>
      <c r="C95" s="8">
        <v>296.0</v>
      </c>
      <c r="D95" s="11">
        <v>137.0</v>
      </c>
    </row>
    <row r="96" ht="15.75" customHeight="1">
      <c r="A96" s="6">
        <v>21302.0</v>
      </c>
      <c r="B96" s="7" t="s">
        <v>119</v>
      </c>
      <c r="C96" s="8">
        <v>38.0</v>
      </c>
      <c r="D96" s="11">
        <v>18.0</v>
      </c>
    </row>
    <row r="97" ht="15.75" customHeight="1">
      <c r="A97" s="6">
        <v>21303.0</v>
      </c>
      <c r="B97" s="7" t="s">
        <v>120</v>
      </c>
      <c r="C97" s="8">
        <v>17.0</v>
      </c>
      <c r="D97" s="11">
        <v>40.0</v>
      </c>
    </row>
    <row r="98" ht="15.75" customHeight="1">
      <c r="A98" s="6">
        <v>21304.0</v>
      </c>
      <c r="B98" s="7" t="s">
        <v>121</v>
      </c>
      <c r="C98" s="8">
        <v>72.0</v>
      </c>
      <c r="D98" s="11">
        <v>62.0</v>
      </c>
    </row>
    <row r="99" ht="15.75" customHeight="1">
      <c r="A99" s="6">
        <v>21305.0</v>
      </c>
      <c r="B99" s="7" t="s">
        <v>122</v>
      </c>
      <c r="C99" s="8">
        <v>313.0</v>
      </c>
      <c r="D99" s="11">
        <v>228.0</v>
      </c>
    </row>
    <row r="100" ht="15.75" customHeight="1">
      <c r="A100" s="6">
        <v>21306.0</v>
      </c>
      <c r="B100" s="7" t="s">
        <v>123</v>
      </c>
      <c r="C100" s="8">
        <v>83.0</v>
      </c>
      <c r="D100" s="11">
        <v>67.0</v>
      </c>
    </row>
    <row r="101" ht="15.75" customHeight="1">
      <c r="A101" s="6">
        <v>21307.0</v>
      </c>
      <c r="B101" s="7" t="s">
        <v>124</v>
      </c>
      <c r="C101" s="8">
        <v>29.0</v>
      </c>
      <c r="D101" s="11">
        <v>39.0</v>
      </c>
    </row>
    <row r="102" ht="15.75" customHeight="1">
      <c r="A102" s="6">
        <v>21401.0</v>
      </c>
      <c r="B102" s="7" t="s">
        <v>125</v>
      </c>
      <c r="C102" s="8">
        <v>133.0</v>
      </c>
      <c r="D102" s="11">
        <v>108.0</v>
      </c>
    </row>
    <row r="103" ht="15.75" customHeight="1">
      <c r="A103" s="6">
        <v>21402.0</v>
      </c>
      <c r="B103" s="7" t="s">
        <v>126</v>
      </c>
      <c r="C103" s="8">
        <v>69.0</v>
      </c>
      <c r="D103" s="11">
        <v>67.0</v>
      </c>
    </row>
    <row r="104" ht="15.75" customHeight="1">
      <c r="A104" s="6">
        <v>21501.0</v>
      </c>
      <c r="B104" s="7" t="s">
        <v>127</v>
      </c>
      <c r="C104" s="8">
        <v>89.0</v>
      </c>
      <c r="D104" s="11">
        <v>54.0</v>
      </c>
    </row>
    <row r="105" ht="15.75" customHeight="1">
      <c r="A105" s="6">
        <v>21502.0</v>
      </c>
      <c r="B105" s="7" t="s">
        <v>128</v>
      </c>
      <c r="C105" s="8">
        <v>54.0</v>
      </c>
      <c r="D105" s="11">
        <v>49.0</v>
      </c>
    </row>
    <row r="106" ht="15.75" customHeight="1">
      <c r="A106" s="6">
        <v>21601.0</v>
      </c>
      <c r="B106" s="7" t="s">
        <v>129</v>
      </c>
      <c r="C106" s="8">
        <v>95.0</v>
      </c>
      <c r="D106" s="11">
        <v>88.0</v>
      </c>
    </row>
    <row r="107" ht="15.75" customHeight="1">
      <c r="A107" s="6">
        <v>21602.0</v>
      </c>
      <c r="B107" s="7" t="s">
        <v>130</v>
      </c>
      <c r="C107" s="8">
        <v>34.0</v>
      </c>
      <c r="D107" s="11">
        <v>66.0</v>
      </c>
    </row>
    <row r="108" ht="15.75" customHeight="1">
      <c r="A108" s="6">
        <v>21701.0</v>
      </c>
      <c r="B108" s="7" t="s">
        <v>131</v>
      </c>
      <c r="C108" s="8">
        <v>82.0</v>
      </c>
      <c r="D108" s="11">
        <v>91.0</v>
      </c>
    </row>
    <row r="109" ht="15.75" customHeight="1">
      <c r="A109" s="6">
        <v>21702.0</v>
      </c>
      <c r="B109" s="7" t="s">
        <v>132</v>
      </c>
      <c r="C109" s="8">
        <v>80.0</v>
      </c>
      <c r="D109" s="11">
        <v>70.0</v>
      </c>
    </row>
    <row r="110" ht="15.75" customHeight="1">
      <c r="A110" s="6">
        <v>21703.0</v>
      </c>
      <c r="B110" s="7" t="s">
        <v>133</v>
      </c>
      <c r="C110" s="8">
        <v>82.0</v>
      </c>
      <c r="D110" s="11">
        <v>39.0</v>
      </c>
    </row>
    <row r="111" ht="15.75" customHeight="1">
      <c r="A111" s="6">
        <v>21801.0</v>
      </c>
      <c r="B111" s="7" t="s">
        <v>134</v>
      </c>
      <c r="C111" s="8">
        <v>57.0</v>
      </c>
      <c r="D111" s="11">
        <v>34.0</v>
      </c>
    </row>
    <row r="112" ht="15.75" customHeight="1">
      <c r="A112" s="6">
        <v>21802.0</v>
      </c>
      <c r="B112" s="7" t="s">
        <v>135</v>
      </c>
      <c r="C112" s="8">
        <v>55.0</v>
      </c>
      <c r="D112" s="11">
        <v>31.0</v>
      </c>
    </row>
    <row r="113" ht="15.75" customHeight="1">
      <c r="A113" s="6">
        <v>21803.0</v>
      </c>
      <c r="B113" s="7" t="s">
        <v>136</v>
      </c>
      <c r="C113" s="8">
        <v>11.0</v>
      </c>
      <c r="D113" s="11">
        <v>9.0</v>
      </c>
    </row>
    <row r="114" ht="15.75" customHeight="1">
      <c r="A114" s="6">
        <v>21901.0</v>
      </c>
      <c r="B114" s="7" t="s">
        <v>137</v>
      </c>
      <c r="C114" s="8">
        <v>40.0</v>
      </c>
      <c r="D114" s="11">
        <v>26.0</v>
      </c>
    </row>
    <row r="115" ht="15.75" customHeight="1">
      <c r="A115" s="6">
        <v>21902.0</v>
      </c>
      <c r="B115" s="7" t="s">
        <v>138</v>
      </c>
      <c r="C115" s="8">
        <v>16.0</v>
      </c>
      <c r="D115" s="11">
        <v>20.0</v>
      </c>
    </row>
    <row r="116" ht="15.75" customHeight="1">
      <c r="A116" s="6">
        <v>22001.0</v>
      </c>
      <c r="B116" s="7" t="s">
        <v>139</v>
      </c>
      <c r="C116" s="8">
        <v>613.0</v>
      </c>
      <c r="D116" s="11">
        <v>350.0</v>
      </c>
    </row>
    <row r="117" ht="15.75" customHeight="1">
      <c r="A117" s="6">
        <v>22002.0</v>
      </c>
      <c r="B117" s="7" t="s">
        <v>140</v>
      </c>
      <c r="C117" s="8">
        <v>68.0</v>
      </c>
      <c r="D117" s="11">
        <v>32.0</v>
      </c>
    </row>
    <row r="118" ht="15.75" customHeight="1">
      <c r="A118" s="6">
        <v>30101.0</v>
      </c>
      <c r="B118" s="7" t="s">
        <v>15</v>
      </c>
      <c r="C118" s="8">
        <v>12570.0</v>
      </c>
      <c r="D118" s="11">
        <v>2903.0</v>
      </c>
    </row>
    <row r="119" ht="15.75" customHeight="1">
      <c r="A119" s="6">
        <v>30201.0</v>
      </c>
      <c r="B119" s="7" t="s">
        <v>141</v>
      </c>
      <c r="C119" s="8">
        <v>159.0</v>
      </c>
      <c r="D119" s="11">
        <v>71.0</v>
      </c>
    </row>
    <row r="120" ht="15.75" customHeight="1">
      <c r="A120" s="6">
        <v>30202.0</v>
      </c>
      <c r="B120" s="7" t="s">
        <v>142</v>
      </c>
      <c r="C120" s="8">
        <v>73.0</v>
      </c>
      <c r="D120" s="11">
        <v>33.0</v>
      </c>
    </row>
    <row r="121" ht="15.75" customHeight="1">
      <c r="A121" s="6">
        <v>30203.0</v>
      </c>
      <c r="B121" s="7" t="s">
        <v>143</v>
      </c>
      <c r="C121" s="8">
        <v>35.0</v>
      </c>
      <c r="D121" s="11">
        <v>28.0</v>
      </c>
    </row>
    <row r="122" ht="15.75" customHeight="1">
      <c r="A122" s="6">
        <v>30301.0</v>
      </c>
      <c r="B122" s="7" t="s">
        <v>144</v>
      </c>
      <c r="C122" s="8">
        <v>56.0</v>
      </c>
      <c r="D122" s="11">
        <v>41.0</v>
      </c>
    </row>
    <row r="123" ht="15.75" customHeight="1">
      <c r="A123" s="6">
        <v>30302.0</v>
      </c>
      <c r="B123" s="7" t="s">
        <v>145</v>
      </c>
      <c r="C123" s="8">
        <v>35.0</v>
      </c>
      <c r="D123" s="11">
        <v>52.0</v>
      </c>
    </row>
    <row r="124" ht="15.75" customHeight="1">
      <c r="A124" s="6">
        <v>30303.0</v>
      </c>
      <c r="B124" s="7" t="s">
        <v>146</v>
      </c>
      <c r="C124" s="8">
        <v>157.0</v>
      </c>
      <c r="D124" s="11">
        <v>60.0</v>
      </c>
    </row>
    <row r="125" ht="15.75" customHeight="1">
      <c r="A125" s="6">
        <v>30401.0</v>
      </c>
      <c r="B125" s="7" t="s">
        <v>147</v>
      </c>
      <c r="C125" s="8">
        <v>315.0</v>
      </c>
      <c r="D125" s="11">
        <v>71.0</v>
      </c>
    </row>
    <row r="126" ht="15.75" customHeight="1">
      <c r="A126" s="6">
        <v>30402.0</v>
      </c>
      <c r="B126" s="7" t="s">
        <v>148</v>
      </c>
      <c r="C126" s="8">
        <v>33.0</v>
      </c>
      <c r="D126" s="11">
        <v>18.0</v>
      </c>
    </row>
    <row r="127" ht="15.75" customHeight="1">
      <c r="A127" s="6">
        <v>30403.0</v>
      </c>
      <c r="B127" s="7" t="s">
        <v>149</v>
      </c>
      <c r="C127" s="8">
        <v>167.0</v>
      </c>
      <c r="D127" s="11">
        <v>113.0</v>
      </c>
    </row>
    <row r="128" ht="15.75" customHeight="1">
      <c r="A128" s="6">
        <v>30404.0</v>
      </c>
      <c r="B128" s="7" t="s">
        <v>150</v>
      </c>
      <c r="C128" s="8">
        <v>29.0</v>
      </c>
      <c r="D128" s="11">
        <v>21.0</v>
      </c>
    </row>
    <row r="129" ht="15.75" customHeight="1">
      <c r="A129" s="6">
        <v>30501.0</v>
      </c>
      <c r="B129" s="7" t="s">
        <v>151</v>
      </c>
      <c r="C129" s="8">
        <v>129.0</v>
      </c>
      <c r="D129" s="11">
        <v>36.0</v>
      </c>
    </row>
    <row r="130" ht="15.75" customHeight="1">
      <c r="A130" s="6">
        <v>30502.0</v>
      </c>
      <c r="B130" s="7" t="s">
        <v>152</v>
      </c>
      <c r="C130" s="8">
        <v>48.0</v>
      </c>
      <c r="D130" s="11">
        <v>19.0</v>
      </c>
    </row>
    <row r="131" ht="15.75" customHeight="1">
      <c r="A131" s="6">
        <v>30601.0</v>
      </c>
      <c r="B131" s="7" t="s">
        <v>153</v>
      </c>
      <c r="C131" s="8">
        <v>36.0</v>
      </c>
      <c r="D131" s="11">
        <v>34.0</v>
      </c>
    </row>
    <row r="132" ht="15.75" customHeight="1">
      <c r="A132" s="6">
        <v>30602.0</v>
      </c>
      <c r="B132" s="7" t="s">
        <v>154</v>
      </c>
      <c r="C132" s="8">
        <v>36.0</v>
      </c>
      <c r="D132" s="11">
        <v>62.0</v>
      </c>
    </row>
    <row r="133" ht="15.75" customHeight="1">
      <c r="A133" s="6">
        <v>30701.0</v>
      </c>
      <c r="B133" s="7" t="s">
        <v>155</v>
      </c>
      <c r="C133" s="8">
        <v>157.0</v>
      </c>
      <c r="D133" s="11">
        <v>70.0</v>
      </c>
    </row>
    <row r="134" ht="15.75" customHeight="1">
      <c r="A134" s="6">
        <v>30702.0</v>
      </c>
      <c r="B134" s="7" t="s">
        <v>156</v>
      </c>
      <c r="C134" s="8">
        <v>151.0</v>
      </c>
      <c r="D134" s="11">
        <v>80.0</v>
      </c>
    </row>
    <row r="135" ht="15.75" customHeight="1">
      <c r="A135" s="6">
        <v>30703.0</v>
      </c>
      <c r="B135" s="7" t="s">
        <v>157</v>
      </c>
      <c r="C135" s="8">
        <v>18.0</v>
      </c>
      <c r="D135" s="11">
        <v>24.0</v>
      </c>
    </row>
    <row r="136" ht="15.75" customHeight="1">
      <c r="A136" s="6">
        <v>30801.0</v>
      </c>
      <c r="B136" s="7" t="s">
        <v>158</v>
      </c>
      <c r="C136" s="8">
        <v>341.0</v>
      </c>
      <c r="D136" s="11">
        <v>72.0</v>
      </c>
    </row>
    <row r="137" ht="15.75" customHeight="1">
      <c r="A137" s="6">
        <v>30802.0</v>
      </c>
      <c r="B137" s="7" t="s">
        <v>159</v>
      </c>
      <c r="C137" s="8">
        <v>93.0</v>
      </c>
      <c r="D137" s="11">
        <v>33.0</v>
      </c>
    </row>
    <row r="138" ht="15.75" customHeight="1">
      <c r="A138" s="6">
        <v>30803.0</v>
      </c>
      <c r="B138" s="7" t="s">
        <v>160</v>
      </c>
      <c r="C138" s="8">
        <v>385.0</v>
      </c>
      <c r="D138" s="11">
        <v>465.0</v>
      </c>
    </row>
    <row r="139" ht="15.75" customHeight="1">
      <c r="A139" s="6">
        <v>30901.0</v>
      </c>
      <c r="B139" s="7" t="s">
        <v>161</v>
      </c>
      <c r="C139" s="8">
        <v>2614.0</v>
      </c>
      <c r="D139" s="11">
        <v>947.0</v>
      </c>
    </row>
    <row r="140" ht="15.75" customHeight="1">
      <c r="A140" s="6">
        <v>30902.0</v>
      </c>
      <c r="B140" s="7" t="s">
        <v>162</v>
      </c>
      <c r="C140" s="8">
        <v>426.0</v>
      </c>
      <c r="D140" s="11">
        <v>236.0</v>
      </c>
    </row>
    <row r="141" ht="15.75" customHeight="1">
      <c r="A141" s="6">
        <v>30903.0</v>
      </c>
      <c r="B141" s="7" t="s">
        <v>163</v>
      </c>
      <c r="C141" s="8">
        <v>869.0</v>
      </c>
      <c r="D141" s="11">
        <v>222.0</v>
      </c>
    </row>
    <row r="142" ht="15.75" customHeight="1">
      <c r="A142" s="6">
        <v>30904.0</v>
      </c>
      <c r="B142" s="7" t="s">
        <v>164</v>
      </c>
      <c r="C142" s="8">
        <v>744.0</v>
      </c>
      <c r="D142" s="11">
        <v>201.0</v>
      </c>
    </row>
    <row r="143" ht="15.75" customHeight="1">
      <c r="A143" s="6">
        <v>30905.0</v>
      </c>
      <c r="B143" s="7" t="s">
        <v>165</v>
      </c>
      <c r="C143" s="8">
        <v>983.0</v>
      </c>
      <c r="D143" s="11">
        <v>203.0</v>
      </c>
    </row>
    <row r="144" ht="15.75" customHeight="1">
      <c r="A144" s="6">
        <v>31001.0</v>
      </c>
      <c r="B144" s="7" t="s">
        <v>166</v>
      </c>
      <c r="C144" s="8">
        <v>2957.0</v>
      </c>
      <c r="D144" s="11">
        <v>766.0</v>
      </c>
    </row>
    <row r="145" ht="15.75" customHeight="1">
      <c r="A145" s="6">
        <v>31002.0</v>
      </c>
      <c r="B145" s="7" t="s">
        <v>167</v>
      </c>
      <c r="C145" s="8">
        <v>264.0</v>
      </c>
      <c r="D145" s="11">
        <v>210.0</v>
      </c>
    </row>
    <row r="146" ht="15.75" customHeight="1">
      <c r="A146" s="6">
        <v>31003.0</v>
      </c>
      <c r="B146" s="7" t="s">
        <v>168</v>
      </c>
      <c r="C146" s="8">
        <v>612.0</v>
      </c>
      <c r="D146" s="11">
        <v>605.0</v>
      </c>
    </row>
    <row r="147" ht="15.75" customHeight="1">
      <c r="A147" s="6">
        <v>31101.0</v>
      </c>
      <c r="B147" s="7" t="s">
        <v>169</v>
      </c>
      <c r="C147" s="8">
        <v>74.0</v>
      </c>
      <c r="D147" s="11">
        <v>92.0</v>
      </c>
    </row>
    <row r="148" ht="15.75" customHeight="1">
      <c r="A148" s="6">
        <v>31201.0</v>
      </c>
      <c r="B148" s="7" t="s">
        <v>170</v>
      </c>
      <c r="C148" s="8">
        <v>57.0</v>
      </c>
      <c r="D148" s="11">
        <v>24.0</v>
      </c>
    </row>
    <row r="149" ht="15.75" customHeight="1">
      <c r="A149" s="6">
        <v>31202.0</v>
      </c>
      <c r="B149" s="7" t="s">
        <v>171</v>
      </c>
      <c r="C149" s="8">
        <v>48.0</v>
      </c>
      <c r="D149" s="11">
        <v>30.0</v>
      </c>
    </row>
    <row r="150" ht="15.75" customHeight="1">
      <c r="A150" s="6">
        <v>31203.0</v>
      </c>
      <c r="B150" s="7" t="s">
        <v>172</v>
      </c>
      <c r="C150" s="8">
        <v>35.0</v>
      </c>
      <c r="D150" s="11">
        <v>34.0</v>
      </c>
    </row>
    <row r="151" ht="15.75" customHeight="1">
      <c r="A151" s="6">
        <v>31204.0</v>
      </c>
      <c r="B151" s="7" t="s">
        <v>173</v>
      </c>
      <c r="C151" s="8">
        <v>282.0</v>
      </c>
      <c r="D151" s="11">
        <v>341.0</v>
      </c>
    </row>
    <row r="152" ht="15.75" customHeight="1">
      <c r="A152" s="6">
        <v>31205.0</v>
      </c>
      <c r="B152" s="7" t="s">
        <v>174</v>
      </c>
      <c r="C152" s="8">
        <v>400.0</v>
      </c>
      <c r="D152" s="11">
        <v>379.0</v>
      </c>
    </row>
    <row r="153" ht="15.75" customHeight="1">
      <c r="A153" s="6">
        <v>31206.0</v>
      </c>
      <c r="B153" s="7" t="s">
        <v>175</v>
      </c>
      <c r="C153" s="8">
        <v>536.0</v>
      </c>
      <c r="D153" s="11">
        <v>436.0</v>
      </c>
    </row>
    <row r="154" ht="15.75" customHeight="1">
      <c r="A154" s="6">
        <v>31301.0</v>
      </c>
      <c r="B154" s="7" t="s">
        <v>176</v>
      </c>
      <c r="C154" s="8">
        <v>79.0</v>
      </c>
      <c r="D154" s="11">
        <v>46.0</v>
      </c>
    </row>
    <row r="155" ht="15.75" customHeight="1">
      <c r="A155" s="6">
        <v>31302.0</v>
      </c>
      <c r="B155" s="7" t="s">
        <v>177</v>
      </c>
      <c r="C155" s="8">
        <v>35.0</v>
      </c>
      <c r="D155" s="11">
        <v>35.0</v>
      </c>
    </row>
    <row r="156" ht="15.75" customHeight="1">
      <c r="A156" s="6">
        <v>31303.0</v>
      </c>
      <c r="B156" s="7" t="s">
        <v>178</v>
      </c>
      <c r="C156" s="8">
        <v>21.0</v>
      </c>
      <c r="D156" s="11">
        <v>22.0</v>
      </c>
    </row>
    <row r="157" ht="15.75" customHeight="1">
      <c r="A157" s="6">
        <v>31304.0</v>
      </c>
      <c r="B157" s="7" t="s">
        <v>179</v>
      </c>
      <c r="C157" s="8">
        <v>14.0</v>
      </c>
      <c r="D157" s="11">
        <v>35.0</v>
      </c>
    </row>
    <row r="158" ht="15.75" customHeight="1">
      <c r="A158" s="6">
        <v>31401.0</v>
      </c>
      <c r="B158" s="7" t="s">
        <v>180</v>
      </c>
      <c r="C158" s="8">
        <v>495.0</v>
      </c>
      <c r="D158" s="11">
        <v>108.0</v>
      </c>
    </row>
    <row r="159" ht="15.75" customHeight="1">
      <c r="A159" s="6">
        <v>31402.0</v>
      </c>
      <c r="B159" s="7" t="s">
        <v>181</v>
      </c>
      <c r="C159" s="8">
        <v>115.0</v>
      </c>
      <c r="D159" s="11">
        <v>47.0</v>
      </c>
    </row>
    <row r="160" ht="15.75" customHeight="1">
      <c r="A160" s="6">
        <v>31403.0</v>
      </c>
      <c r="B160" s="7" t="s">
        <v>182</v>
      </c>
      <c r="C160" s="8">
        <v>205.0</v>
      </c>
      <c r="D160" s="11">
        <v>38.0</v>
      </c>
    </row>
    <row r="161" ht="15.75" customHeight="1">
      <c r="A161" s="6">
        <v>31404.0</v>
      </c>
      <c r="B161" s="7" t="s">
        <v>183</v>
      </c>
      <c r="C161" s="8">
        <v>15.0</v>
      </c>
      <c r="D161" s="11">
        <v>5.0</v>
      </c>
    </row>
    <row r="162" ht="15.75" customHeight="1">
      <c r="A162" s="6">
        <v>31405.0</v>
      </c>
      <c r="B162" s="7" t="s">
        <v>184</v>
      </c>
      <c r="C162" s="8">
        <v>40.0</v>
      </c>
      <c r="D162" s="11">
        <v>14.0</v>
      </c>
    </row>
    <row r="163" ht="15.75" customHeight="1">
      <c r="A163" s="6">
        <v>31501.0</v>
      </c>
      <c r="B163" s="7" t="s">
        <v>185</v>
      </c>
      <c r="C163" s="8">
        <v>16.0</v>
      </c>
      <c r="D163" s="11">
        <v>39.0</v>
      </c>
    </row>
    <row r="164" ht="15.75" customHeight="1">
      <c r="A164" s="6">
        <v>31601.0</v>
      </c>
      <c r="B164" s="7" t="s">
        <v>186</v>
      </c>
      <c r="C164" s="8">
        <v>84.0</v>
      </c>
      <c r="D164" s="11">
        <v>52.0</v>
      </c>
    </row>
    <row r="165" ht="15.75" customHeight="1">
      <c r="A165" s="6">
        <v>31602.0</v>
      </c>
      <c r="B165" s="7" t="s">
        <v>187</v>
      </c>
      <c r="C165" s="8">
        <v>164.0</v>
      </c>
      <c r="D165" s="11">
        <v>254.0</v>
      </c>
    </row>
    <row r="166" ht="15.75" customHeight="1">
      <c r="A166" s="6">
        <v>40101.0</v>
      </c>
      <c r="B166" s="7" t="s">
        <v>17</v>
      </c>
      <c r="C166" s="8">
        <v>5912.0</v>
      </c>
      <c r="D166" s="11">
        <v>1089.0</v>
      </c>
    </row>
    <row r="167" ht="15.75" customHeight="1">
      <c r="A167" s="6">
        <v>40102.0</v>
      </c>
      <c r="B167" s="7" t="s">
        <v>188</v>
      </c>
      <c r="C167" s="8">
        <v>273.0</v>
      </c>
      <c r="D167" s="11">
        <v>83.0</v>
      </c>
    </row>
    <row r="168" ht="15.75" customHeight="1">
      <c r="A168" s="6">
        <v>40103.0</v>
      </c>
      <c r="B168" s="7" t="s">
        <v>189</v>
      </c>
      <c r="C168" s="8">
        <v>65.0</v>
      </c>
      <c r="D168" s="11">
        <v>33.0</v>
      </c>
    </row>
    <row r="169" ht="15.75" customHeight="1">
      <c r="A169" s="6">
        <v>40104.0</v>
      </c>
      <c r="B169" s="7" t="s">
        <v>190</v>
      </c>
      <c r="C169" s="8">
        <v>93.0</v>
      </c>
      <c r="D169" s="11">
        <v>65.0</v>
      </c>
    </row>
    <row r="170" ht="15.75" customHeight="1">
      <c r="A170" s="6">
        <v>40201.0</v>
      </c>
      <c r="B170" s="7" t="s">
        <v>191</v>
      </c>
      <c r="C170" s="8">
        <v>565.0</v>
      </c>
      <c r="D170" s="11">
        <v>153.0</v>
      </c>
    </row>
    <row r="171" ht="15.75" customHeight="1">
      <c r="A171" s="6">
        <v>40202.0</v>
      </c>
      <c r="B171" s="7" t="s">
        <v>192</v>
      </c>
      <c r="C171" s="8">
        <v>18.0</v>
      </c>
      <c r="D171" s="11">
        <v>11.0</v>
      </c>
    </row>
    <row r="172" ht="15.75" customHeight="1">
      <c r="A172" s="6">
        <v>40301.0</v>
      </c>
      <c r="B172" s="7" t="s">
        <v>193</v>
      </c>
      <c r="C172" s="8">
        <v>210.0</v>
      </c>
      <c r="D172" s="11">
        <v>119.0</v>
      </c>
    </row>
    <row r="173" ht="15.75" customHeight="1">
      <c r="A173" s="6">
        <v>40302.0</v>
      </c>
      <c r="B173" s="7" t="s">
        <v>194</v>
      </c>
      <c r="C173" s="8">
        <v>16.0</v>
      </c>
      <c r="D173" s="11">
        <v>12.0</v>
      </c>
    </row>
    <row r="174" ht="15.75" customHeight="1">
      <c r="A174" s="6">
        <v>40401.0</v>
      </c>
      <c r="B174" s="7" t="s">
        <v>195</v>
      </c>
      <c r="C174" s="8">
        <v>233.0</v>
      </c>
      <c r="D174" s="11">
        <v>169.0</v>
      </c>
    </row>
    <row r="175" ht="15.75" customHeight="1">
      <c r="A175" s="6">
        <v>40402.0</v>
      </c>
      <c r="B175" s="7" t="s">
        <v>196</v>
      </c>
      <c r="C175" s="8">
        <v>45.0</v>
      </c>
      <c r="D175" s="11">
        <v>25.0</v>
      </c>
    </row>
    <row r="176" ht="15.75" customHeight="1">
      <c r="A176" s="6">
        <v>40501.0</v>
      </c>
      <c r="B176" s="7" t="s">
        <v>197</v>
      </c>
      <c r="C176" s="8">
        <v>250.0</v>
      </c>
      <c r="D176" s="11">
        <v>72.0</v>
      </c>
    </row>
    <row r="177" ht="15.75" customHeight="1">
      <c r="A177" s="6">
        <v>40502.0</v>
      </c>
      <c r="B177" s="7" t="s">
        <v>198</v>
      </c>
      <c r="C177" s="8">
        <v>47.0</v>
      </c>
      <c r="D177" s="11">
        <v>23.0</v>
      </c>
    </row>
    <row r="178" ht="15.75" customHeight="1">
      <c r="A178" s="6">
        <v>40503.0</v>
      </c>
      <c r="B178" s="7" t="s">
        <v>199</v>
      </c>
      <c r="C178" s="8">
        <v>28.0</v>
      </c>
      <c r="D178" s="11">
        <v>8.0</v>
      </c>
    </row>
    <row r="179" ht="15.75" customHeight="1">
      <c r="A179" s="6">
        <v>40504.0</v>
      </c>
      <c r="B179" s="7" t="s">
        <v>200</v>
      </c>
      <c r="C179" s="8">
        <v>7.0</v>
      </c>
      <c r="D179" s="11">
        <v>6.0</v>
      </c>
    </row>
    <row r="180" ht="15.75" customHeight="1">
      <c r="A180" s="6">
        <v>40505.0</v>
      </c>
      <c r="B180" s="7" t="s">
        <v>201</v>
      </c>
      <c r="C180" s="8">
        <v>50.0</v>
      </c>
      <c r="D180" s="11">
        <v>24.0</v>
      </c>
    </row>
    <row r="181" ht="15.75" customHeight="1">
      <c r="A181" s="6">
        <v>40601.0</v>
      </c>
      <c r="B181" s="7" t="s">
        <v>202</v>
      </c>
      <c r="C181" s="8">
        <v>139.0</v>
      </c>
      <c r="D181" s="11">
        <v>22.0</v>
      </c>
    </row>
    <row r="182" ht="15.75" customHeight="1">
      <c r="A182" s="6">
        <v>40602.0</v>
      </c>
      <c r="B182" s="7" t="s">
        <v>203</v>
      </c>
      <c r="C182" s="8">
        <v>49.0</v>
      </c>
      <c r="D182" s="11">
        <v>18.0</v>
      </c>
    </row>
    <row r="183" ht="15.75" customHeight="1">
      <c r="A183" s="6">
        <v>40603.0</v>
      </c>
      <c r="B183" s="7" t="s">
        <v>204</v>
      </c>
      <c r="C183" s="8">
        <v>21.0</v>
      </c>
      <c r="D183" s="11">
        <v>8.0</v>
      </c>
    </row>
    <row r="184" ht="15.75" customHeight="1">
      <c r="A184" s="6">
        <v>40701.0</v>
      </c>
      <c r="B184" s="7" t="s">
        <v>205</v>
      </c>
      <c r="C184" s="8">
        <v>358.0</v>
      </c>
      <c r="D184" s="11">
        <v>120.0</v>
      </c>
    </row>
    <row r="185" ht="15.75" customHeight="1">
      <c r="A185" s="6">
        <v>40702.0</v>
      </c>
      <c r="B185" s="7" t="s">
        <v>206</v>
      </c>
      <c r="C185" s="8">
        <v>84.0</v>
      </c>
      <c r="D185" s="11">
        <v>23.0</v>
      </c>
    </row>
    <row r="186" ht="15.75" customHeight="1">
      <c r="A186" s="6">
        <v>40801.0</v>
      </c>
      <c r="B186" s="7" t="s">
        <v>207</v>
      </c>
      <c r="C186" s="8">
        <v>89.0</v>
      </c>
      <c r="D186" s="11">
        <v>53.0</v>
      </c>
    </row>
    <row r="187" ht="15.75" customHeight="1">
      <c r="A187" s="6">
        <v>40802.0</v>
      </c>
      <c r="B187" s="7" t="s">
        <v>208</v>
      </c>
      <c r="C187" s="8">
        <v>17.0</v>
      </c>
      <c r="D187" s="11">
        <v>7.0</v>
      </c>
    </row>
    <row r="188" ht="15.75" customHeight="1">
      <c r="A188" s="6">
        <v>40901.0</v>
      </c>
      <c r="B188" s="7" t="s">
        <v>209</v>
      </c>
      <c r="C188" s="8">
        <v>146.0</v>
      </c>
      <c r="D188" s="11">
        <v>115.0</v>
      </c>
    </row>
    <row r="189" ht="15.75" customHeight="1">
      <c r="A189" s="6">
        <v>40902.0</v>
      </c>
      <c r="B189" s="7" t="s">
        <v>210</v>
      </c>
      <c r="C189" s="8">
        <v>22.0</v>
      </c>
      <c r="D189" s="11">
        <v>15.0</v>
      </c>
    </row>
    <row r="190" ht="15.75" customHeight="1">
      <c r="A190" s="6">
        <v>40903.0</v>
      </c>
      <c r="B190" s="7" t="s">
        <v>211</v>
      </c>
      <c r="C190" s="8">
        <v>25.0</v>
      </c>
      <c r="D190" s="11">
        <v>34.0</v>
      </c>
    </row>
    <row r="191" ht="15.75" customHeight="1">
      <c r="A191" s="6">
        <v>41001.0</v>
      </c>
      <c r="B191" s="7" t="s">
        <v>212</v>
      </c>
      <c r="C191" s="8">
        <v>62.0</v>
      </c>
      <c r="D191" s="11">
        <v>41.0</v>
      </c>
    </row>
    <row r="192" ht="15.75" customHeight="1">
      <c r="A192" s="6">
        <v>41101.0</v>
      </c>
      <c r="B192" s="7" t="s">
        <v>213</v>
      </c>
      <c r="C192" s="8">
        <v>52.0</v>
      </c>
      <c r="D192" s="11">
        <v>16.0</v>
      </c>
    </row>
    <row r="193" ht="15.75" customHeight="1">
      <c r="A193" s="6">
        <v>41201.0</v>
      </c>
      <c r="B193" s="7" t="s">
        <v>214</v>
      </c>
      <c r="C193" s="8">
        <v>47.0</v>
      </c>
      <c r="D193" s="11">
        <v>13.0</v>
      </c>
    </row>
    <row r="194" ht="15.75" customHeight="1">
      <c r="A194" s="6">
        <v>41202.0</v>
      </c>
      <c r="B194" s="7" t="s">
        <v>215</v>
      </c>
      <c r="C194" s="8">
        <v>12.0</v>
      </c>
      <c r="D194" s="11">
        <v>11.0</v>
      </c>
    </row>
    <row r="195" ht="15.75" customHeight="1">
      <c r="A195" s="6">
        <v>41301.0</v>
      </c>
      <c r="B195" s="7" t="s">
        <v>216</v>
      </c>
      <c r="C195" s="8">
        <v>40.0</v>
      </c>
      <c r="D195" s="11">
        <v>25.0</v>
      </c>
    </row>
    <row r="196" ht="15.75" customHeight="1">
      <c r="A196" s="6">
        <v>41401.0</v>
      </c>
      <c r="B196" s="7" t="s">
        <v>217</v>
      </c>
      <c r="C196" s="8">
        <v>137.0</v>
      </c>
      <c r="D196" s="11">
        <v>60.0</v>
      </c>
    </row>
    <row r="197" ht="15.75" customHeight="1">
      <c r="A197" s="6">
        <v>41501.0</v>
      </c>
      <c r="B197" s="7" t="s">
        <v>218</v>
      </c>
      <c r="C197" s="8">
        <v>3.0</v>
      </c>
      <c r="D197" s="11">
        <v>21.0</v>
      </c>
    </row>
    <row r="198" ht="15.75" customHeight="1">
      <c r="A198" s="6">
        <v>41502.0</v>
      </c>
      <c r="B198" s="7" t="s">
        <v>219</v>
      </c>
      <c r="C198" s="8">
        <v>39.0</v>
      </c>
      <c r="D198" s="11">
        <v>30.0</v>
      </c>
    </row>
    <row r="199" ht="15.75" customHeight="1">
      <c r="A199" s="6">
        <v>41503.0</v>
      </c>
      <c r="B199" s="7" t="s">
        <v>220</v>
      </c>
      <c r="C199" s="8">
        <v>11.0</v>
      </c>
      <c r="D199" s="11">
        <v>10.0</v>
      </c>
    </row>
    <row r="200" ht="15.75" customHeight="1">
      <c r="A200" s="6">
        <v>41601.0</v>
      </c>
      <c r="B200" s="7" t="s">
        <v>221</v>
      </c>
      <c r="C200" s="8">
        <v>43.0</v>
      </c>
      <c r="D200" s="11">
        <v>8.0</v>
      </c>
    </row>
    <row r="201" ht="15.75" customHeight="1">
      <c r="A201" s="6">
        <v>50101.0</v>
      </c>
      <c r="B201" s="7" t="s">
        <v>19</v>
      </c>
      <c r="C201" s="8">
        <v>3861.0</v>
      </c>
      <c r="D201" s="11">
        <v>754.0</v>
      </c>
    </row>
    <row r="202" ht="15.75" customHeight="1">
      <c r="A202" s="6">
        <v>50102.0</v>
      </c>
      <c r="B202" s="7" t="s">
        <v>222</v>
      </c>
      <c r="C202" s="8">
        <v>127.0</v>
      </c>
      <c r="D202" s="11">
        <v>109.0</v>
      </c>
    </row>
    <row r="203" ht="15.75" customHeight="1">
      <c r="A203" s="6">
        <v>50103.0</v>
      </c>
      <c r="B203" s="7" t="s">
        <v>223</v>
      </c>
      <c r="C203" s="8">
        <v>58.0</v>
      </c>
      <c r="D203" s="11">
        <v>18.0</v>
      </c>
    </row>
    <row r="204" ht="15.75" customHeight="1">
      <c r="A204" s="6">
        <v>50104.0</v>
      </c>
      <c r="B204" s="7" t="s">
        <v>224</v>
      </c>
      <c r="C204" s="8">
        <v>16.0</v>
      </c>
      <c r="D204" s="11">
        <v>8.0</v>
      </c>
    </row>
    <row r="205" ht="15.75" customHeight="1">
      <c r="A205" s="6">
        <v>50201.0</v>
      </c>
      <c r="B205" s="7" t="s">
        <v>225</v>
      </c>
      <c r="C205" s="8">
        <v>307.0</v>
      </c>
      <c r="D205" s="11">
        <v>204.0</v>
      </c>
    </row>
    <row r="206" ht="15.75" customHeight="1">
      <c r="A206" s="6">
        <v>50202.0</v>
      </c>
      <c r="B206" s="7" t="s">
        <v>226</v>
      </c>
      <c r="C206" s="8">
        <v>90.0</v>
      </c>
      <c r="D206" s="11">
        <v>67.0</v>
      </c>
    </row>
    <row r="207" ht="15.75" customHeight="1">
      <c r="A207" s="6">
        <v>50203.0</v>
      </c>
      <c r="B207" s="7" t="s">
        <v>227</v>
      </c>
      <c r="C207" s="8">
        <v>785.0</v>
      </c>
      <c r="D207" s="11">
        <v>115.0</v>
      </c>
    </row>
    <row r="208" ht="15.75" customHeight="1">
      <c r="A208" s="6">
        <v>50204.0</v>
      </c>
      <c r="B208" s="7" t="s">
        <v>228</v>
      </c>
      <c r="C208" s="8">
        <v>58.0</v>
      </c>
      <c r="D208" s="11">
        <v>27.0</v>
      </c>
    </row>
    <row r="209" ht="15.75" customHeight="1">
      <c r="A209" s="6">
        <v>50301.0</v>
      </c>
      <c r="B209" s="7" t="s">
        <v>229</v>
      </c>
      <c r="C209" s="8">
        <v>198.0</v>
      </c>
      <c r="D209" s="11">
        <v>110.0</v>
      </c>
    </row>
    <row r="210" ht="15.75" customHeight="1">
      <c r="A210" s="6">
        <v>50302.0</v>
      </c>
      <c r="B210" s="7" t="s">
        <v>230</v>
      </c>
      <c r="C210" s="8">
        <v>65.0</v>
      </c>
      <c r="D210" s="11">
        <v>32.0</v>
      </c>
    </row>
    <row r="211" ht="15.75" customHeight="1">
      <c r="A211" s="6">
        <v>50303.0</v>
      </c>
      <c r="B211" s="7" t="s">
        <v>231</v>
      </c>
      <c r="C211" s="8">
        <v>63.0</v>
      </c>
      <c r="D211" s="11">
        <v>58.0</v>
      </c>
    </row>
    <row r="212" ht="15.75" customHeight="1">
      <c r="A212" s="6">
        <v>50401.0</v>
      </c>
      <c r="B212" s="7" t="s">
        <v>232</v>
      </c>
      <c r="C212" s="8">
        <v>72.0</v>
      </c>
      <c r="D212" s="11">
        <v>52.0</v>
      </c>
    </row>
    <row r="213" ht="15.75" customHeight="1">
      <c r="A213" s="6">
        <v>50402.0</v>
      </c>
      <c r="B213" s="7" t="s">
        <v>233</v>
      </c>
      <c r="C213" s="8">
        <v>89.0</v>
      </c>
      <c r="D213" s="11">
        <v>41.0</v>
      </c>
    </row>
    <row r="214" ht="15.75" customHeight="1">
      <c r="A214" s="6">
        <v>50403.0</v>
      </c>
      <c r="B214" s="7" t="s">
        <v>234</v>
      </c>
      <c r="C214" s="8">
        <v>142.0</v>
      </c>
      <c r="D214" s="11">
        <v>137.0</v>
      </c>
    </row>
    <row r="215" ht="15.75" customHeight="1">
      <c r="A215" s="6">
        <v>50404.0</v>
      </c>
      <c r="B215" s="7" t="s">
        <v>235</v>
      </c>
      <c r="C215" s="8">
        <v>65.0</v>
      </c>
      <c r="D215" s="11">
        <v>48.0</v>
      </c>
    </row>
    <row r="216" ht="15.75" customHeight="1">
      <c r="A216" s="6">
        <v>50405.0</v>
      </c>
      <c r="B216" s="7" t="s">
        <v>236</v>
      </c>
      <c r="C216" s="8">
        <v>56.0</v>
      </c>
      <c r="D216" s="11">
        <v>66.0</v>
      </c>
    </row>
    <row r="217" ht="15.75" customHeight="1">
      <c r="A217" s="6">
        <v>50501.0</v>
      </c>
      <c r="B217" s="7" t="s">
        <v>237</v>
      </c>
      <c r="C217" s="8">
        <v>143.0</v>
      </c>
      <c r="D217" s="11">
        <v>125.0</v>
      </c>
    </row>
    <row r="218" ht="15.75" customHeight="1">
      <c r="A218" s="6">
        <v>50502.0</v>
      </c>
      <c r="B218" s="7" t="s">
        <v>238</v>
      </c>
      <c r="C218" s="8">
        <v>60.0</v>
      </c>
      <c r="D218" s="11">
        <v>42.0</v>
      </c>
    </row>
    <row r="219" ht="15.75" customHeight="1">
      <c r="A219" s="6">
        <v>50601.0</v>
      </c>
      <c r="B219" s="7" t="s">
        <v>239</v>
      </c>
      <c r="C219" s="8">
        <v>199.0</v>
      </c>
      <c r="D219" s="11">
        <v>102.0</v>
      </c>
    </row>
    <row r="220" ht="15.75" customHeight="1">
      <c r="A220" s="6">
        <v>50602.0</v>
      </c>
      <c r="B220" s="7" t="s">
        <v>240</v>
      </c>
      <c r="C220" s="8">
        <v>88.0</v>
      </c>
      <c r="D220" s="11">
        <v>36.0</v>
      </c>
    </row>
    <row r="221" ht="15.75" customHeight="1">
      <c r="A221" s="6">
        <v>50701.0</v>
      </c>
      <c r="B221" s="7" t="s">
        <v>241</v>
      </c>
      <c r="C221" s="8">
        <v>69.0</v>
      </c>
      <c r="D221" s="11">
        <v>46.0</v>
      </c>
    </row>
    <row r="222" ht="15.75" customHeight="1">
      <c r="A222" s="6">
        <v>50702.0</v>
      </c>
      <c r="B222" s="7" t="s">
        <v>242</v>
      </c>
      <c r="C222" s="8">
        <v>28.0</v>
      </c>
      <c r="D222" s="11">
        <v>36.0</v>
      </c>
    </row>
    <row r="223" ht="15.75" customHeight="1">
      <c r="A223" s="6">
        <v>50801.0</v>
      </c>
      <c r="B223" s="7" t="s">
        <v>243</v>
      </c>
      <c r="C223" s="8">
        <v>581.0</v>
      </c>
      <c r="D223" s="11">
        <v>354.0</v>
      </c>
    </row>
    <row r="224" ht="15.75" customHeight="1">
      <c r="A224" s="6">
        <v>50802.0</v>
      </c>
      <c r="B224" s="7" t="s">
        <v>244</v>
      </c>
      <c r="C224" s="8">
        <v>86.0</v>
      </c>
      <c r="D224" s="11">
        <v>14.0</v>
      </c>
    </row>
    <row r="225" ht="15.75" customHeight="1">
      <c r="A225" s="6">
        <v>50901.0</v>
      </c>
      <c r="B225" s="7" t="s">
        <v>245</v>
      </c>
      <c r="C225" s="8">
        <v>252.0</v>
      </c>
      <c r="D225" s="11">
        <v>291.0</v>
      </c>
    </row>
    <row r="226" ht="15.75" customHeight="1">
      <c r="A226" s="6">
        <v>50902.0</v>
      </c>
      <c r="B226" s="7" t="s">
        <v>246</v>
      </c>
      <c r="C226" s="8">
        <v>13.0</v>
      </c>
      <c r="D226" s="11">
        <v>25.0</v>
      </c>
    </row>
    <row r="227" ht="15.75" customHeight="1">
      <c r="A227" s="6">
        <v>51001.0</v>
      </c>
      <c r="B227" s="7" t="s">
        <v>247</v>
      </c>
      <c r="C227" s="8">
        <v>43.0</v>
      </c>
      <c r="D227" s="11">
        <v>56.0</v>
      </c>
    </row>
    <row r="228" ht="15.75" customHeight="1">
      <c r="A228" s="6">
        <v>51002.0</v>
      </c>
      <c r="B228" s="7" t="s">
        <v>248</v>
      </c>
      <c r="C228" s="8">
        <v>18.0</v>
      </c>
      <c r="D228" s="11">
        <v>5.0</v>
      </c>
    </row>
    <row r="229" ht="15.75" customHeight="1">
      <c r="A229" s="6">
        <v>51003.0</v>
      </c>
      <c r="B229" s="7" t="s">
        <v>249</v>
      </c>
      <c r="C229" s="8">
        <v>9.0</v>
      </c>
      <c r="D229" s="11">
        <v>14.0</v>
      </c>
    </row>
    <row r="230" ht="15.75" customHeight="1">
      <c r="A230" s="6">
        <v>51101.0</v>
      </c>
      <c r="B230" s="7" t="s">
        <v>250</v>
      </c>
      <c r="C230" s="8">
        <v>184.0</v>
      </c>
      <c r="D230" s="11">
        <v>53.0</v>
      </c>
    </row>
    <row r="231" ht="15.75" customHeight="1">
      <c r="A231" s="6">
        <v>51102.0</v>
      </c>
      <c r="B231" s="7" t="s">
        <v>251</v>
      </c>
      <c r="C231" s="8">
        <v>139.0</v>
      </c>
      <c r="D231" s="11">
        <v>25.0</v>
      </c>
    </row>
    <row r="232" ht="15.75" customHeight="1">
      <c r="A232" s="6">
        <v>51103.0</v>
      </c>
      <c r="B232" s="7" t="s">
        <v>252</v>
      </c>
      <c r="C232" s="8">
        <v>73.0</v>
      </c>
      <c r="D232" s="11">
        <v>55.0</v>
      </c>
    </row>
    <row r="233" ht="15.75" customHeight="1">
      <c r="A233" s="6">
        <v>51201.0</v>
      </c>
      <c r="B233" s="7" t="s">
        <v>253</v>
      </c>
      <c r="C233" s="8">
        <v>379.0</v>
      </c>
      <c r="D233" s="11">
        <v>296.0</v>
      </c>
    </row>
    <row r="234" ht="15.75" customHeight="1">
      <c r="A234" s="6">
        <v>51202.0</v>
      </c>
      <c r="B234" s="7" t="s">
        <v>254</v>
      </c>
      <c r="C234" s="8">
        <v>65.0</v>
      </c>
      <c r="D234" s="11">
        <v>29.0</v>
      </c>
    </row>
    <row r="235" ht="15.75" customHeight="1">
      <c r="A235" s="6">
        <v>51203.0</v>
      </c>
      <c r="B235" s="7" t="s">
        <v>255</v>
      </c>
      <c r="C235" s="8">
        <v>53.0</v>
      </c>
      <c r="D235" s="11">
        <v>45.0</v>
      </c>
    </row>
    <row r="236" ht="15.75" customHeight="1">
      <c r="A236" s="6">
        <v>51204.0</v>
      </c>
      <c r="B236" s="7" t="s">
        <v>256</v>
      </c>
      <c r="C236" s="8">
        <v>40.0</v>
      </c>
      <c r="D236" s="11">
        <v>20.0</v>
      </c>
    </row>
    <row r="237" ht="15.75" customHeight="1">
      <c r="A237" s="6">
        <v>51301.0</v>
      </c>
      <c r="B237" s="7" t="s">
        <v>257</v>
      </c>
      <c r="C237" s="8">
        <v>16.0</v>
      </c>
      <c r="D237" s="11">
        <v>13.0</v>
      </c>
    </row>
    <row r="238" ht="15.75" customHeight="1">
      <c r="A238" s="6">
        <v>51302.0</v>
      </c>
      <c r="B238" s="7" t="s">
        <v>258</v>
      </c>
      <c r="C238" s="8">
        <v>29.0</v>
      </c>
      <c r="D238" s="11">
        <v>5.0</v>
      </c>
    </row>
    <row r="239" ht="15.75" customHeight="1">
      <c r="A239" s="6">
        <v>51401.0</v>
      </c>
      <c r="B239" s="7" t="s">
        <v>259</v>
      </c>
      <c r="C239" s="8">
        <v>74.0</v>
      </c>
      <c r="D239" s="11">
        <v>58.0</v>
      </c>
    </row>
    <row r="240" ht="15.75" customHeight="1">
      <c r="A240" s="6">
        <v>51402.0</v>
      </c>
      <c r="B240" s="7" t="s">
        <v>260</v>
      </c>
      <c r="C240" s="8">
        <v>20.0</v>
      </c>
      <c r="D240" s="11">
        <v>7.0</v>
      </c>
    </row>
    <row r="241" ht="15.75" customHeight="1">
      <c r="A241" s="6">
        <v>51501.0</v>
      </c>
      <c r="B241" s="7" t="s">
        <v>261</v>
      </c>
      <c r="C241" s="8">
        <v>392.0</v>
      </c>
      <c r="D241" s="11">
        <v>191.0</v>
      </c>
    </row>
    <row r="242" ht="15.75" customHeight="1">
      <c r="A242" s="6">
        <v>51601.0</v>
      </c>
      <c r="B242" s="7" t="s">
        <v>262</v>
      </c>
      <c r="C242" s="8">
        <v>15.0</v>
      </c>
      <c r="D242" s="11">
        <v>28.0</v>
      </c>
    </row>
    <row r="243" ht="15.75" customHeight="1">
      <c r="A243" s="6">
        <v>60101.0</v>
      </c>
      <c r="B243" s="7" t="s">
        <v>21</v>
      </c>
      <c r="C243" s="8">
        <v>4034.0</v>
      </c>
      <c r="D243" s="11">
        <v>1232.0</v>
      </c>
    </row>
    <row r="244" ht="15.75" customHeight="1">
      <c r="A244" s="6">
        <v>60201.0</v>
      </c>
      <c r="B244" s="7" t="s">
        <v>263</v>
      </c>
      <c r="C244" s="8">
        <v>100.0</v>
      </c>
      <c r="D244" s="11">
        <v>74.0</v>
      </c>
    </row>
    <row r="245" ht="15.75" customHeight="1">
      <c r="A245" s="6">
        <v>60202.0</v>
      </c>
      <c r="B245" s="7" t="s">
        <v>264</v>
      </c>
      <c r="C245" s="8">
        <v>375.0</v>
      </c>
      <c r="D245" s="11">
        <v>194.0</v>
      </c>
    </row>
    <row r="246" ht="15.75" customHeight="1">
      <c r="A246" s="6">
        <v>60301.0</v>
      </c>
      <c r="B246" s="7" t="s">
        <v>265</v>
      </c>
      <c r="C246" s="8">
        <v>1030.0</v>
      </c>
      <c r="D246" s="11">
        <v>832.0</v>
      </c>
    </row>
    <row r="247" ht="15.75" customHeight="1">
      <c r="A247" s="6">
        <v>60302.0</v>
      </c>
      <c r="B247" s="7" t="s">
        <v>266</v>
      </c>
      <c r="C247" s="8">
        <v>96.0</v>
      </c>
      <c r="D247" s="11">
        <v>68.0</v>
      </c>
    </row>
    <row r="248" ht="15.75" customHeight="1">
      <c r="A248" s="6">
        <v>60303.0</v>
      </c>
      <c r="B248" s="7" t="s">
        <v>267</v>
      </c>
      <c r="C248" s="8">
        <v>838.0</v>
      </c>
      <c r="D248" s="11">
        <v>548.0</v>
      </c>
    </row>
    <row r="249" ht="15.75" customHeight="1">
      <c r="A249" s="6">
        <v>60401.0</v>
      </c>
      <c r="B249" s="7" t="s">
        <v>268</v>
      </c>
      <c r="C249" s="8">
        <v>76.0</v>
      </c>
      <c r="D249" s="11">
        <v>40.0</v>
      </c>
    </row>
    <row r="250" ht="15.75" customHeight="1">
      <c r="A250" s="6">
        <v>60402.0</v>
      </c>
      <c r="B250" s="7" t="s">
        <v>269</v>
      </c>
      <c r="C250" s="8">
        <v>24.0</v>
      </c>
      <c r="D250" s="11">
        <v>16.0</v>
      </c>
    </row>
    <row r="251" ht="15.75" customHeight="1">
      <c r="A251" s="6">
        <v>60501.0</v>
      </c>
      <c r="B251" s="7" t="s">
        <v>270</v>
      </c>
      <c r="C251" s="8">
        <v>184.0</v>
      </c>
      <c r="D251" s="11">
        <v>101.0</v>
      </c>
    </row>
    <row r="252" ht="15.75" customHeight="1">
      <c r="A252" s="6">
        <v>60502.0</v>
      </c>
      <c r="B252" s="7" t="s">
        <v>271</v>
      </c>
      <c r="C252" s="8">
        <v>39.0</v>
      </c>
      <c r="D252" s="11">
        <v>41.0</v>
      </c>
    </row>
    <row r="253" ht="15.75" customHeight="1">
      <c r="A253" s="6">
        <v>60601.0</v>
      </c>
      <c r="B253" s="7" t="s">
        <v>175</v>
      </c>
      <c r="C253" s="8">
        <v>150.0</v>
      </c>
      <c r="D253" s="11">
        <v>52.0</v>
      </c>
    </row>
    <row r="254" ht="15.75" customHeight="1">
      <c r="A254" s="6">
        <v>70101.0</v>
      </c>
      <c r="B254" s="7" t="s">
        <v>272</v>
      </c>
      <c r="C254" s="8">
        <v>21793.0</v>
      </c>
      <c r="D254" s="11">
        <v>6597.0</v>
      </c>
    </row>
    <row r="255" ht="15.75" customHeight="1">
      <c r="A255" s="6">
        <v>70102.0</v>
      </c>
      <c r="B255" s="7" t="s">
        <v>273</v>
      </c>
      <c r="C255" s="8">
        <v>465.0</v>
      </c>
      <c r="D255" s="11">
        <v>484.0</v>
      </c>
    </row>
    <row r="256" ht="15.75" customHeight="1">
      <c r="A256" s="6">
        <v>70103.0</v>
      </c>
      <c r="B256" s="7" t="s">
        <v>274</v>
      </c>
      <c r="C256" s="8">
        <v>127.0</v>
      </c>
      <c r="D256" s="11">
        <v>61.0</v>
      </c>
    </row>
    <row r="257" ht="15.75" customHeight="1">
      <c r="A257" s="6">
        <v>70104.0</v>
      </c>
      <c r="B257" s="7" t="s">
        <v>275</v>
      </c>
      <c r="C257" s="8">
        <v>873.0</v>
      </c>
      <c r="D257" s="11">
        <v>527.0</v>
      </c>
    </row>
    <row r="258" ht="15.75" customHeight="1">
      <c r="A258" s="6">
        <v>70105.0</v>
      </c>
      <c r="B258" s="7" t="s">
        <v>276</v>
      </c>
      <c r="C258" s="8">
        <v>430.0</v>
      </c>
      <c r="D258" s="11">
        <v>230.0</v>
      </c>
    </row>
    <row r="259" ht="15.75" customHeight="1">
      <c r="A259" s="6">
        <v>70201.0</v>
      </c>
      <c r="B259" s="7" t="s">
        <v>277</v>
      </c>
      <c r="C259" s="8">
        <v>807.0</v>
      </c>
      <c r="D259" s="11">
        <v>856.0</v>
      </c>
    </row>
    <row r="260" ht="15.75" customHeight="1">
      <c r="A260" s="6">
        <v>70202.0</v>
      </c>
      <c r="B260" s="7" t="s">
        <v>278</v>
      </c>
      <c r="C260" s="8">
        <v>101.0</v>
      </c>
      <c r="D260" s="11">
        <v>46.0</v>
      </c>
    </row>
    <row r="261" ht="15.75" customHeight="1">
      <c r="A261" s="6">
        <v>70301.0</v>
      </c>
      <c r="B261" s="7" t="s">
        <v>279</v>
      </c>
      <c r="C261" s="8">
        <v>423.0</v>
      </c>
      <c r="D261" s="11">
        <v>316.0</v>
      </c>
    </row>
    <row r="262" ht="15.75" customHeight="1">
      <c r="A262" s="6">
        <v>70302.0</v>
      </c>
      <c r="B262" s="7" t="s">
        <v>280</v>
      </c>
      <c r="C262" s="8">
        <v>47.0</v>
      </c>
      <c r="D262" s="11">
        <v>59.0</v>
      </c>
    </row>
    <row r="263" ht="15.75" customHeight="1">
      <c r="A263" s="6">
        <v>70303.0</v>
      </c>
      <c r="B263" s="7" t="s">
        <v>281</v>
      </c>
      <c r="C263" s="8">
        <v>38.0</v>
      </c>
      <c r="D263" s="11">
        <v>30.0</v>
      </c>
    </row>
    <row r="264" ht="15.75" customHeight="1">
      <c r="A264" s="6">
        <v>70401.0</v>
      </c>
      <c r="B264" s="7" t="s">
        <v>282</v>
      </c>
      <c r="C264" s="8">
        <v>175.0</v>
      </c>
      <c r="D264" s="11">
        <v>237.0</v>
      </c>
    </row>
    <row r="265" ht="15.75" customHeight="1">
      <c r="A265" s="6">
        <v>70402.0</v>
      </c>
      <c r="B265" s="7" t="s">
        <v>283</v>
      </c>
      <c r="C265" s="8">
        <v>201.0</v>
      </c>
      <c r="D265" s="11">
        <v>81.0</v>
      </c>
    </row>
    <row r="266" ht="15.75" customHeight="1">
      <c r="A266" s="6">
        <v>70403.0</v>
      </c>
      <c r="B266" s="7" t="s">
        <v>284</v>
      </c>
      <c r="C266" s="8">
        <v>375.0</v>
      </c>
      <c r="D266" s="11">
        <v>413.0</v>
      </c>
    </row>
    <row r="267" ht="15.75" customHeight="1">
      <c r="A267" s="6">
        <v>70404.0</v>
      </c>
      <c r="B267" s="7" t="s">
        <v>285</v>
      </c>
      <c r="C267" s="8">
        <v>50.0</v>
      </c>
      <c r="D267" s="11">
        <v>68.0</v>
      </c>
    </row>
    <row r="268" ht="15.75" customHeight="1">
      <c r="A268" s="6">
        <v>70501.0</v>
      </c>
      <c r="B268" s="7" t="s">
        <v>286</v>
      </c>
      <c r="C268" s="8">
        <v>271.0</v>
      </c>
      <c r="D268" s="11">
        <v>326.0</v>
      </c>
    </row>
    <row r="269" ht="15.75" customHeight="1">
      <c r="A269" s="6">
        <v>70502.0</v>
      </c>
      <c r="B269" s="7" t="s">
        <v>287</v>
      </c>
      <c r="C269" s="8">
        <v>264.0</v>
      </c>
      <c r="D269" s="11">
        <v>203.0</v>
      </c>
    </row>
    <row r="270" ht="15.75" customHeight="1">
      <c r="A270" s="6">
        <v>70503.0</v>
      </c>
      <c r="B270" s="7" t="s">
        <v>288</v>
      </c>
      <c r="C270" s="8">
        <v>575.0</v>
      </c>
      <c r="D270" s="11">
        <v>587.0</v>
      </c>
    </row>
    <row r="271" ht="15.75" customHeight="1">
      <c r="A271" s="6">
        <v>70601.0</v>
      </c>
      <c r="B271" s="7" t="s">
        <v>289</v>
      </c>
      <c r="C271" s="8">
        <v>191.0</v>
      </c>
      <c r="D271" s="11">
        <v>85.0</v>
      </c>
    </row>
    <row r="272" ht="15.75" customHeight="1">
      <c r="A272" s="6">
        <v>70602.0</v>
      </c>
      <c r="B272" s="7" t="s">
        <v>290</v>
      </c>
      <c r="C272" s="8">
        <v>148.0</v>
      </c>
      <c r="D272" s="11">
        <v>96.0</v>
      </c>
    </row>
    <row r="273" ht="15.75" customHeight="1">
      <c r="A273" s="6">
        <v>70603.0</v>
      </c>
      <c r="B273" s="7" t="s">
        <v>291</v>
      </c>
      <c r="C273" s="8">
        <v>58.0</v>
      </c>
      <c r="D273" s="11">
        <v>44.0</v>
      </c>
    </row>
    <row r="274" ht="15.75" customHeight="1">
      <c r="A274" s="6">
        <v>70701.0</v>
      </c>
      <c r="B274" s="7" t="s">
        <v>292</v>
      </c>
      <c r="C274" s="8">
        <v>42.0</v>
      </c>
      <c r="D274" s="11">
        <v>20.0</v>
      </c>
    </row>
    <row r="275" ht="15.75" customHeight="1">
      <c r="A275" s="6">
        <v>70702.0</v>
      </c>
      <c r="B275" s="7" t="s">
        <v>293</v>
      </c>
      <c r="C275" s="8">
        <v>451.0</v>
      </c>
      <c r="D275" s="11">
        <v>550.0</v>
      </c>
    </row>
    <row r="276" ht="15.75" customHeight="1">
      <c r="A276" s="6">
        <v>70703.0</v>
      </c>
      <c r="B276" s="7" t="s">
        <v>294</v>
      </c>
      <c r="C276" s="8">
        <v>244.0</v>
      </c>
      <c r="D276" s="11">
        <v>297.0</v>
      </c>
    </row>
    <row r="277" ht="15.75" customHeight="1">
      <c r="A277" s="6">
        <v>70704.0</v>
      </c>
      <c r="B277" s="7" t="s">
        <v>295</v>
      </c>
      <c r="C277" s="8">
        <v>114.0</v>
      </c>
      <c r="D277" s="11">
        <v>200.0</v>
      </c>
    </row>
    <row r="278" ht="15.75" customHeight="1">
      <c r="A278" s="6">
        <v>70705.0</v>
      </c>
      <c r="B278" s="7" t="s">
        <v>296</v>
      </c>
      <c r="C278" s="8">
        <v>103.0</v>
      </c>
      <c r="D278" s="11">
        <v>81.0</v>
      </c>
    </row>
    <row r="279" ht="15.75" customHeight="1">
      <c r="A279" s="6">
        <v>70706.0</v>
      </c>
      <c r="B279" s="7" t="s">
        <v>297</v>
      </c>
      <c r="C279" s="8">
        <v>878.0</v>
      </c>
      <c r="D279" s="11">
        <v>211.0</v>
      </c>
    </row>
    <row r="280" ht="15.75" customHeight="1">
      <c r="A280" s="6">
        <v>70707.0</v>
      </c>
      <c r="B280" s="7" t="s">
        <v>298</v>
      </c>
      <c r="C280" s="8">
        <v>151.0</v>
      </c>
      <c r="D280" s="11">
        <v>278.0</v>
      </c>
    </row>
    <row r="281" ht="15.75" customHeight="1">
      <c r="A281" s="6">
        <v>70801.0</v>
      </c>
      <c r="B281" s="7" t="s">
        <v>299</v>
      </c>
      <c r="C281" s="8">
        <v>109.0</v>
      </c>
      <c r="D281" s="11">
        <v>31.0</v>
      </c>
    </row>
    <row r="282" ht="15.75" customHeight="1">
      <c r="A282" s="6">
        <v>70802.0</v>
      </c>
      <c r="B282" s="7" t="s">
        <v>300</v>
      </c>
      <c r="C282" s="8">
        <v>10.0</v>
      </c>
      <c r="D282" s="11">
        <v>4.0</v>
      </c>
    </row>
    <row r="283" ht="15.75" customHeight="1">
      <c r="A283" s="6">
        <v>70803.0</v>
      </c>
      <c r="B283" s="7" t="s">
        <v>301</v>
      </c>
      <c r="C283" s="8">
        <v>9.0</v>
      </c>
      <c r="D283" s="11">
        <v>2.0</v>
      </c>
    </row>
    <row r="284" ht="15.75" customHeight="1">
      <c r="A284" s="6">
        <v>70804.0</v>
      </c>
      <c r="B284" s="7" t="s">
        <v>302</v>
      </c>
      <c r="C284" s="8">
        <v>10.0</v>
      </c>
      <c r="D284" s="11">
        <v>10.0</v>
      </c>
    </row>
    <row r="285" ht="15.75" customHeight="1">
      <c r="A285" s="6">
        <v>70805.0</v>
      </c>
      <c r="B285" s="7" t="s">
        <v>303</v>
      </c>
      <c r="C285" s="8">
        <v>12.0</v>
      </c>
      <c r="D285" s="11">
        <v>4.0</v>
      </c>
    </row>
    <row r="286" ht="15.75" customHeight="1">
      <c r="A286" s="6">
        <v>70901.0</v>
      </c>
      <c r="B286" s="7" t="s">
        <v>304</v>
      </c>
      <c r="C286" s="8">
        <v>33.0</v>
      </c>
      <c r="D286" s="11">
        <v>33.0</v>
      </c>
    </row>
    <row r="287" ht="15.75" customHeight="1">
      <c r="A287" s="6">
        <v>70902.0</v>
      </c>
      <c r="B287" s="7" t="s">
        <v>305</v>
      </c>
      <c r="C287" s="8">
        <v>34.0</v>
      </c>
      <c r="D287" s="11">
        <v>22.0</v>
      </c>
    </row>
    <row r="288" ht="15.75" customHeight="1">
      <c r="A288" s="6">
        <v>70903.0</v>
      </c>
      <c r="B288" s="7" t="s">
        <v>306</v>
      </c>
      <c r="C288" s="8">
        <v>38.0</v>
      </c>
      <c r="D288" s="11">
        <v>37.0</v>
      </c>
    </row>
    <row r="289" ht="15.75" customHeight="1">
      <c r="A289" s="6">
        <v>70904.0</v>
      </c>
      <c r="B289" s="7" t="s">
        <v>307</v>
      </c>
      <c r="C289" s="8">
        <v>20.0</v>
      </c>
      <c r="D289" s="11">
        <v>12.0</v>
      </c>
    </row>
    <row r="290" ht="15.75" customHeight="1">
      <c r="A290" s="6">
        <v>71001.0</v>
      </c>
      <c r="B290" s="7" t="s">
        <v>308</v>
      </c>
      <c r="C290" s="8">
        <v>1642.0</v>
      </c>
      <c r="D290" s="11">
        <v>755.0</v>
      </c>
    </row>
    <row r="291" ht="15.75" customHeight="1">
      <c r="A291" s="6">
        <v>71002.0</v>
      </c>
      <c r="B291" s="7" t="s">
        <v>309</v>
      </c>
      <c r="C291" s="8">
        <v>118.0</v>
      </c>
      <c r="D291" s="11">
        <v>113.0</v>
      </c>
    </row>
    <row r="292" ht="15.75" customHeight="1">
      <c r="A292" s="6">
        <v>71003.0</v>
      </c>
      <c r="B292" s="7" t="s">
        <v>310</v>
      </c>
      <c r="C292" s="8">
        <v>196.0</v>
      </c>
      <c r="D292" s="11">
        <v>138.0</v>
      </c>
    </row>
    <row r="293" ht="15.75" customHeight="1">
      <c r="A293" s="6">
        <v>71004.0</v>
      </c>
      <c r="B293" s="7" t="s">
        <v>311</v>
      </c>
      <c r="C293" s="8">
        <v>155.0</v>
      </c>
      <c r="D293" s="11">
        <v>69.0</v>
      </c>
    </row>
    <row r="294" ht="15.75" customHeight="1">
      <c r="A294" s="6">
        <v>71005.0</v>
      </c>
      <c r="B294" s="7" t="s">
        <v>312</v>
      </c>
      <c r="C294" s="8">
        <v>180.0</v>
      </c>
      <c r="D294" s="11">
        <v>84.0</v>
      </c>
    </row>
    <row r="295" ht="15.75" customHeight="1">
      <c r="A295" s="6">
        <v>71101.0</v>
      </c>
      <c r="B295" s="7" t="s">
        <v>313</v>
      </c>
      <c r="C295" s="8">
        <v>130.0</v>
      </c>
      <c r="D295" s="11">
        <v>143.0</v>
      </c>
    </row>
    <row r="296" ht="15.75" customHeight="1">
      <c r="A296" s="6">
        <v>71102.0</v>
      </c>
      <c r="B296" s="7" t="s">
        <v>314</v>
      </c>
      <c r="C296" s="8">
        <v>56.0</v>
      </c>
      <c r="D296" s="11">
        <v>65.0</v>
      </c>
    </row>
    <row r="297" ht="15.75" customHeight="1">
      <c r="A297" s="6">
        <v>71103.0</v>
      </c>
      <c r="B297" s="7" t="s">
        <v>315</v>
      </c>
      <c r="C297" s="8">
        <v>330.0</v>
      </c>
      <c r="D297" s="11">
        <v>39.0</v>
      </c>
    </row>
    <row r="298" ht="15.75" customHeight="1">
      <c r="A298" s="6">
        <v>71104.0</v>
      </c>
      <c r="B298" s="7" t="s">
        <v>316</v>
      </c>
      <c r="C298" s="8">
        <v>49.0</v>
      </c>
      <c r="D298" s="11">
        <v>190.0</v>
      </c>
    </row>
    <row r="299" ht="15.75" customHeight="1">
      <c r="A299" s="6">
        <v>71105.0</v>
      </c>
      <c r="B299" s="7" t="s">
        <v>317</v>
      </c>
      <c r="C299" s="8">
        <v>62.0</v>
      </c>
      <c r="D299" s="11">
        <v>34.0</v>
      </c>
    </row>
    <row r="300" ht="15.75" customHeight="1">
      <c r="A300" s="6">
        <v>71106.0</v>
      </c>
      <c r="B300" s="7" t="s">
        <v>318</v>
      </c>
      <c r="C300" s="8">
        <v>143.0</v>
      </c>
      <c r="D300" s="11">
        <v>118.0</v>
      </c>
    </row>
    <row r="301" ht="15.75" customHeight="1">
      <c r="A301" s="6">
        <v>71201.0</v>
      </c>
      <c r="B301" s="7" t="s">
        <v>319</v>
      </c>
      <c r="C301" s="8">
        <v>216.0</v>
      </c>
      <c r="D301" s="11">
        <v>292.0</v>
      </c>
    </row>
    <row r="302" ht="15.75" customHeight="1">
      <c r="A302" s="6">
        <v>71301.0</v>
      </c>
      <c r="B302" s="7" t="s">
        <v>320</v>
      </c>
      <c r="C302" s="8">
        <v>69.0</v>
      </c>
      <c r="D302" s="11">
        <v>39.0</v>
      </c>
    </row>
    <row r="303" ht="15.75" customHeight="1">
      <c r="A303" s="6">
        <v>71302.0</v>
      </c>
      <c r="B303" s="7" t="s">
        <v>321</v>
      </c>
      <c r="C303" s="8">
        <v>22.0</v>
      </c>
      <c r="D303" s="11">
        <v>18.0</v>
      </c>
    </row>
    <row r="304" ht="15.75" customHeight="1">
      <c r="A304" s="6">
        <v>71401.0</v>
      </c>
      <c r="B304" s="7" t="s">
        <v>322</v>
      </c>
      <c r="C304" s="8">
        <v>348.0</v>
      </c>
      <c r="D304" s="11">
        <v>247.0</v>
      </c>
    </row>
    <row r="305" ht="15.75" customHeight="1">
      <c r="A305" s="6">
        <v>71402.0</v>
      </c>
      <c r="B305" s="7" t="s">
        <v>323</v>
      </c>
      <c r="C305" s="8">
        <v>204.0</v>
      </c>
      <c r="D305" s="11">
        <v>191.0</v>
      </c>
    </row>
    <row r="306" ht="15.75" customHeight="1">
      <c r="A306" s="6">
        <v>71403.0</v>
      </c>
      <c r="B306" s="7" t="s">
        <v>324</v>
      </c>
      <c r="C306" s="8">
        <v>77.0</v>
      </c>
      <c r="D306" s="11">
        <v>39.0</v>
      </c>
    </row>
    <row r="307" ht="15.75" customHeight="1">
      <c r="A307" s="6">
        <v>71501.0</v>
      </c>
      <c r="B307" s="7" t="s">
        <v>325</v>
      </c>
      <c r="C307" s="8">
        <v>173.0</v>
      </c>
      <c r="D307" s="11">
        <v>147.0</v>
      </c>
    </row>
    <row r="308" ht="15.75" customHeight="1">
      <c r="A308" s="6">
        <v>71502.0</v>
      </c>
      <c r="B308" s="7" t="s">
        <v>326</v>
      </c>
      <c r="C308" s="8">
        <v>41.0</v>
      </c>
      <c r="D308" s="11">
        <v>51.0</v>
      </c>
    </row>
    <row r="309" ht="15.75" customHeight="1">
      <c r="A309" s="6">
        <v>71503.0</v>
      </c>
      <c r="B309" s="7" t="s">
        <v>271</v>
      </c>
      <c r="C309" s="8">
        <v>67.0</v>
      </c>
      <c r="D309" s="11">
        <v>89.0</v>
      </c>
    </row>
    <row r="310" ht="15.75" customHeight="1">
      <c r="A310" s="6">
        <v>80101.0</v>
      </c>
      <c r="B310" s="7" t="s">
        <v>327</v>
      </c>
      <c r="C310" s="8">
        <v>1967.0</v>
      </c>
      <c r="D310" s="11">
        <v>956.0</v>
      </c>
    </row>
    <row r="311" ht="15.75" customHeight="1">
      <c r="A311" s="6">
        <v>80102.0</v>
      </c>
      <c r="B311" s="7" t="s">
        <v>314</v>
      </c>
      <c r="C311" s="8">
        <v>20.0</v>
      </c>
      <c r="D311" s="11">
        <v>24.0</v>
      </c>
    </row>
    <row r="312" ht="15.75" customHeight="1">
      <c r="A312" s="6">
        <v>80201.0</v>
      </c>
      <c r="B312" s="7" t="s">
        <v>328</v>
      </c>
      <c r="C312" s="8">
        <v>1344.0</v>
      </c>
      <c r="D312" s="11">
        <v>1090.0</v>
      </c>
    </row>
    <row r="313" ht="15.75" customHeight="1">
      <c r="A313" s="6">
        <v>80202.0</v>
      </c>
      <c r="B313" s="7" t="s">
        <v>329</v>
      </c>
      <c r="C313" s="8">
        <v>474.0</v>
      </c>
      <c r="D313" s="11">
        <v>554.0</v>
      </c>
    </row>
    <row r="314" ht="15.75" customHeight="1">
      <c r="A314" s="6">
        <v>80301.0</v>
      </c>
      <c r="B314" s="7" t="s">
        <v>330</v>
      </c>
      <c r="C314" s="8">
        <v>118.0</v>
      </c>
      <c r="D314" s="11">
        <v>84.0</v>
      </c>
    </row>
    <row r="315" ht="15.75" customHeight="1">
      <c r="A315" s="6">
        <v>80302.0</v>
      </c>
      <c r="B315" s="7" t="s">
        <v>331</v>
      </c>
      <c r="C315" s="8">
        <v>215.0</v>
      </c>
      <c r="D315" s="11">
        <v>183.0</v>
      </c>
    </row>
    <row r="316" ht="15.75" customHeight="1">
      <c r="A316" s="6">
        <v>80303.0</v>
      </c>
      <c r="B316" s="7" t="s">
        <v>332</v>
      </c>
      <c r="C316" s="8">
        <v>58.0</v>
      </c>
      <c r="D316" s="11">
        <v>63.0</v>
      </c>
    </row>
    <row r="317" ht="15.75" customHeight="1">
      <c r="A317" s="6">
        <v>80304.0</v>
      </c>
      <c r="B317" s="7" t="s">
        <v>333</v>
      </c>
      <c r="C317" s="8">
        <v>250.0</v>
      </c>
      <c r="D317" s="11">
        <v>102.0</v>
      </c>
    </row>
    <row r="318" ht="15.75" customHeight="1">
      <c r="A318" s="6">
        <v>80401.0</v>
      </c>
      <c r="B318" s="7" t="s">
        <v>334</v>
      </c>
      <c r="C318" s="8">
        <v>169.0</v>
      </c>
      <c r="D318" s="11">
        <v>112.0</v>
      </c>
    </row>
    <row r="319" ht="15.75" customHeight="1">
      <c r="A319" s="6">
        <v>80402.0</v>
      </c>
      <c r="B319" s="7" t="s">
        <v>335</v>
      </c>
      <c r="C319" s="8">
        <v>47.0</v>
      </c>
      <c r="D319" s="11">
        <v>68.0</v>
      </c>
    </row>
    <row r="320" ht="15.75" customHeight="1">
      <c r="A320" s="6">
        <v>80501.0</v>
      </c>
      <c r="B320" s="7" t="s">
        <v>336</v>
      </c>
      <c r="C320" s="8">
        <v>104.0</v>
      </c>
      <c r="D320" s="11">
        <v>129.0</v>
      </c>
    </row>
    <row r="321" ht="15.75" customHeight="1">
      <c r="A321" s="6">
        <v>80601.0</v>
      </c>
      <c r="B321" s="7" t="s">
        <v>337</v>
      </c>
      <c r="C321" s="8">
        <v>21.0</v>
      </c>
      <c r="D321" s="11">
        <v>29.0</v>
      </c>
    </row>
    <row r="322" ht="15.75" customHeight="1">
      <c r="A322" s="6">
        <v>80602.0</v>
      </c>
      <c r="B322" s="7" t="s">
        <v>338</v>
      </c>
      <c r="C322" s="8">
        <v>71.0</v>
      </c>
      <c r="D322" s="11">
        <v>50.0</v>
      </c>
    </row>
    <row r="323" ht="15.75" customHeight="1">
      <c r="A323" s="6">
        <v>80701.0</v>
      </c>
      <c r="B323" s="7" t="s">
        <v>339</v>
      </c>
      <c r="C323" s="8">
        <v>167.0</v>
      </c>
      <c r="D323" s="11">
        <v>124.0</v>
      </c>
    </row>
    <row r="324" ht="15.75" customHeight="1">
      <c r="A324" s="6">
        <v>80702.0</v>
      </c>
      <c r="B324" s="7" t="s">
        <v>315</v>
      </c>
      <c r="C324" s="8">
        <v>29.0</v>
      </c>
      <c r="D324" s="11">
        <v>26.0</v>
      </c>
    </row>
    <row r="325" ht="15.75" customHeight="1">
      <c r="A325" s="6">
        <v>80703.0</v>
      </c>
      <c r="B325" s="7" t="s">
        <v>340</v>
      </c>
      <c r="C325" s="8">
        <v>3.0</v>
      </c>
      <c r="D325" s="11">
        <v>11.0</v>
      </c>
    </row>
    <row r="326" ht="15.75" customHeight="1">
      <c r="A326" s="6">
        <v>80801.0</v>
      </c>
      <c r="B326" s="7" t="s">
        <v>341</v>
      </c>
      <c r="C326" s="8">
        <v>101.0</v>
      </c>
      <c r="D326" s="11">
        <v>68.0</v>
      </c>
    </row>
    <row r="327" ht="15.75" customHeight="1">
      <c r="A327" s="6">
        <v>80802.0</v>
      </c>
      <c r="B327" s="7" t="s">
        <v>342</v>
      </c>
      <c r="C327" s="8">
        <v>178.0</v>
      </c>
      <c r="D327" s="11">
        <v>111.0</v>
      </c>
    </row>
    <row r="328" ht="15.75" customHeight="1">
      <c r="A328" s="6">
        <v>80803.0</v>
      </c>
      <c r="B328" s="7" t="s">
        <v>343</v>
      </c>
      <c r="C328" s="8">
        <v>30.0</v>
      </c>
      <c r="D328" s="11">
        <v>44.0</v>
      </c>
    </row>
    <row r="329" ht="15.75" customHeight="1">
      <c r="A329" s="6">
        <v>80901.0</v>
      </c>
      <c r="B329" s="7" t="s">
        <v>344</v>
      </c>
      <c r="C329" s="8">
        <v>12.0</v>
      </c>
      <c r="D329" s="11">
        <v>39.0</v>
      </c>
    </row>
    <row r="330" ht="15.75" customHeight="1">
      <c r="A330" s="6">
        <v>90101.0</v>
      </c>
      <c r="B330" s="7" t="s">
        <v>345</v>
      </c>
      <c r="C330" s="8">
        <v>1203.0</v>
      </c>
      <c r="D330" s="11">
        <v>603.0</v>
      </c>
    </row>
    <row r="331" ht="15.75" customHeight="1">
      <c r="A331" s="6">
        <v>90102.0</v>
      </c>
      <c r="B331" s="7" t="s">
        <v>346</v>
      </c>
      <c r="C331" s="8">
        <v>139.0</v>
      </c>
      <c r="D331" s="11">
        <v>56.0</v>
      </c>
    </row>
    <row r="332" ht="15.75" customHeight="1">
      <c r="A332" s="6">
        <v>90103.0</v>
      </c>
      <c r="B332" s="7" t="s">
        <v>347</v>
      </c>
      <c r="C332" s="8">
        <v>19.0</v>
      </c>
      <c r="D332" s="11">
        <v>22.0</v>
      </c>
    </row>
    <row r="333" ht="15.75" customHeight="1">
      <c r="A333" s="6">
        <v>90104.0</v>
      </c>
      <c r="B333" s="7" t="s">
        <v>348</v>
      </c>
      <c r="C333" s="8">
        <v>78.0</v>
      </c>
      <c r="D333" s="11">
        <v>69.0</v>
      </c>
    </row>
    <row r="334" ht="15.75" customHeight="1">
      <c r="A334" s="6">
        <v>90201.0</v>
      </c>
      <c r="B334" s="7" t="s">
        <v>349</v>
      </c>
      <c r="C334" s="8">
        <v>349.0</v>
      </c>
      <c r="D334" s="11">
        <v>205.0</v>
      </c>
    </row>
    <row r="335" ht="15.75" customHeight="1">
      <c r="A335" s="6">
        <v>90202.0</v>
      </c>
      <c r="B335" s="7" t="s">
        <v>312</v>
      </c>
      <c r="C335" s="8">
        <v>49.0</v>
      </c>
      <c r="D335" s="11">
        <v>14.0</v>
      </c>
    </row>
    <row r="336" ht="15.75" customHeight="1">
      <c r="A336" s="6">
        <v>90203.0</v>
      </c>
      <c r="B336" s="7" t="s">
        <v>350</v>
      </c>
      <c r="C336" s="8">
        <v>24.0</v>
      </c>
      <c r="D336" s="11">
        <v>67.0</v>
      </c>
    </row>
    <row r="337" ht="15.75" customHeight="1">
      <c r="A337" s="6">
        <v>90301.0</v>
      </c>
      <c r="B337" s="7" t="s">
        <v>351</v>
      </c>
      <c r="C337" s="8">
        <v>112.0</v>
      </c>
      <c r="D337" s="11">
        <v>105.0</v>
      </c>
    </row>
    <row r="338" ht="15.75" customHeight="1">
      <c r="A338" s="6">
        <v>90302.0</v>
      </c>
      <c r="B338" s="7" t="s">
        <v>352</v>
      </c>
      <c r="C338" s="8">
        <v>87.0</v>
      </c>
      <c r="D338" s="11">
        <v>75.0</v>
      </c>
    </row>
    <row r="339" ht="15.75" customHeight="1">
      <c r="A339" s="6">
        <v>90303.0</v>
      </c>
      <c r="B339" s="7" t="s">
        <v>353</v>
      </c>
      <c r="C339" s="8">
        <v>86.0</v>
      </c>
      <c r="D339" s="11">
        <v>56.0</v>
      </c>
    </row>
    <row r="340" ht="15.75" customHeight="1">
      <c r="A340" s="6">
        <v>90401.0</v>
      </c>
      <c r="B340" s="7" t="s">
        <v>354</v>
      </c>
      <c r="C340" s="8">
        <v>50.0</v>
      </c>
      <c r="D340" s="11">
        <v>23.0</v>
      </c>
    </row>
    <row r="341" ht="15.75" customHeight="1">
      <c r="A341" s="6">
        <v>90402.0</v>
      </c>
      <c r="B341" s="7" t="s">
        <v>355</v>
      </c>
      <c r="C341" s="8">
        <v>21.0</v>
      </c>
      <c r="D341" s="11">
        <v>20.0</v>
      </c>
    </row>
    <row r="342" ht="15.75" customHeight="1">
      <c r="A342" s="6">
        <v>90501.0</v>
      </c>
      <c r="B342" s="7" t="s">
        <v>356</v>
      </c>
      <c r="C342" s="8">
        <v>16.0</v>
      </c>
      <c r="D342" s="11">
        <v>5.0</v>
      </c>
    </row>
    <row r="343" ht="15.75" customHeight="1">
      <c r="A343" s="6">
        <v>90502.0</v>
      </c>
      <c r="B343" s="7" t="s">
        <v>357</v>
      </c>
      <c r="C343" s="8">
        <v>38.0</v>
      </c>
      <c r="D343" s="11">
        <v>27.0</v>
      </c>
    </row>
    <row r="344" ht="15.75" customHeight="1">
      <c r="A344" s="6">
        <v>90503.0</v>
      </c>
      <c r="B344" s="7" t="s">
        <v>358</v>
      </c>
      <c r="C344" s="8">
        <v>9.0</v>
      </c>
      <c r="D344" s="11">
        <v>10.0</v>
      </c>
    </row>
    <row r="345" ht="15.75" customHeight="1">
      <c r="A345" s="18"/>
      <c r="B345" s="13"/>
      <c r="C345" s="13"/>
    </row>
    <row r="346" ht="15.75" customHeight="1">
      <c r="A346" s="18"/>
      <c r="B346" s="13"/>
      <c r="C346" s="13"/>
    </row>
    <row r="347" ht="15.75" customHeight="1">
      <c r="A347" s="18"/>
      <c r="B347" s="13"/>
      <c r="C347" s="13"/>
    </row>
    <row r="348" ht="15.75" customHeight="1">
      <c r="A348" s="18"/>
      <c r="B348" s="13"/>
      <c r="C348" s="13"/>
    </row>
    <row r="349" ht="15.75" customHeight="1">
      <c r="A349" s="18"/>
      <c r="B349" s="13"/>
      <c r="C349" s="13"/>
    </row>
    <row r="350" ht="15.75" customHeight="1">
      <c r="A350" s="18"/>
      <c r="B350" s="13"/>
      <c r="C350" s="13"/>
    </row>
    <row r="351" ht="15.75" customHeight="1">
      <c r="A351" s="18"/>
      <c r="B351" s="13"/>
      <c r="C351" s="13"/>
    </row>
    <row r="352" ht="15.75" customHeight="1">
      <c r="A352" s="18"/>
      <c r="B352" s="13"/>
      <c r="C352" s="13"/>
    </row>
    <row r="353" ht="15.75" customHeight="1">
      <c r="A353" s="18"/>
      <c r="B353" s="13"/>
      <c r="C353" s="13"/>
    </row>
    <row r="354" ht="15.75" customHeight="1">
      <c r="A354" s="18"/>
      <c r="B354" s="13"/>
      <c r="C354" s="13"/>
    </row>
    <row r="355" ht="15.75" customHeight="1">
      <c r="A355" s="18"/>
      <c r="B355" s="13"/>
      <c r="C355" s="13"/>
    </row>
    <row r="356" ht="15.75" customHeight="1">
      <c r="A356" s="18"/>
      <c r="B356" s="13"/>
      <c r="C356" s="13"/>
    </row>
    <row r="357" ht="15.75" customHeight="1">
      <c r="A357" s="18"/>
      <c r="B357" s="13"/>
      <c r="C357" s="13"/>
    </row>
    <row r="358" ht="15.75" customHeight="1">
      <c r="A358" s="18"/>
      <c r="B358" s="13"/>
      <c r="C358" s="13"/>
    </row>
    <row r="359" ht="15.75" customHeight="1">
      <c r="A359" s="18"/>
      <c r="B359" s="13"/>
      <c r="C359" s="13"/>
    </row>
    <row r="360" ht="15.75" customHeight="1">
      <c r="A360" s="18"/>
      <c r="B360" s="13"/>
      <c r="C360" s="13"/>
    </row>
    <row r="361" ht="15.75" customHeight="1">
      <c r="A361" s="18"/>
      <c r="B361" s="13"/>
      <c r="C361" s="13"/>
    </row>
    <row r="362" ht="15.75" customHeight="1">
      <c r="A362" s="18"/>
      <c r="B362" s="13"/>
      <c r="C362" s="13"/>
    </row>
    <row r="363" ht="15.75" customHeight="1">
      <c r="A363" s="18"/>
      <c r="B363" s="13"/>
      <c r="C363" s="13"/>
    </row>
    <row r="364" ht="15.75" customHeight="1">
      <c r="A364" s="18"/>
      <c r="B364" s="13"/>
      <c r="C364" s="13"/>
    </row>
    <row r="365" ht="15.75" customHeight="1">
      <c r="A365" s="18"/>
      <c r="B365" s="13"/>
      <c r="C365" s="13"/>
    </row>
    <row r="366" ht="15.75" customHeight="1">
      <c r="A366" s="18"/>
      <c r="B366" s="13"/>
      <c r="C366" s="13"/>
    </row>
    <row r="367" ht="15.75" customHeight="1">
      <c r="A367" s="18"/>
      <c r="B367" s="13"/>
      <c r="C367" s="13"/>
    </row>
    <row r="368" ht="15.75" customHeight="1">
      <c r="A368" s="18"/>
      <c r="B368" s="13"/>
      <c r="C368" s="13"/>
    </row>
    <row r="369" ht="15.75" customHeight="1">
      <c r="A369" s="18"/>
      <c r="B369" s="13"/>
      <c r="C369" s="13"/>
    </row>
    <row r="370" ht="15.75" customHeight="1">
      <c r="A370" s="18"/>
      <c r="B370" s="13"/>
      <c r="C370" s="13"/>
    </row>
    <row r="371" ht="15.75" customHeight="1">
      <c r="A371" s="18"/>
      <c r="B371" s="13"/>
      <c r="C371" s="13"/>
    </row>
    <row r="372" ht="15.75" customHeight="1">
      <c r="A372" s="18"/>
      <c r="B372" s="13"/>
      <c r="C372" s="13"/>
    </row>
    <row r="373" ht="15.75" customHeight="1">
      <c r="A373" s="18"/>
      <c r="B373" s="13"/>
      <c r="C373" s="13"/>
    </row>
    <row r="374" ht="15.75" customHeight="1">
      <c r="A374" s="18"/>
      <c r="B374" s="13"/>
      <c r="C374" s="13"/>
    </row>
    <row r="375" ht="15.75" customHeight="1">
      <c r="A375" s="18"/>
      <c r="B375" s="13"/>
      <c r="C375" s="13"/>
    </row>
    <row r="376" ht="15.75" customHeight="1">
      <c r="A376" s="18"/>
      <c r="B376" s="13"/>
      <c r="C376" s="13"/>
    </row>
    <row r="377" ht="15.75" customHeight="1">
      <c r="A377" s="18"/>
      <c r="B377" s="13"/>
      <c r="C377" s="13"/>
    </row>
    <row r="378" ht="15.75" customHeight="1">
      <c r="A378" s="18"/>
      <c r="B378" s="13"/>
      <c r="C378" s="13"/>
    </row>
    <row r="379" ht="15.75" customHeight="1">
      <c r="A379" s="18"/>
      <c r="B379" s="13"/>
      <c r="C379" s="13"/>
    </row>
    <row r="380" ht="15.75" customHeight="1">
      <c r="A380" s="18"/>
      <c r="B380" s="13"/>
      <c r="C380" s="13"/>
    </row>
    <row r="381" ht="15.75" customHeight="1">
      <c r="A381" s="18"/>
      <c r="B381" s="13"/>
      <c r="C381" s="13"/>
    </row>
    <row r="382" ht="15.75" customHeight="1">
      <c r="A382" s="18"/>
      <c r="B382" s="13"/>
      <c r="C382" s="13"/>
    </row>
    <row r="383" ht="15.75" customHeight="1">
      <c r="A383" s="18"/>
      <c r="B383" s="13"/>
      <c r="C383" s="13"/>
    </row>
    <row r="384" ht="15.75" customHeight="1">
      <c r="A384" s="18"/>
      <c r="B384" s="13"/>
      <c r="C384" s="13"/>
    </row>
    <row r="385" ht="15.75" customHeight="1">
      <c r="A385" s="18"/>
      <c r="B385" s="13"/>
      <c r="C385" s="13"/>
    </row>
    <row r="386" ht="15.75" customHeight="1">
      <c r="A386" s="18"/>
      <c r="B386" s="13"/>
      <c r="C386" s="13"/>
    </row>
    <row r="387" ht="15.75" customHeight="1">
      <c r="A387" s="18"/>
      <c r="B387" s="13"/>
      <c r="C387" s="13"/>
    </row>
    <row r="388" ht="15.75" customHeight="1">
      <c r="A388" s="18"/>
      <c r="B388" s="13"/>
      <c r="C388" s="13"/>
    </row>
    <row r="389" ht="15.75" customHeight="1">
      <c r="A389" s="18"/>
      <c r="B389" s="13"/>
      <c r="C389" s="13"/>
    </row>
    <row r="390" ht="15.75" customHeight="1">
      <c r="A390" s="18"/>
      <c r="B390" s="13"/>
      <c r="C390" s="13"/>
    </row>
    <row r="391" ht="15.75" customHeight="1">
      <c r="A391" s="18"/>
      <c r="B391" s="13"/>
      <c r="C391" s="13"/>
    </row>
    <row r="392" ht="15.75" customHeight="1">
      <c r="A392" s="18"/>
      <c r="B392" s="13"/>
      <c r="C392" s="13"/>
    </row>
    <row r="393" ht="15.75" customHeight="1">
      <c r="A393" s="18"/>
      <c r="B393" s="13"/>
      <c r="C393" s="13"/>
    </row>
    <row r="394" ht="15.75" customHeight="1">
      <c r="A394" s="18"/>
      <c r="B394" s="13"/>
      <c r="C394" s="13"/>
    </row>
    <row r="395" ht="15.75" customHeight="1">
      <c r="A395" s="18"/>
      <c r="B395" s="13"/>
      <c r="C395" s="13"/>
    </row>
    <row r="396" ht="15.75" customHeight="1">
      <c r="A396" s="18"/>
      <c r="B396" s="13"/>
      <c r="C396" s="13"/>
    </row>
    <row r="397" ht="15.75" customHeight="1">
      <c r="A397" s="18"/>
      <c r="B397" s="13"/>
      <c r="C397" s="13"/>
    </row>
    <row r="398" ht="15.75" customHeight="1">
      <c r="A398" s="18"/>
      <c r="B398" s="13"/>
      <c r="C398" s="13"/>
    </row>
    <row r="399" ht="15.75" customHeight="1">
      <c r="A399" s="18"/>
      <c r="B399" s="13"/>
      <c r="C399" s="13"/>
    </row>
    <row r="400" ht="15.75" customHeight="1">
      <c r="A400" s="18"/>
      <c r="B400" s="13"/>
      <c r="C400" s="13"/>
    </row>
    <row r="401" ht="15.75" customHeight="1">
      <c r="A401" s="18"/>
      <c r="B401" s="13"/>
      <c r="C401" s="13"/>
    </row>
    <row r="402" ht="15.75" customHeight="1">
      <c r="A402" s="18"/>
      <c r="B402" s="13"/>
      <c r="C402" s="13"/>
    </row>
    <row r="403" ht="15.75" customHeight="1">
      <c r="A403" s="18"/>
      <c r="B403" s="13"/>
      <c r="C403" s="13"/>
    </row>
    <row r="404" ht="15.75" customHeight="1">
      <c r="A404" s="18"/>
      <c r="B404" s="13"/>
      <c r="C404" s="13"/>
    </row>
    <row r="405" ht="15.75" customHeight="1">
      <c r="A405" s="18"/>
      <c r="B405" s="13"/>
      <c r="C405" s="13"/>
    </row>
    <row r="406" ht="15.75" customHeight="1">
      <c r="A406" s="18"/>
      <c r="B406" s="13"/>
      <c r="C406" s="13"/>
    </row>
    <row r="407" ht="15.75" customHeight="1">
      <c r="A407" s="18"/>
      <c r="B407" s="13"/>
      <c r="C407" s="13"/>
    </row>
    <row r="408" ht="15.75" customHeight="1">
      <c r="A408" s="18"/>
      <c r="B408" s="13"/>
      <c r="C408" s="13"/>
    </row>
    <row r="409" ht="15.75" customHeight="1">
      <c r="A409" s="18"/>
      <c r="B409" s="13"/>
      <c r="C409" s="13"/>
    </row>
    <row r="410" ht="15.75" customHeight="1">
      <c r="A410" s="18"/>
      <c r="B410" s="13"/>
      <c r="C410" s="13"/>
    </row>
    <row r="411" ht="15.75" customHeight="1">
      <c r="A411" s="18"/>
      <c r="B411" s="13"/>
      <c r="C411" s="13"/>
    </row>
    <row r="412" ht="15.75" customHeight="1">
      <c r="A412" s="18"/>
      <c r="B412" s="13"/>
      <c r="C412" s="13"/>
    </row>
    <row r="413" ht="15.75" customHeight="1">
      <c r="A413" s="18"/>
      <c r="B413" s="13"/>
      <c r="C413" s="13"/>
    </row>
    <row r="414" ht="15.75" customHeight="1">
      <c r="A414" s="18"/>
      <c r="B414" s="13"/>
      <c r="C414" s="13"/>
    </row>
    <row r="415" ht="15.75" customHeight="1">
      <c r="A415" s="18"/>
      <c r="B415" s="13"/>
      <c r="C415" s="13"/>
    </row>
    <row r="416" ht="15.75" customHeight="1">
      <c r="A416" s="18"/>
      <c r="B416" s="13"/>
      <c r="C416" s="13"/>
    </row>
    <row r="417" ht="15.75" customHeight="1">
      <c r="A417" s="18"/>
      <c r="B417" s="13"/>
      <c r="C417" s="13"/>
    </row>
    <row r="418" ht="15.75" customHeight="1">
      <c r="A418" s="18"/>
      <c r="B418" s="13"/>
      <c r="C418" s="13"/>
    </row>
    <row r="419" ht="15.75" customHeight="1">
      <c r="A419" s="18"/>
      <c r="B419" s="13"/>
      <c r="C419" s="13"/>
    </row>
    <row r="420" ht="15.75" customHeight="1">
      <c r="A420" s="18"/>
      <c r="B420" s="13"/>
      <c r="C420" s="13"/>
    </row>
    <row r="421" ht="15.75" customHeight="1">
      <c r="A421" s="18"/>
      <c r="B421" s="13"/>
      <c r="C421" s="13"/>
    </row>
    <row r="422" ht="15.75" customHeight="1">
      <c r="A422" s="18"/>
      <c r="B422" s="13"/>
      <c r="C422" s="13"/>
    </row>
    <row r="423" ht="15.75" customHeight="1">
      <c r="A423" s="18"/>
      <c r="B423" s="13"/>
      <c r="C423" s="13"/>
    </row>
    <row r="424" ht="15.75" customHeight="1">
      <c r="A424" s="18"/>
      <c r="B424" s="13"/>
      <c r="C424" s="13"/>
    </row>
    <row r="425" ht="15.75" customHeight="1">
      <c r="A425" s="18"/>
      <c r="B425" s="13"/>
      <c r="C425" s="13"/>
    </row>
    <row r="426" ht="15.75" customHeight="1">
      <c r="A426" s="18"/>
      <c r="B426" s="13"/>
      <c r="C426" s="13"/>
    </row>
    <row r="427" ht="15.75" customHeight="1">
      <c r="A427" s="18"/>
      <c r="B427" s="13"/>
      <c r="C427" s="13"/>
    </row>
    <row r="428" ht="15.75" customHeight="1">
      <c r="A428" s="18"/>
      <c r="B428" s="13"/>
      <c r="C428" s="13"/>
    </row>
    <row r="429" ht="15.75" customHeight="1">
      <c r="A429" s="18"/>
      <c r="B429" s="13"/>
      <c r="C429" s="13"/>
    </row>
    <row r="430" ht="15.75" customHeight="1">
      <c r="A430" s="18"/>
      <c r="B430" s="13"/>
      <c r="C430" s="13"/>
    </row>
    <row r="431" ht="15.75" customHeight="1">
      <c r="A431" s="18"/>
      <c r="B431" s="13"/>
      <c r="C431" s="13"/>
    </row>
    <row r="432" ht="15.75" customHeight="1">
      <c r="A432" s="18"/>
      <c r="B432" s="13"/>
      <c r="C432" s="13"/>
    </row>
    <row r="433" ht="15.75" customHeight="1">
      <c r="A433" s="18"/>
      <c r="B433" s="13"/>
      <c r="C433" s="13"/>
    </row>
    <row r="434" ht="15.75" customHeight="1">
      <c r="A434" s="18"/>
      <c r="B434" s="13"/>
      <c r="C434" s="13"/>
    </row>
    <row r="435" ht="15.75" customHeight="1">
      <c r="A435" s="18"/>
      <c r="B435" s="13"/>
      <c r="C435" s="13"/>
    </row>
    <row r="436" ht="15.75" customHeight="1">
      <c r="A436" s="18"/>
      <c r="B436" s="13"/>
      <c r="C436" s="13"/>
    </row>
    <row r="437" ht="15.75" customHeight="1">
      <c r="A437" s="18"/>
      <c r="B437" s="13"/>
      <c r="C437" s="13"/>
    </row>
    <row r="438" ht="15.75" customHeight="1">
      <c r="A438" s="18"/>
      <c r="B438" s="13"/>
      <c r="C438" s="13"/>
    </row>
    <row r="439" ht="15.75" customHeight="1">
      <c r="A439" s="18"/>
      <c r="B439" s="13"/>
      <c r="C439" s="13"/>
    </row>
    <row r="440" ht="15.75" customHeight="1">
      <c r="A440" s="18"/>
      <c r="B440" s="13"/>
      <c r="C440" s="13"/>
    </row>
    <row r="441" ht="15.75" customHeight="1">
      <c r="A441" s="18"/>
      <c r="B441" s="13"/>
      <c r="C441" s="13"/>
    </row>
    <row r="442" ht="15.75" customHeight="1">
      <c r="A442" s="18"/>
      <c r="B442" s="13"/>
      <c r="C442" s="13"/>
    </row>
    <row r="443" ht="15.75" customHeight="1">
      <c r="A443" s="18"/>
      <c r="B443" s="13"/>
      <c r="C443" s="13"/>
    </row>
    <row r="444" ht="15.75" customHeight="1">
      <c r="A444" s="18"/>
      <c r="B444" s="13"/>
      <c r="C444" s="13"/>
    </row>
    <row r="445" ht="15.75" customHeight="1">
      <c r="A445" s="18"/>
      <c r="B445" s="13"/>
      <c r="C445" s="13"/>
    </row>
    <row r="446" ht="15.75" customHeight="1">
      <c r="A446" s="18"/>
      <c r="B446" s="13"/>
      <c r="C446" s="13"/>
    </row>
    <row r="447" ht="15.75" customHeight="1">
      <c r="A447" s="18"/>
      <c r="B447" s="13"/>
      <c r="C447" s="13"/>
    </row>
    <row r="448" ht="15.75" customHeight="1">
      <c r="A448" s="18"/>
      <c r="B448" s="13"/>
      <c r="C448" s="13"/>
    </row>
    <row r="449" ht="15.75" customHeight="1">
      <c r="A449" s="18"/>
      <c r="B449" s="13"/>
      <c r="C449" s="13"/>
    </row>
    <row r="450" ht="15.75" customHeight="1">
      <c r="A450" s="18"/>
      <c r="B450" s="13"/>
      <c r="C450" s="13"/>
    </row>
    <row r="451" ht="15.75" customHeight="1">
      <c r="A451" s="18"/>
      <c r="B451" s="13"/>
      <c r="C451" s="13"/>
    </row>
    <row r="452" ht="15.75" customHeight="1">
      <c r="A452" s="18"/>
      <c r="B452" s="13"/>
      <c r="C452" s="13"/>
    </row>
    <row r="453" ht="15.75" customHeight="1">
      <c r="A453" s="18"/>
      <c r="B453" s="13"/>
      <c r="C453" s="13"/>
    </row>
    <row r="454" ht="15.75" customHeight="1">
      <c r="A454" s="18"/>
      <c r="B454" s="13"/>
      <c r="C454" s="13"/>
    </row>
    <row r="455" ht="15.75" customHeight="1">
      <c r="A455" s="18"/>
      <c r="B455" s="13"/>
      <c r="C455" s="13"/>
    </row>
    <row r="456" ht="15.75" customHeight="1">
      <c r="A456" s="18"/>
      <c r="B456" s="13"/>
      <c r="C456" s="13"/>
    </row>
    <row r="457" ht="15.75" customHeight="1">
      <c r="A457" s="18"/>
      <c r="B457" s="13"/>
      <c r="C457" s="13"/>
    </row>
    <row r="458" ht="15.75" customHeight="1">
      <c r="A458" s="18"/>
      <c r="B458" s="13"/>
      <c r="C458" s="13"/>
    </row>
    <row r="459" ht="15.75" customHeight="1">
      <c r="A459" s="18"/>
      <c r="B459" s="13"/>
      <c r="C459" s="13"/>
    </row>
    <row r="460" ht="15.75" customHeight="1">
      <c r="A460" s="18"/>
      <c r="B460" s="13"/>
      <c r="C460" s="13"/>
    </row>
    <row r="461" ht="15.75" customHeight="1">
      <c r="A461" s="18"/>
      <c r="B461" s="13"/>
      <c r="C461" s="13"/>
    </row>
    <row r="462" ht="15.75" customHeight="1">
      <c r="A462" s="18"/>
      <c r="B462" s="13"/>
      <c r="C462" s="13"/>
    </row>
    <row r="463" ht="15.75" customHeight="1">
      <c r="A463" s="18"/>
      <c r="B463" s="13"/>
      <c r="C463" s="13"/>
    </row>
    <row r="464" ht="15.75" customHeight="1">
      <c r="A464" s="18"/>
      <c r="B464" s="13"/>
      <c r="C464" s="13"/>
    </row>
    <row r="465" ht="15.75" customHeight="1">
      <c r="A465" s="18"/>
      <c r="B465" s="13"/>
      <c r="C465" s="13"/>
    </row>
    <row r="466" ht="15.75" customHeight="1">
      <c r="A466" s="18"/>
      <c r="B466" s="13"/>
      <c r="C466" s="13"/>
    </row>
    <row r="467" ht="15.75" customHeight="1">
      <c r="A467" s="18"/>
      <c r="B467" s="13"/>
      <c r="C467" s="13"/>
    </row>
    <row r="468" ht="15.75" customHeight="1">
      <c r="A468" s="18"/>
      <c r="B468" s="13"/>
      <c r="C468" s="13"/>
    </row>
    <row r="469" ht="15.75" customHeight="1">
      <c r="A469" s="18"/>
      <c r="B469" s="13"/>
      <c r="C469" s="13"/>
    </row>
    <row r="470" ht="15.75" customHeight="1">
      <c r="A470" s="18"/>
      <c r="B470" s="13"/>
      <c r="C470" s="13"/>
    </row>
    <row r="471" ht="15.75" customHeight="1">
      <c r="A471" s="18"/>
      <c r="B471" s="13"/>
      <c r="C471" s="13"/>
    </row>
    <row r="472" ht="15.75" customHeight="1">
      <c r="A472" s="18"/>
      <c r="B472" s="13"/>
      <c r="C472" s="13"/>
    </row>
    <row r="473" ht="15.75" customHeight="1">
      <c r="A473" s="18"/>
      <c r="B473" s="13"/>
      <c r="C473" s="13"/>
    </row>
    <row r="474" ht="15.75" customHeight="1">
      <c r="A474" s="18"/>
      <c r="B474" s="13"/>
      <c r="C474" s="13"/>
    </row>
    <row r="475" ht="15.75" customHeight="1">
      <c r="A475" s="18"/>
      <c r="B475" s="13"/>
      <c r="C475" s="13"/>
    </row>
    <row r="476" ht="15.75" customHeight="1">
      <c r="A476" s="18"/>
      <c r="B476" s="13"/>
      <c r="C476" s="13"/>
    </row>
    <row r="477" ht="15.75" customHeight="1">
      <c r="A477" s="18"/>
      <c r="B477" s="13"/>
      <c r="C477" s="13"/>
    </row>
    <row r="478" ht="15.75" customHeight="1">
      <c r="A478" s="18"/>
      <c r="B478" s="13"/>
      <c r="C478" s="13"/>
    </row>
    <row r="479" ht="15.75" customHeight="1">
      <c r="A479" s="18"/>
      <c r="B479" s="13"/>
      <c r="C479" s="13"/>
    </row>
    <row r="480" ht="15.75" customHeight="1">
      <c r="A480" s="18"/>
      <c r="B480" s="13"/>
      <c r="C480" s="13"/>
    </row>
    <row r="481" ht="15.75" customHeight="1">
      <c r="A481" s="18"/>
      <c r="B481" s="13"/>
      <c r="C481" s="13"/>
    </row>
    <row r="482" ht="15.75" customHeight="1">
      <c r="A482" s="18"/>
      <c r="B482" s="13"/>
      <c r="C482" s="13"/>
    </row>
    <row r="483" ht="15.75" customHeight="1">
      <c r="A483" s="18"/>
      <c r="B483" s="13"/>
      <c r="C483" s="13"/>
    </row>
    <row r="484" ht="15.75" customHeight="1">
      <c r="A484" s="18"/>
      <c r="B484" s="13"/>
      <c r="C484" s="13"/>
    </row>
    <row r="485" ht="15.75" customHeight="1">
      <c r="A485" s="18"/>
      <c r="B485" s="13"/>
      <c r="C485" s="13"/>
    </row>
    <row r="486" ht="15.75" customHeight="1">
      <c r="A486" s="18"/>
      <c r="B486" s="13"/>
      <c r="C486" s="13"/>
    </row>
    <row r="487" ht="15.75" customHeight="1">
      <c r="A487" s="18"/>
      <c r="B487" s="13"/>
      <c r="C487" s="13"/>
    </row>
    <row r="488" ht="15.75" customHeight="1">
      <c r="A488" s="18"/>
      <c r="B488" s="13"/>
      <c r="C488" s="13"/>
    </row>
    <row r="489" ht="15.75" customHeight="1">
      <c r="A489" s="18"/>
      <c r="B489" s="13"/>
      <c r="C489" s="13"/>
    </row>
    <row r="490" ht="15.75" customHeight="1">
      <c r="A490" s="18"/>
      <c r="B490" s="13"/>
      <c r="C490" s="13"/>
    </row>
    <row r="491" ht="15.75" customHeight="1">
      <c r="A491" s="18"/>
      <c r="B491" s="13"/>
      <c r="C491" s="13"/>
    </row>
    <row r="492" ht="15.75" customHeight="1">
      <c r="A492" s="18"/>
      <c r="B492" s="13"/>
      <c r="C492" s="13"/>
    </row>
    <row r="493" ht="15.75" customHeight="1">
      <c r="A493" s="18"/>
      <c r="B493" s="13"/>
      <c r="C493" s="13"/>
    </row>
    <row r="494" ht="15.75" customHeight="1">
      <c r="A494" s="18"/>
      <c r="B494" s="13"/>
      <c r="C494" s="13"/>
    </row>
    <row r="495" ht="15.75" customHeight="1">
      <c r="A495" s="18"/>
      <c r="B495" s="13"/>
      <c r="C495" s="13"/>
    </row>
    <row r="496" ht="15.75" customHeight="1">
      <c r="A496" s="18"/>
      <c r="B496" s="13"/>
      <c r="C496" s="13"/>
    </row>
    <row r="497" ht="15.75" customHeight="1">
      <c r="A497" s="18"/>
      <c r="B497" s="13"/>
      <c r="C497" s="13"/>
    </row>
    <row r="498" ht="15.75" customHeight="1">
      <c r="A498" s="18"/>
      <c r="B498" s="13"/>
      <c r="C498" s="13"/>
    </row>
    <row r="499" ht="15.75" customHeight="1">
      <c r="A499" s="18"/>
      <c r="B499" s="13"/>
      <c r="C499" s="13"/>
    </row>
    <row r="500" ht="15.75" customHeight="1">
      <c r="A500" s="18"/>
      <c r="B500" s="13"/>
      <c r="C500" s="13"/>
    </row>
    <row r="501" ht="15.75" customHeight="1">
      <c r="A501" s="18"/>
      <c r="B501" s="13"/>
      <c r="C501" s="13"/>
    </row>
    <row r="502" ht="15.75" customHeight="1">
      <c r="A502" s="18"/>
      <c r="B502" s="13"/>
      <c r="C502" s="13"/>
    </row>
    <row r="503" ht="15.75" customHeight="1">
      <c r="A503" s="18"/>
      <c r="B503" s="13"/>
      <c r="C503" s="13"/>
    </row>
    <row r="504" ht="15.75" customHeight="1">
      <c r="A504" s="18"/>
      <c r="B504" s="13"/>
      <c r="C504" s="13"/>
    </row>
    <row r="505" ht="15.75" customHeight="1">
      <c r="A505" s="18"/>
      <c r="B505" s="13"/>
      <c r="C505" s="13"/>
    </row>
    <row r="506" ht="15.75" customHeight="1">
      <c r="A506" s="18"/>
      <c r="B506" s="13"/>
      <c r="C506" s="13"/>
    </row>
    <row r="507" ht="15.75" customHeight="1">
      <c r="A507" s="18"/>
      <c r="B507" s="13"/>
      <c r="C507" s="13"/>
    </row>
    <row r="508" ht="15.75" customHeight="1">
      <c r="A508" s="18"/>
      <c r="B508" s="13"/>
      <c r="C508" s="13"/>
    </row>
    <row r="509" ht="15.75" customHeight="1">
      <c r="A509" s="18"/>
      <c r="B509" s="13"/>
      <c r="C509" s="13"/>
    </row>
    <row r="510" ht="15.75" customHeight="1">
      <c r="A510" s="18"/>
      <c r="B510" s="13"/>
      <c r="C510" s="13"/>
    </row>
    <row r="511" ht="15.75" customHeight="1">
      <c r="A511" s="18"/>
      <c r="B511" s="13"/>
      <c r="C511" s="13"/>
    </row>
    <row r="512" ht="15.75" customHeight="1">
      <c r="A512" s="18"/>
      <c r="B512" s="13"/>
      <c r="C512" s="13"/>
    </row>
    <row r="513" ht="15.75" customHeight="1">
      <c r="A513" s="18"/>
      <c r="B513" s="13"/>
      <c r="C513" s="13"/>
    </row>
    <row r="514" ht="15.75" customHeight="1">
      <c r="A514" s="18"/>
      <c r="B514" s="13"/>
      <c r="C514" s="13"/>
    </row>
    <row r="515" ht="15.75" customHeight="1">
      <c r="A515" s="18"/>
      <c r="B515" s="13"/>
      <c r="C515" s="13"/>
    </row>
    <row r="516" ht="15.75" customHeight="1">
      <c r="A516" s="18"/>
      <c r="B516" s="13"/>
      <c r="C516" s="13"/>
    </row>
    <row r="517" ht="15.75" customHeight="1">
      <c r="A517" s="18"/>
      <c r="B517" s="13"/>
      <c r="C517" s="13"/>
    </row>
    <row r="518" ht="15.75" customHeight="1">
      <c r="A518" s="18"/>
      <c r="B518" s="13"/>
      <c r="C518" s="13"/>
    </row>
    <row r="519" ht="15.75" customHeight="1">
      <c r="A519" s="18"/>
      <c r="B519" s="13"/>
      <c r="C519" s="13"/>
    </row>
    <row r="520" ht="15.75" customHeight="1">
      <c r="A520" s="18"/>
      <c r="B520" s="13"/>
      <c r="C520" s="13"/>
    </row>
    <row r="521" ht="15.75" customHeight="1">
      <c r="A521" s="18"/>
      <c r="B521" s="13"/>
      <c r="C521" s="13"/>
    </row>
    <row r="522" ht="15.75" customHeight="1">
      <c r="A522" s="18"/>
      <c r="B522" s="13"/>
      <c r="C522" s="13"/>
    </row>
    <row r="523" ht="15.75" customHeight="1">
      <c r="A523" s="18"/>
      <c r="B523" s="13"/>
      <c r="C523" s="13"/>
    </row>
    <row r="524" ht="15.75" customHeight="1">
      <c r="A524" s="18"/>
      <c r="B524" s="13"/>
      <c r="C524" s="13"/>
    </row>
    <row r="525" ht="15.75" customHeight="1">
      <c r="A525" s="18"/>
      <c r="B525" s="13"/>
      <c r="C525" s="13"/>
    </row>
    <row r="526" ht="15.75" customHeight="1">
      <c r="A526" s="18"/>
      <c r="B526" s="13"/>
      <c r="C526" s="13"/>
    </row>
    <row r="527" ht="15.75" customHeight="1">
      <c r="A527" s="18"/>
      <c r="B527" s="13"/>
      <c r="C527" s="13"/>
    </row>
    <row r="528" ht="15.75" customHeight="1">
      <c r="A528" s="18"/>
      <c r="B528" s="13"/>
      <c r="C528" s="13"/>
    </row>
    <row r="529" ht="15.75" customHeight="1">
      <c r="A529" s="18"/>
      <c r="B529" s="13"/>
      <c r="C529" s="13"/>
    </row>
    <row r="530" ht="15.75" customHeight="1">
      <c r="A530" s="18"/>
      <c r="B530" s="13"/>
      <c r="C530" s="13"/>
    </row>
    <row r="531" ht="15.75" customHeight="1">
      <c r="A531" s="18"/>
      <c r="B531" s="13"/>
      <c r="C531" s="13"/>
    </row>
    <row r="532" ht="15.75" customHeight="1">
      <c r="A532" s="18"/>
      <c r="B532" s="13"/>
      <c r="C532" s="13"/>
    </row>
    <row r="533" ht="15.75" customHeight="1">
      <c r="A533" s="18"/>
      <c r="B533" s="13"/>
      <c r="C533" s="13"/>
    </row>
    <row r="534" ht="15.75" customHeight="1">
      <c r="A534" s="18"/>
      <c r="B534" s="13"/>
      <c r="C534" s="13"/>
    </row>
    <row r="535" ht="15.75" customHeight="1">
      <c r="A535" s="18"/>
      <c r="B535" s="13"/>
      <c r="C535" s="13"/>
    </row>
    <row r="536" ht="15.75" customHeight="1">
      <c r="A536" s="18"/>
      <c r="B536" s="13"/>
      <c r="C536" s="13"/>
    </row>
    <row r="537" ht="15.75" customHeight="1">
      <c r="A537" s="18"/>
      <c r="B537" s="13"/>
      <c r="C537" s="13"/>
    </row>
    <row r="538" ht="15.75" customHeight="1">
      <c r="A538" s="18"/>
      <c r="B538" s="13"/>
      <c r="C538" s="13"/>
    </row>
    <row r="539" ht="15.75" customHeight="1">
      <c r="A539" s="18"/>
      <c r="B539" s="13"/>
      <c r="C539" s="13"/>
    </row>
    <row r="540" ht="15.75" customHeight="1">
      <c r="A540" s="18"/>
      <c r="B540" s="13"/>
      <c r="C540" s="13"/>
    </row>
    <row r="541" ht="15.75" customHeight="1">
      <c r="A541" s="18"/>
      <c r="B541" s="13"/>
      <c r="C541" s="13"/>
    </row>
    <row r="542" ht="15.75" customHeight="1">
      <c r="A542" s="18"/>
      <c r="B542" s="13"/>
      <c r="C542" s="13"/>
    </row>
    <row r="543" ht="15.75" customHeight="1">
      <c r="A543" s="18"/>
      <c r="B543" s="13"/>
      <c r="C543" s="13"/>
    </row>
    <row r="544" ht="15.75" customHeight="1">
      <c r="A544" s="18"/>
      <c r="B544" s="13"/>
      <c r="C544" s="13"/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5.25"/>
    <col customWidth="1" min="3" max="3" width="25.25"/>
    <col customWidth="1" min="4" max="4" width="25.38"/>
    <col customWidth="1" min="5" max="6" width="12.63"/>
  </cols>
  <sheetData>
    <row r="1" ht="59.25" customHeight="1">
      <c r="A1" s="32" t="s">
        <v>9</v>
      </c>
      <c r="B1" s="32" t="s">
        <v>1</v>
      </c>
      <c r="C1" s="4" t="s">
        <v>5</v>
      </c>
      <c r="D1" s="4" t="s">
        <v>8</v>
      </c>
    </row>
    <row r="2" ht="15.75" customHeight="1">
      <c r="A2" s="33">
        <v>1.0</v>
      </c>
      <c r="B2" s="34" t="s">
        <v>10</v>
      </c>
      <c r="C2" s="35">
        <v>15.771823505379274</v>
      </c>
      <c r="D2" s="35">
        <v>4.4222563872238245</v>
      </c>
    </row>
    <row r="3" ht="15.75" customHeight="1">
      <c r="A3" s="33">
        <v>2.0</v>
      </c>
      <c r="B3" s="34" t="s">
        <v>13</v>
      </c>
      <c r="C3" s="35">
        <v>14.577345856419068</v>
      </c>
      <c r="D3" s="35">
        <v>5.212070373061108</v>
      </c>
    </row>
    <row r="4" ht="15.75" customHeight="1">
      <c r="A4" s="33">
        <v>3.0</v>
      </c>
      <c r="B4" s="34" t="s">
        <v>15</v>
      </c>
      <c r="C4" s="35">
        <v>14.324147879834474</v>
      </c>
      <c r="D4" s="35">
        <v>5.190750889850633</v>
      </c>
    </row>
    <row r="5" ht="15.75" customHeight="1">
      <c r="A5" s="33">
        <v>4.0</v>
      </c>
      <c r="B5" s="34" t="s">
        <v>17</v>
      </c>
      <c r="C5" s="35">
        <v>18.620076033325244</v>
      </c>
      <c r="D5" s="35">
        <v>4.89825805457068</v>
      </c>
    </row>
    <row r="6" ht="15.75" customHeight="1">
      <c r="A6" s="33">
        <v>5.0</v>
      </c>
      <c r="B6" s="34" t="s">
        <v>19</v>
      </c>
      <c r="C6" s="35">
        <v>11.541966184063988</v>
      </c>
      <c r="D6" s="35">
        <v>4.892335298641374</v>
      </c>
    </row>
    <row r="7" ht="15.75" customHeight="1">
      <c r="A7" s="33">
        <v>6.0</v>
      </c>
      <c r="B7" s="34" t="s">
        <v>21</v>
      </c>
      <c r="C7" s="35">
        <v>13.6702682490012</v>
      </c>
      <c r="D7" s="35">
        <v>7.073656270736563</v>
      </c>
    </row>
    <row r="8" ht="15.75" customHeight="1">
      <c r="A8" s="33">
        <v>7.0</v>
      </c>
      <c r="B8" s="34" t="s">
        <v>23</v>
      </c>
      <c r="C8" s="35">
        <v>11.532934497905604</v>
      </c>
      <c r="D8" s="35">
        <v>5.624993407798837</v>
      </c>
    </row>
    <row r="9" ht="15.75" customHeight="1">
      <c r="A9" s="33">
        <v>8.0</v>
      </c>
      <c r="B9" s="34" t="s">
        <v>25</v>
      </c>
      <c r="C9" s="35">
        <v>11.54994308785946</v>
      </c>
      <c r="D9" s="35">
        <v>8.289211378105508</v>
      </c>
    </row>
    <row r="10" ht="15.75" customHeight="1">
      <c r="A10" s="33">
        <v>9.0</v>
      </c>
      <c r="B10" s="34" t="s">
        <v>27</v>
      </c>
      <c r="C10" s="35">
        <v>16.997167138810198</v>
      </c>
      <c r="D10" s="35">
        <v>9.654927072216294</v>
      </c>
    </row>
    <row r="11" ht="15.75" customHeight="1">
      <c r="A11" s="33">
        <v>10.0</v>
      </c>
      <c r="B11" s="34" t="s">
        <v>29</v>
      </c>
      <c r="C11" s="9">
        <v>12.521517373286581</v>
      </c>
      <c r="D11" s="9">
        <v>10.405288876113826</v>
      </c>
    </row>
    <row r="12" ht="15.75" customHeight="1">
      <c r="A12" s="33">
        <v>11.0</v>
      </c>
      <c r="B12" s="34" t="s">
        <v>31</v>
      </c>
      <c r="C12" s="35">
        <v>13.561873338762695</v>
      </c>
      <c r="D12" s="35">
        <v>5.518738142484842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5.38"/>
    <col customWidth="1" min="3" max="3" width="30.75"/>
    <col customWidth="1" min="4" max="4" width="27.88"/>
    <col customWidth="1" min="5" max="6" width="12.63"/>
  </cols>
  <sheetData>
    <row r="1" ht="54.75" customHeight="1">
      <c r="A1" s="32" t="s">
        <v>9</v>
      </c>
      <c r="B1" s="32" t="s">
        <v>1</v>
      </c>
      <c r="C1" s="4" t="s">
        <v>359</v>
      </c>
      <c r="D1" s="4" t="s">
        <v>360</v>
      </c>
    </row>
    <row r="2" ht="15.75" customHeight="1">
      <c r="A2" s="33">
        <v>1.0</v>
      </c>
      <c r="B2" s="34" t="s">
        <v>10</v>
      </c>
      <c r="C2" s="8">
        <v>9265.0</v>
      </c>
      <c r="D2" s="8">
        <v>2560.0</v>
      </c>
    </row>
    <row r="3" ht="15.75" customHeight="1">
      <c r="A3" s="33">
        <v>2.0</v>
      </c>
      <c r="B3" s="34" t="s">
        <v>13</v>
      </c>
      <c r="C3" s="8">
        <v>39360.0</v>
      </c>
      <c r="D3" s="8">
        <v>13918.0</v>
      </c>
    </row>
    <row r="4" ht="15.75" customHeight="1">
      <c r="A4" s="33">
        <v>3.0</v>
      </c>
      <c r="B4" s="34" t="s">
        <v>15</v>
      </c>
      <c r="C4" s="8">
        <v>27207.0</v>
      </c>
      <c r="D4" s="8">
        <v>9727.0</v>
      </c>
    </row>
    <row r="5" ht="15.75" customHeight="1">
      <c r="A5" s="33">
        <v>4.0</v>
      </c>
      <c r="B5" s="34" t="s">
        <v>17</v>
      </c>
      <c r="C5" s="8">
        <v>9208.0</v>
      </c>
      <c r="D5" s="8">
        <v>2542.0</v>
      </c>
    </row>
    <row r="6" ht="15.75" customHeight="1">
      <c r="A6" s="33">
        <v>5.0</v>
      </c>
      <c r="B6" s="34" t="s">
        <v>19</v>
      </c>
      <c r="C6" s="8">
        <v>9120.0</v>
      </c>
      <c r="D6" s="8">
        <v>3817.0</v>
      </c>
    </row>
    <row r="7" ht="15.75" customHeight="1">
      <c r="A7" s="33">
        <v>6.0</v>
      </c>
      <c r="B7" s="34" t="s">
        <v>21</v>
      </c>
      <c r="C7" s="8">
        <v>6946.0</v>
      </c>
      <c r="D7" s="8">
        <v>3198.0</v>
      </c>
    </row>
    <row r="8" ht="15.75" customHeight="1">
      <c r="A8" s="33">
        <v>7.0</v>
      </c>
      <c r="B8" s="34" t="s">
        <v>23</v>
      </c>
      <c r="C8" s="8">
        <v>33948.0</v>
      </c>
      <c r="D8" s="8">
        <v>15999.0</v>
      </c>
    </row>
    <row r="9" ht="15.75" customHeight="1">
      <c r="A9" s="33">
        <v>8.0</v>
      </c>
      <c r="B9" s="34" t="s">
        <v>25</v>
      </c>
      <c r="C9" s="8">
        <v>5378.0</v>
      </c>
      <c r="D9" s="8">
        <v>3867.0</v>
      </c>
    </row>
    <row r="10" ht="15.75" customHeight="1">
      <c r="A10" s="33">
        <v>9.0</v>
      </c>
      <c r="B10" s="34" t="s">
        <v>27</v>
      </c>
      <c r="C10" s="8">
        <v>2280.0</v>
      </c>
      <c r="D10" s="8">
        <v>1357.0</v>
      </c>
    </row>
    <row r="11" ht="15.75" customHeight="1">
      <c r="A11" s="33">
        <v>10.0</v>
      </c>
      <c r="B11" s="34" t="s">
        <v>29</v>
      </c>
      <c r="C11" s="8">
        <v>1964.0</v>
      </c>
      <c r="D11" s="8">
        <v>1448.0</v>
      </c>
    </row>
    <row r="12" ht="15.75" customHeight="1">
      <c r="A12" s="33">
        <v>11.0</v>
      </c>
      <c r="B12" s="34" t="s">
        <v>31</v>
      </c>
      <c r="C12" s="8">
        <v>142712.0</v>
      </c>
      <c r="D12" s="8">
        <v>56985.0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25"/>
    <col customWidth="1" min="3" max="6" width="12.63"/>
    <col customWidth="1" min="11" max="11" width="20.63"/>
  </cols>
  <sheetData>
    <row r="1" ht="15.75" customHeight="1">
      <c r="A1" s="36" t="s">
        <v>361</v>
      </c>
      <c r="B1" s="37" t="s">
        <v>362</v>
      </c>
      <c r="C1" s="38" t="s">
        <v>363</v>
      </c>
      <c r="D1" s="38" t="s">
        <v>364</v>
      </c>
      <c r="E1" s="39" t="s">
        <v>365</v>
      </c>
      <c r="F1" s="39" t="s">
        <v>366</v>
      </c>
      <c r="G1" s="40" t="s">
        <v>367</v>
      </c>
      <c r="H1" s="40" t="s">
        <v>368</v>
      </c>
      <c r="I1" s="41" t="s">
        <v>369</v>
      </c>
      <c r="J1" s="41" t="s">
        <v>370</v>
      </c>
      <c r="K1" s="42" t="s">
        <v>371</v>
      </c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47.25" customHeight="1">
      <c r="A2" s="43">
        <v>8.0</v>
      </c>
      <c r="B2" s="44" t="s">
        <v>372</v>
      </c>
      <c r="C2" s="45">
        <v>0.0</v>
      </c>
      <c r="D2" s="46">
        <v>10.0</v>
      </c>
      <c r="E2" s="46">
        <v>10.0</v>
      </c>
      <c r="F2" s="46">
        <v>12.5</v>
      </c>
      <c r="G2" s="46">
        <v>12.5</v>
      </c>
      <c r="H2" s="46">
        <v>15.0</v>
      </c>
      <c r="I2" s="46">
        <v>15.0</v>
      </c>
      <c r="J2" s="46">
        <v>100.0</v>
      </c>
      <c r="K2" s="47" t="s">
        <v>373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/>
    <row r="4" ht="15.75" customHeight="1"/>
    <row r="5" ht="15.75" customHeight="1"/>
    <row r="6" ht="15.75" customHeight="1"/>
    <row r="7" ht="15.75" customHeight="1">
      <c r="F7" s="14"/>
    </row>
    <row r="8" ht="15.75" customHeight="1">
      <c r="F8" s="14"/>
    </row>
    <row r="9" ht="15.75" customHeight="1">
      <c r="F9" s="14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2026-05-20T18:29:25Z</dcterms:created>
  <dc:creator>Oriana</dc:creator>
</cp:coreProperties>
</file>