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olo\Desktop\"/>
    </mc:Choice>
  </mc:AlternateContent>
  <xr:revisionPtr revIDLastSave="0" documentId="8_{2E9EA4DD-8A78-42D2-BB86-98E598A6D78F}" xr6:coauthVersionLast="47" xr6:coauthVersionMax="47" xr10:uidLastSave="{00000000-0000-0000-0000-000000000000}"/>
  <bookViews>
    <workbookView xWindow="-108" yWindow="-108" windowWidth="23256" windowHeight="12456" activeTab="5" xr2:uid="{1F0CCE29-C528-4204-AA1E-F32404105712}"/>
  </bookViews>
  <sheets>
    <sheet name="Datos procesados" sheetId="7" r:id="rId1"/>
    <sheet name="Indicador_MUN" sheetId="2" r:id="rId2"/>
    <sheet name="Absoluto_MUN" sheetId="3" r:id="rId3"/>
    <sheet name="Indicador_DEP" sheetId="4" r:id="rId4"/>
    <sheet name="Absoluto_DEP" sheetId="5" r:id="rId5"/>
    <sheet name="Umbral" sheetId="6" r:id="rId6"/>
  </sheets>
  <definedNames>
    <definedName name="_xlnm._FilterDatabase" localSheetId="2" hidden="1">Absoluto_MUN!$A$1:$D$1</definedName>
    <definedName name="_xlnm._FilterDatabase" localSheetId="1" hidden="1">Indicador_MUN!$A$1:$D$1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7" l="1"/>
  <c r="AD12" i="7"/>
  <c r="AF12" i="7" s="1"/>
  <c r="AD3" i="7"/>
  <c r="AD4" i="7"/>
  <c r="AD5" i="7"/>
  <c r="AD6" i="7"/>
  <c r="AD7" i="7"/>
  <c r="AD8" i="7"/>
  <c r="AD9" i="7"/>
  <c r="AD10" i="7"/>
  <c r="AD11" i="7"/>
  <c r="AD2" i="7"/>
  <c r="X3" i="7"/>
  <c r="X4" i="7"/>
  <c r="X5" i="7"/>
  <c r="X6" i="7"/>
  <c r="X7" i="7"/>
  <c r="X8" i="7"/>
  <c r="X9" i="7"/>
  <c r="X10" i="7"/>
  <c r="X11" i="7"/>
  <c r="X12" i="7"/>
  <c r="X2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101" i="7"/>
  <c r="Q102" i="7"/>
  <c r="Q103" i="7"/>
  <c r="Q104" i="7"/>
  <c r="Q105" i="7"/>
  <c r="Q106" i="7"/>
  <c r="Q107" i="7"/>
  <c r="Q108" i="7"/>
  <c r="Q109" i="7"/>
  <c r="Q110" i="7"/>
  <c r="Q111" i="7"/>
  <c r="Q112" i="7"/>
  <c r="Q113" i="7"/>
  <c r="Q114" i="7"/>
  <c r="Q115" i="7"/>
  <c r="Q116" i="7"/>
  <c r="Q117" i="7"/>
  <c r="Q118" i="7"/>
  <c r="Q119" i="7"/>
  <c r="Q120" i="7"/>
  <c r="Q121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Q137" i="7"/>
  <c r="Q138" i="7"/>
  <c r="Q139" i="7"/>
  <c r="Q140" i="7"/>
  <c r="Q141" i="7"/>
  <c r="Q142" i="7"/>
  <c r="Q143" i="7"/>
  <c r="Q144" i="7"/>
  <c r="Q145" i="7"/>
  <c r="Q146" i="7"/>
  <c r="Q147" i="7"/>
  <c r="Q148" i="7"/>
  <c r="Q149" i="7"/>
  <c r="Q150" i="7"/>
  <c r="Q151" i="7"/>
  <c r="Q152" i="7"/>
  <c r="Q153" i="7"/>
  <c r="Q154" i="7"/>
  <c r="Q155" i="7"/>
  <c r="Q156" i="7"/>
  <c r="Q157" i="7"/>
  <c r="Q158" i="7"/>
  <c r="Q159" i="7"/>
  <c r="Q160" i="7"/>
  <c r="Q161" i="7"/>
  <c r="Q162" i="7"/>
  <c r="Q163" i="7"/>
  <c r="Q164" i="7"/>
  <c r="Q165" i="7"/>
  <c r="Q166" i="7"/>
  <c r="Q167" i="7"/>
  <c r="Q168" i="7"/>
  <c r="Q169" i="7"/>
  <c r="Q170" i="7"/>
  <c r="Q171" i="7"/>
  <c r="Q172" i="7"/>
  <c r="Q173" i="7"/>
  <c r="Q174" i="7"/>
  <c r="Q175" i="7"/>
  <c r="Q176" i="7"/>
  <c r="Q177" i="7"/>
  <c r="Q178" i="7"/>
  <c r="Q179" i="7"/>
  <c r="Q180" i="7"/>
  <c r="Q181" i="7"/>
  <c r="Q182" i="7"/>
  <c r="Q183" i="7"/>
  <c r="Q184" i="7"/>
  <c r="Q18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02" i="7"/>
  <c r="Q203" i="7"/>
  <c r="Q204" i="7"/>
  <c r="Q205" i="7"/>
  <c r="Q206" i="7"/>
  <c r="Q207" i="7"/>
  <c r="Q208" i="7"/>
  <c r="Q209" i="7"/>
  <c r="Q210" i="7"/>
  <c r="Q211" i="7"/>
  <c r="Q212" i="7"/>
  <c r="Q213" i="7"/>
  <c r="Q214" i="7"/>
  <c r="Q215" i="7"/>
  <c r="Q216" i="7"/>
  <c r="Q217" i="7"/>
  <c r="Q218" i="7"/>
  <c r="Q219" i="7"/>
  <c r="Q220" i="7"/>
  <c r="Q221" i="7"/>
  <c r="Q222" i="7"/>
  <c r="Q223" i="7"/>
  <c r="Q224" i="7"/>
  <c r="Q225" i="7"/>
  <c r="Q226" i="7"/>
  <c r="Q227" i="7"/>
  <c r="Q228" i="7"/>
  <c r="Q229" i="7"/>
  <c r="Q230" i="7"/>
  <c r="Q231" i="7"/>
  <c r="Q232" i="7"/>
  <c r="Q233" i="7"/>
  <c r="Q234" i="7"/>
  <c r="Q235" i="7"/>
  <c r="Q236" i="7"/>
  <c r="Q237" i="7"/>
  <c r="Q238" i="7"/>
  <c r="Q239" i="7"/>
  <c r="Q240" i="7"/>
  <c r="Q241" i="7"/>
  <c r="Q242" i="7"/>
  <c r="Q243" i="7"/>
  <c r="Q244" i="7"/>
  <c r="Q245" i="7"/>
  <c r="Q246" i="7"/>
  <c r="Q247" i="7"/>
  <c r="Q248" i="7"/>
  <c r="Q249" i="7"/>
  <c r="Q250" i="7"/>
  <c r="Q251" i="7"/>
  <c r="Q252" i="7"/>
  <c r="Q253" i="7"/>
  <c r="Q254" i="7"/>
  <c r="Q255" i="7"/>
  <c r="Q256" i="7"/>
  <c r="Q257" i="7"/>
  <c r="Q258" i="7"/>
  <c r="Q259" i="7"/>
  <c r="Q260" i="7"/>
  <c r="Q261" i="7"/>
  <c r="Q262" i="7"/>
  <c r="Q263" i="7"/>
  <c r="Q264" i="7"/>
  <c r="Q265" i="7"/>
  <c r="Q266" i="7"/>
  <c r="Q267" i="7"/>
  <c r="Q268" i="7"/>
  <c r="Q269" i="7"/>
  <c r="Q270" i="7"/>
  <c r="Q271" i="7"/>
  <c r="Q272" i="7"/>
  <c r="Q273" i="7"/>
  <c r="Q274" i="7"/>
  <c r="Q275" i="7"/>
  <c r="Q276" i="7"/>
  <c r="Q277" i="7"/>
  <c r="Q278" i="7"/>
  <c r="Q279" i="7"/>
  <c r="Q280" i="7"/>
  <c r="Q281" i="7"/>
  <c r="Q282" i="7"/>
  <c r="Q283" i="7"/>
  <c r="Q284" i="7"/>
  <c r="Q285" i="7"/>
  <c r="Q286" i="7"/>
  <c r="Q287" i="7"/>
  <c r="Q288" i="7"/>
  <c r="Q289" i="7"/>
  <c r="Q290" i="7"/>
  <c r="Q291" i="7"/>
  <c r="Q292" i="7"/>
  <c r="Q293" i="7"/>
  <c r="Q294" i="7"/>
  <c r="Q295" i="7"/>
  <c r="Q296" i="7"/>
  <c r="Q297" i="7"/>
  <c r="Q298" i="7"/>
  <c r="Q299" i="7"/>
  <c r="Q300" i="7"/>
  <c r="Q301" i="7"/>
  <c r="Q302" i="7"/>
  <c r="Q303" i="7"/>
  <c r="Q304" i="7"/>
  <c r="Q305" i="7"/>
  <c r="Q306" i="7"/>
  <c r="Q307" i="7"/>
  <c r="Q308" i="7"/>
  <c r="Q309" i="7"/>
  <c r="Q310" i="7"/>
  <c r="Q311" i="7"/>
  <c r="Q312" i="7"/>
  <c r="Q313" i="7"/>
  <c r="Q314" i="7"/>
  <c r="Q315" i="7"/>
  <c r="Q316" i="7"/>
  <c r="Q317" i="7"/>
  <c r="Q318" i="7"/>
  <c r="Q319" i="7"/>
  <c r="Q320" i="7"/>
  <c r="Q321" i="7"/>
  <c r="Q322" i="7"/>
  <c r="Q323" i="7"/>
  <c r="Q324" i="7"/>
  <c r="Q325" i="7"/>
  <c r="Q326" i="7"/>
  <c r="Q327" i="7"/>
  <c r="Q328" i="7"/>
  <c r="Q329" i="7"/>
  <c r="Q330" i="7"/>
  <c r="Q331" i="7"/>
  <c r="Q332" i="7"/>
  <c r="Q333" i="7"/>
  <c r="Q334" i="7"/>
  <c r="Q335" i="7"/>
  <c r="Q336" i="7"/>
  <c r="Q337" i="7"/>
  <c r="Q338" i="7"/>
  <c r="Q339" i="7"/>
  <c r="Q340" i="7"/>
  <c r="Q341" i="7"/>
  <c r="Q342" i="7"/>
  <c r="Q343" i="7"/>
  <c r="Q344" i="7"/>
  <c r="Q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O256" i="7"/>
  <c r="O257" i="7"/>
  <c r="O258" i="7"/>
  <c r="O259" i="7"/>
  <c r="O260" i="7"/>
  <c r="O261" i="7"/>
  <c r="O262" i="7"/>
  <c r="O263" i="7"/>
  <c r="O264" i="7"/>
  <c r="O265" i="7"/>
  <c r="O266" i="7"/>
  <c r="O267" i="7"/>
  <c r="O268" i="7"/>
  <c r="O269" i="7"/>
  <c r="O270" i="7"/>
  <c r="O271" i="7"/>
  <c r="O272" i="7"/>
  <c r="O273" i="7"/>
  <c r="O274" i="7"/>
  <c r="O275" i="7"/>
  <c r="O276" i="7"/>
  <c r="O277" i="7"/>
  <c r="O278" i="7"/>
  <c r="O279" i="7"/>
  <c r="O280" i="7"/>
  <c r="O281" i="7"/>
  <c r="O282" i="7"/>
  <c r="O283" i="7"/>
  <c r="O284" i="7"/>
  <c r="O285" i="7"/>
  <c r="O286" i="7"/>
  <c r="O287" i="7"/>
  <c r="O288" i="7"/>
  <c r="O289" i="7"/>
  <c r="O290" i="7"/>
  <c r="O291" i="7"/>
  <c r="O292" i="7"/>
  <c r="O293" i="7"/>
  <c r="O294" i="7"/>
  <c r="O295" i="7"/>
  <c r="O296" i="7"/>
  <c r="O297" i="7"/>
  <c r="O298" i="7"/>
  <c r="O299" i="7"/>
  <c r="O300" i="7"/>
  <c r="O301" i="7"/>
  <c r="O302" i="7"/>
  <c r="O303" i="7"/>
  <c r="O304" i="7"/>
  <c r="O305" i="7"/>
  <c r="O306" i="7"/>
  <c r="O307" i="7"/>
  <c r="O308" i="7"/>
  <c r="O309" i="7"/>
  <c r="O310" i="7"/>
  <c r="O311" i="7"/>
  <c r="O312" i="7"/>
  <c r="O313" i="7"/>
  <c r="O314" i="7"/>
  <c r="O315" i="7"/>
  <c r="O316" i="7"/>
  <c r="O317" i="7"/>
  <c r="O318" i="7"/>
  <c r="O319" i="7"/>
  <c r="O320" i="7"/>
  <c r="O321" i="7"/>
  <c r="O322" i="7"/>
  <c r="O323" i="7"/>
  <c r="O324" i="7"/>
  <c r="O325" i="7"/>
  <c r="O326" i="7"/>
  <c r="O327" i="7"/>
  <c r="O328" i="7"/>
  <c r="O329" i="7"/>
  <c r="O330" i="7"/>
  <c r="O331" i="7"/>
  <c r="O332" i="7"/>
  <c r="O333" i="7"/>
  <c r="O334" i="7"/>
  <c r="O335" i="7"/>
  <c r="O336" i="7"/>
  <c r="O337" i="7"/>
  <c r="O338" i="7"/>
  <c r="O339" i="7"/>
  <c r="O340" i="7"/>
  <c r="O341" i="7"/>
  <c r="O342" i="7"/>
  <c r="O343" i="7"/>
  <c r="O344" i="7"/>
  <c r="O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AE12" i="7"/>
  <c r="AB12" i="7"/>
  <c r="AC12" i="7"/>
  <c r="AA12" i="7"/>
  <c r="Z12" i="7"/>
  <c r="Y12" i="7"/>
  <c r="W12" i="7"/>
  <c r="V12" i="7"/>
  <c r="U12" i="7"/>
  <c r="AC10" i="7" l="1"/>
  <c r="AB10" i="7"/>
  <c r="AA10" i="7"/>
  <c r="AF10" i="7" s="1"/>
  <c r="W10" i="7"/>
  <c r="V10" i="7"/>
  <c r="Z10" i="7" s="1"/>
  <c r="U10" i="7"/>
  <c r="AC9" i="7"/>
  <c r="AB9" i="7"/>
  <c r="AA9" i="7"/>
  <c r="AF9" i="7" s="1"/>
  <c r="Z9" i="7"/>
  <c r="W9" i="7"/>
  <c r="V9" i="7"/>
  <c r="U9" i="7"/>
  <c r="AC8" i="7"/>
  <c r="AB8" i="7"/>
  <c r="AA8" i="7"/>
  <c r="AF8" i="7" s="1"/>
  <c r="W8" i="7"/>
  <c r="V8" i="7"/>
  <c r="U8" i="7"/>
  <c r="Z8" i="7" s="1"/>
  <c r="AC7" i="7"/>
  <c r="AB7" i="7"/>
  <c r="AA7" i="7"/>
  <c r="AF7" i="7" s="1"/>
  <c r="Z7" i="7"/>
  <c r="W7" i="7"/>
  <c r="V7" i="7"/>
  <c r="U7" i="7"/>
  <c r="AC6" i="7"/>
  <c r="AB6" i="7"/>
  <c r="AA6" i="7"/>
  <c r="AF6" i="7" s="1"/>
  <c r="W6" i="7"/>
  <c r="V6" i="7"/>
  <c r="Z6" i="7" s="1"/>
  <c r="U6" i="7"/>
  <c r="AC5" i="7"/>
  <c r="AB5" i="7"/>
  <c r="AA5" i="7"/>
  <c r="AF5" i="7" s="1"/>
  <c r="Z5" i="7"/>
  <c r="W5" i="7"/>
  <c r="V5" i="7"/>
  <c r="U5" i="7"/>
  <c r="AC4" i="7"/>
  <c r="AB4" i="7"/>
  <c r="AA4" i="7"/>
  <c r="AF4" i="7" s="1"/>
  <c r="W4" i="7"/>
  <c r="V4" i="7"/>
  <c r="U4" i="7"/>
  <c r="Z4" i="7" s="1"/>
  <c r="AC3" i="7"/>
  <c r="AC11" i="7" s="1"/>
  <c r="AB3" i="7"/>
  <c r="AA3" i="7"/>
  <c r="AF3" i="7" s="1"/>
  <c r="Z3" i="7"/>
  <c r="W3" i="7"/>
  <c r="V3" i="7"/>
  <c r="U3" i="7"/>
  <c r="AC2" i="7"/>
  <c r="AB2" i="7"/>
  <c r="AB11" i="7" s="1"/>
  <c r="AA2" i="7"/>
  <c r="AF2" i="7" s="1"/>
  <c r="W2" i="7"/>
  <c r="W11" i="7" s="1"/>
  <c r="V2" i="7"/>
  <c r="V11" i="7" s="1"/>
  <c r="U2" i="7"/>
  <c r="Z2" i="7" s="1"/>
  <c r="AA11" i="7" l="1"/>
  <c r="AF11" i="7" s="1"/>
  <c r="U11" i="7"/>
  <c r="Z11" i="7" s="1"/>
</calcChain>
</file>

<file path=xl/sharedStrings.xml><?xml version="1.0" encoding="utf-8"?>
<sst xmlns="http://schemas.openxmlformats.org/spreadsheetml/2006/main" count="2148" uniqueCount="514">
  <si>
    <t>Depart</t>
  </si>
  <si>
    <t>Provincia</t>
  </si>
  <si>
    <t>Municipio</t>
  </si>
  <si>
    <t>Capital</t>
  </si>
  <si>
    <t>Chuquisaca</t>
  </si>
  <si>
    <t>Oropeza</t>
  </si>
  <si>
    <t>Sucre</t>
  </si>
  <si>
    <t>Yotala</t>
  </si>
  <si>
    <t>Poroma</t>
  </si>
  <si>
    <t>Azurduy</t>
  </si>
  <si>
    <t>Villa Azurduy</t>
  </si>
  <si>
    <t>Tarvita</t>
  </si>
  <si>
    <t>Villa Orías</t>
  </si>
  <si>
    <t>Zudáñez</t>
  </si>
  <si>
    <t>Zudañez</t>
  </si>
  <si>
    <t>Villa Zudáñez</t>
  </si>
  <si>
    <t>Presto</t>
  </si>
  <si>
    <t>Villa Mojocoya</t>
  </si>
  <si>
    <t>Villa de Mojocoya</t>
  </si>
  <si>
    <t>Icla</t>
  </si>
  <si>
    <t>Tomina</t>
  </si>
  <si>
    <t>Padilla</t>
  </si>
  <si>
    <t>Villa de Tomina</t>
  </si>
  <si>
    <t>Sopachuy</t>
  </si>
  <si>
    <t>Villa de Sopachui</t>
  </si>
  <si>
    <t>Villa Alcalá</t>
  </si>
  <si>
    <t>Alcalá</t>
  </si>
  <si>
    <t>El Villar</t>
  </si>
  <si>
    <t>Hernando Siles</t>
  </si>
  <si>
    <t>Monteagudo</t>
  </si>
  <si>
    <t>San Pablo de 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</si>
  <si>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</si>
  <si>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</si>
  <si>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</si>
  <si>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</si>
  <si>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</si>
  <si>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</si>
  <si>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</si>
  <si>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</si>
  <si>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</si>
  <si>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Sur Cinti</t>
  </si>
  <si>
    <t>Villa Abecia</t>
  </si>
  <si>
    <t>Culpina</t>
  </si>
  <si>
    <t>Las Carreras</t>
  </si>
  <si>
    <t>Luis Calvo</t>
  </si>
  <si>
    <t>Villa Vaca Guzmán</t>
  </si>
  <si>
    <t>Huacaya</t>
  </si>
  <si>
    <t>Villa de Huacaya</t>
  </si>
  <si>
    <t>Macharetí</t>
  </si>
  <si>
    <t>Villa de Macharetí</t>
  </si>
  <si>
    <t>La Paz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</si>
  <si>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</si>
  <si>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</si>
  <si>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</si>
  <si>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</si>
  <si>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</si>
  <si>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</si>
  <si>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</si>
  <si>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</si>
  <si>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Ancoraimes</t>
  </si>
  <si>
    <t>Villa Ancoraimes</t>
  </si>
  <si>
    <t>Chua Cocani</t>
  </si>
  <si>
    <t>Huarina</t>
  </si>
  <si>
    <t>Santiago de Huata</t>
  </si>
  <si>
    <t>Huatajata</t>
  </si>
  <si>
    <t>Pacajes</t>
  </si>
  <si>
    <t>Coro Coro</t>
  </si>
  <si>
    <t>Corocoro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</si>
  <si>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</si>
  <si>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</si>
  <si>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</si>
  <si>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</si>
  <si>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</si>
  <si>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</si>
  <si>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</si>
  <si>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</si>
  <si>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</si>
  <si>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</si>
  <si>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</si>
  <si>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</si>
  <si>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</si>
  <si>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</si>
  <si>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</si>
  <si>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</si>
  <si>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</si>
  <si>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</si>
  <si>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</si>
  <si>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</si>
  <si>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</si>
  <si>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</si>
  <si>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</si>
  <si>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</si>
  <si>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</si>
  <si>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</si>
  <si>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</si>
  <si>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</si>
  <si>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</si>
  <si>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</si>
  <si>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</si>
  <si>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</si>
  <si>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Puerto Mayor de Guaqui</t>
  </si>
  <si>
    <t>Guaqui</t>
  </si>
  <si>
    <t>Tiahuanacu</t>
  </si>
  <si>
    <t>Desaguadero</t>
  </si>
  <si>
    <t>San Andrés de Machaca</t>
  </si>
  <si>
    <t>La (Marka) San Andrés de Machaca</t>
  </si>
  <si>
    <t>Jesús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</si>
  <si>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</si>
  <si>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</si>
  <si>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</si>
  <si>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</si>
  <si>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</si>
  <si>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</si>
  <si>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</si>
  <si>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</si>
  <si>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</si>
  <si>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</si>
  <si>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</si>
  <si>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</si>
  <si>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</si>
  <si>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</si>
  <si>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</si>
  <si>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</si>
  <si>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Villa de la Libertad</t>
  </si>
  <si>
    <t>Irupana</t>
  </si>
  <si>
    <t>Villa de Lanza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</si>
  <si>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</si>
  <si>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</si>
  <si>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</si>
  <si>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</si>
  <si>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</si>
  <si>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</si>
  <si>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</si>
  <si>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</si>
  <si>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</si>
  <si>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 Sica</t>
  </si>
  <si>
    <t>Villa Aroma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</si>
  <si>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</si>
  <si>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</si>
  <si>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</si>
  <si>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</si>
  <si>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</si>
  <si>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</si>
  <si>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</si>
  <si>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</si>
  <si>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</si>
  <si>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</si>
  <si>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</si>
  <si>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</si>
  <si>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</si>
  <si>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General Juan José Pérez (Charazani)</t>
  </si>
  <si>
    <t>Villa General Juan José Pérez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</si>
  <si>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</si>
  <si>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</si>
  <si>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</si>
  <si>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</si>
  <si>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</si>
  <si>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</si>
  <si>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</si>
  <si>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</si>
  <si>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</si>
  <si>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</si>
  <si>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</si>
  <si>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</si>
  <si>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</si>
  <si>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</si>
  <si>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</si>
  <si>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Cochabamba</t>
  </si>
  <si>
    <t>Cercado</t>
  </si>
  <si>
    <t>Campero</t>
  </si>
  <si>
    <t>Aiquile</t>
  </si>
  <si>
    <t>Pasorapa</t>
  </si>
  <si>
    <t>Omereque</t>
  </si>
  <si>
    <t>Ayopaya</t>
  </si>
  <si>
    <t>Ayopaya (Independencia)</t>
  </si>
  <si>
    <t>Villa de Independencia</t>
  </si>
  <si>
    <t>Morochata</t>
  </si>
  <si>
    <t>Cocapata</t>
  </si>
  <si>
    <t>Esteban Arze</t>
  </si>
  <si>
    <t>Tarata</t>
  </si>
  <si>
    <t>Anzaldo</t>
  </si>
  <si>
    <t>Villa de Anzaldo</t>
  </si>
  <si>
    <t>Arbieto</t>
  </si>
  <si>
    <t>Sacabamba</t>
  </si>
  <si>
    <t>Arani</t>
  </si>
  <si>
    <t>Vacas</t>
  </si>
  <si>
    <t>Arque</t>
  </si>
  <si>
    <t>Villa de Arque</t>
  </si>
  <si>
    <t>Tacopaya</t>
  </si>
  <si>
    <t>Capinota</t>
  </si>
  <si>
    <t>Santivañez</t>
  </si>
  <si>
    <t>Villa Santivañez</t>
  </si>
  <si>
    <t>Sicaya</t>
  </si>
  <si>
    <t>Germán Jordán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</si>
  <si>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</si>
  <si>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</si>
  <si>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</si>
  <si>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</si>
  <si>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</si>
  <si>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</si>
  <si>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</si>
  <si>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</si>
  <si>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</si>
  <si>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</si>
  <si>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</si>
  <si>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</si>
  <si>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</si>
  <si>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</si>
  <si>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</si>
  <si>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</si>
  <si>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</si>
  <si>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</si>
  <si>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</si>
  <si>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</si>
  <si>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</si>
  <si>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</si>
  <si>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</si>
  <si>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</si>
  <si>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Raqaypampa</t>
  </si>
  <si>
    <t>Punata</t>
  </si>
  <si>
    <t>Villa Punata</t>
  </si>
  <si>
    <t>Villa Rivero</t>
  </si>
  <si>
    <t>San Benito</t>
  </si>
  <si>
    <t>Villa José Quintín Mendoza</t>
  </si>
  <si>
    <t>Tacachi</t>
  </si>
  <si>
    <t>Cuchumuela (Villa Gualberto Villarroel)</t>
  </si>
  <si>
    <t>Villa Gualberto Villarroel</t>
  </si>
  <si>
    <t>Bolivar</t>
  </si>
  <si>
    <t>Tiraque</t>
  </si>
  <si>
    <t>Shinahota</t>
  </si>
  <si>
    <t>Oruro</t>
  </si>
  <si>
    <t>Caracollo</t>
  </si>
  <si>
    <t>El Choro</t>
  </si>
  <si>
    <t>Paria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</si>
  <si>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</si>
  <si>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</si>
  <si>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</si>
  <si>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</si>
  <si>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</si>
  <si>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</si>
  <si>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</si>
  <si>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</si>
  <si>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</si>
  <si>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</si>
  <si>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</si>
  <si>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</si>
  <si>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</si>
  <si>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</si>
  <si>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</si>
  <si>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</si>
  <si>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</si>
  <si>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Villa de Poopó</t>
  </si>
  <si>
    <t>Pazña</t>
  </si>
  <si>
    <t>Antequera</t>
  </si>
  <si>
    <t>Pantaleón Dalence</t>
  </si>
  <si>
    <t>Huanuni</t>
  </si>
  <si>
    <t>Villa de 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</si>
  <si>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</si>
  <si>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</si>
  <si>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</si>
  <si>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</si>
  <si>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</si>
  <si>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</si>
  <si>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</si>
  <si>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</si>
  <si>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</si>
  <si>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</si>
  <si>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</si>
  <si>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</si>
  <si>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Andamarca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</si>
  <si>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</si>
  <si>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</si>
  <si>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</si>
  <si>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</si>
  <si>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</si>
  <si>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</si>
  <si>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</si>
  <si>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</si>
  <si>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</si>
  <si>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Huayllamarca</t>
  </si>
  <si>
    <t>Santiago de Huayllamarca</t>
  </si>
  <si>
    <t>Potosí</t>
  </si>
  <si>
    <t>Tomás Frías</t>
  </si>
  <si>
    <t>Tinguipaya</t>
  </si>
  <si>
    <t>Yocalla</t>
  </si>
  <si>
    <t>Villa de Yocalla</t>
  </si>
  <si>
    <t>Urmiri</t>
  </si>
  <si>
    <t>Belén de 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</si>
  <si>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</si>
  <si>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</si>
  <si>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</si>
  <si>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</si>
  <si>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</si>
  <si>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</si>
  <si>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</si>
  <si>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Villa de 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</si>
  <si>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</si>
  <si>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</si>
  <si>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</si>
  <si>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</si>
  <si>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</si>
  <si>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</si>
  <si>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</si>
  <si>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Chárcas</t>
  </si>
  <si>
    <t>San Pedro</t>
  </si>
  <si>
    <t>Toro Toro</t>
  </si>
  <si>
    <t>Nor Chichas</t>
  </si>
  <si>
    <t>Cotagaita</t>
  </si>
  <si>
    <t>Vitiche</t>
  </si>
  <si>
    <t>Alonso de Ibáñez</t>
  </si>
  <si>
    <t>Sacaca</t>
  </si>
  <si>
    <t>Villa de Sacaca</t>
  </si>
  <si>
    <t>Caripuyo</t>
  </si>
  <si>
    <t>Sur Chichas</t>
  </si>
  <si>
    <t>Tupiza</t>
  </si>
  <si>
    <t>Atocha</t>
  </si>
  <si>
    <t>Nor Lipez</t>
  </si>
  <si>
    <t>Colcha "K"</t>
  </si>
  <si>
    <t>Villa Martín</t>
  </si>
  <si>
    <t>San Pedro de Quemes</t>
  </si>
  <si>
    <t>Villa San Pedro de Quemes</t>
  </si>
  <si>
    <t>Sur Lipez</t>
  </si>
  <si>
    <t>San Pablo</t>
  </si>
  <si>
    <t>San Pablo de Lípez</t>
  </si>
  <si>
    <t>Mojinete</t>
  </si>
  <si>
    <t>San Antonio de Esmoruco</t>
  </si>
  <si>
    <t>José María Linares</t>
  </si>
  <si>
    <t>Puna</t>
  </si>
  <si>
    <t>Villa Talavera</t>
  </si>
  <si>
    <t>Caiza "D"</t>
  </si>
  <si>
    <t>Ckochas</t>
  </si>
  <si>
    <t>Antonio Quijarro</t>
  </si>
  <si>
    <t>Uyuni</t>
  </si>
  <si>
    <t>Tomave</t>
  </si>
  <si>
    <t>Porco</t>
  </si>
  <si>
    <t>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</si>
  <si>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</si>
  <si>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</si>
  <si>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</si>
  <si>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</si>
  <si>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</si>
  <si>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</si>
  <si>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</si>
  <si>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</si>
  <si>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</si>
  <si>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</si>
  <si>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Tarija</t>
  </si>
  <si>
    <t>Arce</t>
  </si>
  <si>
    <t>Padcaya</t>
  </si>
  <si>
    <t>Bermejo</t>
  </si>
  <si>
    <t>Gran Chaco</t>
  </si>
  <si>
    <t>Yacuiba</t>
  </si>
  <si>
    <t>Caraparí</t>
  </si>
  <si>
    <t>Villa Montes</t>
  </si>
  <si>
    <t>Avilés</t>
  </si>
  <si>
    <t>Uriondo</t>
  </si>
  <si>
    <t>Concepción</t>
  </si>
  <si>
    <t>Yunchará</t>
  </si>
  <si>
    <t>Méndez</t>
  </si>
  <si>
    <t>San Lorenzo</t>
  </si>
  <si>
    <t>Villa San Lorenzo</t>
  </si>
  <si>
    <t>El Puente</t>
  </si>
  <si>
    <t>O'Connor</t>
  </si>
  <si>
    <t>Santa Cruz</t>
  </si>
  <si>
    <t>Andrés Ibáñez</t>
  </si>
  <si>
    <t>Santa Cruz de la Sierra</t>
  </si>
  <si>
    <t>Cotoca</t>
  </si>
  <si>
    <t>Porongo</t>
  </si>
  <si>
    <t>Porongo (Ayacucho)</t>
  </si>
  <si>
    <t>La Guardia</t>
  </si>
  <si>
    <t>El Torno</t>
  </si>
  <si>
    <t>Warnes</t>
  </si>
  <si>
    <t>Okinawa Uno</t>
  </si>
  <si>
    <t>Velasco</t>
  </si>
  <si>
    <t>San Ignacio de Velasco</t>
  </si>
  <si>
    <t>San Ignacio</t>
  </si>
  <si>
    <t>San Miguel de Velasco</t>
  </si>
  <si>
    <t>San Miguel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</si>
  <si>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</si>
  <si>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</si>
  <si>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</si>
  <si>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</si>
  <si>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</si>
  <si>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</si>
  <si>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</si>
  <si>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 de Chiquitos</t>
  </si>
  <si>
    <t>San José</t>
  </si>
  <si>
    <t>Pailón</t>
  </si>
  <si>
    <t>Roboré</t>
  </si>
  <si>
    <t>Sara</t>
  </si>
  <si>
    <t>Portachuelo</t>
  </si>
  <si>
    <t>Santa Rosa del Sara</t>
  </si>
  <si>
    <t>Santa Rosa</t>
  </si>
  <si>
    <t>Colpa Bélgica</t>
  </si>
  <si>
    <t>Cordillera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</si>
  <si>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</si>
  <si>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</si>
  <si>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</si>
  <si>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</si>
  <si>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</si>
  <si>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</si>
  <si>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</si>
  <si>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</si>
  <si>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</si>
  <si>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</si>
  <si>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Moromoro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</si>
  <si>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</si>
  <si>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</si>
  <si>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</si>
  <si>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</si>
  <si>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</si>
  <si>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</si>
  <si>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</si>
  <si>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</si>
  <si>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Montero</t>
  </si>
  <si>
    <t>General Saavedra</t>
  </si>
  <si>
    <t>Mineros</t>
  </si>
  <si>
    <t>Fernández Alonso</t>
  </si>
  <si>
    <t>Ñuflo De Chávez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</si>
  <si>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</si>
  <si>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</si>
  <si>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</si>
  <si>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</si>
  <si>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</si>
  <si>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</si>
  <si>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</si>
  <si>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</si>
  <si>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Comarapa</t>
  </si>
  <si>
    <t>Saipina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</si>
  <si>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</si>
  <si>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</si>
  <si>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</si>
  <si>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</si>
  <si>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</si>
  <si>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</si>
  <si>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</si>
  <si>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Urubicha</t>
  </si>
  <si>
    <t>Beni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</si>
  <si>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</si>
  <si>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</si>
  <si>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</si>
  <si>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</si>
  <si>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</si>
  <si>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</si>
  <si>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</si>
  <si>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Puerto Menor de Rurrenabaque</t>
  </si>
  <si>
    <t>Rurrenabaque</t>
  </si>
  <si>
    <t>Yacuma</t>
  </si>
  <si>
    <t>Santa Ana</t>
  </si>
  <si>
    <t>Santa Ana de Yacuma</t>
  </si>
  <si>
    <t>Exaltación</t>
  </si>
  <si>
    <t>Moxos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</si>
  <si>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</si>
  <si>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</si>
  <si>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</si>
  <si>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</si>
  <si>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</si>
  <si>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</si>
  <si>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</si>
  <si>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</si>
  <si>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</si>
  <si>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</si>
  <si>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Territorio Indigena Multiétnico</t>
  </si>
  <si>
    <t>Pando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</si>
  <si>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</si>
  <si>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</si>
  <si>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</si>
  <si>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</si>
  <si>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</si>
  <si>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</si>
  <si>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</si>
  <si>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</si>
  <si>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</si>
  <si>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</si>
  <si>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</si>
  <si>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</si>
  <si>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</si>
  <si>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</si>
  <si>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</si>
  <si>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Loma Alta</t>
  </si>
  <si>
    <t>Santos Mercado</t>
  </si>
  <si>
    <t>id</t>
  </si>
  <si>
    <t>id_departamento</t>
  </si>
  <si>
    <t>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</si>
  <si>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</si>
  <si>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</si>
  <si>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</si>
  <si>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</si>
  <si>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</si>
  <si>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</si>
  <si>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</si>
  <si>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</si>
  <si>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</si>
  <si>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</si>
  <si>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Potosi</t>
  </si>
  <si>
    <t>Bolivia</t>
  </si>
  <si>
    <t>Codigo_MUN</t>
  </si>
  <si>
    <t>2018</t>
  </si>
  <si>
    <t>2019</t>
  </si>
  <si>
    <t>2020</t>
  </si>
  <si>
    <t>Promedio poblacion 2018 - 2020</t>
  </si>
  <si>
    <t>Tasa de conflictividad social 2018 - 2020</t>
  </si>
  <si>
    <t>2022</t>
  </si>
  <si>
    <t>2023</t>
  </si>
  <si>
    <t>2024</t>
  </si>
  <si>
    <t>Promedio poblacion 2022 - 2024</t>
  </si>
  <si>
    <t>Tasa de conflictividad social 2022 - 2024</t>
  </si>
  <si>
    <t>Conflictividad social (promedio 2018-2020)</t>
  </si>
  <si>
    <t>Conflictividad social (promedio 2022-2024)</t>
  </si>
  <si>
    <t>Cantidad de conflictos (promedio 2018-2020)</t>
  </si>
  <si>
    <t>Cantidad de conflictos (promedio 2022-2024)</t>
  </si>
  <si>
    <t xml:space="preserve">Cantidad de conflictos </t>
  </si>
  <si>
    <t>Absoluto_2024</t>
  </si>
  <si>
    <t>Absoluto_2018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</si>
</sst>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9"/>
      <name val="Aptos Display"/>
      <family val="2"/>
    </font>
    <font>
      <b/>
      <sz val="10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  <fill>
      <patternFill patternType="solid">
        <fgColor rgb="FF20376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1" fontId="0" fillId="0" borderId="1" xfId="0" applyNumberFormat="1" applyBorder="1"/>
    <xf numFmtId="0" fontId="3" fillId="2" borderId="1" xfId="0" applyFont="1" applyFill="1" applyBorder="1"/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0" fillId="0" borderId="1" xfId="0" applyBorder="1" applyAlignment="1">
      <alignment wrapText="1"/>
    </xf>
    <xf numFmtId="0" fontId="5" fillId="7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F273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BDE89-5EA2-4187-892B-4F2B77385448}">
  <dimension ref="A1:AF344"/>
  <sheetViews>
    <sheetView zoomScale="115" zoomScaleNormal="115" workbookViewId="0">
      <selection activeCell="O2" sqref="O2"/>
    </sheetView>
  </sheetViews>
  <sheetFormatPr baseColWidth="10" defaultRowHeight="14.4" x14ac:dyDescent="0.3"/>
  <sheetData>
    <row r="1" spans="1:32" ht="57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496</v>
      </c>
      <c r="F1" s="9" t="s">
        <v>497</v>
      </c>
      <c r="G1" s="9" t="s">
        <v>498</v>
      </c>
      <c r="H1" s="9" t="s">
        <v>499</v>
      </c>
      <c r="I1" s="9" t="s">
        <v>509</v>
      </c>
      <c r="J1" s="9" t="s">
        <v>500</v>
      </c>
      <c r="K1" s="10" t="s">
        <v>501</v>
      </c>
      <c r="L1" s="9" t="s">
        <v>502</v>
      </c>
      <c r="M1" s="9" t="s">
        <v>503</v>
      </c>
      <c r="N1" s="9" t="s">
        <v>504</v>
      </c>
      <c r="O1" s="9" t="s">
        <v>510</v>
      </c>
      <c r="P1" s="9" t="s">
        <v>505</v>
      </c>
      <c r="Q1" s="10" t="s">
        <v>506</v>
      </c>
      <c r="T1" s="9" t="s">
        <v>483</v>
      </c>
      <c r="U1" s="9" t="s">
        <v>497</v>
      </c>
      <c r="V1" s="9" t="s">
        <v>498</v>
      </c>
      <c r="W1" s="9" t="s">
        <v>499</v>
      </c>
      <c r="X1" s="9" t="s">
        <v>507</v>
      </c>
      <c r="Y1" s="9" t="s">
        <v>500</v>
      </c>
      <c r="Z1" s="10" t="s">
        <v>501</v>
      </c>
      <c r="AA1" s="9" t="s">
        <v>502</v>
      </c>
      <c r="AB1" s="9" t="s">
        <v>503</v>
      </c>
      <c r="AC1" s="9" t="s">
        <v>504</v>
      </c>
      <c r="AD1" s="9" t="s">
        <v>508</v>
      </c>
      <c r="AE1" s="9" t="s">
        <v>505</v>
      </c>
      <c r="AF1" s="10" t="s">
        <v>506</v>
      </c>
    </row>
    <row r="2" spans="1:32" x14ac:dyDescent="0.3">
      <c r="A2" s="1" t="s">
        <v>4</v>
      </c>
      <c r="B2" s="1" t="s">
        <v>5</v>
      </c>
      <c r="C2" s="1" t="s">
        <v>6</v>
      </c>
      <c r="D2" s="1" t="s">
        <v>6</v>
      </c>
      <c r="E2" s="2">
        <v>10101</v>
      </c>
      <c r="F2" s="1">
        <v>45</v>
      </c>
      <c r="G2" s="1">
        <v>84</v>
      </c>
      <c r="H2" s="1">
        <v>89</v>
      </c>
      <c r="I2" s="2">
        <f>AVERAGE(F2:H2)</f>
        <v>72.666666666666671</v>
      </c>
      <c r="J2" s="2">
        <v>281573.33333333331</v>
      </c>
      <c r="K2" s="2">
        <f>I2/J2*100000</f>
        <v>25.807368121981256</v>
      </c>
      <c r="L2" s="1">
        <v>80</v>
      </c>
      <c r="M2" s="1">
        <v>69</v>
      </c>
      <c r="N2" s="1">
        <v>79</v>
      </c>
      <c r="O2" s="2">
        <f>AVERAGE(L2:N2)</f>
        <v>76</v>
      </c>
      <c r="P2" s="2">
        <v>293214.66666666669</v>
      </c>
      <c r="Q2" s="2">
        <f>O2/P2*100000</f>
        <v>25.919576555970366</v>
      </c>
      <c r="T2" s="1" t="s">
        <v>4</v>
      </c>
      <c r="U2" s="1">
        <f>SUM(F2:F30)</f>
        <v>53</v>
      </c>
      <c r="V2" s="1">
        <f>SUM(G2:G30)</f>
        <v>97</v>
      </c>
      <c r="W2" s="1">
        <f>SUM(H2:H30)</f>
        <v>113</v>
      </c>
      <c r="X2" s="2">
        <f>AVERAGE(U2:W2)</f>
        <v>87.666666666666671</v>
      </c>
      <c r="Y2" s="2">
        <v>592308.33333333337</v>
      </c>
      <c r="Z2" s="2">
        <f>(X2/Y2)*100000</f>
        <v>14.800849782630106</v>
      </c>
      <c r="AA2" s="1">
        <f>SUM(L2:L30)</f>
        <v>103</v>
      </c>
      <c r="AB2" s="1">
        <f>SUM(M2:M30)</f>
        <v>89</v>
      </c>
      <c r="AC2" s="1">
        <f>SUM(N2:N30)</f>
        <v>113</v>
      </c>
      <c r="AD2" s="2">
        <f>AVERAGE(AA2:AC2)</f>
        <v>101.66666666666667</v>
      </c>
      <c r="AE2" s="2">
        <v>598568.33333333337</v>
      </c>
      <c r="AF2" s="2">
        <f>(AD2/AE2)*100000</f>
        <v>16.984972475991324</v>
      </c>
    </row>
    <row r="3" spans="1:32" x14ac:dyDescent="0.3">
      <c r="A3" s="1" t="s">
        <v>4</v>
      </c>
      <c r="B3" s="1" t="s">
        <v>5</v>
      </c>
      <c r="C3" s="1" t="s">
        <v>7</v>
      </c>
      <c r="D3" s="1" t="s">
        <v>7</v>
      </c>
      <c r="E3" s="2">
        <v>10102</v>
      </c>
      <c r="F3" s="1">
        <v>0</v>
      </c>
      <c r="G3" s="1">
        <v>1</v>
      </c>
      <c r="H3" s="1">
        <v>0</v>
      </c>
      <c r="I3" s="2">
        <f t="shared" ref="I3:I66" si="0">AVERAGE(F3:H3)</f>
        <v>0.33333333333333331</v>
      </c>
      <c r="J3" s="2">
        <v>9332.6666666666661</v>
      </c>
      <c r="K3" s="2">
        <f t="shared" ref="K3:K66" si="1">I3/J3*100000</f>
        <v>3.5716836916922641</v>
      </c>
      <c r="L3" s="1">
        <v>0</v>
      </c>
      <c r="M3" s="1">
        <v>0</v>
      </c>
      <c r="N3" s="1">
        <v>0</v>
      </c>
      <c r="O3" s="2">
        <f t="shared" ref="O3:O66" si="2">AVERAGE(L3:N3)</f>
        <v>0</v>
      </c>
      <c r="P3" s="2">
        <v>9259.3333333333339</v>
      </c>
      <c r="Q3" s="2">
        <f t="shared" ref="Q3:Q66" si="3">O3/P3*100000</f>
        <v>0</v>
      </c>
      <c r="T3" s="1" t="s">
        <v>50</v>
      </c>
      <c r="U3" s="1">
        <f>SUM(F31:F117)</f>
        <v>81</v>
      </c>
      <c r="V3" s="1">
        <f>SUM(G31:G117)</f>
        <v>147</v>
      </c>
      <c r="W3" s="1">
        <f>SUM(H31:H117)</f>
        <v>116</v>
      </c>
      <c r="X3" s="2">
        <f t="shared" ref="X3:X12" si="4">AVERAGE(U3:W3)</f>
        <v>114.66666666666667</v>
      </c>
      <c r="Y3" s="2">
        <v>2896232.3333333335</v>
      </c>
      <c r="Z3" s="2">
        <f t="shared" ref="Z3:Z10" si="5">(X3/Y3)*100000</f>
        <v>3.9591667197049225</v>
      </c>
      <c r="AA3" s="1">
        <f>SUM(L31:L117)</f>
        <v>166</v>
      </c>
      <c r="AB3" s="1">
        <f>SUM(M31:M117)</f>
        <v>126</v>
      </c>
      <c r="AC3" s="1">
        <f>SUM(N31:N117)</f>
        <v>250</v>
      </c>
      <c r="AD3" s="2">
        <f t="shared" ref="AD3:AD11" si="6">AVERAGE(AA3:AC3)</f>
        <v>180.66666666666666</v>
      </c>
      <c r="AE3" s="2">
        <v>2997299.6666666665</v>
      </c>
      <c r="AF3" s="2">
        <f t="shared" ref="AF3:AF12" si="7">(AD3/AE3)*100000</f>
        <v>6.0276477749583268</v>
      </c>
    </row>
    <row r="4" spans="1:32" x14ac:dyDescent="0.3">
      <c r="A4" s="1" t="s">
        <v>4</v>
      </c>
      <c r="B4" s="1" t="s">
        <v>5</v>
      </c>
      <c r="C4" s="1" t="s">
        <v>8</v>
      </c>
      <c r="D4" s="1" t="s">
        <v>8</v>
      </c>
      <c r="E4" s="2">
        <v>10103</v>
      </c>
      <c r="F4" s="1">
        <v>0</v>
      </c>
      <c r="G4" s="1">
        <v>0</v>
      </c>
      <c r="H4" s="1">
        <v>2</v>
      </c>
      <c r="I4" s="2">
        <f t="shared" si="0"/>
        <v>0.66666666666666663</v>
      </c>
      <c r="J4" s="2">
        <v>15197.333333333334</v>
      </c>
      <c r="K4" s="2">
        <f t="shared" si="1"/>
        <v>4.3867345148271619</v>
      </c>
      <c r="L4" s="1">
        <v>3</v>
      </c>
      <c r="M4" s="1">
        <v>1</v>
      </c>
      <c r="N4" s="1">
        <v>0</v>
      </c>
      <c r="O4" s="2">
        <f t="shared" si="2"/>
        <v>1.3333333333333333</v>
      </c>
      <c r="P4" s="2">
        <v>13951.333333333334</v>
      </c>
      <c r="Q4" s="2">
        <f t="shared" si="3"/>
        <v>9.5570315859893906</v>
      </c>
      <c r="T4" s="1" t="s">
        <v>167</v>
      </c>
      <c r="U4" s="1">
        <f>SUM(F118:F165)</f>
        <v>28</v>
      </c>
      <c r="V4" s="1">
        <f>SUM(G118:G165)</f>
        <v>95</v>
      </c>
      <c r="W4" s="1">
        <f>SUM(H118:H165)</f>
        <v>216</v>
      </c>
      <c r="X4" s="2">
        <f t="shared" si="4"/>
        <v>113</v>
      </c>
      <c r="Y4" s="2">
        <v>1904289.3333333333</v>
      </c>
      <c r="Z4" s="2">
        <f t="shared" si="5"/>
        <v>5.933972218507412</v>
      </c>
      <c r="AA4" s="1">
        <f>SUM(L118:L165)</f>
        <v>270</v>
      </c>
      <c r="AB4" s="1">
        <f>SUM(M118:M165)</f>
        <v>291</v>
      </c>
      <c r="AC4" s="1">
        <f>SUM(N118:N165)</f>
        <v>339</v>
      </c>
      <c r="AD4" s="2">
        <f t="shared" si="6"/>
        <v>300</v>
      </c>
      <c r="AE4" s="2">
        <v>1985157</v>
      </c>
      <c r="AF4" s="2">
        <f t="shared" si="7"/>
        <v>15.112154857273254</v>
      </c>
    </row>
    <row r="5" spans="1:32" x14ac:dyDescent="0.3">
      <c r="A5" s="1" t="s">
        <v>4</v>
      </c>
      <c r="B5" s="1" t="s">
        <v>9</v>
      </c>
      <c r="C5" s="1" t="s">
        <v>10</v>
      </c>
      <c r="D5" s="1" t="s">
        <v>10</v>
      </c>
      <c r="E5" s="2">
        <v>10201</v>
      </c>
      <c r="F5" s="1">
        <v>0</v>
      </c>
      <c r="G5" s="1">
        <v>0</v>
      </c>
      <c r="H5" s="1">
        <v>0</v>
      </c>
      <c r="I5" s="2">
        <f t="shared" si="0"/>
        <v>0</v>
      </c>
      <c r="J5" s="2">
        <v>9024</v>
      </c>
      <c r="K5" s="2">
        <f t="shared" si="1"/>
        <v>0</v>
      </c>
      <c r="L5" s="1">
        <v>0</v>
      </c>
      <c r="M5" s="1">
        <v>0</v>
      </c>
      <c r="N5" s="1">
        <v>0</v>
      </c>
      <c r="O5" s="2">
        <f t="shared" si="2"/>
        <v>0</v>
      </c>
      <c r="P5" s="2">
        <v>8093.666666666667</v>
      </c>
      <c r="Q5" s="2">
        <f t="shared" si="3"/>
        <v>0</v>
      </c>
      <c r="T5" s="1" t="s">
        <v>230</v>
      </c>
      <c r="U5" s="1">
        <f>SUM(F166:F200)</f>
        <v>10</v>
      </c>
      <c r="V5" s="1">
        <f>SUM(G166:G200)</f>
        <v>26</v>
      </c>
      <c r="W5" s="1">
        <f>SUM(H166:H200)</f>
        <v>35</v>
      </c>
      <c r="X5" s="2">
        <f t="shared" si="4"/>
        <v>23.666666666666668</v>
      </c>
      <c r="Y5" s="2">
        <v>538695.66666666663</v>
      </c>
      <c r="Z5" s="2">
        <f t="shared" si="5"/>
        <v>4.3933278344544577</v>
      </c>
      <c r="AA5" s="1">
        <f>SUM(L166:L200)</f>
        <v>75</v>
      </c>
      <c r="AB5" s="1">
        <f>SUM(M166:M200)</f>
        <v>104</v>
      </c>
      <c r="AC5" s="1">
        <f>SUM(N166:N200)</f>
        <v>95</v>
      </c>
      <c r="AD5" s="2">
        <f t="shared" si="6"/>
        <v>91.333333333333329</v>
      </c>
      <c r="AE5" s="2">
        <v>563894</v>
      </c>
      <c r="AF5" s="2">
        <f t="shared" si="7"/>
        <v>16.196897525657892</v>
      </c>
    </row>
    <row r="6" spans="1:32" x14ac:dyDescent="0.3">
      <c r="A6" s="1" t="s">
        <v>4</v>
      </c>
      <c r="B6" s="1" t="s">
        <v>9</v>
      </c>
      <c r="C6" s="1" t="s">
        <v>11</v>
      </c>
      <c r="D6" s="1" t="s">
        <v>12</v>
      </c>
      <c r="E6" s="2">
        <v>10202</v>
      </c>
      <c r="F6" s="1">
        <v>0</v>
      </c>
      <c r="G6" s="1">
        <v>0</v>
      </c>
      <c r="H6" s="1">
        <v>0</v>
      </c>
      <c r="I6" s="2">
        <f t="shared" si="0"/>
        <v>0</v>
      </c>
      <c r="J6" s="2">
        <v>15550</v>
      </c>
      <c r="K6" s="2">
        <f t="shared" si="1"/>
        <v>0</v>
      </c>
      <c r="L6" s="1">
        <v>0</v>
      </c>
      <c r="M6" s="1">
        <v>0</v>
      </c>
      <c r="N6" s="1">
        <v>0</v>
      </c>
      <c r="O6" s="2">
        <f t="shared" si="2"/>
        <v>0</v>
      </c>
      <c r="P6" s="2">
        <v>16286</v>
      </c>
      <c r="Q6" s="2">
        <f t="shared" si="3"/>
        <v>0</v>
      </c>
      <c r="T6" s="1" t="s">
        <v>494</v>
      </c>
      <c r="U6" s="1">
        <f>SUM(F201:F242)</f>
        <v>12</v>
      </c>
      <c r="V6" s="1">
        <f>SUM(G201:G242)</f>
        <v>29</v>
      </c>
      <c r="W6" s="1">
        <f>SUM(H201:H242)</f>
        <v>24</v>
      </c>
      <c r="X6" s="2">
        <f t="shared" si="4"/>
        <v>21.666666666666668</v>
      </c>
      <c r="Y6" s="2">
        <v>844622.66666666663</v>
      </c>
      <c r="Z6" s="2">
        <f t="shared" si="5"/>
        <v>2.5652480713281043</v>
      </c>
      <c r="AA6" s="1">
        <f>SUM(L201:L242)</f>
        <v>36</v>
      </c>
      <c r="AB6" s="1">
        <f>SUM(M201:M242)</f>
        <v>44</v>
      </c>
      <c r="AC6" s="1">
        <f>SUM(N201:N242)</f>
        <v>49</v>
      </c>
      <c r="AD6" s="2">
        <f t="shared" si="6"/>
        <v>43</v>
      </c>
      <c r="AE6" s="2">
        <v>854060</v>
      </c>
      <c r="AF6" s="2">
        <f t="shared" si="7"/>
        <v>5.0347750743507484</v>
      </c>
    </row>
    <row r="7" spans="1:32" x14ac:dyDescent="0.3">
      <c r="A7" s="1" t="s">
        <v>4</v>
      </c>
      <c r="B7" s="1" t="s">
        <v>13</v>
      </c>
      <c r="C7" s="1" t="s">
        <v>14</v>
      </c>
      <c r="D7" s="1" t="s">
        <v>15</v>
      </c>
      <c r="E7" s="2">
        <v>10301</v>
      </c>
      <c r="F7" s="1">
        <v>0</v>
      </c>
      <c r="G7" s="1">
        <v>1</v>
      </c>
      <c r="H7" s="1">
        <v>2</v>
      </c>
      <c r="I7" s="2">
        <f t="shared" si="0"/>
        <v>1</v>
      </c>
      <c r="J7" s="2">
        <v>12135</v>
      </c>
      <c r="K7" s="2">
        <f t="shared" si="1"/>
        <v>8.2406262875978573</v>
      </c>
      <c r="L7" s="1">
        <v>0</v>
      </c>
      <c r="M7" s="1">
        <v>1</v>
      </c>
      <c r="N7" s="1">
        <v>1</v>
      </c>
      <c r="O7" s="2">
        <f t="shared" si="2"/>
        <v>0.66666666666666663</v>
      </c>
      <c r="P7" s="2">
        <v>12576.666666666666</v>
      </c>
      <c r="Q7" s="2">
        <f t="shared" si="3"/>
        <v>5.3008216273522395</v>
      </c>
      <c r="T7" s="1" t="s">
        <v>346</v>
      </c>
      <c r="U7" s="1">
        <f>SUM(F243:F253)</f>
        <v>20</v>
      </c>
      <c r="V7" s="1">
        <f>SUM(G243:G253)</f>
        <v>30</v>
      </c>
      <c r="W7" s="1">
        <f>SUM(H243:H253)</f>
        <v>25</v>
      </c>
      <c r="X7" s="2">
        <f t="shared" si="4"/>
        <v>25</v>
      </c>
      <c r="Y7" s="2">
        <v>513169.33333333331</v>
      </c>
      <c r="Z7" s="2">
        <f t="shared" si="5"/>
        <v>4.8716862789930291</v>
      </c>
      <c r="AA7" s="1">
        <f>SUM(L243:L253)</f>
        <v>17</v>
      </c>
      <c r="AB7" s="1">
        <f>SUM(M243:M253)</f>
        <v>24</v>
      </c>
      <c r="AC7" s="1">
        <f>SUM(N243:N253)</f>
        <v>30</v>
      </c>
      <c r="AD7" s="2">
        <f t="shared" si="6"/>
        <v>23.666666666666668</v>
      </c>
      <c r="AE7" s="2">
        <v>530112.66666666663</v>
      </c>
      <c r="AF7" s="2">
        <f t="shared" si="7"/>
        <v>4.4644597563536816</v>
      </c>
    </row>
    <row r="8" spans="1:32" x14ac:dyDescent="0.3">
      <c r="A8" s="1" t="s">
        <v>4</v>
      </c>
      <c r="B8" s="1" t="s">
        <v>13</v>
      </c>
      <c r="C8" s="1" t="s">
        <v>16</v>
      </c>
      <c r="D8" s="1" t="s">
        <v>16</v>
      </c>
      <c r="E8" s="2">
        <v>10302</v>
      </c>
      <c r="F8" s="1">
        <v>0</v>
      </c>
      <c r="G8" s="1">
        <v>0</v>
      </c>
      <c r="H8" s="1">
        <v>0</v>
      </c>
      <c r="I8" s="2">
        <f t="shared" si="0"/>
        <v>0</v>
      </c>
      <c r="J8" s="2">
        <v>12174</v>
      </c>
      <c r="K8" s="2">
        <f t="shared" si="1"/>
        <v>0</v>
      </c>
      <c r="L8" s="1">
        <v>0</v>
      </c>
      <c r="M8" s="1">
        <v>0</v>
      </c>
      <c r="N8" s="1">
        <v>0</v>
      </c>
      <c r="O8" s="2">
        <f t="shared" si="2"/>
        <v>0</v>
      </c>
      <c r="P8" s="2">
        <v>12053</v>
      </c>
      <c r="Q8" s="2">
        <f t="shared" si="3"/>
        <v>0</v>
      </c>
      <c r="T8" s="1" t="s">
        <v>363</v>
      </c>
      <c r="U8" s="1">
        <f>SUM(F254:F309)</f>
        <v>108</v>
      </c>
      <c r="V8" s="1">
        <f>SUM(G254:G309)</f>
        <v>84</v>
      </c>
      <c r="W8" s="1">
        <f>SUM(H254:H309)</f>
        <v>174</v>
      </c>
      <c r="X8" s="2">
        <f t="shared" si="4"/>
        <v>122</v>
      </c>
      <c r="Y8" s="2">
        <v>2924715</v>
      </c>
      <c r="Z8" s="2">
        <f t="shared" si="5"/>
        <v>4.1713466098406169</v>
      </c>
      <c r="AA8" s="1">
        <f>SUM(L254:L309)</f>
        <v>411</v>
      </c>
      <c r="AB8" s="1">
        <f>SUM(M254:M309)</f>
        <v>455</v>
      </c>
      <c r="AC8" s="1">
        <f>SUM(N254:N309)</f>
        <v>300</v>
      </c>
      <c r="AD8" s="2">
        <f t="shared" si="6"/>
        <v>388.66666666666669</v>
      </c>
      <c r="AE8" s="2">
        <v>3077253.6666666665</v>
      </c>
      <c r="AF8" s="2">
        <f t="shared" si="7"/>
        <v>12.630309645147877</v>
      </c>
    </row>
    <row r="9" spans="1:32" x14ac:dyDescent="0.3">
      <c r="A9" s="1" t="s">
        <v>4</v>
      </c>
      <c r="B9" s="1" t="s">
        <v>13</v>
      </c>
      <c r="C9" s="1" t="s">
        <v>17</v>
      </c>
      <c r="D9" s="1" t="s">
        <v>18</v>
      </c>
      <c r="E9" s="2">
        <v>10303</v>
      </c>
      <c r="F9" s="1">
        <v>0</v>
      </c>
      <c r="G9" s="1">
        <v>0</v>
      </c>
      <c r="H9" s="1">
        <v>0</v>
      </c>
      <c r="I9" s="2">
        <f t="shared" si="0"/>
        <v>0</v>
      </c>
      <c r="J9" s="2">
        <v>8595</v>
      </c>
      <c r="K9" s="2">
        <f t="shared" si="1"/>
        <v>0</v>
      </c>
      <c r="L9" s="1">
        <v>0</v>
      </c>
      <c r="M9" s="1">
        <v>0</v>
      </c>
      <c r="N9" s="1">
        <v>0</v>
      </c>
      <c r="O9" s="2">
        <f t="shared" si="2"/>
        <v>0</v>
      </c>
      <c r="P9" s="2">
        <v>8896</v>
      </c>
      <c r="Q9" s="2">
        <f t="shared" si="3"/>
        <v>0</v>
      </c>
      <c r="T9" s="1" t="s">
        <v>437</v>
      </c>
      <c r="U9" s="1">
        <f>SUM(F310:F329)</f>
        <v>5</v>
      </c>
      <c r="V9" s="1">
        <f>SUM(G310:G329)</f>
        <v>19</v>
      </c>
      <c r="W9" s="1">
        <f>SUM(H310:H329)</f>
        <v>6</v>
      </c>
      <c r="X9" s="2">
        <f t="shared" si="4"/>
        <v>10</v>
      </c>
      <c r="Y9" s="2">
        <v>454346.33333333331</v>
      </c>
      <c r="Z9" s="2">
        <f t="shared" si="5"/>
        <v>2.200964169036983</v>
      </c>
      <c r="AA9" s="1">
        <f>SUM(L310:L329)</f>
        <v>7</v>
      </c>
      <c r="AB9" s="1">
        <f>SUM(M310:M329)</f>
        <v>46</v>
      </c>
      <c r="AC9" s="1">
        <f>SUM(N310:N329)</f>
        <v>24</v>
      </c>
      <c r="AD9" s="2">
        <f t="shared" si="6"/>
        <v>25.666666666666668</v>
      </c>
      <c r="AE9" s="2">
        <v>472822.66666666669</v>
      </c>
      <c r="AF9" s="2">
        <f t="shared" si="7"/>
        <v>5.428391757868348</v>
      </c>
    </row>
    <row r="10" spans="1:32" x14ac:dyDescent="0.3">
      <c r="A10" s="1" t="s">
        <v>4</v>
      </c>
      <c r="B10" s="1" t="s">
        <v>13</v>
      </c>
      <c r="C10" s="1" t="s">
        <v>19</v>
      </c>
      <c r="D10" s="1" t="s">
        <v>19</v>
      </c>
      <c r="E10" s="2">
        <v>10304</v>
      </c>
      <c r="F10" s="1">
        <v>0</v>
      </c>
      <c r="G10" s="1">
        <v>0</v>
      </c>
      <c r="H10" s="1">
        <v>0</v>
      </c>
      <c r="I10" s="2">
        <f t="shared" si="0"/>
        <v>0</v>
      </c>
      <c r="J10" s="2">
        <v>8404</v>
      </c>
      <c r="K10" s="2">
        <f t="shared" si="1"/>
        <v>0</v>
      </c>
      <c r="L10" s="1">
        <v>0</v>
      </c>
      <c r="M10" s="1">
        <v>0</v>
      </c>
      <c r="N10" s="1">
        <v>0</v>
      </c>
      <c r="O10" s="2">
        <f t="shared" si="2"/>
        <v>0</v>
      </c>
      <c r="P10" s="2">
        <v>8764</v>
      </c>
      <c r="Q10" s="2">
        <f t="shared" si="3"/>
        <v>0</v>
      </c>
      <c r="T10" s="1" t="s">
        <v>463</v>
      </c>
      <c r="U10" s="1">
        <f>SUM(F330:F344)</f>
        <v>3</v>
      </c>
      <c r="V10" s="1">
        <f>SUM(G330:G344)</f>
        <v>4</v>
      </c>
      <c r="W10" s="1">
        <f>SUM(H330:H344)</f>
        <v>0</v>
      </c>
      <c r="X10" s="2">
        <f t="shared" si="4"/>
        <v>2.3333333333333335</v>
      </c>
      <c r="Y10" s="2">
        <v>122294</v>
      </c>
      <c r="Z10" s="2">
        <f t="shared" si="5"/>
        <v>1.9079704101046115</v>
      </c>
      <c r="AA10" s="1">
        <f>SUM(L330:L344)</f>
        <v>0</v>
      </c>
      <c r="AB10" s="1">
        <f>SUM(M330:M344)</f>
        <v>5</v>
      </c>
      <c r="AC10" s="1">
        <f>SUM(N330:N344)</f>
        <v>14</v>
      </c>
      <c r="AD10" s="2">
        <f t="shared" si="6"/>
        <v>6.333333333333333</v>
      </c>
      <c r="AE10" s="2">
        <v>129068.33333333333</v>
      </c>
      <c r="AF10" s="2">
        <f t="shared" si="7"/>
        <v>4.9069614287005585</v>
      </c>
    </row>
    <row r="11" spans="1:32" x14ac:dyDescent="0.3">
      <c r="A11" s="1" t="s">
        <v>4</v>
      </c>
      <c r="B11" s="1" t="s">
        <v>20</v>
      </c>
      <c r="C11" s="1" t="s">
        <v>21</v>
      </c>
      <c r="D11" s="1" t="s">
        <v>21</v>
      </c>
      <c r="E11" s="2">
        <v>10401</v>
      </c>
      <c r="F11" s="1">
        <v>2</v>
      </c>
      <c r="G11" s="1">
        <v>1</v>
      </c>
      <c r="H11" s="1">
        <v>0</v>
      </c>
      <c r="I11" s="2">
        <f t="shared" si="0"/>
        <v>1</v>
      </c>
      <c r="J11" s="2">
        <v>8726</v>
      </c>
      <c r="K11" s="2">
        <f t="shared" si="1"/>
        <v>11.460004584001833</v>
      </c>
      <c r="L11" s="1">
        <v>1</v>
      </c>
      <c r="M11" s="1">
        <v>1</v>
      </c>
      <c r="N11" s="1">
        <v>1</v>
      </c>
      <c r="O11" s="2">
        <f t="shared" si="2"/>
        <v>1</v>
      </c>
      <c r="P11" s="2">
        <v>7779</v>
      </c>
      <c r="Q11" s="2">
        <f t="shared" si="3"/>
        <v>12.855122766422419</v>
      </c>
      <c r="T11" s="1" t="s">
        <v>495</v>
      </c>
      <c r="U11" s="1">
        <f>SUM(U2:U10)</f>
        <v>320</v>
      </c>
      <c r="V11" s="1">
        <f t="shared" ref="V11:W11" si="8">SUM(V2:V10)</f>
        <v>531</v>
      </c>
      <c r="W11" s="1">
        <f t="shared" si="8"/>
        <v>709</v>
      </c>
      <c r="X11" s="2">
        <f t="shared" si="4"/>
        <v>520</v>
      </c>
      <c r="Y11" s="2">
        <v>10790673</v>
      </c>
      <c r="Z11" s="2">
        <f>(X11/Y11)*100000</f>
        <v>4.8189765364959163</v>
      </c>
      <c r="AA11" s="1">
        <f>SUM(AA2:AA10)</f>
        <v>1085</v>
      </c>
      <c r="AB11" s="1">
        <f t="shared" ref="AB11:AC11" si="9">SUM(AB2:AB10)</f>
        <v>1184</v>
      </c>
      <c r="AC11" s="1">
        <f t="shared" si="9"/>
        <v>1214</v>
      </c>
      <c r="AD11" s="2">
        <f t="shared" si="6"/>
        <v>1161</v>
      </c>
      <c r="AE11" s="1">
        <v>11208236.333333334</v>
      </c>
      <c r="AF11" s="2">
        <f t="shared" si="7"/>
        <v>10.358453957177741</v>
      </c>
    </row>
    <row r="12" spans="1:32" x14ac:dyDescent="0.3">
      <c r="A12" s="1" t="s">
        <v>4</v>
      </c>
      <c r="B12" s="1" t="s">
        <v>20</v>
      </c>
      <c r="C12" s="1" t="s">
        <v>20</v>
      </c>
      <c r="D12" s="1" t="s">
        <v>22</v>
      </c>
      <c r="E12" s="2">
        <v>10402</v>
      </c>
      <c r="F12" s="1">
        <v>0</v>
      </c>
      <c r="G12" s="1">
        <v>0</v>
      </c>
      <c r="H12" s="1">
        <v>2</v>
      </c>
      <c r="I12" s="2">
        <f t="shared" si="0"/>
        <v>0.66666666666666663</v>
      </c>
      <c r="J12" s="2">
        <v>8405</v>
      </c>
      <c r="K12" s="2">
        <f t="shared" si="1"/>
        <v>7.9317866349395194</v>
      </c>
      <c r="L12" s="1">
        <v>0</v>
      </c>
      <c r="M12" s="1">
        <v>0</v>
      </c>
      <c r="N12" s="1">
        <v>0</v>
      </c>
      <c r="O12" s="2">
        <f t="shared" si="2"/>
        <v>0</v>
      </c>
      <c r="P12" s="2">
        <v>8354</v>
      </c>
      <c r="Q12" s="2">
        <f t="shared" si="3"/>
        <v>0</v>
      </c>
      <c r="T12" s="1" t="s">
        <v>350</v>
      </c>
      <c r="U12" s="1">
        <f>SUM(F246:F248)</f>
        <v>3</v>
      </c>
      <c r="V12" s="1">
        <f>SUM(G246:G248)</f>
        <v>4</v>
      </c>
      <c r="W12" s="1">
        <f>SUM(H246:H248)</f>
        <v>14</v>
      </c>
      <c r="X12" s="2">
        <f t="shared" si="4"/>
        <v>7</v>
      </c>
      <c r="Y12" s="2">
        <f>SUM(J246:J248)</f>
        <v>154337.33333333334</v>
      </c>
      <c r="Z12" s="2">
        <f>(X12/Y12)*100000</f>
        <v>4.5355195977642051</v>
      </c>
      <c r="AA12" s="1">
        <f>SUM(L246:L248)</f>
        <v>5</v>
      </c>
      <c r="AB12" s="1">
        <f t="shared" ref="AB12:AE12" si="10">SUM(M246:M248)</f>
        <v>10</v>
      </c>
      <c r="AC12" s="1">
        <f t="shared" si="10"/>
        <v>15</v>
      </c>
      <c r="AD12" s="2">
        <f>AVERAGE(AA12:AC12)</f>
        <v>10</v>
      </c>
      <c r="AE12" s="1">
        <f t="shared" si="10"/>
        <v>158257</v>
      </c>
      <c r="AF12" s="2">
        <f t="shared" si="7"/>
        <v>6.3188358176889494</v>
      </c>
    </row>
    <row r="13" spans="1:32" x14ac:dyDescent="0.3">
      <c r="A13" s="1" t="s">
        <v>4</v>
      </c>
      <c r="B13" s="1" t="s">
        <v>20</v>
      </c>
      <c r="C13" s="1" t="s">
        <v>23</v>
      </c>
      <c r="D13" s="1" t="s">
        <v>24</v>
      </c>
      <c r="E13" s="2">
        <v>10403</v>
      </c>
      <c r="F13" s="1">
        <v>0</v>
      </c>
      <c r="G13" s="1">
        <v>0</v>
      </c>
      <c r="H13" s="1">
        <v>0</v>
      </c>
      <c r="I13" s="2">
        <f t="shared" si="0"/>
        <v>0</v>
      </c>
      <c r="J13" s="2">
        <v>7063.666666666667</v>
      </c>
      <c r="K13" s="2">
        <f t="shared" si="1"/>
        <v>0</v>
      </c>
      <c r="L13" s="1">
        <v>0</v>
      </c>
      <c r="M13" s="1">
        <v>0</v>
      </c>
      <c r="N13" s="1">
        <v>0</v>
      </c>
      <c r="O13" s="2">
        <f t="shared" si="2"/>
        <v>0</v>
      </c>
      <c r="P13" s="2">
        <v>6921.666666666667</v>
      </c>
      <c r="Q13" s="2">
        <f t="shared" si="3"/>
        <v>0</v>
      </c>
    </row>
    <row r="14" spans="1:32" x14ac:dyDescent="0.3">
      <c r="A14" s="1" t="s">
        <v>4</v>
      </c>
      <c r="B14" s="1" t="s">
        <v>20</v>
      </c>
      <c r="C14" s="1" t="s">
        <v>25</v>
      </c>
      <c r="D14" s="1" t="s">
        <v>26</v>
      </c>
      <c r="E14" s="2">
        <v>10404</v>
      </c>
      <c r="F14" s="1">
        <v>0</v>
      </c>
      <c r="G14" s="1">
        <v>0</v>
      </c>
      <c r="H14" s="1">
        <v>0</v>
      </c>
      <c r="I14" s="2">
        <f t="shared" si="0"/>
        <v>0</v>
      </c>
      <c r="J14" s="2">
        <v>4231</v>
      </c>
      <c r="K14" s="2">
        <f t="shared" si="1"/>
        <v>0</v>
      </c>
      <c r="L14" s="1">
        <v>0</v>
      </c>
      <c r="M14" s="1">
        <v>0</v>
      </c>
      <c r="N14" s="1">
        <v>0</v>
      </c>
      <c r="O14" s="2">
        <f t="shared" si="2"/>
        <v>0</v>
      </c>
      <c r="P14" s="2">
        <v>3848</v>
      </c>
      <c r="Q14" s="2">
        <f t="shared" si="3"/>
        <v>0</v>
      </c>
    </row>
    <row r="15" spans="1:32" x14ac:dyDescent="0.3">
      <c r="A15" s="1" t="s">
        <v>4</v>
      </c>
      <c r="B15" s="1" t="s">
        <v>20</v>
      </c>
      <c r="C15" s="1" t="s">
        <v>27</v>
      </c>
      <c r="D15" s="1" t="s">
        <v>27</v>
      </c>
      <c r="E15" s="2">
        <v>10405</v>
      </c>
      <c r="F15" s="1">
        <v>0</v>
      </c>
      <c r="G15" s="1">
        <v>0</v>
      </c>
      <c r="H15" s="1">
        <v>0</v>
      </c>
      <c r="I15" s="2">
        <f t="shared" si="0"/>
        <v>0</v>
      </c>
      <c r="J15" s="2">
        <v>5148.333333333333</v>
      </c>
      <c r="K15" s="2">
        <f t="shared" si="1"/>
        <v>0</v>
      </c>
      <c r="L15" s="1">
        <v>0</v>
      </c>
      <c r="M15" s="1">
        <v>0</v>
      </c>
      <c r="N15" s="1">
        <v>0</v>
      </c>
      <c r="O15" s="2">
        <f t="shared" si="2"/>
        <v>0</v>
      </c>
      <c r="P15" s="2">
        <v>5538.333333333333</v>
      </c>
      <c r="Q15" s="2">
        <f t="shared" si="3"/>
        <v>0</v>
      </c>
    </row>
    <row r="16" spans="1:32" x14ac:dyDescent="0.3">
      <c r="A16" s="1" t="s">
        <v>4</v>
      </c>
      <c r="B16" s="1" t="s">
        <v>28</v>
      </c>
      <c r="C16" s="1" t="s">
        <v>29</v>
      </c>
      <c r="D16" s="1" t="s">
        <v>29</v>
      </c>
      <c r="E16" s="2">
        <v>10501</v>
      </c>
      <c r="F16" s="1">
        <v>0</v>
      </c>
      <c r="G16" s="1">
        <v>1</v>
      </c>
      <c r="H16" s="1">
        <v>1</v>
      </c>
      <c r="I16" s="2">
        <f t="shared" si="0"/>
        <v>0.66666666666666663</v>
      </c>
      <c r="J16" s="2">
        <v>24410.333333333332</v>
      </c>
      <c r="K16" s="2">
        <f t="shared" si="1"/>
        <v>2.7310838306181808</v>
      </c>
      <c r="L16" s="1">
        <v>8</v>
      </c>
      <c r="M16" s="1">
        <v>1</v>
      </c>
      <c r="N16" s="1">
        <v>8</v>
      </c>
      <c r="O16" s="2">
        <f t="shared" si="2"/>
        <v>5.666666666666667</v>
      </c>
      <c r="P16" s="2">
        <v>24471.666666666668</v>
      </c>
      <c r="Q16" s="2">
        <f t="shared" si="3"/>
        <v>23.156030783899748</v>
      </c>
    </row>
    <row r="17" spans="1:17" x14ac:dyDescent="0.3">
      <c r="A17" s="1" t="s">
        <v>4</v>
      </c>
      <c r="B17" s="1" t="s">
        <v>28</v>
      </c>
      <c r="C17" s="1" t="s">
        <v>30</v>
      </c>
      <c r="D17" s="1" t="s">
        <v>30</v>
      </c>
      <c r="E17" s="2">
        <v>10502</v>
      </c>
      <c r="F17" s="1">
        <v>0</v>
      </c>
      <c r="G17" s="1">
        <v>0</v>
      </c>
      <c r="H17" s="1">
        <v>0</v>
      </c>
      <c r="I17" s="2">
        <f t="shared" si="0"/>
        <v>0</v>
      </c>
      <c r="J17" s="2">
        <v>7679.333333333333</v>
      </c>
      <c r="K17" s="2">
        <f t="shared" si="1"/>
        <v>0</v>
      </c>
      <c r="L17" s="1">
        <v>0</v>
      </c>
      <c r="M17" s="1">
        <v>0</v>
      </c>
      <c r="N17" s="1">
        <v>6</v>
      </c>
      <c r="O17" s="2">
        <f t="shared" si="2"/>
        <v>2</v>
      </c>
      <c r="P17" s="2">
        <v>7296.666666666667</v>
      </c>
      <c r="Q17" s="2">
        <f t="shared" si="3"/>
        <v>27.409776153494747</v>
      </c>
    </row>
    <row r="18" spans="1:17" x14ac:dyDescent="0.3">
      <c r="A18" s="1" t="s">
        <v>4</v>
      </c>
      <c r="B18" s="1" t="s">
        <v>31</v>
      </c>
      <c r="C18" s="1" t="s">
        <v>32</v>
      </c>
      <c r="D18" s="1" t="s">
        <v>32</v>
      </c>
      <c r="E18" s="2">
        <v>10601</v>
      </c>
      <c r="F18" s="1">
        <v>0</v>
      </c>
      <c r="G18" s="1">
        <v>2</v>
      </c>
      <c r="H18" s="1">
        <v>7</v>
      </c>
      <c r="I18" s="2">
        <f t="shared" si="0"/>
        <v>3</v>
      </c>
      <c r="J18" s="2">
        <v>14790</v>
      </c>
      <c r="K18" s="2">
        <f t="shared" si="1"/>
        <v>20.28397565922921</v>
      </c>
      <c r="L18" s="1">
        <v>0</v>
      </c>
      <c r="M18" s="1">
        <v>6</v>
      </c>
      <c r="N18" s="1">
        <v>2</v>
      </c>
      <c r="O18" s="2">
        <f t="shared" si="2"/>
        <v>2.6666666666666665</v>
      </c>
      <c r="P18" s="2">
        <v>13559</v>
      </c>
      <c r="Q18" s="2">
        <f t="shared" si="3"/>
        <v>19.667133761093492</v>
      </c>
    </row>
    <row r="19" spans="1:17" x14ac:dyDescent="0.3">
      <c r="A19" s="1" t="s">
        <v>4</v>
      </c>
      <c r="B19" s="1" t="s">
        <v>31</v>
      </c>
      <c r="C19" s="1" t="s">
        <v>31</v>
      </c>
      <c r="D19" s="1" t="s">
        <v>31</v>
      </c>
      <c r="E19" s="2">
        <v>10602</v>
      </c>
      <c r="F19" s="1">
        <v>0</v>
      </c>
      <c r="G19" s="1">
        <v>2</v>
      </c>
      <c r="H19" s="1">
        <v>2</v>
      </c>
      <c r="I19" s="2">
        <f t="shared" si="0"/>
        <v>1.3333333333333333</v>
      </c>
      <c r="J19" s="2">
        <v>9193</v>
      </c>
      <c r="K19" s="2">
        <f t="shared" si="1"/>
        <v>14.503789114906269</v>
      </c>
      <c r="L19" s="1">
        <v>0</v>
      </c>
      <c r="M19" s="1">
        <v>0</v>
      </c>
      <c r="N19" s="1">
        <v>2</v>
      </c>
      <c r="O19" s="2">
        <f t="shared" si="2"/>
        <v>0.66666666666666663</v>
      </c>
      <c r="P19" s="2">
        <v>8668</v>
      </c>
      <c r="Q19" s="2">
        <f t="shared" si="3"/>
        <v>7.6911244423934768</v>
      </c>
    </row>
    <row r="20" spans="1:17" x14ac:dyDescent="0.3">
      <c r="A20" s="1" t="s">
        <v>4</v>
      </c>
      <c r="B20" s="1" t="s">
        <v>33</v>
      </c>
      <c r="C20" s="1" t="s">
        <v>34</v>
      </c>
      <c r="D20" s="1" t="s">
        <v>34</v>
      </c>
      <c r="E20" s="2">
        <v>10701</v>
      </c>
      <c r="F20" s="1">
        <v>0</v>
      </c>
      <c r="G20" s="1">
        <v>3</v>
      </c>
      <c r="H20" s="1">
        <v>1</v>
      </c>
      <c r="I20" s="2">
        <f t="shared" si="0"/>
        <v>1.3333333333333333</v>
      </c>
      <c r="J20" s="2">
        <v>15100.333333333334</v>
      </c>
      <c r="K20" s="2">
        <f t="shared" si="1"/>
        <v>8.829827156133419</v>
      </c>
      <c r="L20" s="1">
        <v>3</v>
      </c>
      <c r="M20" s="1">
        <v>1</v>
      </c>
      <c r="N20" s="1">
        <v>3</v>
      </c>
      <c r="O20" s="2">
        <f t="shared" si="2"/>
        <v>2.3333333333333335</v>
      </c>
      <c r="P20" s="2">
        <v>14789.666666666666</v>
      </c>
      <c r="Q20" s="2">
        <f t="shared" si="3"/>
        <v>15.776781085893306</v>
      </c>
    </row>
    <row r="21" spans="1:17" x14ac:dyDescent="0.3">
      <c r="A21" s="1" t="s">
        <v>4</v>
      </c>
      <c r="B21" s="1" t="s">
        <v>33</v>
      </c>
      <c r="C21" s="1" t="s">
        <v>35</v>
      </c>
      <c r="D21" s="1" t="s">
        <v>35</v>
      </c>
      <c r="E21" s="2">
        <v>10702</v>
      </c>
      <c r="F21" s="1">
        <v>0</v>
      </c>
      <c r="G21" s="1">
        <v>1</v>
      </c>
      <c r="H21" s="1">
        <v>6</v>
      </c>
      <c r="I21" s="2">
        <f t="shared" si="0"/>
        <v>2.3333333333333335</v>
      </c>
      <c r="J21" s="2">
        <v>29000</v>
      </c>
      <c r="K21" s="2">
        <f t="shared" si="1"/>
        <v>8.0459770114942533</v>
      </c>
      <c r="L21" s="1">
        <v>0</v>
      </c>
      <c r="M21" s="1">
        <v>9</v>
      </c>
      <c r="N21" s="1">
        <v>2</v>
      </c>
      <c r="O21" s="2">
        <f t="shared" si="2"/>
        <v>3.6666666666666665</v>
      </c>
      <c r="P21" s="2">
        <v>26989</v>
      </c>
      <c r="Q21" s="2">
        <f t="shared" si="3"/>
        <v>13.585781861746144</v>
      </c>
    </row>
    <row r="22" spans="1:17" x14ac:dyDescent="0.3">
      <c r="A22" s="1" t="s">
        <v>4</v>
      </c>
      <c r="B22" s="1" t="s">
        <v>33</v>
      </c>
      <c r="C22" s="1" t="s">
        <v>36</v>
      </c>
      <c r="D22" s="1" t="s">
        <v>36</v>
      </c>
      <c r="E22" s="2">
        <v>10703</v>
      </c>
      <c r="F22" s="1">
        <v>0</v>
      </c>
      <c r="G22" s="1">
        <v>0</v>
      </c>
      <c r="H22" s="1">
        <v>0</v>
      </c>
      <c r="I22" s="2">
        <f t="shared" si="0"/>
        <v>0</v>
      </c>
      <c r="J22" s="2">
        <v>14955</v>
      </c>
      <c r="K22" s="2">
        <f t="shared" si="1"/>
        <v>0</v>
      </c>
      <c r="L22" s="1">
        <v>0</v>
      </c>
      <c r="M22" s="1">
        <v>0</v>
      </c>
      <c r="N22" s="1">
        <v>0</v>
      </c>
      <c r="O22" s="2">
        <f t="shared" si="2"/>
        <v>0</v>
      </c>
      <c r="P22" s="2">
        <v>16040</v>
      </c>
      <c r="Q22" s="2">
        <f t="shared" si="3"/>
        <v>0</v>
      </c>
    </row>
    <row r="23" spans="1:17" x14ac:dyDescent="0.3">
      <c r="A23" s="1" t="s">
        <v>4</v>
      </c>
      <c r="B23" s="1" t="s">
        <v>33</v>
      </c>
      <c r="C23" s="1" t="s">
        <v>37</v>
      </c>
      <c r="D23" s="1" t="s">
        <v>37</v>
      </c>
      <c r="E23" s="2">
        <v>10704</v>
      </c>
      <c r="F23" s="1">
        <v>0</v>
      </c>
      <c r="G23" s="1">
        <v>0</v>
      </c>
      <c r="H23" s="1">
        <v>0</v>
      </c>
      <c r="I23" s="2">
        <f t="shared" si="0"/>
        <v>0</v>
      </c>
      <c r="J23" s="2">
        <v>14851.666666666666</v>
      </c>
      <c r="K23" s="2">
        <f t="shared" si="1"/>
        <v>0</v>
      </c>
      <c r="L23" s="1">
        <v>0</v>
      </c>
      <c r="M23" s="1">
        <v>0</v>
      </c>
      <c r="N23" s="1">
        <v>0</v>
      </c>
      <c r="O23" s="2">
        <f t="shared" si="2"/>
        <v>0</v>
      </c>
      <c r="P23" s="2">
        <v>14109.666666666666</v>
      </c>
      <c r="Q23" s="2">
        <f t="shared" si="3"/>
        <v>0</v>
      </c>
    </row>
    <row r="24" spans="1:17" x14ac:dyDescent="0.3">
      <c r="A24" s="1" t="s">
        <v>4</v>
      </c>
      <c r="B24" s="1" t="s">
        <v>38</v>
      </c>
      <c r="C24" s="1" t="s">
        <v>39</v>
      </c>
      <c r="D24" s="1" t="s">
        <v>39</v>
      </c>
      <c r="E24" s="2">
        <v>10801</v>
      </c>
      <c r="F24" s="1">
        <v>0</v>
      </c>
      <c r="G24" s="1">
        <v>0</v>
      </c>
      <c r="H24" s="1">
        <v>0</v>
      </c>
      <c r="I24" s="2">
        <f t="shared" si="0"/>
        <v>0</v>
      </c>
      <c r="J24" s="2">
        <v>9877.6666666666661</v>
      </c>
      <c r="K24" s="2">
        <f t="shared" si="1"/>
        <v>0</v>
      </c>
      <c r="L24" s="1">
        <v>0</v>
      </c>
      <c r="M24" s="1">
        <v>0</v>
      </c>
      <c r="N24" s="1">
        <v>0</v>
      </c>
      <c r="O24" s="2">
        <f t="shared" si="2"/>
        <v>0</v>
      </c>
      <c r="P24" s="2">
        <v>9144.3333333333339</v>
      </c>
      <c r="Q24" s="2">
        <f t="shared" si="3"/>
        <v>0</v>
      </c>
    </row>
    <row r="25" spans="1:17" x14ac:dyDescent="0.3">
      <c r="A25" s="1" t="s">
        <v>4</v>
      </c>
      <c r="B25" s="1" t="s">
        <v>40</v>
      </c>
      <c r="C25" s="1" t="s">
        <v>41</v>
      </c>
      <c r="D25" s="1" t="s">
        <v>41</v>
      </c>
      <c r="E25" s="2">
        <v>10901</v>
      </c>
      <c r="F25" s="1">
        <v>0</v>
      </c>
      <c r="G25" s="1">
        <v>0</v>
      </c>
      <c r="H25" s="1">
        <v>0</v>
      </c>
      <c r="I25" s="2">
        <f t="shared" si="0"/>
        <v>0</v>
      </c>
      <c r="J25" s="2">
        <v>4597.333333333333</v>
      </c>
      <c r="K25" s="2">
        <f t="shared" si="1"/>
        <v>0</v>
      </c>
      <c r="L25" s="1">
        <v>0</v>
      </c>
      <c r="M25" s="1">
        <v>0</v>
      </c>
      <c r="N25" s="1">
        <v>0</v>
      </c>
      <c r="O25" s="2">
        <f t="shared" si="2"/>
        <v>0</v>
      </c>
      <c r="P25" s="2">
        <v>5216.333333333333</v>
      </c>
      <c r="Q25" s="2">
        <f t="shared" si="3"/>
        <v>0</v>
      </c>
    </row>
    <row r="26" spans="1:17" x14ac:dyDescent="0.3">
      <c r="A26" s="1" t="s">
        <v>4</v>
      </c>
      <c r="B26" s="1" t="s">
        <v>40</v>
      </c>
      <c r="C26" s="1" t="s">
        <v>42</v>
      </c>
      <c r="D26" s="1" t="s">
        <v>42</v>
      </c>
      <c r="E26" s="2">
        <v>10902</v>
      </c>
      <c r="F26" s="1">
        <v>0</v>
      </c>
      <c r="G26" s="1">
        <v>0</v>
      </c>
      <c r="H26" s="1">
        <v>1</v>
      </c>
      <c r="I26" s="2">
        <f t="shared" si="0"/>
        <v>0.33333333333333331</v>
      </c>
      <c r="J26" s="2">
        <v>16061</v>
      </c>
      <c r="K26" s="2">
        <f t="shared" si="1"/>
        <v>2.0754207915654899</v>
      </c>
      <c r="L26" s="1">
        <v>1</v>
      </c>
      <c r="M26" s="1">
        <v>0</v>
      </c>
      <c r="N26" s="1">
        <v>2</v>
      </c>
      <c r="O26" s="2">
        <f t="shared" si="2"/>
        <v>1</v>
      </c>
      <c r="P26" s="2">
        <v>15106.666666666666</v>
      </c>
      <c r="Q26" s="2">
        <f t="shared" si="3"/>
        <v>6.6195939982347749</v>
      </c>
    </row>
    <row r="27" spans="1:17" x14ac:dyDescent="0.3">
      <c r="A27" s="1" t="s">
        <v>4</v>
      </c>
      <c r="B27" s="1" t="s">
        <v>40</v>
      </c>
      <c r="C27" s="1" t="s">
        <v>43</v>
      </c>
      <c r="D27" s="1" t="s">
        <v>43</v>
      </c>
      <c r="E27" s="2">
        <v>10903</v>
      </c>
      <c r="F27" s="1">
        <v>0</v>
      </c>
      <c r="G27" s="1">
        <v>0</v>
      </c>
      <c r="H27" s="1">
        <v>0</v>
      </c>
      <c r="I27" s="2">
        <f t="shared" si="0"/>
        <v>0</v>
      </c>
      <c r="J27" s="2">
        <v>4624.333333333333</v>
      </c>
      <c r="K27" s="2">
        <f t="shared" si="1"/>
        <v>0</v>
      </c>
      <c r="L27" s="1">
        <v>0</v>
      </c>
      <c r="M27" s="1">
        <v>0</v>
      </c>
      <c r="N27" s="1">
        <v>0</v>
      </c>
      <c r="O27" s="2">
        <f t="shared" si="2"/>
        <v>0</v>
      </c>
      <c r="P27" s="2">
        <v>4930.333333333333</v>
      </c>
      <c r="Q27" s="2">
        <f t="shared" si="3"/>
        <v>0</v>
      </c>
    </row>
    <row r="28" spans="1:17" x14ac:dyDescent="0.3">
      <c r="A28" s="1" t="s">
        <v>4</v>
      </c>
      <c r="B28" s="1" t="s">
        <v>44</v>
      </c>
      <c r="C28" s="1" t="s">
        <v>45</v>
      </c>
      <c r="D28" s="1" t="s">
        <v>45</v>
      </c>
      <c r="E28" s="2">
        <v>11001</v>
      </c>
      <c r="F28" s="1">
        <v>2</v>
      </c>
      <c r="G28" s="1">
        <v>0</v>
      </c>
      <c r="H28" s="1">
        <v>0</v>
      </c>
      <c r="I28" s="2">
        <f t="shared" si="0"/>
        <v>0.66666666666666663</v>
      </c>
      <c r="J28" s="2">
        <v>11747.666666666666</v>
      </c>
      <c r="K28" s="2">
        <f t="shared" si="1"/>
        <v>5.6748857929234173</v>
      </c>
      <c r="L28" s="1">
        <v>6</v>
      </c>
      <c r="M28" s="1">
        <v>0</v>
      </c>
      <c r="N28" s="1">
        <v>7</v>
      </c>
      <c r="O28" s="2">
        <f t="shared" si="2"/>
        <v>4.333333333333333</v>
      </c>
      <c r="P28" s="2">
        <v>12906.333333333334</v>
      </c>
      <c r="Q28" s="2">
        <f t="shared" si="3"/>
        <v>33.575247294609873</v>
      </c>
    </row>
    <row r="29" spans="1:17" x14ac:dyDescent="0.3">
      <c r="A29" s="1" t="s">
        <v>4</v>
      </c>
      <c r="B29" s="1" t="s">
        <v>44</v>
      </c>
      <c r="C29" s="1" t="s">
        <v>46</v>
      </c>
      <c r="D29" s="1" t="s">
        <v>47</v>
      </c>
      <c r="E29" s="2">
        <v>11002</v>
      </c>
      <c r="F29" s="1">
        <v>0</v>
      </c>
      <c r="G29" s="1">
        <v>0</v>
      </c>
      <c r="H29" s="1">
        <v>0</v>
      </c>
      <c r="I29" s="2">
        <f t="shared" si="0"/>
        <v>0</v>
      </c>
      <c r="J29" s="2">
        <v>2544</v>
      </c>
      <c r="K29" s="2">
        <f t="shared" si="1"/>
        <v>0</v>
      </c>
      <c r="L29" s="1">
        <v>0</v>
      </c>
      <c r="M29" s="1">
        <v>0</v>
      </c>
      <c r="N29" s="1">
        <v>0</v>
      </c>
      <c r="O29" s="2">
        <f t="shared" si="2"/>
        <v>0</v>
      </c>
      <c r="P29" s="2">
        <v>2545.6666666666665</v>
      </c>
      <c r="Q29" s="2">
        <f t="shared" si="3"/>
        <v>0</v>
      </c>
    </row>
    <row r="30" spans="1:17" x14ac:dyDescent="0.3">
      <c r="A30" s="1" t="s">
        <v>4</v>
      </c>
      <c r="B30" s="1" t="s">
        <v>44</v>
      </c>
      <c r="C30" s="1" t="s">
        <v>48</v>
      </c>
      <c r="D30" s="1" t="s">
        <v>49</v>
      </c>
      <c r="E30" s="2">
        <v>11003</v>
      </c>
      <c r="F30" s="1">
        <v>4</v>
      </c>
      <c r="G30" s="1">
        <v>1</v>
      </c>
      <c r="H30" s="1">
        <v>0</v>
      </c>
      <c r="I30" s="2">
        <f t="shared" si="0"/>
        <v>1.6666666666666667</v>
      </c>
      <c r="J30" s="2">
        <v>7317.333333333333</v>
      </c>
      <c r="K30" s="2">
        <f t="shared" si="1"/>
        <v>22.776967930029155</v>
      </c>
      <c r="L30" s="1">
        <v>1</v>
      </c>
      <c r="M30" s="1">
        <v>0</v>
      </c>
      <c r="N30" s="1">
        <v>0</v>
      </c>
      <c r="O30" s="2">
        <f t="shared" si="2"/>
        <v>0.33333333333333331</v>
      </c>
      <c r="P30" s="2">
        <v>7259.333333333333</v>
      </c>
      <c r="Q30" s="2">
        <f t="shared" si="3"/>
        <v>4.5917898796951047</v>
      </c>
    </row>
    <row r="31" spans="1:17" x14ac:dyDescent="0.3">
      <c r="A31" s="1" t="s">
        <v>50</v>
      </c>
      <c r="B31" s="1" t="s">
        <v>51</v>
      </c>
      <c r="C31" s="1" t="s">
        <v>52</v>
      </c>
      <c r="D31" s="1" t="s">
        <v>52</v>
      </c>
      <c r="E31" s="2">
        <v>20101</v>
      </c>
      <c r="F31" s="1">
        <v>61</v>
      </c>
      <c r="G31" s="1">
        <v>101</v>
      </c>
      <c r="H31" s="1">
        <v>59</v>
      </c>
      <c r="I31" s="2">
        <f t="shared" si="0"/>
        <v>73.666666666666671</v>
      </c>
      <c r="J31" s="2">
        <v>760205.33333333337</v>
      </c>
      <c r="K31" s="2">
        <f t="shared" si="1"/>
        <v>9.6903643576998508</v>
      </c>
      <c r="L31" s="1">
        <v>110</v>
      </c>
      <c r="M31" s="1">
        <v>82</v>
      </c>
      <c r="N31" s="1">
        <v>186</v>
      </c>
      <c r="O31" s="2">
        <f t="shared" si="2"/>
        <v>126</v>
      </c>
      <c r="P31" s="2">
        <v>756626.66666666663</v>
      </c>
      <c r="Q31" s="2">
        <f t="shared" si="3"/>
        <v>16.652862706398576</v>
      </c>
    </row>
    <row r="32" spans="1:17" x14ac:dyDescent="0.3">
      <c r="A32" s="1" t="s">
        <v>50</v>
      </c>
      <c r="B32" s="1" t="s">
        <v>51</v>
      </c>
      <c r="C32" s="1" t="s">
        <v>53</v>
      </c>
      <c r="D32" s="1" t="s">
        <v>53</v>
      </c>
      <c r="E32" s="2">
        <v>20102</v>
      </c>
      <c r="F32" s="1">
        <v>0</v>
      </c>
      <c r="G32" s="1">
        <v>0</v>
      </c>
      <c r="H32" s="1">
        <v>0</v>
      </c>
      <c r="I32" s="2">
        <f t="shared" si="0"/>
        <v>0</v>
      </c>
      <c r="J32" s="2">
        <v>19550</v>
      </c>
      <c r="K32" s="2">
        <f t="shared" si="1"/>
        <v>0</v>
      </c>
      <c r="L32" s="1">
        <v>0</v>
      </c>
      <c r="M32" s="1">
        <v>0</v>
      </c>
      <c r="N32" s="1">
        <v>0</v>
      </c>
      <c r="O32" s="2">
        <f t="shared" si="2"/>
        <v>0</v>
      </c>
      <c r="P32" s="2">
        <v>21223</v>
      </c>
      <c r="Q32" s="2">
        <f t="shared" si="3"/>
        <v>0</v>
      </c>
    </row>
    <row r="33" spans="1:17" x14ac:dyDescent="0.3">
      <c r="A33" s="1" t="s">
        <v>50</v>
      </c>
      <c r="B33" s="1" t="s">
        <v>51</v>
      </c>
      <c r="C33" s="1" t="s">
        <v>54</v>
      </c>
      <c r="D33" s="1" t="s">
        <v>54</v>
      </c>
      <c r="E33" s="2">
        <v>20103</v>
      </c>
      <c r="F33" s="1">
        <v>0</v>
      </c>
      <c r="G33" s="1">
        <v>0</v>
      </c>
      <c r="H33" s="1">
        <v>0</v>
      </c>
      <c r="I33" s="2">
        <f t="shared" si="0"/>
        <v>0</v>
      </c>
      <c r="J33" s="2">
        <v>18635</v>
      </c>
      <c r="K33" s="2">
        <f t="shared" si="1"/>
        <v>0</v>
      </c>
      <c r="L33" s="1">
        <v>0</v>
      </c>
      <c r="M33" s="1">
        <v>0</v>
      </c>
      <c r="N33" s="1">
        <v>0</v>
      </c>
      <c r="O33" s="2">
        <f t="shared" si="2"/>
        <v>0</v>
      </c>
      <c r="P33" s="2">
        <v>20091</v>
      </c>
      <c r="Q33" s="2">
        <f t="shared" si="3"/>
        <v>0</v>
      </c>
    </row>
    <row r="34" spans="1:17" x14ac:dyDescent="0.3">
      <c r="A34" s="1" t="s">
        <v>50</v>
      </c>
      <c r="B34" s="1" t="s">
        <v>51</v>
      </c>
      <c r="C34" s="1" t="s">
        <v>55</v>
      </c>
      <c r="D34" s="1" t="s">
        <v>55</v>
      </c>
      <c r="E34" s="2">
        <v>20104</v>
      </c>
      <c r="F34" s="1">
        <v>0</v>
      </c>
      <c r="G34" s="1">
        <v>1</v>
      </c>
      <c r="H34" s="1">
        <v>0</v>
      </c>
      <c r="I34" s="2">
        <f t="shared" si="0"/>
        <v>0.33333333333333331</v>
      </c>
      <c r="J34" s="2">
        <v>36114.333333333336</v>
      </c>
      <c r="K34" s="2">
        <f t="shared" si="1"/>
        <v>0.92299456356202048</v>
      </c>
      <c r="L34" s="1">
        <v>1</v>
      </c>
      <c r="M34" s="1">
        <v>0</v>
      </c>
      <c r="N34" s="1">
        <v>1</v>
      </c>
      <c r="O34" s="2">
        <f t="shared" si="2"/>
        <v>0.66666666666666663</v>
      </c>
      <c r="P34" s="2">
        <v>44077.333333333336</v>
      </c>
      <c r="Q34" s="2">
        <f t="shared" si="3"/>
        <v>1.5124931937806279</v>
      </c>
    </row>
    <row r="35" spans="1:17" x14ac:dyDescent="0.3">
      <c r="A35" s="1" t="s">
        <v>50</v>
      </c>
      <c r="B35" s="1" t="s">
        <v>51</v>
      </c>
      <c r="C35" s="1" t="s">
        <v>56</v>
      </c>
      <c r="D35" s="1" t="s">
        <v>56</v>
      </c>
      <c r="E35" s="2">
        <v>20105</v>
      </c>
      <c r="F35" s="1">
        <v>5</v>
      </c>
      <c r="G35" s="1">
        <v>28</v>
      </c>
      <c r="H35" s="1">
        <v>39</v>
      </c>
      <c r="I35" s="2">
        <f t="shared" si="0"/>
        <v>24</v>
      </c>
      <c r="J35" s="2">
        <v>869792.33333333337</v>
      </c>
      <c r="K35" s="2">
        <f t="shared" si="1"/>
        <v>2.7592793222290224</v>
      </c>
      <c r="L35" s="1">
        <v>27</v>
      </c>
      <c r="M35" s="1">
        <v>25</v>
      </c>
      <c r="N35" s="1">
        <v>30</v>
      </c>
      <c r="O35" s="2">
        <f t="shared" si="2"/>
        <v>27.333333333333332</v>
      </c>
      <c r="P35" s="2">
        <v>881986.33333333337</v>
      </c>
      <c r="Q35" s="2">
        <f t="shared" si="3"/>
        <v>3.0990654050195032</v>
      </c>
    </row>
    <row r="36" spans="1:17" x14ac:dyDescent="0.3">
      <c r="A36" s="1" t="s">
        <v>50</v>
      </c>
      <c r="B36" s="1" t="s">
        <v>57</v>
      </c>
      <c r="C36" s="1" t="s">
        <v>58</v>
      </c>
      <c r="D36" s="1" t="s">
        <v>58</v>
      </c>
      <c r="E36" s="2">
        <v>20201</v>
      </c>
      <c r="F36" s="1">
        <v>0</v>
      </c>
      <c r="G36" s="1">
        <v>0</v>
      </c>
      <c r="H36" s="1">
        <v>1</v>
      </c>
      <c r="I36" s="2">
        <f t="shared" si="0"/>
        <v>0.33333333333333331</v>
      </c>
      <c r="J36" s="2">
        <v>46645</v>
      </c>
      <c r="K36" s="2">
        <f t="shared" si="1"/>
        <v>0.71461750098259902</v>
      </c>
      <c r="L36" s="1">
        <v>4</v>
      </c>
      <c r="M36" s="1">
        <v>0</v>
      </c>
      <c r="N36" s="1">
        <v>1</v>
      </c>
      <c r="O36" s="2">
        <f t="shared" si="2"/>
        <v>1.6666666666666667</v>
      </c>
      <c r="P36" s="2">
        <v>46980</v>
      </c>
      <c r="Q36" s="2">
        <f t="shared" si="3"/>
        <v>3.5476089115935858</v>
      </c>
    </row>
    <row r="37" spans="1:17" x14ac:dyDescent="0.3">
      <c r="A37" s="1" t="s">
        <v>50</v>
      </c>
      <c r="B37" s="1" t="s">
        <v>57</v>
      </c>
      <c r="C37" s="1" t="s">
        <v>59</v>
      </c>
      <c r="D37" s="1" t="s">
        <v>60</v>
      </c>
      <c r="E37" s="2">
        <v>20202</v>
      </c>
      <c r="F37" s="1">
        <v>0</v>
      </c>
      <c r="G37" s="1">
        <v>0</v>
      </c>
      <c r="H37" s="1">
        <v>0</v>
      </c>
      <c r="I37" s="2">
        <f t="shared" si="0"/>
        <v>0</v>
      </c>
      <c r="J37" s="2">
        <v>15331.666666666666</v>
      </c>
      <c r="K37" s="2">
        <f t="shared" si="1"/>
        <v>0</v>
      </c>
      <c r="L37" s="1">
        <v>0</v>
      </c>
      <c r="M37" s="1">
        <v>0</v>
      </c>
      <c r="N37" s="1">
        <v>0</v>
      </c>
      <c r="O37" s="2">
        <f t="shared" si="2"/>
        <v>0</v>
      </c>
      <c r="P37" s="2">
        <v>16586.333333333332</v>
      </c>
      <c r="Q37" s="2">
        <f t="shared" si="3"/>
        <v>0</v>
      </c>
    </row>
    <row r="38" spans="1:17" x14ac:dyDescent="0.3">
      <c r="A38" s="1" t="s">
        <v>50</v>
      </c>
      <c r="B38" s="1" t="s">
        <v>57</v>
      </c>
      <c r="C38" s="1" t="s">
        <v>61</v>
      </c>
      <c r="D38" s="1" t="s">
        <v>61</v>
      </c>
      <c r="E38" s="2">
        <v>20203</v>
      </c>
      <c r="F38" s="1">
        <v>0</v>
      </c>
      <c r="G38" s="1">
        <v>0</v>
      </c>
      <c r="H38" s="1">
        <v>0</v>
      </c>
      <c r="I38" s="2">
        <f t="shared" si="0"/>
        <v>0</v>
      </c>
      <c r="J38" s="2">
        <v>6274.666666666667</v>
      </c>
      <c r="K38" s="2">
        <f t="shared" si="1"/>
        <v>0</v>
      </c>
      <c r="L38" s="1">
        <v>0</v>
      </c>
      <c r="M38" s="1">
        <v>0</v>
      </c>
      <c r="N38" s="1">
        <v>0</v>
      </c>
      <c r="O38" s="2">
        <f t="shared" si="2"/>
        <v>0</v>
      </c>
      <c r="P38" s="2">
        <v>7001.333333333333</v>
      </c>
      <c r="Q38" s="2">
        <f t="shared" si="3"/>
        <v>0</v>
      </c>
    </row>
    <row r="39" spans="1:17" x14ac:dyDescent="0.3">
      <c r="A39" s="1" t="s">
        <v>50</v>
      </c>
      <c r="B39" s="1" t="s">
        <v>57</v>
      </c>
      <c r="C39" s="1" t="s">
        <v>62</v>
      </c>
      <c r="D39" s="1" t="s">
        <v>62</v>
      </c>
      <c r="E39" s="2">
        <v>20204</v>
      </c>
      <c r="F39" s="1">
        <v>0</v>
      </c>
      <c r="G39" s="1">
        <v>0</v>
      </c>
      <c r="H39" s="1">
        <v>1</v>
      </c>
      <c r="I39" s="2">
        <f t="shared" si="0"/>
        <v>0.33333333333333331</v>
      </c>
      <c r="J39" s="2">
        <v>8362</v>
      </c>
      <c r="K39" s="2">
        <f t="shared" si="1"/>
        <v>3.9862871721278799</v>
      </c>
      <c r="L39" s="1">
        <v>0</v>
      </c>
      <c r="M39" s="1">
        <v>0</v>
      </c>
      <c r="N39" s="1">
        <v>0</v>
      </c>
      <c r="O39" s="2">
        <f t="shared" si="2"/>
        <v>0</v>
      </c>
      <c r="P39" s="2">
        <v>8598</v>
      </c>
      <c r="Q39" s="2">
        <f t="shared" si="3"/>
        <v>0</v>
      </c>
    </row>
    <row r="40" spans="1:17" x14ac:dyDescent="0.3">
      <c r="A40" s="1" t="s">
        <v>50</v>
      </c>
      <c r="B40" s="1" t="s">
        <v>57</v>
      </c>
      <c r="C40" s="1" t="s">
        <v>63</v>
      </c>
      <c r="D40" s="1" t="s">
        <v>63</v>
      </c>
      <c r="E40" s="2">
        <v>20205</v>
      </c>
      <c r="F40" s="1">
        <v>0</v>
      </c>
      <c r="G40" s="1">
        <v>0</v>
      </c>
      <c r="H40" s="1">
        <v>0</v>
      </c>
      <c r="I40" s="2">
        <f t="shared" si="0"/>
        <v>0</v>
      </c>
      <c r="J40" s="2">
        <v>8968</v>
      </c>
      <c r="K40" s="2">
        <f t="shared" si="1"/>
        <v>0</v>
      </c>
      <c r="L40" s="1">
        <v>0</v>
      </c>
      <c r="M40" s="1">
        <v>0</v>
      </c>
      <c r="N40" s="1">
        <v>0</v>
      </c>
      <c r="O40" s="2">
        <f t="shared" si="2"/>
        <v>0</v>
      </c>
      <c r="P40" s="2">
        <v>9200</v>
      </c>
      <c r="Q40" s="2">
        <f t="shared" si="3"/>
        <v>0</v>
      </c>
    </row>
    <row r="41" spans="1:17" x14ac:dyDescent="0.3">
      <c r="A41" s="1" t="s">
        <v>50</v>
      </c>
      <c r="B41" s="1" t="s">
        <v>57</v>
      </c>
      <c r="C41" s="1" t="s">
        <v>64</v>
      </c>
      <c r="D41" s="1" t="s">
        <v>64</v>
      </c>
      <c r="E41" s="2">
        <v>20206</v>
      </c>
      <c r="F41" s="1">
        <v>0</v>
      </c>
      <c r="G41" s="1">
        <v>0</v>
      </c>
      <c r="H41" s="1">
        <v>0</v>
      </c>
      <c r="I41" s="2">
        <f t="shared" si="0"/>
        <v>0</v>
      </c>
      <c r="J41" s="2">
        <v>4609</v>
      </c>
      <c r="K41" s="2">
        <f t="shared" si="1"/>
        <v>0</v>
      </c>
      <c r="L41" s="1">
        <v>0</v>
      </c>
      <c r="M41" s="1">
        <v>0</v>
      </c>
      <c r="N41" s="1">
        <v>0</v>
      </c>
      <c r="O41" s="2">
        <f t="shared" si="2"/>
        <v>0</v>
      </c>
      <c r="P41" s="2">
        <v>4998.666666666667</v>
      </c>
      <c r="Q41" s="2">
        <f t="shared" si="3"/>
        <v>0</v>
      </c>
    </row>
    <row r="42" spans="1:17" x14ac:dyDescent="0.3">
      <c r="A42" s="1" t="s">
        <v>50</v>
      </c>
      <c r="B42" s="1" t="s">
        <v>65</v>
      </c>
      <c r="C42" s="1" t="s">
        <v>66</v>
      </c>
      <c r="D42" s="1" t="s">
        <v>67</v>
      </c>
      <c r="E42" s="2">
        <v>20301</v>
      </c>
      <c r="F42" s="1">
        <v>0</v>
      </c>
      <c r="G42" s="1">
        <v>0</v>
      </c>
      <c r="H42" s="1">
        <v>0</v>
      </c>
      <c r="I42" s="2">
        <f t="shared" si="0"/>
        <v>0</v>
      </c>
      <c r="J42" s="2">
        <v>12250</v>
      </c>
      <c r="K42" s="2">
        <f t="shared" si="1"/>
        <v>0</v>
      </c>
      <c r="L42" s="1">
        <v>0</v>
      </c>
      <c r="M42" s="1">
        <v>0</v>
      </c>
      <c r="N42" s="1">
        <v>0</v>
      </c>
      <c r="O42" s="2">
        <f t="shared" si="2"/>
        <v>0</v>
      </c>
      <c r="P42" s="2">
        <v>13166</v>
      </c>
      <c r="Q42" s="2">
        <f t="shared" si="3"/>
        <v>0</v>
      </c>
    </row>
    <row r="43" spans="1:17" x14ac:dyDescent="0.3">
      <c r="A43" s="1" t="s">
        <v>50</v>
      </c>
      <c r="B43" s="1" t="s">
        <v>65</v>
      </c>
      <c r="C43" s="1" t="s">
        <v>68</v>
      </c>
      <c r="D43" s="1" t="s">
        <v>68</v>
      </c>
      <c r="E43" s="2">
        <v>20302</v>
      </c>
      <c r="F43" s="1">
        <v>0</v>
      </c>
      <c r="G43" s="1">
        <v>0</v>
      </c>
      <c r="H43" s="1">
        <v>0</v>
      </c>
      <c r="I43" s="2">
        <f t="shared" si="0"/>
        <v>0</v>
      </c>
      <c r="J43" s="2">
        <v>15140.333333333334</v>
      </c>
      <c r="K43" s="2">
        <f t="shared" si="1"/>
        <v>0</v>
      </c>
      <c r="L43" s="1">
        <v>0</v>
      </c>
      <c r="M43" s="1">
        <v>0</v>
      </c>
      <c r="N43" s="1">
        <v>0</v>
      </c>
      <c r="O43" s="2">
        <f t="shared" si="2"/>
        <v>0</v>
      </c>
      <c r="P43" s="2">
        <v>15399.333333333334</v>
      </c>
      <c r="Q43" s="2">
        <f t="shared" si="3"/>
        <v>0</v>
      </c>
    </row>
    <row r="44" spans="1:17" x14ac:dyDescent="0.3">
      <c r="A44" s="1" t="s">
        <v>50</v>
      </c>
      <c r="B44" s="1" t="s">
        <v>65</v>
      </c>
      <c r="C44" s="1" t="s">
        <v>69</v>
      </c>
      <c r="D44" s="1" t="s">
        <v>69</v>
      </c>
      <c r="E44" s="2">
        <v>20303</v>
      </c>
      <c r="F44" s="1">
        <v>0</v>
      </c>
      <c r="G44" s="1">
        <v>1</v>
      </c>
      <c r="H44" s="1">
        <v>0</v>
      </c>
      <c r="I44" s="2">
        <f t="shared" si="0"/>
        <v>0.33333333333333331</v>
      </c>
      <c r="J44" s="2">
        <v>11149.666666666666</v>
      </c>
      <c r="K44" s="2">
        <f t="shared" si="1"/>
        <v>2.9896259977876767</v>
      </c>
      <c r="L44" s="1">
        <v>0</v>
      </c>
      <c r="M44" s="1">
        <v>0</v>
      </c>
      <c r="N44" s="1">
        <v>1</v>
      </c>
      <c r="O44" s="2">
        <f t="shared" si="2"/>
        <v>0.33333333333333331</v>
      </c>
      <c r="P44" s="2">
        <v>11875.666666666666</v>
      </c>
      <c r="Q44" s="2">
        <f t="shared" si="3"/>
        <v>2.8068599657563085</v>
      </c>
    </row>
    <row r="45" spans="1:17" x14ac:dyDescent="0.3">
      <c r="A45" s="1" t="s">
        <v>50</v>
      </c>
      <c r="B45" s="1" t="s">
        <v>65</v>
      </c>
      <c r="C45" s="1" t="s">
        <v>70</v>
      </c>
      <c r="D45" s="1" t="s">
        <v>70</v>
      </c>
      <c r="E45" s="2">
        <v>20304</v>
      </c>
      <c r="F45" s="1">
        <v>0</v>
      </c>
      <c r="G45" s="1">
        <v>0</v>
      </c>
      <c r="H45" s="1">
        <v>0</v>
      </c>
      <c r="I45" s="2">
        <f t="shared" si="0"/>
        <v>0</v>
      </c>
      <c r="J45" s="2">
        <v>4651</v>
      </c>
      <c r="K45" s="2">
        <f t="shared" si="1"/>
        <v>0</v>
      </c>
      <c r="L45" s="1">
        <v>0</v>
      </c>
      <c r="M45" s="1">
        <v>0</v>
      </c>
      <c r="N45" s="1">
        <v>0</v>
      </c>
      <c r="O45" s="2">
        <f t="shared" si="2"/>
        <v>0</v>
      </c>
      <c r="P45" s="2">
        <v>5091</v>
      </c>
      <c r="Q45" s="2">
        <f t="shared" si="3"/>
        <v>0</v>
      </c>
    </row>
    <row r="46" spans="1:17" x14ac:dyDescent="0.3">
      <c r="A46" s="1" t="s">
        <v>50</v>
      </c>
      <c r="B46" s="1" t="s">
        <v>65</v>
      </c>
      <c r="C46" s="1" t="s">
        <v>71</v>
      </c>
      <c r="D46" s="1" t="s">
        <v>71</v>
      </c>
      <c r="E46" s="2">
        <v>20305</v>
      </c>
      <c r="F46" s="1">
        <v>0</v>
      </c>
      <c r="G46" s="1">
        <v>1</v>
      </c>
      <c r="H46" s="1">
        <v>0</v>
      </c>
      <c r="I46" s="2">
        <f t="shared" si="0"/>
        <v>0.33333333333333331</v>
      </c>
      <c r="J46" s="2">
        <v>3758</v>
      </c>
      <c r="K46" s="2">
        <f t="shared" si="1"/>
        <v>8.8699662941280817</v>
      </c>
      <c r="L46" s="1">
        <v>0</v>
      </c>
      <c r="M46" s="1">
        <v>0</v>
      </c>
      <c r="N46" s="1">
        <v>0</v>
      </c>
      <c r="O46" s="2">
        <f t="shared" si="2"/>
        <v>0</v>
      </c>
      <c r="P46" s="2">
        <v>4051</v>
      </c>
      <c r="Q46" s="2">
        <f t="shared" si="3"/>
        <v>0</v>
      </c>
    </row>
    <row r="47" spans="1:17" x14ac:dyDescent="0.3">
      <c r="A47" s="1" t="s">
        <v>50</v>
      </c>
      <c r="B47" s="1" t="s">
        <v>65</v>
      </c>
      <c r="C47" s="1" t="s">
        <v>72</v>
      </c>
      <c r="D47" s="1" t="s">
        <v>72</v>
      </c>
      <c r="E47" s="2">
        <v>20306</v>
      </c>
      <c r="F47" s="1">
        <v>0</v>
      </c>
      <c r="G47" s="1">
        <v>0</v>
      </c>
      <c r="H47" s="1">
        <v>0</v>
      </c>
      <c r="I47" s="2">
        <f t="shared" si="0"/>
        <v>0</v>
      </c>
      <c r="J47" s="2">
        <v>5937</v>
      </c>
      <c r="K47" s="2">
        <f t="shared" si="1"/>
        <v>0</v>
      </c>
      <c r="L47" s="1">
        <v>0</v>
      </c>
      <c r="M47" s="1">
        <v>0</v>
      </c>
      <c r="N47" s="1">
        <v>0</v>
      </c>
      <c r="O47" s="2">
        <f t="shared" si="2"/>
        <v>0</v>
      </c>
      <c r="P47" s="2">
        <v>6433</v>
      </c>
      <c r="Q47" s="2">
        <f t="shared" si="3"/>
        <v>0</v>
      </c>
    </row>
    <row r="48" spans="1:17" x14ac:dyDescent="0.3">
      <c r="A48" s="1" t="s">
        <v>50</v>
      </c>
      <c r="B48" s="1" t="s">
        <v>65</v>
      </c>
      <c r="C48" s="1" t="s">
        <v>73</v>
      </c>
      <c r="D48" s="1" t="s">
        <v>73</v>
      </c>
      <c r="E48" s="2">
        <v>20307</v>
      </c>
      <c r="F48" s="1">
        <v>0</v>
      </c>
      <c r="G48" s="1">
        <v>0</v>
      </c>
      <c r="H48" s="1">
        <v>0</v>
      </c>
      <c r="I48" s="2">
        <f t="shared" si="0"/>
        <v>0</v>
      </c>
      <c r="J48" s="2">
        <v>2585.3333333333335</v>
      </c>
      <c r="K48" s="2">
        <f t="shared" si="1"/>
        <v>0</v>
      </c>
      <c r="L48" s="1">
        <v>0</v>
      </c>
      <c r="M48" s="1">
        <v>0</v>
      </c>
      <c r="N48" s="1">
        <v>0</v>
      </c>
      <c r="O48" s="2">
        <f t="shared" si="2"/>
        <v>0</v>
      </c>
      <c r="P48" s="2">
        <v>3709</v>
      </c>
      <c r="Q48" s="2">
        <f t="shared" si="3"/>
        <v>0</v>
      </c>
    </row>
    <row r="49" spans="1:17" x14ac:dyDescent="0.3">
      <c r="A49" s="1" t="s">
        <v>50</v>
      </c>
      <c r="B49" s="1" t="s">
        <v>65</v>
      </c>
      <c r="C49" s="1" t="s">
        <v>74</v>
      </c>
      <c r="D49" s="1" t="s">
        <v>74</v>
      </c>
      <c r="E49" s="2">
        <v>20308</v>
      </c>
      <c r="F49" s="1">
        <v>0</v>
      </c>
      <c r="G49" s="1">
        <v>0</v>
      </c>
      <c r="H49" s="1">
        <v>0</v>
      </c>
      <c r="I49" s="2">
        <f t="shared" si="0"/>
        <v>0</v>
      </c>
      <c r="J49" s="2">
        <v>7683.333333333333</v>
      </c>
      <c r="K49" s="2">
        <f t="shared" si="1"/>
        <v>0</v>
      </c>
      <c r="L49" s="1">
        <v>0</v>
      </c>
      <c r="M49" s="1">
        <v>0</v>
      </c>
      <c r="N49" s="1">
        <v>0</v>
      </c>
      <c r="O49" s="2">
        <f t="shared" si="2"/>
        <v>0</v>
      </c>
      <c r="P49" s="2">
        <v>7908.666666666667</v>
      </c>
      <c r="Q49" s="2">
        <f t="shared" si="3"/>
        <v>0</v>
      </c>
    </row>
    <row r="50" spans="1:17" x14ac:dyDescent="0.3">
      <c r="A50" s="1" t="s">
        <v>50</v>
      </c>
      <c r="B50" s="1" t="s">
        <v>75</v>
      </c>
      <c r="C50" s="1" t="s">
        <v>76</v>
      </c>
      <c r="D50" s="1" t="s">
        <v>76</v>
      </c>
      <c r="E50" s="2">
        <v>20401</v>
      </c>
      <c r="F50" s="1">
        <v>0</v>
      </c>
      <c r="G50" s="1">
        <v>0</v>
      </c>
      <c r="H50" s="1">
        <v>0</v>
      </c>
      <c r="I50" s="2">
        <f t="shared" si="0"/>
        <v>0</v>
      </c>
      <c r="J50" s="2">
        <v>12836</v>
      </c>
      <c r="K50" s="2">
        <f t="shared" si="1"/>
        <v>0</v>
      </c>
      <c r="L50" s="1">
        <v>0</v>
      </c>
      <c r="M50" s="1">
        <v>0</v>
      </c>
      <c r="N50" s="1">
        <v>0</v>
      </c>
      <c r="O50" s="2">
        <f t="shared" si="2"/>
        <v>0</v>
      </c>
      <c r="P50" s="2">
        <v>13719</v>
      </c>
      <c r="Q50" s="2">
        <f t="shared" si="3"/>
        <v>0</v>
      </c>
    </row>
    <row r="51" spans="1:17" x14ac:dyDescent="0.3">
      <c r="A51" s="1" t="s">
        <v>50</v>
      </c>
      <c r="B51" s="1" t="s">
        <v>75</v>
      </c>
      <c r="C51" s="1" t="s">
        <v>77</v>
      </c>
      <c r="D51" s="1" t="s">
        <v>77</v>
      </c>
      <c r="E51" s="2">
        <v>20402</v>
      </c>
      <c r="F51" s="1">
        <v>0</v>
      </c>
      <c r="G51" s="1">
        <v>0</v>
      </c>
      <c r="H51" s="1">
        <v>0</v>
      </c>
      <c r="I51" s="2">
        <f t="shared" si="0"/>
        <v>0</v>
      </c>
      <c r="J51" s="2">
        <v>16824.666666666668</v>
      </c>
      <c r="K51" s="2">
        <f t="shared" si="1"/>
        <v>0</v>
      </c>
      <c r="L51" s="1">
        <v>0</v>
      </c>
      <c r="M51" s="1">
        <v>0</v>
      </c>
      <c r="N51" s="1">
        <v>0</v>
      </c>
      <c r="O51" s="2">
        <f t="shared" si="2"/>
        <v>0</v>
      </c>
      <c r="P51" s="2">
        <v>17487.333333333332</v>
      </c>
      <c r="Q51" s="2">
        <f t="shared" si="3"/>
        <v>0</v>
      </c>
    </row>
    <row r="52" spans="1:17" x14ac:dyDescent="0.3">
      <c r="A52" s="1" t="s">
        <v>50</v>
      </c>
      <c r="B52" s="1" t="s">
        <v>75</v>
      </c>
      <c r="C52" s="1" t="s">
        <v>78</v>
      </c>
      <c r="D52" s="1" t="s">
        <v>79</v>
      </c>
      <c r="E52" s="2">
        <v>20403</v>
      </c>
      <c r="F52" s="1">
        <v>0</v>
      </c>
      <c r="G52" s="1">
        <v>0</v>
      </c>
      <c r="H52" s="1">
        <v>0</v>
      </c>
      <c r="I52" s="2">
        <f t="shared" si="0"/>
        <v>0</v>
      </c>
      <c r="J52" s="2">
        <v>16140.333333333334</v>
      </c>
      <c r="K52" s="2">
        <f t="shared" si="1"/>
        <v>0</v>
      </c>
      <c r="L52" s="1">
        <v>0</v>
      </c>
      <c r="M52" s="1">
        <v>0</v>
      </c>
      <c r="N52" s="1">
        <v>0</v>
      </c>
      <c r="O52" s="2">
        <f t="shared" si="2"/>
        <v>0</v>
      </c>
      <c r="P52" s="2">
        <v>17026.333333333332</v>
      </c>
      <c r="Q52" s="2">
        <f t="shared" si="3"/>
        <v>0</v>
      </c>
    </row>
    <row r="53" spans="1:17" x14ac:dyDescent="0.3">
      <c r="A53" s="1" t="s">
        <v>50</v>
      </c>
      <c r="B53" s="1" t="s">
        <v>75</v>
      </c>
      <c r="C53" s="1" t="s">
        <v>80</v>
      </c>
      <c r="D53" s="1" t="s">
        <v>80</v>
      </c>
      <c r="E53" s="2">
        <v>20404</v>
      </c>
      <c r="F53" s="1">
        <v>0</v>
      </c>
      <c r="G53" s="1">
        <v>0</v>
      </c>
      <c r="H53" s="1">
        <v>0</v>
      </c>
      <c r="I53" s="2">
        <f t="shared" si="0"/>
        <v>0</v>
      </c>
      <c r="J53" s="2">
        <v>5501.333333333333</v>
      </c>
      <c r="K53" s="2">
        <f t="shared" si="1"/>
        <v>0</v>
      </c>
      <c r="L53" s="1">
        <v>0</v>
      </c>
      <c r="M53" s="1">
        <v>0</v>
      </c>
      <c r="N53" s="1">
        <v>0</v>
      </c>
      <c r="O53" s="2">
        <f t="shared" si="2"/>
        <v>0</v>
      </c>
      <c r="P53" s="2">
        <v>5592.333333333333</v>
      </c>
      <c r="Q53" s="2">
        <f t="shared" si="3"/>
        <v>0</v>
      </c>
    </row>
    <row r="54" spans="1:17" x14ac:dyDescent="0.3">
      <c r="A54" s="1" t="s">
        <v>50</v>
      </c>
      <c r="B54" s="1" t="s">
        <v>75</v>
      </c>
      <c r="C54" s="1" t="s">
        <v>81</v>
      </c>
      <c r="D54" s="1" t="s">
        <v>81</v>
      </c>
      <c r="E54" s="2">
        <v>20405</v>
      </c>
      <c r="F54" s="1">
        <v>0</v>
      </c>
      <c r="G54" s="1">
        <v>0</v>
      </c>
      <c r="H54" s="1">
        <v>0</v>
      </c>
      <c r="I54" s="2">
        <f t="shared" si="0"/>
        <v>0</v>
      </c>
      <c r="J54" s="2">
        <v>8133.333333333333</v>
      </c>
      <c r="K54" s="2">
        <f t="shared" si="1"/>
        <v>0</v>
      </c>
      <c r="L54" s="1">
        <v>0</v>
      </c>
      <c r="M54" s="1">
        <v>0</v>
      </c>
      <c r="N54" s="1">
        <v>0</v>
      </c>
      <c r="O54" s="2">
        <f t="shared" si="2"/>
        <v>0</v>
      </c>
      <c r="P54" s="2">
        <v>8674.6666666666661</v>
      </c>
      <c r="Q54" s="2">
        <f t="shared" si="3"/>
        <v>0</v>
      </c>
    </row>
    <row r="55" spans="1:17" x14ac:dyDescent="0.3">
      <c r="A55" s="1" t="s">
        <v>50</v>
      </c>
      <c r="B55" s="1" t="s">
        <v>82</v>
      </c>
      <c r="C55" s="1" t="s">
        <v>83</v>
      </c>
      <c r="D55" s="1" t="s">
        <v>83</v>
      </c>
      <c r="E55" s="2">
        <v>20501</v>
      </c>
      <c r="F55" s="1">
        <v>0</v>
      </c>
      <c r="G55" s="1">
        <v>0</v>
      </c>
      <c r="H55" s="1">
        <v>0</v>
      </c>
      <c r="I55" s="2">
        <f t="shared" si="0"/>
        <v>0</v>
      </c>
      <c r="J55" s="2">
        <v>15088.666666666666</v>
      </c>
      <c r="K55" s="2">
        <f t="shared" si="1"/>
        <v>0</v>
      </c>
      <c r="L55" s="1">
        <v>0</v>
      </c>
      <c r="M55" s="1">
        <v>0</v>
      </c>
      <c r="N55" s="1">
        <v>0</v>
      </c>
      <c r="O55" s="2">
        <f t="shared" si="2"/>
        <v>0</v>
      </c>
      <c r="P55" s="2">
        <v>17154.666666666668</v>
      </c>
      <c r="Q55" s="2">
        <f t="shared" si="3"/>
        <v>0</v>
      </c>
    </row>
    <row r="56" spans="1:17" x14ac:dyDescent="0.3">
      <c r="A56" s="1" t="s">
        <v>50</v>
      </c>
      <c r="B56" s="1" t="s">
        <v>82</v>
      </c>
      <c r="C56" s="1" t="s">
        <v>84</v>
      </c>
      <c r="D56" s="1" t="s">
        <v>84</v>
      </c>
      <c r="E56" s="2">
        <v>20502</v>
      </c>
      <c r="F56" s="1">
        <v>0</v>
      </c>
      <c r="G56" s="1">
        <v>0</v>
      </c>
      <c r="H56" s="1">
        <v>0</v>
      </c>
      <c r="I56" s="2">
        <f t="shared" si="0"/>
        <v>0</v>
      </c>
      <c r="J56" s="2">
        <v>8729.3333333333339</v>
      </c>
      <c r="K56" s="2">
        <f t="shared" si="1"/>
        <v>0</v>
      </c>
      <c r="L56" s="1">
        <v>0</v>
      </c>
      <c r="M56" s="1">
        <v>0</v>
      </c>
      <c r="N56" s="1">
        <v>0</v>
      </c>
      <c r="O56" s="2">
        <f t="shared" si="2"/>
        <v>0</v>
      </c>
      <c r="P56" s="2">
        <v>8911.3333333333339</v>
      </c>
      <c r="Q56" s="2">
        <f t="shared" si="3"/>
        <v>0</v>
      </c>
    </row>
    <row r="57" spans="1:17" x14ac:dyDescent="0.3">
      <c r="A57" s="1" t="s">
        <v>50</v>
      </c>
      <c r="B57" s="1" t="s">
        <v>82</v>
      </c>
      <c r="C57" s="1" t="s">
        <v>85</v>
      </c>
      <c r="D57" s="1" t="s">
        <v>85</v>
      </c>
      <c r="E57" s="2">
        <v>20503</v>
      </c>
      <c r="F57" s="1">
        <v>0</v>
      </c>
      <c r="G57" s="1">
        <v>0</v>
      </c>
      <c r="H57" s="1">
        <v>0</v>
      </c>
      <c r="I57" s="2">
        <f t="shared" si="0"/>
        <v>0</v>
      </c>
      <c r="J57" s="2">
        <v>6210</v>
      </c>
      <c r="K57" s="2">
        <f t="shared" si="1"/>
        <v>0</v>
      </c>
      <c r="L57" s="1">
        <v>0</v>
      </c>
      <c r="M57" s="1">
        <v>0</v>
      </c>
      <c r="N57" s="1">
        <v>0</v>
      </c>
      <c r="O57" s="2">
        <f t="shared" si="2"/>
        <v>0</v>
      </c>
      <c r="P57" s="2">
        <v>6618</v>
      </c>
      <c r="Q57" s="2">
        <f t="shared" si="3"/>
        <v>0</v>
      </c>
    </row>
    <row r="58" spans="1:17" x14ac:dyDescent="0.3">
      <c r="A58" s="1" t="s">
        <v>50</v>
      </c>
      <c r="B58" s="1" t="s">
        <v>86</v>
      </c>
      <c r="C58" s="1" t="s">
        <v>87</v>
      </c>
      <c r="D58" s="1" t="s">
        <v>87</v>
      </c>
      <c r="E58" s="2">
        <v>20601</v>
      </c>
      <c r="F58" s="1">
        <v>0</v>
      </c>
      <c r="G58" s="1">
        <v>0</v>
      </c>
      <c r="H58" s="1">
        <v>0</v>
      </c>
      <c r="I58" s="2">
        <f t="shared" si="0"/>
        <v>0</v>
      </c>
      <c r="J58" s="2">
        <v>27308.333333333332</v>
      </c>
      <c r="K58" s="2">
        <f t="shared" si="1"/>
        <v>0</v>
      </c>
      <c r="L58" s="1">
        <v>1</v>
      </c>
      <c r="M58" s="1">
        <v>0</v>
      </c>
      <c r="N58" s="1">
        <v>1</v>
      </c>
      <c r="O58" s="2">
        <f t="shared" si="2"/>
        <v>0.66666666666666663</v>
      </c>
      <c r="P58" s="2">
        <v>29477.666666666668</v>
      </c>
      <c r="Q58" s="2">
        <f t="shared" si="3"/>
        <v>2.2615991767778993</v>
      </c>
    </row>
    <row r="59" spans="1:17" x14ac:dyDescent="0.3">
      <c r="A59" s="1" t="s">
        <v>50</v>
      </c>
      <c r="B59" s="1" t="s">
        <v>86</v>
      </c>
      <c r="C59" s="1" t="s">
        <v>88</v>
      </c>
      <c r="D59" s="1" t="s">
        <v>88</v>
      </c>
      <c r="E59" s="2">
        <v>20602</v>
      </c>
      <c r="F59" s="1">
        <v>1</v>
      </c>
      <c r="G59" s="1">
        <v>3</v>
      </c>
      <c r="H59" s="1">
        <v>0</v>
      </c>
      <c r="I59" s="2">
        <f t="shared" si="0"/>
        <v>1.3333333333333333</v>
      </c>
      <c r="J59" s="2">
        <v>15713</v>
      </c>
      <c r="K59" s="2">
        <f t="shared" si="1"/>
        <v>8.4855427565285648</v>
      </c>
      <c r="L59" s="1">
        <v>1</v>
      </c>
      <c r="M59" s="1">
        <v>0</v>
      </c>
      <c r="N59" s="1">
        <v>0</v>
      </c>
      <c r="O59" s="2">
        <f t="shared" si="2"/>
        <v>0.33333333333333331</v>
      </c>
      <c r="P59" s="2">
        <v>16241</v>
      </c>
      <c r="Q59" s="2">
        <f t="shared" si="3"/>
        <v>2.0524187755269585</v>
      </c>
    </row>
    <row r="60" spans="1:17" x14ac:dyDescent="0.3">
      <c r="A60" s="1" t="s">
        <v>50</v>
      </c>
      <c r="B60" s="1" t="s">
        <v>86</v>
      </c>
      <c r="C60" s="1" t="s">
        <v>89</v>
      </c>
      <c r="D60" s="1" t="s">
        <v>89</v>
      </c>
      <c r="E60" s="2">
        <v>20603</v>
      </c>
      <c r="F60" s="1">
        <v>0</v>
      </c>
      <c r="G60" s="1">
        <v>0</v>
      </c>
      <c r="H60" s="1">
        <v>0</v>
      </c>
      <c r="I60" s="2">
        <f t="shared" si="0"/>
        <v>0</v>
      </c>
      <c r="J60" s="2">
        <v>9070.3333333333339</v>
      </c>
      <c r="K60" s="2">
        <f t="shared" si="1"/>
        <v>0</v>
      </c>
      <c r="L60" s="1">
        <v>0</v>
      </c>
      <c r="M60" s="1">
        <v>0</v>
      </c>
      <c r="N60" s="1">
        <v>0</v>
      </c>
      <c r="O60" s="2">
        <f t="shared" si="2"/>
        <v>0</v>
      </c>
      <c r="P60" s="2">
        <v>9578</v>
      </c>
      <c r="Q60" s="2">
        <f t="shared" si="3"/>
        <v>0</v>
      </c>
    </row>
    <row r="61" spans="1:17" x14ac:dyDescent="0.3">
      <c r="A61" s="1" t="s">
        <v>50</v>
      </c>
      <c r="B61" s="1" t="s">
        <v>86</v>
      </c>
      <c r="C61" s="1" t="s">
        <v>90</v>
      </c>
      <c r="D61" s="1" t="s">
        <v>90</v>
      </c>
      <c r="E61" s="2">
        <v>20604</v>
      </c>
      <c r="F61" s="1">
        <v>0</v>
      </c>
      <c r="G61" s="1">
        <v>0</v>
      </c>
      <c r="H61" s="1">
        <v>0</v>
      </c>
      <c r="I61" s="2">
        <f t="shared" si="0"/>
        <v>0</v>
      </c>
      <c r="J61" s="2">
        <v>3581</v>
      </c>
      <c r="K61" s="2">
        <f t="shared" si="1"/>
        <v>0</v>
      </c>
      <c r="L61" s="1">
        <v>0</v>
      </c>
      <c r="M61" s="1">
        <v>0</v>
      </c>
      <c r="N61" s="1">
        <v>0</v>
      </c>
      <c r="O61" s="2">
        <f t="shared" si="2"/>
        <v>0</v>
      </c>
      <c r="P61" s="2">
        <v>4093</v>
      </c>
      <c r="Q61" s="2">
        <f t="shared" si="3"/>
        <v>0</v>
      </c>
    </row>
    <row r="62" spans="1:17" x14ac:dyDescent="0.3">
      <c r="A62" s="1" t="s">
        <v>50</v>
      </c>
      <c r="B62" s="1" t="s">
        <v>86</v>
      </c>
      <c r="C62" s="1" t="s">
        <v>91</v>
      </c>
      <c r="D62" s="1" t="s">
        <v>91</v>
      </c>
      <c r="E62" s="2">
        <v>20605</v>
      </c>
      <c r="F62" s="1">
        <v>0</v>
      </c>
      <c r="G62" s="1">
        <v>0</v>
      </c>
      <c r="H62" s="1">
        <v>0</v>
      </c>
      <c r="I62" s="2">
        <f t="shared" si="0"/>
        <v>0</v>
      </c>
      <c r="J62" s="2">
        <v>3597.3333333333335</v>
      </c>
      <c r="K62" s="2">
        <f t="shared" si="1"/>
        <v>0</v>
      </c>
      <c r="L62" s="1">
        <v>0</v>
      </c>
      <c r="M62" s="1">
        <v>0</v>
      </c>
      <c r="N62" s="1">
        <v>0</v>
      </c>
      <c r="O62" s="2">
        <f t="shared" si="2"/>
        <v>0</v>
      </c>
      <c r="P62" s="2">
        <v>3521</v>
      </c>
      <c r="Q62" s="2">
        <f t="shared" si="3"/>
        <v>0</v>
      </c>
    </row>
    <row r="63" spans="1:17" x14ac:dyDescent="0.3">
      <c r="A63" s="1" t="s">
        <v>50</v>
      </c>
      <c r="B63" s="1" t="s">
        <v>86</v>
      </c>
      <c r="C63" s="1" t="s">
        <v>92</v>
      </c>
      <c r="D63" s="1" t="s">
        <v>92</v>
      </c>
      <c r="E63" s="2">
        <v>20606</v>
      </c>
      <c r="F63" s="1">
        <v>0</v>
      </c>
      <c r="G63" s="1">
        <v>0</v>
      </c>
      <c r="H63" s="1">
        <v>0</v>
      </c>
      <c r="I63" s="2">
        <f t="shared" si="0"/>
        <v>0</v>
      </c>
      <c r="J63" s="2">
        <v>8617.3333333333339</v>
      </c>
      <c r="K63" s="2">
        <f t="shared" si="1"/>
        <v>0</v>
      </c>
      <c r="L63" s="1">
        <v>0</v>
      </c>
      <c r="M63" s="1">
        <v>0</v>
      </c>
      <c r="N63" s="1">
        <v>1</v>
      </c>
      <c r="O63" s="2">
        <f t="shared" si="2"/>
        <v>0.33333333333333331</v>
      </c>
      <c r="P63" s="2">
        <v>7835.333333333333</v>
      </c>
      <c r="Q63" s="2">
        <f t="shared" si="3"/>
        <v>4.2542329617969878</v>
      </c>
    </row>
    <row r="64" spans="1:17" x14ac:dyDescent="0.3">
      <c r="A64" s="1" t="s">
        <v>50</v>
      </c>
      <c r="B64" s="1" t="s">
        <v>86</v>
      </c>
      <c r="C64" s="1" t="s">
        <v>93</v>
      </c>
      <c r="D64" s="1" t="s">
        <v>93</v>
      </c>
      <c r="E64" s="2">
        <v>20607</v>
      </c>
      <c r="F64" s="1">
        <v>0</v>
      </c>
      <c r="G64" s="1">
        <v>0</v>
      </c>
      <c r="H64" s="1">
        <v>0</v>
      </c>
      <c r="I64" s="2">
        <f t="shared" si="0"/>
        <v>0</v>
      </c>
      <c r="J64" s="2">
        <v>18507.666666666668</v>
      </c>
      <c r="K64" s="2">
        <f t="shared" si="1"/>
        <v>0</v>
      </c>
      <c r="L64" s="1">
        <v>0</v>
      </c>
      <c r="M64" s="1">
        <v>1</v>
      </c>
      <c r="N64" s="1">
        <v>1</v>
      </c>
      <c r="O64" s="2">
        <f t="shared" si="2"/>
        <v>0.66666666666666663</v>
      </c>
      <c r="P64" s="2">
        <v>21145.666666666668</v>
      </c>
      <c r="Q64" s="2">
        <f t="shared" si="3"/>
        <v>3.1527342087425314</v>
      </c>
    </row>
    <row r="65" spans="1:17" x14ac:dyDescent="0.3">
      <c r="A65" s="1" t="s">
        <v>50</v>
      </c>
      <c r="B65" s="1" t="s">
        <v>86</v>
      </c>
      <c r="C65" s="1" t="s">
        <v>94</v>
      </c>
      <c r="D65" s="1" t="s">
        <v>94</v>
      </c>
      <c r="E65" s="2">
        <v>20608</v>
      </c>
      <c r="F65" s="1">
        <v>0</v>
      </c>
      <c r="G65" s="1">
        <v>0</v>
      </c>
      <c r="H65" s="1">
        <v>0</v>
      </c>
      <c r="I65" s="2">
        <f t="shared" si="0"/>
        <v>0</v>
      </c>
      <c r="J65" s="2">
        <v>11752.333333333334</v>
      </c>
      <c r="K65" s="2">
        <f t="shared" si="1"/>
        <v>0</v>
      </c>
      <c r="L65" s="1">
        <v>0</v>
      </c>
      <c r="M65" s="1">
        <v>0</v>
      </c>
      <c r="N65" s="1">
        <v>0</v>
      </c>
      <c r="O65" s="2">
        <f t="shared" si="2"/>
        <v>0</v>
      </c>
      <c r="P65" s="2">
        <v>13125.666666666666</v>
      </c>
      <c r="Q65" s="2">
        <f t="shared" si="3"/>
        <v>0</v>
      </c>
    </row>
    <row r="66" spans="1:17" x14ac:dyDescent="0.3">
      <c r="A66" s="1" t="s">
        <v>50</v>
      </c>
      <c r="B66" s="1" t="s">
        <v>95</v>
      </c>
      <c r="C66" s="1" t="s">
        <v>96</v>
      </c>
      <c r="D66" s="1" t="s">
        <v>96</v>
      </c>
      <c r="E66" s="2">
        <v>20701</v>
      </c>
      <c r="F66" s="1">
        <v>0</v>
      </c>
      <c r="G66" s="1">
        <v>0</v>
      </c>
      <c r="H66" s="1">
        <v>0</v>
      </c>
      <c r="I66" s="2">
        <f t="shared" si="0"/>
        <v>0</v>
      </c>
      <c r="J66" s="2">
        <v>19572.333333333332</v>
      </c>
      <c r="K66" s="2">
        <f t="shared" si="1"/>
        <v>0</v>
      </c>
      <c r="L66" s="1">
        <v>3</v>
      </c>
      <c r="M66" s="1">
        <v>3</v>
      </c>
      <c r="N66" s="1">
        <v>3</v>
      </c>
      <c r="O66" s="2">
        <f t="shared" si="2"/>
        <v>3</v>
      </c>
      <c r="P66" s="2">
        <v>19152</v>
      </c>
      <c r="Q66" s="2">
        <f t="shared" si="3"/>
        <v>15.664160401002505</v>
      </c>
    </row>
    <row r="67" spans="1:17" x14ac:dyDescent="0.3">
      <c r="A67" s="1" t="s">
        <v>50</v>
      </c>
      <c r="B67" s="1" t="s">
        <v>95</v>
      </c>
      <c r="C67" s="1" t="s">
        <v>97</v>
      </c>
      <c r="D67" s="1" t="s">
        <v>97</v>
      </c>
      <c r="E67" s="2">
        <v>20702</v>
      </c>
      <c r="F67" s="1">
        <v>0</v>
      </c>
      <c r="G67" s="1">
        <v>0</v>
      </c>
      <c r="H67" s="1">
        <v>0</v>
      </c>
      <c r="I67" s="2">
        <f t="shared" ref="I67:I130" si="11">AVERAGE(F67:H67)</f>
        <v>0</v>
      </c>
      <c r="J67" s="2">
        <v>8071</v>
      </c>
      <c r="K67" s="2">
        <f t="shared" ref="K67:K130" si="12">I67/J67*100000</f>
        <v>0</v>
      </c>
      <c r="L67" s="1">
        <v>0</v>
      </c>
      <c r="M67" s="1">
        <v>0</v>
      </c>
      <c r="N67" s="1">
        <v>0</v>
      </c>
      <c r="O67" s="2">
        <f t="shared" ref="O67:O130" si="13">AVERAGE(L67:N67)</f>
        <v>0</v>
      </c>
      <c r="P67" s="2">
        <v>8808.6666666666661</v>
      </c>
      <c r="Q67" s="2">
        <f t="shared" ref="Q67:Q130" si="14">O67/P67*100000</f>
        <v>0</v>
      </c>
    </row>
    <row r="68" spans="1:17" x14ac:dyDescent="0.3">
      <c r="A68" s="1" t="s">
        <v>50</v>
      </c>
      <c r="B68" s="1" t="s">
        <v>98</v>
      </c>
      <c r="C68" s="1" t="s">
        <v>99</v>
      </c>
      <c r="D68" s="1" t="s">
        <v>99</v>
      </c>
      <c r="E68" s="2">
        <v>20801</v>
      </c>
      <c r="F68" s="1">
        <v>1</v>
      </c>
      <c r="G68" s="1">
        <v>1</v>
      </c>
      <c r="H68" s="1">
        <v>2</v>
      </c>
      <c r="I68" s="2">
        <f t="shared" si="11"/>
        <v>1.3333333333333333</v>
      </c>
      <c r="J68" s="2">
        <v>99816</v>
      </c>
      <c r="K68" s="2">
        <f t="shared" si="12"/>
        <v>1.3357911891213163</v>
      </c>
      <c r="L68" s="1">
        <v>1</v>
      </c>
      <c r="M68" s="1">
        <v>5</v>
      </c>
      <c r="N68" s="1">
        <v>5</v>
      </c>
      <c r="O68" s="2">
        <f t="shared" si="13"/>
        <v>3.6666666666666665</v>
      </c>
      <c r="P68" s="2">
        <v>110725.66666666667</v>
      </c>
      <c r="Q68" s="2">
        <f t="shared" si="14"/>
        <v>3.311487550312032</v>
      </c>
    </row>
    <row r="69" spans="1:17" x14ac:dyDescent="0.3">
      <c r="A69" s="1" t="s">
        <v>50</v>
      </c>
      <c r="B69" s="1" t="s">
        <v>98</v>
      </c>
      <c r="C69" s="1" t="s">
        <v>100</v>
      </c>
      <c r="D69" s="1" t="s">
        <v>101</v>
      </c>
      <c r="E69" s="2">
        <v>20802</v>
      </c>
      <c r="F69" s="1">
        <v>0</v>
      </c>
      <c r="G69" s="1">
        <v>0</v>
      </c>
      <c r="H69" s="1">
        <v>0</v>
      </c>
      <c r="I69" s="2">
        <f t="shared" si="11"/>
        <v>0</v>
      </c>
      <c r="J69" s="2">
        <v>8049</v>
      </c>
      <c r="K69" s="2">
        <f t="shared" si="12"/>
        <v>0</v>
      </c>
      <c r="L69" s="1">
        <v>0</v>
      </c>
      <c r="M69" s="1">
        <v>0</v>
      </c>
      <c r="N69" s="1">
        <v>1</v>
      </c>
      <c r="O69" s="2">
        <f t="shared" si="13"/>
        <v>0.33333333333333331</v>
      </c>
      <c r="P69" s="2">
        <v>8489</v>
      </c>
      <c r="Q69" s="2">
        <f t="shared" si="14"/>
        <v>3.9266501747359324</v>
      </c>
    </row>
    <row r="70" spans="1:17" x14ac:dyDescent="0.3">
      <c r="A70" s="1" t="s">
        <v>50</v>
      </c>
      <c r="B70" s="1" t="s">
        <v>98</v>
      </c>
      <c r="C70" s="1" t="s">
        <v>102</v>
      </c>
      <c r="D70" s="1" t="s">
        <v>102</v>
      </c>
      <c r="E70" s="2">
        <v>20803</v>
      </c>
      <c r="F70" s="1">
        <v>0</v>
      </c>
      <c r="G70" s="1">
        <v>0</v>
      </c>
      <c r="H70" s="1">
        <v>0</v>
      </c>
      <c r="I70" s="2">
        <f t="shared" si="11"/>
        <v>0</v>
      </c>
      <c r="J70" s="2">
        <v>12993.333333333334</v>
      </c>
      <c r="K70" s="2">
        <f t="shared" si="12"/>
        <v>0</v>
      </c>
      <c r="L70" s="1">
        <v>0</v>
      </c>
      <c r="M70" s="1">
        <v>0</v>
      </c>
      <c r="N70" s="1">
        <v>0</v>
      </c>
      <c r="O70" s="2">
        <f t="shared" si="13"/>
        <v>0</v>
      </c>
      <c r="P70" s="2">
        <v>13453</v>
      </c>
      <c r="Q70" s="2">
        <f t="shared" si="14"/>
        <v>0</v>
      </c>
    </row>
    <row r="71" spans="1:17" x14ac:dyDescent="0.3">
      <c r="A71" s="1" t="s">
        <v>50</v>
      </c>
      <c r="B71" s="1" t="s">
        <v>98</v>
      </c>
      <c r="C71" s="1" t="s">
        <v>103</v>
      </c>
      <c r="D71" s="1" t="s">
        <v>103</v>
      </c>
      <c r="E71" s="2">
        <v>20804</v>
      </c>
      <c r="F71" s="1">
        <v>0</v>
      </c>
      <c r="G71" s="1">
        <v>0</v>
      </c>
      <c r="H71" s="1">
        <v>1</v>
      </c>
      <c r="I71" s="2">
        <f t="shared" si="11"/>
        <v>0.33333333333333331</v>
      </c>
      <c r="J71" s="2">
        <v>7500.333333333333</v>
      </c>
      <c r="K71" s="2">
        <f t="shared" si="12"/>
        <v>4.4442469223590066</v>
      </c>
      <c r="L71" s="1">
        <v>10</v>
      </c>
      <c r="M71" s="1">
        <v>0</v>
      </c>
      <c r="N71" s="1">
        <v>0</v>
      </c>
      <c r="O71" s="2">
        <f t="shared" si="13"/>
        <v>3.3333333333333335</v>
      </c>
      <c r="P71" s="2">
        <v>7793.666666666667</v>
      </c>
      <c r="Q71" s="2">
        <f t="shared" si="14"/>
        <v>42.769770326333344</v>
      </c>
    </row>
    <row r="72" spans="1:17" x14ac:dyDescent="0.3">
      <c r="A72" s="1" t="s">
        <v>50</v>
      </c>
      <c r="B72" s="1" t="s">
        <v>98</v>
      </c>
      <c r="C72" s="1" t="s">
        <v>104</v>
      </c>
      <c r="D72" s="1" t="s">
        <v>105</v>
      </c>
      <c r="E72" s="2">
        <v>20805</v>
      </c>
      <c r="F72" s="1">
        <v>0</v>
      </c>
      <c r="G72" s="1">
        <v>0</v>
      </c>
      <c r="H72" s="1">
        <v>0</v>
      </c>
      <c r="I72" s="2">
        <f t="shared" si="11"/>
        <v>0</v>
      </c>
      <c r="J72" s="2">
        <v>7129.333333333333</v>
      </c>
      <c r="K72" s="2">
        <f t="shared" si="12"/>
        <v>0</v>
      </c>
      <c r="L72" s="1">
        <v>0</v>
      </c>
      <c r="M72" s="1">
        <v>0</v>
      </c>
      <c r="N72" s="1">
        <v>0</v>
      </c>
      <c r="O72" s="2">
        <f t="shared" si="13"/>
        <v>0</v>
      </c>
      <c r="P72" s="2">
        <v>7691.333333333333</v>
      </c>
      <c r="Q72" s="2">
        <f t="shared" si="14"/>
        <v>0</v>
      </c>
    </row>
    <row r="73" spans="1:17" x14ac:dyDescent="0.3">
      <c r="A73" s="1" t="s">
        <v>50</v>
      </c>
      <c r="B73" s="1" t="s">
        <v>98</v>
      </c>
      <c r="C73" s="1" t="s">
        <v>106</v>
      </c>
      <c r="D73" s="1" t="s">
        <v>107</v>
      </c>
      <c r="E73" s="2">
        <v>20806</v>
      </c>
      <c r="F73" s="1">
        <v>0</v>
      </c>
      <c r="G73" s="1">
        <v>0</v>
      </c>
      <c r="H73" s="1">
        <v>0</v>
      </c>
      <c r="I73" s="2">
        <f t="shared" si="11"/>
        <v>0</v>
      </c>
      <c r="J73" s="2">
        <v>16158</v>
      </c>
      <c r="K73" s="2">
        <f t="shared" si="12"/>
        <v>0</v>
      </c>
      <c r="L73" s="1">
        <v>0</v>
      </c>
      <c r="M73" s="1">
        <v>0</v>
      </c>
      <c r="N73" s="1">
        <v>0</v>
      </c>
      <c r="O73" s="2">
        <f t="shared" si="13"/>
        <v>0</v>
      </c>
      <c r="P73" s="2">
        <v>16797</v>
      </c>
      <c r="Q73" s="2">
        <f t="shared" si="14"/>
        <v>0</v>
      </c>
    </row>
    <row r="74" spans="1:17" x14ac:dyDescent="0.3">
      <c r="A74" s="1" t="s">
        <v>50</v>
      </c>
      <c r="B74" s="1" t="s">
        <v>98</v>
      </c>
      <c r="C74" s="1" t="s">
        <v>108</v>
      </c>
      <c r="D74" s="1" t="s">
        <v>108</v>
      </c>
      <c r="E74" s="2">
        <v>20807</v>
      </c>
      <c r="F74" s="1">
        <v>0</v>
      </c>
      <c r="G74" s="1">
        <v>0</v>
      </c>
      <c r="H74" s="1">
        <v>0</v>
      </c>
      <c r="I74" s="2">
        <f t="shared" si="11"/>
        <v>0</v>
      </c>
      <c r="J74" s="2">
        <v>7132.666666666667</v>
      </c>
      <c r="K74" s="2">
        <f t="shared" si="12"/>
        <v>0</v>
      </c>
      <c r="L74" s="1">
        <v>0</v>
      </c>
      <c r="M74" s="1">
        <v>0</v>
      </c>
      <c r="N74" s="1">
        <v>0</v>
      </c>
      <c r="O74" s="2">
        <f t="shared" si="13"/>
        <v>0</v>
      </c>
      <c r="P74" s="2">
        <v>7435.333333333333</v>
      </c>
      <c r="Q74" s="2">
        <f t="shared" si="14"/>
        <v>0</v>
      </c>
    </row>
    <row r="75" spans="1:17" x14ac:dyDescent="0.3">
      <c r="A75" s="1" t="s">
        <v>50</v>
      </c>
      <c r="B75" s="1" t="s">
        <v>109</v>
      </c>
      <c r="C75" s="1" t="s">
        <v>110</v>
      </c>
      <c r="D75" s="1" t="s">
        <v>110</v>
      </c>
      <c r="E75" s="2">
        <v>20901</v>
      </c>
      <c r="F75" s="1">
        <v>0</v>
      </c>
      <c r="G75" s="1">
        <v>0</v>
      </c>
      <c r="H75" s="1">
        <v>0</v>
      </c>
      <c r="I75" s="2">
        <f t="shared" si="11"/>
        <v>0</v>
      </c>
      <c r="J75" s="2">
        <v>10813.666666666666</v>
      </c>
      <c r="K75" s="2">
        <f t="shared" si="12"/>
        <v>0</v>
      </c>
      <c r="L75" s="1">
        <v>0</v>
      </c>
      <c r="M75" s="1">
        <v>0</v>
      </c>
      <c r="N75" s="1">
        <v>0</v>
      </c>
      <c r="O75" s="2">
        <f t="shared" si="13"/>
        <v>0</v>
      </c>
      <c r="P75" s="2">
        <v>10627.666666666666</v>
      </c>
      <c r="Q75" s="2">
        <f t="shared" si="14"/>
        <v>0</v>
      </c>
    </row>
    <row r="76" spans="1:17" x14ac:dyDescent="0.3">
      <c r="A76" s="1" t="s">
        <v>50</v>
      </c>
      <c r="B76" s="1" t="s">
        <v>109</v>
      </c>
      <c r="C76" s="1" t="s">
        <v>111</v>
      </c>
      <c r="D76" s="1" t="s">
        <v>111</v>
      </c>
      <c r="E76" s="2">
        <v>20902</v>
      </c>
      <c r="F76" s="1">
        <v>0</v>
      </c>
      <c r="G76" s="1">
        <v>0</v>
      </c>
      <c r="H76" s="1">
        <v>0</v>
      </c>
      <c r="I76" s="2">
        <f t="shared" si="11"/>
        <v>0</v>
      </c>
      <c r="J76" s="2">
        <v>14780</v>
      </c>
      <c r="K76" s="2">
        <f t="shared" si="12"/>
        <v>0</v>
      </c>
      <c r="L76" s="1">
        <v>0</v>
      </c>
      <c r="M76" s="1">
        <v>0</v>
      </c>
      <c r="N76" s="1">
        <v>0</v>
      </c>
      <c r="O76" s="2">
        <f t="shared" si="13"/>
        <v>0</v>
      </c>
      <c r="P76" s="2">
        <v>16092</v>
      </c>
      <c r="Q76" s="2">
        <f t="shared" si="14"/>
        <v>0</v>
      </c>
    </row>
    <row r="77" spans="1:17" x14ac:dyDescent="0.3">
      <c r="A77" s="1" t="s">
        <v>50</v>
      </c>
      <c r="B77" s="1" t="s">
        <v>109</v>
      </c>
      <c r="C77" s="1" t="s">
        <v>112</v>
      </c>
      <c r="D77" s="1" t="s">
        <v>112</v>
      </c>
      <c r="E77" s="2">
        <v>20903</v>
      </c>
      <c r="F77" s="1">
        <v>0</v>
      </c>
      <c r="G77" s="1">
        <v>0</v>
      </c>
      <c r="H77" s="1">
        <v>0</v>
      </c>
      <c r="I77" s="2">
        <f t="shared" si="11"/>
        <v>0</v>
      </c>
      <c r="J77" s="2">
        <v>10224.666666666666</v>
      </c>
      <c r="K77" s="2">
        <f t="shared" si="12"/>
        <v>0</v>
      </c>
      <c r="L77" s="1">
        <v>0</v>
      </c>
      <c r="M77" s="1">
        <v>0</v>
      </c>
      <c r="N77" s="1">
        <v>0</v>
      </c>
      <c r="O77" s="2">
        <f t="shared" si="13"/>
        <v>0</v>
      </c>
      <c r="P77" s="2">
        <v>11887.333333333334</v>
      </c>
      <c r="Q77" s="2">
        <f t="shared" si="14"/>
        <v>0</v>
      </c>
    </row>
    <row r="78" spans="1:17" x14ac:dyDescent="0.3">
      <c r="A78" s="1" t="s">
        <v>50</v>
      </c>
      <c r="B78" s="1" t="s">
        <v>109</v>
      </c>
      <c r="C78" s="1" t="s">
        <v>113</v>
      </c>
      <c r="D78" s="1" t="s">
        <v>113</v>
      </c>
      <c r="E78" s="2">
        <v>20904</v>
      </c>
      <c r="F78" s="1">
        <v>0</v>
      </c>
      <c r="G78" s="1">
        <v>0</v>
      </c>
      <c r="H78" s="1">
        <v>0</v>
      </c>
      <c r="I78" s="2">
        <f t="shared" si="11"/>
        <v>0</v>
      </c>
      <c r="J78" s="2">
        <v>4997</v>
      </c>
      <c r="K78" s="2">
        <f t="shared" si="12"/>
        <v>0</v>
      </c>
      <c r="L78" s="1">
        <v>0</v>
      </c>
      <c r="M78" s="1">
        <v>0</v>
      </c>
      <c r="N78" s="1">
        <v>0</v>
      </c>
      <c r="O78" s="2">
        <f t="shared" si="13"/>
        <v>0</v>
      </c>
      <c r="P78" s="2">
        <v>4892</v>
      </c>
      <c r="Q78" s="2">
        <f t="shared" si="14"/>
        <v>0</v>
      </c>
    </row>
    <row r="79" spans="1:17" x14ac:dyDescent="0.3">
      <c r="A79" s="1" t="s">
        <v>50</v>
      </c>
      <c r="B79" s="1" t="s">
        <v>109</v>
      </c>
      <c r="C79" s="1" t="s">
        <v>114</v>
      </c>
      <c r="D79" s="1" t="s">
        <v>114</v>
      </c>
      <c r="E79" s="2">
        <v>20905</v>
      </c>
      <c r="F79" s="1">
        <v>0</v>
      </c>
      <c r="G79" s="1">
        <v>0</v>
      </c>
      <c r="H79" s="1">
        <v>0</v>
      </c>
      <c r="I79" s="2">
        <f t="shared" si="11"/>
        <v>0</v>
      </c>
      <c r="J79" s="2">
        <v>12698</v>
      </c>
      <c r="K79" s="2">
        <f t="shared" si="12"/>
        <v>0</v>
      </c>
      <c r="L79" s="1">
        <v>0</v>
      </c>
      <c r="M79" s="1">
        <v>0</v>
      </c>
      <c r="N79" s="1">
        <v>0</v>
      </c>
      <c r="O79" s="2">
        <f t="shared" si="13"/>
        <v>0</v>
      </c>
      <c r="P79" s="2">
        <v>13465</v>
      </c>
      <c r="Q79" s="2">
        <f t="shared" si="14"/>
        <v>0</v>
      </c>
    </row>
    <row r="80" spans="1:17" x14ac:dyDescent="0.3">
      <c r="A80" s="1" t="s">
        <v>50</v>
      </c>
      <c r="B80" s="1" t="s">
        <v>115</v>
      </c>
      <c r="C80" s="1" t="s">
        <v>115</v>
      </c>
      <c r="D80" s="1" t="s">
        <v>115</v>
      </c>
      <c r="E80" s="2">
        <v>21001</v>
      </c>
      <c r="F80" s="1">
        <v>0</v>
      </c>
      <c r="G80" s="1">
        <v>0</v>
      </c>
      <c r="H80" s="1">
        <v>1</v>
      </c>
      <c r="I80" s="2">
        <f t="shared" si="11"/>
        <v>0.33333333333333331</v>
      </c>
      <c r="J80" s="2">
        <v>17078</v>
      </c>
      <c r="K80" s="2">
        <f t="shared" si="12"/>
        <v>1.9518288636452354</v>
      </c>
      <c r="L80" s="1">
        <v>1</v>
      </c>
      <c r="M80" s="1">
        <v>1</v>
      </c>
      <c r="N80" s="1">
        <v>0</v>
      </c>
      <c r="O80" s="2">
        <f t="shared" si="13"/>
        <v>0.66666666666666663</v>
      </c>
      <c r="P80" s="2">
        <v>18427</v>
      </c>
      <c r="Q80" s="2">
        <f t="shared" si="14"/>
        <v>3.6178795607894214</v>
      </c>
    </row>
    <row r="81" spans="1:17" x14ac:dyDescent="0.3">
      <c r="A81" s="1" t="s">
        <v>50</v>
      </c>
      <c r="B81" s="1" t="s">
        <v>115</v>
      </c>
      <c r="C81" s="1" t="s">
        <v>116</v>
      </c>
      <c r="D81" s="1" t="s">
        <v>116</v>
      </c>
      <c r="E81" s="2">
        <v>21002</v>
      </c>
      <c r="F81" s="1">
        <v>0</v>
      </c>
      <c r="G81" s="1">
        <v>0</v>
      </c>
      <c r="H81" s="1">
        <v>0</v>
      </c>
      <c r="I81" s="2">
        <f t="shared" si="11"/>
        <v>0</v>
      </c>
      <c r="J81" s="2">
        <v>9968</v>
      </c>
      <c r="K81" s="2">
        <f t="shared" si="12"/>
        <v>0</v>
      </c>
      <c r="L81" s="1">
        <v>0</v>
      </c>
      <c r="M81" s="1">
        <v>0</v>
      </c>
      <c r="N81" s="1">
        <v>0</v>
      </c>
      <c r="O81" s="2">
        <f t="shared" si="13"/>
        <v>0</v>
      </c>
      <c r="P81" s="2">
        <v>10941</v>
      </c>
      <c r="Q81" s="2">
        <f t="shared" si="14"/>
        <v>0</v>
      </c>
    </row>
    <row r="82" spans="1:17" x14ac:dyDescent="0.3">
      <c r="A82" s="1" t="s">
        <v>50</v>
      </c>
      <c r="B82" s="1" t="s">
        <v>115</v>
      </c>
      <c r="C82" s="1" t="s">
        <v>117</v>
      </c>
      <c r="D82" s="1" t="s">
        <v>117</v>
      </c>
      <c r="E82" s="2">
        <v>21003</v>
      </c>
      <c r="F82" s="1">
        <v>0</v>
      </c>
      <c r="G82" s="1">
        <v>0</v>
      </c>
      <c r="H82" s="1">
        <v>0</v>
      </c>
      <c r="I82" s="2">
        <f t="shared" si="11"/>
        <v>0</v>
      </c>
      <c r="J82" s="2">
        <v>13390.333333333334</v>
      </c>
      <c r="K82" s="2">
        <f t="shared" si="12"/>
        <v>0</v>
      </c>
      <c r="L82" s="1">
        <v>0</v>
      </c>
      <c r="M82" s="1">
        <v>0</v>
      </c>
      <c r="N82" s="1">
        <v>0</v>
      </c>
      <c r="O82" s="2">
        <f t="shared" si="13"/>
        <v>0</v>
      </c>
      <c r="P82" s="2">
        <v>15066</v>
      </c>
      <c r="Q82" s="2">
        <f t="shared" si="14"/>
        <v>0</v>
      </c>
    </row>
    <row r="83" spans="1:17" x14ac:dyDescent="0.3">
      <c r="A83" s="1" t="s">
        <v>50</v>
      </c>
      <c r="B83" s="1" t="s">
        <v>115</v>
      </c>
      <c r="C83" s="1" t="s">
        <v>118</v>
      </c>
      <c r="D83" s="1" t="s">
        <v>118</v>
      </c>
      <c r="E83" s="2">
        <v>21004</v>
      </c>
      <c r="F83" s="1">
        <v>0</v>
      </c>
      <c r="G83" s="1">
        <v>0</v>
      </c>
      <c r="H83" s="1">
        <v>0</v>
      </c>
      <c r="I83" s="2">
        <f t="shared" si="11"/>
        <v>0</v>
      </c>
      <c r="J83" s="2">
        <v>21857.666666666668</v>
      </c>
      <c r="K83" s="2">
        <f t="shared" si="12"/>
        <v>0</v>
      </c>
      <c r="L83" s="1">
        <v>0</v>
      </c>
      <c r="M83" s="1">
        <v>0</v>
      </c>
      <c r="N83" s="1">
        <v>0</v>
      </c>
      <c r="O83" s="2">
        <f t="shared" si="13"/>
        <v>0</v>
      </c>
      <c r="P83" s="2">
        <v>23136.333333333332</v>
      </c>
      <c r="Q83" s="2">
        <f t="shared" si="14"/>
        <v>0</v>
      </c>
    </row>
    <row r="84" spans="1:17" x14ac:dyDescent="0.3">
      <c r="A84" s="1" t="s">
        <v>50</v>
      </c>
      <c r="B84" s="1" t="s">
        <v>115</v>
      </c>
      <c r="C84" s="1" t="s">
        <v>119</v>
      </c>
      <c r="D84" s="1" t="s">
        <v>119</v>
      </c>
      <c r="E84" s="2">
        <v>21005</v>
      </c>
      <c r="F84" s="1">
        <v>0</v>
      </c>
      <c r="G84" s="1">
        <v>0</v>
      </c>
      <c r="H84" s="1">
        <v>0</v>
      </c>
      <c r="I84" s="2">
        <f t="shared" si="11"/>
        <v>0</v>
      </c>
      <c r="J84" s="2">
        <v>8860</v>
      </c>
      <c r="K84" s="2">
        <f t="shared" si="12"/>
        <v>0</v>
      </c>
      <c r="L84" s="1">
        <v>0</v>
      </c>
      <c r="M84" s="1">
        <v>0</v>
      </c>
      <c r="N84" s="1">
        <v>0</v>
      </c>
      <c r="O84" s="2">
        <f t="shared" si="13"/>
        <v>0</v>
      </c>
      <c r="P84" s="2">
        <v>9401</v>
      </c>
      <c r="Q84" s="2">
        <f t="shared" si="14"/>
        <v>0</v>
      </c>
    </row>
    <row r="85" spans="1:17" x14ac:dyDescent="0.3">
      <c r="A85" s="1" t="s">
        <v>50</v>
      </c>
      <c r="B85" s="1" t="s">
        <v>115</v>
      </c>
      <c r="C85" s="1" t="s">
        <v>120</v>
      </c>
      <c r="D85" s="1" t="s">
        <v>120</v>
      </c>
      <c r="E85" s="2">
        <v>21006</v>
      </c>
      <c r="F85" s="1">
        <v>0</v>
      </c>
      <c r="G85" s="1">
        <v>0</v>
      </c>
      <c r="H85" s="1">
        <v>0</v>
      </c>
      <c r="I85" s="2">
        <f t="shared" si="11"/>
        <v>0</v>
      </c>
      <c r="J85" s="2">
        <v>6831.333333333333</v>
      </c>
      <c r="K85" s="2">
        <f t="shared" si="12"/>
        <v>0</v>
      </c>
      <c r="L85" s="1">
        <v>0</v>
      </c>
      <c r="M85" s="1">
        <v>0</v>
      </c>
      <c r="N85" s="1">
        <v>0</v>
      </c>
      <c r="O85" s="2">
        <f t="shared" si="13"/>
        <v>0</v>
      </c>
      <c r="P85" s="2">
        <v>7599</v>
      </c>
      <c r="Q85" s="2">
        <f t="shared" si="14"/>
        <v>0</v>
      </c>
    </row>
    <row r="86" spans="1:17" x14ac:dyDescent="0.3">
      <c r="A86" s="1" t="s">
        <v>50</v>
      </c>
      <c r="B86" s="1" t="s">
        <v>121</v>
      </c>
      <c r="C86" s="1" t="s">
        <v>122</v>
      </c>
      <c r="D86" s="1" t="s">
        <v>123</v>
      </c>
      <c r="E86" s="2">
        <v>21101</v>
      </c>
      <c r="F86" s="1">
        <v>1</v>
      </c>
      <c r="G86" s="1">
        <v>0</v>
      </c>
      <c r="H86" s="1">
        <v>0</v>
      </c>
      <c r="I86" s="2">
        <f t="shared" si="11"/>
        <v>0.33333333333333331</v>
      </c>
      <c r="J86" s="2">
        <v>18088.333333333332</v>
      </c>
      <c r="K86" s="2">
        <f t="shared" si="12"/>
        <v>1.8428084400626554</v>
      </c>
      <c r="L86" s="1">
        <v>1</v>
      </c>
      <c r="M86" s="1">
        <v>1</v>
      </c>
      <c r="N86" s="1">
        <v>1</v>
      </c>
      <c r="O86" s="2">
        <f t="shared" si="13"/>
        <v>1</v>
      </c>
      <c r="P86" s="2">
        <v>18240</v>
      </c>
      <c r="Q86" s="2">
        <f t="shared" si="14"/>
        <v>5.4824561403508776</v>
      </c>
    </row>
    <row r="87" spans="1:17" x14ac:dyDescent="0.3">
      <c r="A87" s="1" t="s">
        <v>50</v>
      </c>
      <c r="B87" s="1" t="s">
        <v>121</v>
      </c>
      <c r="C87" s="1" t="s">
        <v>124</v>
      </c>
      <c r="D87" s="1" t="s">
        <v>125</v>
      </c>
      <c r="E87" s="2">
        <v>21102</v>
      </c>
      <c r="F87" s="1">
        <v>0</v>
      </c>
      <c r="G87" s="1">
        <v>1</v>
      </c>
      <c r="H87" s="1">
        <v>0</v>
      </c>
      <c r="I87" s="2">
        <f t="shared" si="11"/>
        <v>0.33333333333333331</v>
      </c>
      <c r="J87" s="2">
        <v>20659.333333333332</v>
      </c>
      <c r="K87" s="2">
        <f t="shared" si="12"/>
        <v>1.6134757494594856</v>
      </c>
      <c r="L87" s="1">
        <v>0</v>
      </c>
      <c r="M87" s="1">
        <v>0</v>
      </c>
      <c r="N87" s="1">
        <v>0</v>
      </c>
      <c r="O87" s="2">
        <f t="shared" si="13"/>
        <v>0</v>
      </c>
      <c r="P87" s="2">
        <v>22592.666666666668</v>
      </c>
      <c r="Q87" s="2">
        <f t="shared" si="14"/>
        <v>0</v>
      </c>
    </row>
    <row r="88" spans="1:17" x14ac:dyDescent="0.3">
      <c r="A88" s="1" t="s">
        <v>50</v>
      </c>
      <c r="B88" s="1" t="s">
        <v>121</v>
      </c>
      <c r="C88" s="1" t="s">
        <v>126</v>
      </c>
      <c r="D88" s="1" t="s">
        <v>126</v>
      </c>
      <c r="E88" s="2">
        <v>21103</v>
      </c>
      <c r="F88" s="1">
        <v>0</v>
      </c>
      <c r="G88" s="1">
        <v>0</v>
      </c>
      <c r="H88" s="1">
        <v>0</v>
      </c>
      <c r="I88" s="2">
        <f t="shared" si="11"/>
        <v>0</v>
      </c>
      <c r="J88" s="2">
        <v>7098.333333333333</v>
      </c>
      <c r="K88" s="2">
        <f t="shared" si="12"/>
        <v>0</v>
      </c>
      <c r="L88" s="1">
        <v>0</v>
      </c>
      <c r="M88" s="1">
        <v>0</v>
      </c>
      <c r="N88" s="1">
        <v>0</v>
      </c>
      <c r="O88" s="2">
        <f t="shared" si="13"/>
        <v>0</v>
      </c>
      <c r="P88" s="2">
        <v>7486</v>
      </c>
      <c r="Q88" s="2">
        <f t="shared" si="14"/>
        <v>0</v>
      </c>
    </row>
    <row r="89" spans="1:17" x14ac:dyDescent="0.3">
      <c r="A89" s="1" t="s">
        <v>50</v>
      </c>
      <c r="B89" s="1" t="s">
        <v>121</v>
      </c>
      <c r="C89" s="1" t="s">
        <v>127</v>
      </c>
      <c r="D89" s="1" t="s">
        <v>127</v>
      </c>
      <c r="E89" s="2">
        <v>21104</v>
      </c>
      <c r="F89" s="1">
        <v>0</v>
      </c>
      <c r="G89" s="1">
        <v>0</v>
      </c>
      <c r="H89" s="1">
        <v>1</v>
      </c>
      <c r="I89" s="2">
        <f t="shared" si="11"/>
        <v>0.33333333333333331</v>
      </c>
      <c r="J89" s="2">
        <v>26051.666666666668</v>
      </c>
      <c r="K89" s="2">
        <f t="shared" si="12"/>
        <v>1.27950866867123</v>
      </c>
      <c r="L89" s="1">
        <v>0</v>
      </c>
      <c r="M89" s="1">
        <v>0</v>
      </c>
      <c r="N89" s="1">
        <v>1</v>
      </c>
      <c r="O89" s="2">
        <f t="shared" si="13"/>
        <v>0.33333333333333331</v>
      </c>
      <c r="P89" s="2">
        <v>26806.333333333332</v>
      </c>
      <c r="Q89" s="2">
        <f t="shared" si="14"/>
        <v>1.2434872356035265</v>
      </c>
    </row>
    <row r="90" spans="1:17" x14ac:dyDescent="0.3">
      <c r="A90" s="1" t="s">
        <v>50</v>
      </c>
      <c r="B90" s="1" t="s">
        <v>121</v>
      </c>
      <c r="C90" s="1" t="s">
        <v>128</v>
      </c>
      <c r="D90" s="1" t="s">
        <v>128</v>
      </c>
      <c r="E90" s="2">
        <v>21105</v>
      </c>
      <c r="F90" s="1">
        <v>7</v>
      </c>
      <c r="G90" s="1">
        <v>2</v>
      </c>
      <c r="H90" s="1">
        <v>1</v>
      </c>
      <c r="I90" s="2">
        <f t="shared" si="11"/>
        <v>3.3333333333333335</v>
      </c>
      <c r="J90" s="2">
        <v>43332.666666666664</v>
      </c>
      <c r="K90" s="2">
        <f t="shared" si="12"/>
        <v>7.6924260373236519</v>
      </c>
      <c r="L90" s="1">
        <v>1</v>
      </c>
      <c r="M90" s="1">
        <v>2</v>
      </c>
      <c r="N90" s="1">
        <v>3</v>
      </c>
      <c r="O90" s="2">
        <f t="shared" si="13"/>
        <v>2</v>
      </c>
      <c r="P90" s="2">
        <v>45135.333333333336</v>
      </c>
      <c r="Q90" s="2">
        <f t="shared" si="14"/>
        <v>4.4311182665465338</v>
      </c>
    </row>
    <row r="91" spans="1:17" x14ac:dyDescent="0.3">
      <c r="A91" s="1" t="s">
        <v>50</v>
      </c>
      <c r="B91" s="1" t="s">
        <v>129</v>
      </c>
      <c r="C91" s="1" t="s">
        <v>130</v>
      </c>
      <c r="D91" s="1" t="s">
        <v>130</v>
      </c>
      <c r="E91" s="2">
        <v>21201</v>
      </c>
      <c r="F91" s="1">
        <v>0</v>
      </c>
      <c r="G91" s="1">
        <v>0</v>
      </c>
      <c r="H91" s="1">
        <v>0</v>
      </c>
      <c r="I91" s="2">
        <f t="shared" si="11"/>
        <v>0</v>
      </c>
      <c r="J91" s="2">
        <v>40852.666666666664</v>
      </c>
      <c r="K91" s="2">
        <f t="shared" si="12"/>
        <v>0</v>
      </c>
      <c r="L91" s="1">
        <v>0</v>
      </c>
      <c r="M91" s="1">
        <v>0</v>
      </c>
      <c r="N91" s="1">
        <v>0</v>
      </c>
      <c r="O91" s="2">
        <f t="shared" si="13"/>
        <v>0</v>
      </c>
      <c r="P91" s="2">
        <v>47931.333333333336</v>
      </c>
      <c r="Q91" s="2">
        <f t="shared" si="14"/>
        <v>0</v>
      </c>
    </row>
    <row r="92" spans="1:17" x14ac:dyDescent="0.3">
      <c r="A92" s="1" t="s">
        <v>50</v>
      </c>
      <c r="B92" s="1" t="s">
        <v>129</v>
      </c>
      <c r="C92" s="1" t="s">
        <v>131</v>
      </c>
      <c r="D92" s="1" t="s">
        <v>131</v>
      </c>
      <c r="E92" s="2">
        <v>21202</v>
      </c>
      <c r="F92" s="1">
        <v>0</v>
      </c>
      <c r="G92" s="1">
        <v>0</v>
      </c>
      <c r="H92" s="1">
        <v>1</v>
      </c>
      <c r="I92" s="2">
        <f t="shared" si="11"/>
        <v>0.33333333333333331</v>
      </c>
      <c r="J92" s="2">
        <v>32745</v>
      </c>
      <c r="K92" s="2">
        <f t="shared" si="12"/>
        <v>1.017967119662035</v>
      </c>
      <c r="L92" s="1">
        <v>0</v>
      </c>
      <c r="M92" s="1">
        <v>0</v>
      </c>
      <c r="N92" s="1">
        <v>2</v>
      </c>
      <c r="O92" s="2">
        <f t="shared" si="13"/>
        <v>0.66666666666666663</v>
      </c>
      <c r="P92" s="2">
        <v>37438.666666666664</v>
      </c>
      <c r="Q92" s="2">
        <f t="shared" si="14"/>
        <v>1.7806901955197836</v>
      </c>
    </row>
    <row r="93" spans="1:17" x14ac:dyDescent="0.3">
      <c r="A93" s="1" t="s">
        <v>50</v>
      </c>
      <c r="B93" s="1" t="s">
        <v>129</v>
      </c>
      <c r="C93" s="1" t="s">
        <v>132</v>
      </c>
      <c r="D93" s="1" t="s">
        <v>132</v>
      </c>
      <c r="E93" s="2">
        <v>21203</v>
      </c>
      <c r="F93" s="1">
        <v>1</v>
      </c>
      <c r="G93" s="1">
        <v>0</v>
      </c>
      <c r="H93" s="1">
        <v>0</v>
      </c>
      <c r="I93" s="2">
        <f t="shared" si="11"/>
        <v>0.33333333333333331</v>
      </c>
      <c r="J93" s="2">
        <v>19221</v>
      </c>
      <c r="K93" s="2">
        <f t="shared" si="12"/>
        <v>1.7342143142049493</v>
      </c>
      <c r="L93" s="1">
        <v>0</v>
      </c>
      <c r="M93" s="1">
        <v>0</v>
      </c>
      <c r="N93" s="1">
        <v>0</v>
      </c>
      <c r="O93" s="2">
        <f t="shared" si="13"/>
        <v>0</v>
      </c>
      <c r="P93" s="2">
        <v>20246.666666666668</v>
      </c>
      <c r="Q93" s="2">
        <f t="shared" si="14"/>
        <v>0</v>
      </c>
    </row>
    <row r="94" spans="1:17" x14ac:dyDescent="0.3">
      <c r="A94" s="1" t="s">
        <v>50</v>
      </c>
      <c r="B94" s="1" t="s">
        <v>129</v>
      </c>
      <c r="C94" s="1" t="s">
        <v>133</v>
      </c>
      <c r="D94" s="1" t="s">
        <v>133</v>
      </c>
      <c r="E94" s="2">
        <v>21204</v>
      </c>
      <c r="F94" s="1">
        <v>0</v>
      </c>
      <c r="G94" s="1">
        <v>0</v>
      </c>
      <c r="H94" s="1">
        <v>0</v>
      </c>
      <c r="I94" s="2">
        <f t="shared" si="11"/>
        <v>0</v>
      </c>
      <c r="J94" s="2">
        <v>7992</v>
      </c>
      <c r="K94" s="2">
        <f t="shared" si="12"/>
        <v>0</v>
      </c>
      <c r="L94" s="1">
        <v>0</v>
      </c>
      <c r="M94" s="1">
        <v>0</v>
      </c>
      <c r="N94" s="1">
        <v>0</v>
      </c>
      <c r="O94" s="2">
        <f t="shared" si="13"/>
        <v>0</v>
      </c>
      <c r="P94" s="2">
        <v>7897.666666666667</v>
      </c>
      <c r="Q94" s="2">
        <f t="shared" si="14"/>
        <v>0</v>
      </c>
    </row>
    <row r="95" spans="1:17" x14ac:dyDescent="0.3">
      <c r="A95" s="1" t="s">
        <v>50</v>
      </c>
      <c r="B95" s="1" t="s">
        <v>134</v>
      </c>
      <c r="C95" s="1" t="s">
        <v>135</v>
      </c>
      <c r="D95" s="1" t="s">
        <v>136</v>
      </c>
      <c r="E95" s="2">
        <v>21301</v>
      </c>
      <c r="F95" s="1">
        <v>1</v>
      </c>
      <c r="G95" s="1">
        <v>0</v>
      </c>
      <c r="H95" s="1">
        <v>3</v>
      </c>
      <c r="I95" s="2">
        <f t="shared" si="11"/>
        <v>1.3333333333333333</v>
      </c>
      <c r="J95" s="2">
        <v>32615</v>
      </c>
      <c r="K95" s="2">
        <f t="shared" si="12"/>
        <v>4.0880985231744082</v>
      </c>
      <c r="L95" s="1">
        <v>1</v>
      </c>
      <c r="M95" s="1">
        <v>0</v>
      </c>
      <c r="N95" s="1">
        <v>3</v>
      </c>
      <c r="O95" s="2">
        <f t="shared" si="13"/>
        <v>1.3333333333333333</v>
      </c>
      <c r="P95" s="2">
        <v>33360</v>
      </c>
      <c r="Q95" s="2">
        <f t="shared" si="14"/>
        <v>3.9968025579536368</v>
      </c>
    </row>
    <row r="96" spans="1:17" x14ac:dyDescent="0.3">
      <c r="A96" s="1" t="s">
        <v>50</v>
      </c>
      <c r="B96" s="1" t="s">
        <v>134</v>
      </c>
      <c r="C96" s="1" t="s">
        <v>137</v>
      </c>
      <c r="D96" s="1" t="s">
        <v>137</v>
      </c>
      <c r="E96" s="2">
        <v>21302</v>
      </c>
      <c r="F96" s="1">
        <v>0</v>
      </c>
      <c r="G96" s="1">
        <v>0</v>
      </c>
      <c r="H96" s="1">
        <v>0</v>
      </c>
      <c r="I96" s="2">
        <f t="shared" si="11"/>
        <v>0</v>
      </c>
      <c r="J96" s="2">
        <v>8972</v>
      </c>
      <c r="K96" s="2">
        <f t="shared" si="12"/>
        <v>0</v>
      </c>
      <c r="L96" s="1">
        <v>0</v>
      </c>
      <c r="M96" s="1">
        <v>0</v>
      </c>
      <c r="N96" s="1">
        <v>0</v>
      </c>
      <c r="O96" s="2">
        <f t="shared" si="13"/>
        <v>0</v>
      </c>
      <c r="P96" s="2">
        <v>9011</v>
      </c>
      <c r="Q96" s="2">
        <f t="shared" si="14"/>
        <v>0</v>
      </c>
    </row>
    <row r="97" spans="1:17" x14ac:dyDescent="0.3">
      <c r="A97" s="1" t="s">
        <v>50</v>
      </c>
      <c r="B97" s="1" t="s">
        <v>134</v>
      </c>
      <c r="C97" s="1" t="s">
        <v>138</v>
      </c>
      <c r="D97" s="1" t="s">
        <v>138</v>
      </c>
      <c r="E97" s="2">
        <v>21303</v>
      </c>
      <c r="F97" s="1">
        <v>0</v>
      </c>
      <c r="G97" s="1">
        <v>1</v>
      </c>
      <c r="H97" s="1">
        <v>0</v>
      </c>
      <c r="I97" s="2">
        <f t="shared" si="11"/>
        <v>0.33333333333333331</v>
      </c>
      <c r="J97" s="2">
        <v>9812.3333333333339</v>
      </c>
      <c r="K97" s="2">
        <f t="shared" si="12"/>
        <v>3.3970853008119031</v>
      </c>
      <c r="L97" s="1">
        <v>0</v>
      </c>
      <c r="M97" s="1">
        <v>0</v>
      </c>
      <c r="N97" s="1">
        <v>3</v>
      </c>
      <c r="O97" s="2">
        <f t="shared" si="13"/>
        <v>1</v>
      </c>
      <c r="P97" s="2">
        <v>10963.333333333334</v>
      </c>
      <c r="Q97" s="2">
        <f t="shared" si="14"/>
        <v>9.1213134691395545</v>
      </c>
    </row>
    <row r="98" spans="1:17" x14ac:dyDescent="0.3">
      <c r="A98" s="1" t="s">
        <v>50</v>
      </c>
      <c r="B98" s="1" t="s">
        <v>134</v>
      </c>
      <c r="C98" s="1" t="s">
        <v>139</v>
      </c>
      <c r="D98" s="1" t="s">
        <v>139</v>
      </c>
      <c r="E98" s="2">
        <v>21304</v>
      </c>
      <c r="F98" s="1">
        <v>0</v>
      </c>
      <c r="G98" s="1">
        <v>1</v>
      </c>
      <c r="H98" s="1">
        <v>2</v>
      </c>
      <c r="I98" s="2">
        <f t="shared" si="11"/>
        <v>1</v>
      </c>
      <c r="J98" s="2">
        <v>14085</v>
      </c>
      <c r="K98" s="2">
        <f t="shared" si="12"/>
        <v>7.0997515086971958</v>
      </c>
      <c r="L98" s="1">
        <v>0</v>
      </c>
      <c r="M98" s="1">
        <v>0</v>
      </c>
      <c r="N98" s="1">
        <v>1</v>
      </c>
      <c r="O98" s="2">
        <f t="shared" si="13"/>
        <v>0.33333333333333331</v>
      </c>
      <c r="P98" s="2">
        <v>15040</v>
      </c>
      <c r="Q98" s="2">
        <f t="shared" si="14"/>
        <v>2.2163120567375882</v>
      </c>
    </row>
    <row r="99" spans="1:17" x14ac:dyDescent="0.3">
      <c r="A99" s="1" t="s">
        <v>50</v>
      </c>
      <c r="B99" s="1" t="s">
        <v>134</v>
      </c>
      <c r="C99" s="1" t="s">
        <v>140</v>
      </c>
      <c r="D99" s="1" t="s">
        <v>140</v>
      </c>
      <c r="E99" s="2">
        <v>21305</v>
      </c>
      <c r="F99" s="1">
        <v>0</v>
      </c>
      <c r="G99" s="1">
        <v>0</v>
      </c>
      <c r="H99" s="1">
        <v>1</v>
      </c>
      <c r="I99" s="2">
        <f t="shared" si="11"/>
        <v>0.33333333333333331</v>
      </c>
      <c r="J99" s="2">
        <v>24136.333333333332</v>
      </c>
      <c r="K99" s="2">
        <f t="shared" si="12"/>
        <v>1.3810437928986727</v>
      </c>
      <c r="L99" s="1">
        <v>0</v>
      </c>
      <c r="M99" s="1">
        <v>0</v>
      </c>
      <c r="N99" s="1">
        <v>1</v>
      </c>
      <c r="O99" s="2">
        <f t="shared" si="13"/>
        <v>0.33333333333333331</v>
      </c>
      <c r="P99" s="2">
        <v>24866.333333333332</v>
      </c>
      <c r="Q99" s="2">
        <f t="shared" si="14"/>
        <v>1.3405005429027199</v>
      </c>
    </row>
    <row r="100" spans="1:17" x14ac:dyDescent="0.3">
      <c r="A100" s="1" t="s">
        <v>50</v>
      </c>
      <c r="B100" s="1" t="s">
        <v>134</v>
      </c>
      <c r="C100" s="1" t="s">
        <v>141</v>
      </c>
      <c r="D100" s="1" t="s">
        <v>141</v>
      </c>
      <c r="E100" s="2">
        <v>21306</v>
      </c>
      <c r="F100" s="1">
        <v>0</v>
      </c>
      <c r="G100" s="1">
        <v>0</v>
      </c>
      <c r="H100" s="1">
        <v>0</v>
      </c>
      <c r="I100" s="2">
        <f t="shared" si="11"/>
        <v>0</v>
      </c>
      <c r="J100" s="2">
        <v>11317</v>
      </c>
      <c r="K100" s="2">
        <f t="shared" si="12"/>
        <v>0</v>
      </c>
      <c r="L100" s="1">
        <v>0</v>
      </c>
      <c r="M100" s="1">
        <v>0</v>
      </c>
      <c r="N100" s="1">
        <v>0</v>
      </c>
      <c r="O100" s="2">
        <f t="shared" si="13"/>
        <v>0</v>
      </c>
      <c r="P100" s="2">
        <v>12138.666666666666</v>
      </c>
      <c r="Q100" s="2">
        <f t="shared" si="14"/>
        <v>0</v>
      </c>
    </row>
    <row r="101" spans="1:17" x14ac:dyDescent="0.3">
      <c r="A101" s="1" t="s">
        <v>50</v>
      </c>
      <c r="B101" s="1" t="s">
        <v>134</v>
      </c>
      <c r="C101" s="1" t="s">
        <v>142</v>
      </c>
      <c r="D101" s="1" t="s">
        <v>142</v>
      </c>
      <c r="E101" s="2">
        <v>21307</v>
      </c>
      <c r="F101" s="1">
        <v>0</v>
      </c>
      <c r="G101" s="1">
        <v>0</v>
      </c>
      <c r="H101" s="1">
        <v>0</v>
      </c>
      <c r="I101" s="2">
        <f t="shared" si="11"/>
        <v>0</v>
      </c>
      <c r="J101" s="2">
        <v>5324</v>
      </c>
      <c r="K101" s="2">
        <f t="shared" si="12"/>
        <v>0</v>
      </c>
      <c r="L101" s="1">
        <v>0</v>
      </c>
      <c r="M101" s="1">
        <v>0</v>
      </c>
      <c r="N101" s="1">
        <v>0</v>
      </c>
      <c r="O101" s="2">
        <f t="shared" si="13"/>
        <v>0</v>
      </c>
      <c r="P101" s="2">
        <v>5485</v>
      </c>
      <c r="Q101" s="2">
        <f t="shared" si="14"/>
        <v>0</v>
      </c>
    </row>
    <row r="102" spans="1:17" x14ac:dyDescent="0.3">
      <c r="A102" s="1" t="s">
        <v>50</v>
      </c>
      <c r="B102" s="1" t="s">
        <v>143</v>
      </c>
      <c r="C102" s="1" t="s">
        <v>144</v>
      </c>
      <c r="D102" s="1" t="s">
        <v>144</v>
      </c>
      <c r="E102" s="2">
        <v>21401</v>
      </c>
      <c r="F102" s="1">
        <v>3</v>
      </c>
      <c r="G102" s="1">
        <v>2</v>
      </c>
      <c r="H102" s="1">
        <v>0</v>
      </c>
      <c r="I102" s="2">
        <f t="shared" si="11"/>
        <v>1.6666666666666667</v>
      </c>
      <c r="J102" s="2">
        <v>24142</v>
      </c>
      <c r="K102" s="2">
        <f t="shared" si="12"/>
        <v>6.9035981553585728</v>
      </c>
      <c r="L102" s="1">
        <v>2</v>
      </c>
      <c r="M102" s="1">
        <v>1</v>
      </c>
      <c r="N102" s="1">
        <v>1</v>
      </c>
      <c r="O102" s="2">
        <f t="shared" si="13"/>
        <v>1.3333333333333333</v>
      </c>
      <c r="P102" s="2">
        <v>26853</v>
      </c>
      <c r="Q102" s="2">
        <f t="shared" si="14"/>
        <v>4.9653049317891229</v>
      </c>
    </row>
    <row r="103" spans="1:17" x14ac:dyDescent="0.3">
      <c r="A103" s="1" t="s">
        <v>50</v>
      </c>
      <c r="B103" s="1" t="s">
        <v>143</v>
      </c>
      <c r="C103" s="1" t="s">
        <v>145</v>
      </c>
      <c r="D103" s="1" t="s">
        <v>145</v>
      </c>
      <c r="E103" s="2">
        <v>21402</v>
      </c>
      <c r="F103" s="1">
        <v>0</v>
      </c>
      <c r="G103" s="1">
        <v>1</v>
      </c>
      <c r="H103" s="1">
        <v>0</v>
      </c>
      <c r="I103" s="2">
        <f t="shared" si="11"/>
        <v>0.33333333333333331</v>
      </c>
      <c r="J103" s="2">
        <v>21001.666666666668</v>
      </c>
      <c r="K103" s="2">
        <f t="shared" si="12"/>
        <v>1.5871756209824615</v>
      </c>
      <c r="L103" s="1">
        <v>0</v>
      </c>
      <c r="M103" s="1">
        <v>0</v>
      </c>
      <c r="N103" s="1">
        <v>0</v>
      </c>
      <c r="O103" s="2">
        <f t="shared" si="13"/>
        <v>0</v>
      </c>
      <c r="P103" s="2">
        <v>23328.333333333332</v>
      </c>
      <c r="Q103" s="2">
        <f t="shared" si="14"/>
        <v>0</v>
      </c>
    </row>
    <row r="104" spans="1:17" x14ac:dyDescent="0.3">
      <c r="A104" s="1" t="s">
        <v>50</v>
      </c>
      <c r="B104" s="1" t="s">
        <v>146</v>
      </c>
      <c r="C104" s="1" t="s">
        <v>147</v>
      </c>
      <c r="D104" s="1" t="s">
        <v>147</v>
      </c>
      <c r="E104" s="2">
        <v>21501</v>
      </c>
      <c r="F104" s="1">
        <v>0</v>
      </c>
      <c r="G104" s="1">
        <v>0</v>
      </c>
      <c r="H104" s="1">
        <v>0</v>
      </c>
      <c r="I104" s="2">
        <f t="shared" si="11"/>
        <v>0</v>
      </c>
      <c r="J104" s="2">
        <v>11185</v>
      </c>
      <c r="K104" s="2">
        <f t="shared" si="12"/>
        <v>0</v>
      </c>
      <c r="L104" s="1">
        <v>0</v>
      </c>
      <c r="M104" s="1">
        <v>0</v>
      </c>
      <c r="N104" s="1">
        <v>0</v>
      </c>
      <c r="O104" s="2">
        <f t="shared" si="13"/>
        <v>0</v>
      </c>
      <c r="P104" s="2">
        <v>12226.666666666666</v>
      </c>
      <c r="Q104" s="2">
        <f t="shared" si="14"/>
        <v>0</v>
      </c>
    </row>
    <row r="105" spans="1:17" x14ac:dyDescent="0.3">
      <c r="A105" s="1" t="s">
        <v>50</v>
      </c>
      <c r="B105" s="1" t="s">
        <v>146</v>
      </c>
      <c r="C105" s="1" t="s">
        <v>148</v>
      </c>
      <c r="D105" s="1" t="s">
        <v>148</v>
      </c>
      <c r="E105" s="2">
        <v>21502</v>
      </c>
      <c r="F105" s="1">
        <v>0</v>
      </c>
      <c r="G105" s="1">
        <v>0</v>
      </c>
      <c r="H105" s="1">
        <v>0</v>
      </c>
      <c r="I105" s="2">
        <f t="shared" si="11"/>
        <v>0</v>
      </c>
      <c r="J105" s="2">
        <v>9530</v>
      </c>
      <c r="K105" s="2">
        <f t="shared" si="12"/>
        <v>0</v>
      </c>
      <c r="L105" s="1">
        <v>0</v>
      </c>
      <c r="M105" s="1">
        <v>3</v>
      </c>
      <c r="N105" s="1">
        <v>2</v>
      </c>
      <c r="O105" s="2">
        <f t="shared" si="13"/>
        <v>1.6666666666666667</v>
      </c>
      <c r="P105" s="2">
        <v>9998</v>
      </c>
      <c r="Q105" s="2">
        <f t="shared" si="14"/>
        <v>16.670000666800028</v>
      </c>
    </row>
    <row r="106" spans="1:17" x14ac:dyDescent="0.3">
      <c r="A106" s="1" t="s">
        <v>50</v>
      </c>
      <c r="B106" s="1" t="s">
        <v>149</v>
      </c>
      <c r="C106" s="1" t="s">
        <v>150</v>
      </c>
      <c r="D106" s="1" t="s">
        <v>151</v>
      </c>
      <c r="E106" s="2">
        <v>21601</v>
      </c>
      <c r="F106" s="1">
        <v>0</v>
      </c>
      <c r="G106" s="1">
        <v>0</v>
      </c>
      <c r="H106" s="1">
        <v>0</v>
      </c>
      <c r="I106" s="2">
        <f t="shared" si="11"/>
        <v>0</v>
      </c>
      <c r="J106" s="2">
        <v>14674.333333333334</v>
      </c>
      <c r="K106" s="2">
        <f t="shared" si="12"/>
        <v>0</v>
      </c>
      <c r="L106" s="1">
        <v>0</v>
      </c>
      <c r="M106" s="1">
        <v>2</v>
      </c>
      <c r="N106" s="1">
        <v>0</v>
      </c>
      <c r="O106" s="2">
        <f t="shared" si="13"/>
        <v>0.66666666666666663</v>
      </c>
      <c r="P106" s="2">
        <v>15618</v>
      </c>
      <c r="Q106" s="2">
        <f t="shared" si="14"/>
        <v>4.2685789900542108</v>
      </c>
    </row>
    <row r="107" spans="1:17" x14ac:dyDescent="0.3">
      <c r="A107" s="1" t="s">
        <v>50</v>
      </c>
      <c r="B107" s="1" t="s">
        <v>149</v>
      </c>
      <c r="C107" s="1" t="s">
        <v>152</v>
      </c>
      <c r="D107" s="1" t="s">
        <v>152</v>
      </c>
      <c r="E107" s="2">
        <v>21602</v>
      </c>
      <c r="F107" s="1">
        <v>0</v>
      </c>
      <c r="G107" s="1">
        <v>0</v>
      </c>
      <c r="H107" s="1">
        <v>0</v>
      </c>
      <c r="I107" s="2">
        <f t="shared" si="11"/>
        <v>0</v>
      </c>
      <c r="J107" s="2">
        <v>5115.666666666667</v>
      </c>
      <c r="K107" s="2">
        <f t="shared" si="12"/>
        <v>0</v>
      </c>
      <c r="L107" s="1">
        <v>0</v>
      </c>
      <c r="M107" s="1">
        <v>0</v>
      </c>
      <c r="N107" s="1">
        <v>0</v>
      </c>
      <c r="O107" s="2">
        <f t="shared" si="13"/>
        <v>0</v>
      </c>
      <c r="P107" s="2">
        <v>6161.666666666667</v>
      </c>
      <c r="Q107" s="2">
        <f t="shared" si="14"/>
        <v>0</v>
      </c>
    </row>
    <row r="108" spans="1:17" x14ac:dyDescent="0.3">
      <c r="A108" s="1" t="s">
        <v>50</v>
      </c>
      <c r="B108" s="1" t="s">
        <v>153</v>
      </c>
      <c r="C108" s="1" t="s">
        <v>154</v>
      </c>
      <c r="D108" s="1" t="s">
        <v>154</v>
      </c>
      <c r="E108" s="2">
        <v>21701</v>
      </c>
      <c r="F108" s="1">
        <v>0</v>
      </c>
      <c r="G108" s="1">
        <v>1</v>
      </c>
      <c r="H108" s="1">
        <v>0</v>
      </c>
      <c r="I108" s="2">
        <f t="shared" si="11"/>
        <v>0.33333333333333331</v>
      </c>
      <c r="J108" s="2">
        <v>16389.333333333332</v>
      </c>
      <c r="K108" s="2">
        <f t="shared" si="12"/>
        <v>2.033843150016271</v>
      </c>
      <c r="L108" s="1">
        <v>1</v>
      </c>
      <c r="M108" s="1">
        <v>0</v>
      </c>
      <c r="N108" s="1">
        <v>0</v>
      </c>
      <c r="O108" s="2">
        <f t="shared" si="13"/>
        <v>0.33333333333333331</v>
      </c>
      <c r="P108" s="2">
        <v>17222.666666666668</v>
      </c>
      <c r="Q108" s="2">
        <f t="shared" si="14"/>
        <v>1.9354339242858247</v>
      </c>
    </row>
    <row r="109" spans="1:17" x14ac:dyDescent="0.3">
      <c r="A109" s="1" t="s">
        <v>50</v>
      </c>
      <c r="B109" s="1" t="s">
        <v>153</v>
      </c>
      <c r="C109" s="1" t="s">
        <v>155</v>
      </c>
      <c r="D109" s="1" t="s">
        <v>155</v>
      </c>
      <c r="E109" s="2">
        <v>21702</v>
      </c>
      <c r="F109" s="1">
        <v>0</v>
      </c>
      <c r="G109" s="1">
        <v>0</v>
      </c>
      <c r="H109" s="1">
        <v>0</v>
      </c>
      <c r="I109" s="2">
        <f t="shared" si="11"/>
        <v>0</v>
      </c>
      <c r="J109" s="2">
        <v>7828.333333333333</v>
      </c>
      <c r="K109" s="2">
        <f t="shared" si="12"/>
        <v>0</v>
      </c>
      <c r="L109" s="1">
        <v>0</v>
      </c>
      <c r="M109" s="1">
        <v>0</v>
      </c>
      <c r="N109" s="1">
        <v>1</v>
      </c>
      <c r="O109" s="2">
        <f t="shared" si="13"/>
        <v>0.33333333333333331</v>
      </c>
      <c r="P109" s="2">
        <v>8843.3333333333339</v>
      </c>
      <c r="Q109" s="2">
        <f t="shared" si="14"/>
        <v>3.769317753486618</v>
      </c>
    </row>
    <row r="110" spans="1:17" x14ac:dyDescent="0.3">
      <c r="A110" s="1" t="s">
        <v>50</v>
      </c>
      <c r="B110" s="1" t="s">
        <v>153</v>
      </c>
      <c r="C110" s="1" t="s">
        <v>156</v>
      </c>
      <c r="D110" s="1" t="s">
        <v>156</v>
      </c>
      <c r="E110" s="2">
        <v>21703</v>
      </c>
      <c r="F110" s="1">
        <v>0</v>
      </c>
      <c r="G110" s="1">
        <v>0</v>
      </c>
      <c r="H110" s="1">
        <v>0</v>
      </c>
      <c r="I110" s="2">
        <f t="shared" si="11"/>
        <v>0</v>
      </c>
      <c r="J110" s="2">
        <v>6991</v>
      </c>
      <c r="K110" s="2">
        <f t="shared" si="12"/>
        <v>0</v>
      </c>
      <c r="L110" s="1">
        <v>0</v>
      </c>
      <c r="M110" s="1">
        <v>0</v>
      </c>
      <c r="N110" s="1">
        <v>0</v>
      </c>
      <c r="O110" s="2">
        <f t="shared" si="13"/>
        <v>0</v>
      </c>
      <c r="P110" s="2">
        <v>7408</v>
      </c>
      <c r="Q110" s="2">
        <f t="shared" si="14"/>
        <v>0</v>
      </c>
    </row>
    <row r="111" spans="1:17" x14ac:dyDescent="0.3">
      <c r="A111" s="1" t="s">
        <v>50</v>
      </c>
      <c r="B111" s="1" t="s">
        <v>157</v>
      </c>
      <c r="C111" s="1" t="s">
        <v>158</v>
      </c>
      <c r="D111" s="1" t="s">
        <v>158</v>
      </c>
      <c r="E111" s="2">
        <v>21801</v>
      </c>
      <c r="F111" s="1">
        <v>0</v>
      </c>
      <c r="G111" s="1">
        <v>0</v>
      </c>
      <c r="H111" s="1">
        <v>0</v>
      </c>
      <c r="I111" s="2">
        <f t="shared" si="11"/>
        <v>0</v>
      </c>
      <c r="J111" s="2">
        <v>8966.6666666666661</v>
      </c>
      <c r="K111" s="2">
        <f t="shared" si="12"/>
        <v>0</v>
      </c>
      <c r="L111" s="1">
        <v>0</v>
      </c>
      <c r="M111" s="1">
        <v>0</v>
      </c>
      <c r="N111" s="1">
        <v>0</v>
      </c>
      <c r="O111" s="2">
        <f t="shared" si="13"/>
        <v>0</v>
      </c>
      <c r="P111" s="2">
        <v>9028.6666666666661</v>
      </c>
      <c r="Q111" s="2">
        <f t="shared" si="14"/>
        <v>0</v>
      </c>
    </row>
    <row r="112" spans="1:17" x14ac:dyDescent="0.3">
      <c r="A112" s="1" t="s">
        <v>50</v>
      </c>
      <c r="B112" s="1" t="s">
        <v>159</v>
      </c>
      <c r="C112" s="1" t="s">
        <v>160</v>
      </c>
      <c r="D112" s="1" t="s">
        <v>160</v>
      </c>
      <c r="E112" s="2">
        <v>21802</v>
      </c>
      <c r="F112" s="1">
        <v>0</v>
      </c>
      <c r="G112" s="1">
        <v>0</v>
      </c>
      <c r="H112" s="1">
        <v>0</v>
      </c>
      <c r="I112" s="2">
        <f t="shared" si="11"/>
        <v>0</v>
      </c>
      <c r="J112" s="2">
        <v>6547.333333333333</v>
      </c>
      <c r="K112" s="2">
        <f t="shared" si="12"/>
        <v>0</v>
      </c>
      <c r="L112" s="1">
        <v>0</v>
      </c>
      <c r="M112" s="1">
        <v>0</v>
      </c>
      <c r="N112" s="1">
        <v>0</v>
      </c>
      <c r="O112" s="2">
        <f t="shared" si="13"/>
        <v>0</v>
      </c>
      <c r="P112" s="2">
        <v>6287</v>
      </c>
      <c r="Q112" s="2">
        <f t="shared" si="14"/>
        <v>0</v>
      </c>
    </row>
    <row r="113" spans="1:17" x14ac:dyDescent="0.3">
      <c r="A113" s="1" t="s">
        <v>50</v>
      </c>
      <c r="B113" s="1" t="s">
        <v>159</v>
      </c>
      <c r="C113" s="1" t="s">
        <v>161</v>
      </c>
      <c r="D113" s="1" t="s">
        <v>161</v>
      </c>
      <c r="E113" s="2">
        <v>21803</v>
      </c>
      <c r="F113" s="1">
        <v>0</v>
      </c>
      <c r="G113" s="1">
        <v>0</v>
      </c>
      <c r="H113" s="1">
        <v>0</v>
      </c>
      <c r="I113" s="2">
        <f t="shared" si="11"/>
        <v>0</v>
      </c>
      <c r="J113" s="2">
        <v>2020</v>
      </c>
      <c r="K113" s="2">
        <f t="shared" si="12"/>
        <v>0</v>
      </c>
      <c r="L113" s="1">
        <v>0</v>
      </c>
      <c r="M113" s="1">
        <v>0</v>
      </c>
      <c r="N113" s="1">
        <v>0</v>
      </c>
      <c r="O113" s="2">
        <f t="shared" si="13"/>
        <v>0</v>
      </c>
      <c r="P113" s="2">
        <v>2029</v>
      </c>
      <c r="Q113" s="2">
        <f t="shared" si="14"/>
        <v>0</v>
      </c>
    </row>
    <row r="114" spans="1:17" x14ac:dyDescent="0.3">
      <c r="A114" s="1" t="s">
        <v>50</v>
      </c>
      <c r="B114" s="1" t="s">
        <v>162</v>
      </c>
      <c r="C114" s="1" t="s">
        <v>163</v>
      </c>
      <c r="D114" s="1" t="s">
        <v>163</v>
      </c>
      <c r="E114" s="2">
        <v>21901</v>
      </c>
      <c r="F114" s="1">
        <v>0</v>
      </c>
      <c r="G114" s="1">
        <v>0</v>
      </c>
      <c r="H114" s="1">
        <v>0</v>
      </c>
      <c r="I114" s="2">
        <f t="shared" si="11"/>
        <v>0</v>
      </c>
      <c r="J114" s="2">
        <v>5861</v>
      </c>
      <c r="K114" s="2">
        <f t="shared" si="12"/>
        <v>0</v>
      </c>
      <c r="L114" s="1">
        <v>0</v>
      </c>
      <c r="M114" s="1">
        <v>0</v>
      </c>
      <c r="N114" s="1">
        <v>0</v>
      </c>
      <c r="O114" s="2">
        <f t="shared" si="13"/>
        <v>0</v>
      </c>
      <c r="P114" s="2">
        <v>6585</v>
      </c>
      <c r="Q114" s="2">
        <f t="shared" si="14"/>
        <v>0</v>
      </c>
    </row>
    <row r="115" spans="1:17" x14ac:dyDescent="0.3">
      <c r="A115" s="1" t="s">
        <v>50</v>
      </c>
      <c r="B115" s="1" t="s">
        <v>162</v>
      </c>
      <c r="C115" s="1" t="s">
        <v>164</v>
      </c>
      <c r="D115" s="1" t="s">
        <v>164</v>
      </c>
      <c r="E115" s="2">
        <v>21902</v>
      </c>
      <c r="F115" s="1">
        <v>0</v>
      </c>
      <c r="G115" s="1">
        <v>0</v>
      </c>
      <c r="H115" s="1">
        <v>0</v>
      </c>
      <c r="I115" s="2">
        <f t="shared" si="11"/>
        <v>0</v>
      </c>
      <c r="J115" s="2">
        <v>4307.333333333333</v>
      </c>
      <c r="K115" s="2">
        <f t="shared" si="12"/>
        <v>0</v>
      </c>
      <c r="L115" s="1">
        <v>0</v>
      </c>
      <c r="M115" s="1">
        <v>0</v>
      </c>
      <c r="N115" s="1">
        <v>0</v>
      </c>
      <c r="O115" s="2">
        <f t="shared" si="13"/>
        <v>0</v>
      </c>
      <c r="P115" s="2">
        <v>5122.333333333333</v>
      </c>
      <c r="Q115" s="2">
        <f t="shared" si="14"/>
        <v>0</v>
      </c>
    </row>
    <row r="116" spans="1:17" x14ac:dyDescent="0.3">
      <c r="A116" s="1" t="s">
        <v>50</v>
      </c>
      <c r="B116" s="1" t="s">
        <v>165</v>
      </c>
      <c r="C116" s="1" t="s">
        <v>165</v>
      </c>
      <c r="D116" s="1" t="s">
        <v>165</v>
      </c>
      <c r="E116" s="2">
        <v>22001</v>
      </c>
      <c r="F116" s="1">
        <v>0</v>
      </c>
      <c r="G116" s="1">
        <v>2</v>
      </c>
      <c r="H116" s="1">
        <v>3</v>
      </c>
      <c r="I116" s="2">
        <f t="shared" si="11"/>
        <v>1.6666666666666667</v>
      </c>
      <c r="J116" s="2">
        <v>55407.333333333336</v>
      </c>
      <c r="K116" s="2">
        <f t="shared" si="12"/>
        <v>3.0080254117986787</v>
      </c>
      <c r="L116" s="1">
        <v>1</v>
      </c>
      <c r="M116" s="1">
        <v>0</v>
      </c>
      <c r="N116" s="1">
        <v>0</v>
      </c>
      <c r="O116" s="2">
        <f t="shared" si="13"/>
        <v>0.33333333333333331</v>
      </c>
      <c r="P116" s="2">
        <v>58308.666666666664</v>
      </c>
      <c r="Q116" s="2">
        <f t="shared" si="14"/>
        <v>0.57167030630095006</v>
      </c>
    </row>
    <row r="117" spans="1:17" x14ac:dyDescent="0.3">
      <c r="A117" s="1" t="s">
        <v>50</v>
      </c>
      <c r="B117" s="1" t="s">
        <v>165</v>
      </c>
      <c r="C117" s="1" t="s">
        <v>166</v>
      </c>
      <c r="D117" s="1" t="s">
        <v>166</v>
      </c>
      <c r="E117" s="2">
        <v>22002</v>
      </c>
      <c r="F117" s="1">
        <v>0</v>
      </c>
      <c r="G117" s="1">
        <v>0</v>
      </c>
      <c r="H117" s="1">
        <v>0</v>
      </c>
      <c r="I117" s="2">
        <f t="shared" si="11"/>
        <v>0</v>
      </c>
      <c r="J117" s="2">
        <v>10789</v>
      </c>
      <c r="K117" s="2">
        <f t="shared" si="12"/>
        <v>0</v>
      </c>
      <c r="L117" s="1">
        <v>0</v>
      </c>
      <c r="M117" s="1">
        <v>0</v>
      </c>
      <c r="N117" s="1">
        <v>0</v>
      </c>
      <c r="O117" s="2">
        <f t="shared" si="13"/>
        <v>0</v>
      </c>
      <c r="P117" s="2">
        <v>10557</v>
      </c>
      <c r="Q117" s="2">
        <f t="shared" si="14"/>
        <v>0</v>
      </c>
    </row>
    <row r="118" spans="1:17" x14ac:dyDescent="0.3">
      <c r="A118" s="1" t="s">
        <v>167</v>
      </c>
      <c r="B118" s="1" t="s">
        <v>168</v>
      </c>
      <c r="C118" s="1" t="s">
        <v>167</v>
      </c>
      <c r="D118" s="1" t="s">
        <v>167</v>
      </c>
      <c r="E118" s="2">
        <v>30101</v>
      </c>
      <c r="F118" s="1">
        <v>27</v>
      </c>
      <c r="G118" s="1">
        <v>63</v>
      </c>
      <c r="H118" s="1">
        <v>152</v>
      </c>
      <c r="I118" s="2">
        <f t="shared" si="11"/>
        <v>80.666666666666671</v>
      </c>
      <c r="J118" s="2">
        <v>649204.33333333337</v>
      </c>
      <c r="K118" s="2">
        <f t="shared" si="12"/>
        <v>12.425466455604885</v>
      </c>
      <c r="L118" s="1">
        <v>150</v>
      </c>
      <c r="M118" s="1">
        <v>142</v>
      </c>
      <c r="N118" s="1">
        <v>119</v>
      </c>
      <c r="O118" s="2">
        <f t="shared" si="13"/>
        <v>137</v>
      </c>
      <c r="P118" s="2">
        <v>659028</v>
      </c>
      <c r="Q118" s="2">
        <f t="shared" si="14"/>
        <v>20.788191093549894</v>
      </c>
    </row>
    <row r="119" spans="1:17" x14ac:dyDescent="0.3">
      <c r="A119" s="1" t="s">
        <v>167</v>
      </c>
      <c r="B119" s="1" t="s">
        <v>169</v>
      </c>
      <c r="C119" s="1" t="s">
        <v>170</v>
      </c>
      <c r="D119" s="1" t="s">
        <v>170</v>
      </c>
      <c r="E119" s="2">
        <v>30201</v>
      </c>
      <c r="F119" s="1">
        <v>0</v>
      </c>
      <c r="G119" s="1">
        <v>0</v>
      </c>
      <c r="H119" s="1">
        <v>1</v>
      </c>
      <c r="I119" s="2">
        <f t="shared" si="11"/>
        <v>0.33333333333333331</v>
      </c>
      <c r="J119" s="2">
        <v>23111.333333333332</v>
      </c>
      <c r="K119" s="2">
        <f t="shared" si="12"/>
        <v>1.4422938240978451</v>
      </c>
      <c r="L119" s="1">
        <v>0</v>
      </c>
      <c r="M119" s="1">
        <v>7</v>
      </c>
      <c r="N119" s="1">
        <v>7</v>
      </c>
      <c r="O119" s="2">
        <f t="shared" si="13"/>
        <v>4.666666666666667</v>
      </c>
      <c r="P119" s="2">
        <v>23022.333333333332</v>
      </c>
      <c r="Q119" s="2">
        <f t="shared" si="14"/>
        <v>20.270172441252701</v>
      </c>
    </row>
    <row r="120" spans="1:17" x14ac:dyDescent="0.3">
      <c r="A120" s="1" t="s">
        <v>167</v>
      </c>
      <c r="B120" s="1" t="s">
        <v>169</v>
      </c>
      <c r="C120" s="1" t="s">
        <v>171</v>
      </c>
      <c r="D120" s="1" t="s">
        <v>171</v>
      </c>
      <c r="E120" s="2">
        <v>30202</v>
      </c>
      <c r="F120" s="1">
        <v>0</v>
      </c>
      <c r="G120" s="1">
        <v>0</v>
      </c>
      <c r="H120" s="1">
        <v>0</v>
      </c>
      <c r="I120" s="2">
        <f t="shared" si="11"/>
        <v>0</v>
      </c>
      <c r="J120" s="2">
        <v>6628.333333333333</v>
      </c>
      <c r="K120" s="2">
        <f t="shared" si="12"/>
        <v>0</v>
      </c>
      <c r="L120" s="1">
        <v>0</v>
      </c>
      <c r="M120" s="1">
        <v>0</v>
      </c>
      <c r="N120" s="1">
        <v>0</v>
      </c>
      <c r="O120" s="2">
        <f t="shared" si="13"/>
        <v>0</v>
      </c>
      <c r="P120" s="2">
        <v>6500</v>
      </c>
      <c r="Q120" s="2">
        <f t="shared" si="14"/>
        <v>0</v>
      </c>
    </row>
    <row r="121" spans="1:17" x14ac:dyDescent="0.3">
      <c r="A121" s="1" t="s">
        <v>167</v>
      </c>
      <c r="B121" s="1" t="s">
        <v>169</v>
      </c>
      <c r="C121" s="1" t="s">
        <v>172</v>
      </c>
      <c r="D121" s="1" t="s">
        <v>172</v>
      </c>
      <c r="E121" s="2">
        <v>30203</v>
      </c>
      <c r="F121" s="1">
        <v>0</v>
      </c>
      <c r="G121" s="1">
        <v>0</v>
      </c>
      <c r="H121" s="1">
        <v>0</v>
      </c>
      <c r="I121" s="2">
        <f t="shared" si="11"/>
        <v>0</v>
      </c>
      <c r="J121" s="2">
        <v>6247</v>
      </c>
      <c r="K121" s="2">
        <f t="shared" si="12"/>
        <v>0</v>
      </c>
      <c r="L121" s="1">
        <v>0</v>
      </c>
      <c r="M121" s="1">
        <v>0</v>
      </c>
      <c r="N121" s="1">
        <v>0</v>
      </c>
      <c r="O121" s="2">
        <f t="shared" si="13"/>
        <v>0</v>
      </c>
      <c r="P121" s="2">
        <v>6592</v>
      </c>
      <c r="Q121" s="2">
        <f t="shared" si="14"/>
        <v>0</v>
      </c>
    </row>
    <row r="122" spans="1:17" x14ac:dyDescent="0.3">
      <c r="A122" s="1" t="s">
        <v>167</v>
      </c>
      <c r="B122" s="1" t="s">
        <v>173</v>
      </c>
      <c r="C122" s="1" t="s">
        <v>174</v>
      </c>
      <c r="D122" s="1" t="s">
        <v>175</v>
      </c>
      <c r="E122" s="2">
        <v>30301</v>
      </c>
      <c r="F122" s="1">
        <v>0</v>
      </c>
      <c r="G122" s="1">
        <v>0</v>
      </c>
      <c r="H122" s="1">
        <v>0</v>
      </c>
      <c r="I122" s="2">
        <f t="shared" si="11"/>
        <v>0</v>
      </c>
      <c r="J122" s="2">
        <v>22526</v>
      </c>
      <c r="K122" s="2">
        <f t="shared" si="12"/>
        <v>0</v>
      </c>
      <c r="L122" s="1">
        <v>0</v>
      </c>
      <c r="M122" s="1">
        <v>0</v>
      </c>
      <c r="N122" s="1">
        <v>0</v>
      </c>
      <c r="O122" s="2">
        <f t="shared" si="13"/>
        <v>0</v>
      </c>
      <c r="P122" s="2">
        <v>21879</v>
      </c>
      <c r="Q122" s="2">
        <f t="shared" si="14"/>
        <v>0</v>
      </c>
    </row>
    <row r="123" spans="1:17" x14ac:dyDescent="0.3">
      <c r="A123" s="1" t="s">
        <v>167</v>
      </c>
      <c r="B123" s="1" t="s">
        <v>173</v>
      </c>
      <c r="C123" s="1" t="s">
        <v>176</v>
      </c>
      <c r="D123" s="1" t="s">
        <v>176</v>
      </c>
      <c r="E123" s="2">
        <v>30302</v>
      </c>
      <c r="F123" s="1">
        <v>0</v>
      </c>
      <c r="G123" s="1">
        <v>0</v>
      </c>
      <c r="H123" s="1">
        <v>0</v>
      </c>
      <c r="I123" s="2">
        <f t="shared" si="11"/>
        <v>0</v>
      </c>
      <c r="J123" s="2">
        <v>13848</v>
      </c>
      <c r="K123" s="2">
        <f t="shared" si="12"/>
        <v>0</v>
      </c>
      <c r="L123" s="1">
        <v>0</v>
      </c>
      <c r="M123" s="1">
        <v>0</v>
      </c>
      <c r="N123" s="1">
        <v>0</v>
      </c>
      <c r="O123" s="2">
        <f t="shared" si="13"/>
        <v>0</v>
      </c>
      <c r="P123" s="2">
        <v>14448</v>
      </c>
      <c r="Q123" s="2">
        <f t="shared" si="14"/>
        <v>0</v>
      </c>
    </row>
    <row r="124" spans="1:17" x14ac:dyDescent="0.3">
      <c r="A124" s="1" t="s">
        <v>167</v>
      </c>
      <c r="B124" s="1" t="s">
        <v>173</v>
      </c>
      <c r="C124" s="1" t="s">
        <v>177</v>
      </c>
      <c r="D124" s="1" t="s">
        <v>177</v>
      </c>
      <c r="E124" s="2">
        <v>30303</v>
      </c>
      <c r="F124" s="1">
        <v>0</v>
      </c>
      <c r="G124" s="1">
        <v>0</v>
      </c>
      <c r="H124" s="1">
        <v>0</v>
      </c>
      <c r="I124" s="2">
        <f t="shared" si="11"/>
        <v>0</v>
      </c>
      <c r="J124" s="2">
        <v>18887.333333333332</v>
      </c>
      <c r="K124" s="2">
        <f t="shared" si="12"/>
        <v>0</v>
      </c>
      <c r="L124" s="1">
        <v>0</v>
      </c>
      <c r="M124" s="1">
        <v>1</v>
      </c>
      <c r="N124" s="1">
        <v>0</v>
      </c>
      <c r="O124" s="2">
        <f t="shared" si="13"/>
        <v>0.33333333333333331</v>
      </c>
      <c r="P124" s="2">
        <v>19351</v>
      </c>
      <c r="Q124" s="2">
        <f t="shared" si="14"/>
        <v>1.7225638640552596</v>
      </c>
    </row>
    <row r="125" spans="1:17" x14ac:dyDescent="0.3">
      <c r="A125" s="1" t="s">
        <v>167</v>
      </c>
      <c r="B125" s="1" t="s">
        <v>178</v>
      </c>
      <c r="C125" s="1" t="s">
        <v>179</v>
      </c>
      <c r="D125" s="1" t="s">
        <v>179</v>
      </c>
      <c r="E125" s="2">
        <v>30401</v>
      </c>
      <c r="F125" s="1">
        <v>0</v>
      </c>
      <c r="G125" s="1">
        <v>0</v>
      </c>
      <c r="H125" s="1">
        <v>0</v>
      </c>
      <c r="I125" s="2">
        <f t="shared" si="11"/>
        <v>0</v>
      </c>
      <c r="J125" s="2">
        <v>9988</v>
      </c>
      <c r="K125" s="2">
        <f t="shared" si="12"/>
        <v>0</v>
      </c>
      <c r="L125" s="1">
        <v>4</v>
      </c>
      <c r="M125" s="1">
        <v>0</v>
      </c>
      <c r="N125" s="1">
        <v>6</v>
      </c>
      <c r="O125" s="2">
        <f t="shared" si="13"/>
        <v>3.3333333333333335</v>
      </c>
      <c r="P125" s="2">
        <v>10985.666666666666</v>
      </c>
      <c r="Q125" s="2">
        <f t="shared" si="14"/>
        <v>30.342567588069308</v>
      </c>
    </row>
    <row r="126" spans="1:17" x14ac:dyDescent="0.3">
      <c r="A126" s="1" t="s">
        <v>167</v>
      </c>
      <c r="B126" s="1" t="s">
        <v>178</v>
      </c>
      <c r="C126" s="1" t="s">
        <v>180</v>
      </c>
      <c r="D126" s="1" t="s">
        <v>181</v>
      </c>
      <c r="E126" s="2">
        <v>30402</v>
      </c>
      <c r="F126" s="1">
        <v>0</v>
      </c>
      <c r="G126" s="1">
        <v>0</v>
      </c>
      <c r="H126" s="1">
        <v>0</v>
      </c>
      <c r="I126" s="2">
        <f t="shared" si="11"/>
        <v>0</v>
      </c>
      <c r="J126" s="2">
        <v>7268</v>
      </c>
      <c r="K126" s="2">
        <f t="shared" si="12"/>
        <v>0</v>
      </c>
      <c r="L126" s="1">
        <v>0</v>
      </c>
      <c r="M126" s="1">
        <v>0</v>
      </c>
      <c r="N126" s="1">
        <v>0</v>
      </c>
      <c r="O126" s="2">
        <f t="shared" si="13"/>
        <v>0</v>
      </c>
      <c r="P126" s="2">
        <v>7311</v>
      </c>
      <c r="Q126" s="2">
        <f t="shared" si="14"/>
        <v>0</v>
      </c>
    </row>
    <row r="127" spans="1:17" x14ac:dyDescent="0.3">
      <c r="A127" s="1" t="s">
        <v>167</v>
      </c>
      <c r="B127" s="1" t="s">
        <v>178</v>
      </c>
      <c r="C127" s="1" t="s">
        <v>182</v>
      </c>
      <c r="D127" s="1" t="s">
        <v>182</v>
      </c>
      <c r="E127" s="2">
        <v>30403</v>
      </c>
      <c r="F127" s="1">
        <v>0</v>
      </c>
      <c r="G127" s="1">
        <v>0</v>
      </c>
      <c r="H127" s="1">
        <v>0</v>
      </c>
      <c r="I127" s="2">
        <f t="shared" si="11"/>
        <v>0</v>
      </c>
      <c r="J127" s="2">
        <v>25034</v>
      </c>
      <c r="K127" s="2">
        <f t="shared" si="12"/>
        <v>0</v>
      </c>
      <c r="L127" s="1">
        <v>7</v>
      </c>
      <c r="M127" s="1">
        <v>1</v>
      </c>
      <c r="N127" s="1">
        <v>2</v>
      </c>
      <c r="O127" s="2">
        <f t="shared" si="13"/>
        <v>3.3333333333333335</v>
      </c>
      <c r="P127" s="2">
        <v>29370</v>
      </c>
      <c r="Q127" s="2">
        <f t="shared" si="14"/>
        <v>11.349449551696743</v>
      </c>
    </row>
    <row r="128" spans="1:17" x14ac:dyDescent="0.3">
      <c r="A128" s="1" t="s">
        <v>167</v>
      </c>
      <c r="B128" s="1" t="s">
        <v>178</v>
      </c>
      <c r="C128" s="1" t="s">
        <v>183</v>
      </c>
      <c r="D128" s="1" t="s">
        <v>183</v>
      </c>
      <c r="E128" s="2">
        <v>30404</v>
      </c>
      <c r="F128" s="1">
        <v>0</v>
      </c>
      <c r="G128" s="1">
        <v>0</v>
      </c>
      <c r="H128" s="1">
        <v>0</v>
      </c>
      <c r="I128" s="2">
        <f t="shared" si="11"/>
        <v>0</v>
      </c>
      <c r="J128" s="2">
        <v>4708.333333333333</v>
      </c>
      <c r="K128" s="2">
        <f t="shared" si="12"/>
        <v>0</v>
      </c>
      <c r="L128" s="1">
        <v>1</v>
      </c>
      <c r="M128" s="1">
        <v>0</v>
      </c>
      <c r="N128" s="1">
        <v>0</v>
      </c>
      <c r="O128" s="2">
        <f t="shared" si="13"/>
        <v>0.33333333333333331</v>
      </c>
      <c r="P128" s="2">
        <v>4904</v>
      </c>
      <c r="Q128" s="2">
        <f t="shared" si="14"/>
        <v>6.7971723762914618</v>
      </c>
    </row>
    <row r="129" spans="1:17" x14ac:dyDescent="0.3">
      <c r="A129" s="1" t="s">
        <v>167</v>
      </c>
      <c r="B129" s="1" t="s">
        <v>184</v>
      </c>
      <c r="C129" s="1" t="s">
        <v>184</v>
      </c>
      <c r="D129" s="1" t="s">
        <v>184</v>
      </c>
      <c r="E129" s="2">
        <v>30501</v>
      </c>
      <c r="F129" s="1">
        <v>0</v>
      </c>
      <c r="G129" s="1">
        <v>0</v>
      </c>
      <c r="H129" s="1">
        <v>0</v>
      </c>
      <c r="I129" s="2">
        <f t="shared" si="11"/>
        <v>0</v>
      </c>
      <c r="J129" s="2">
        <v>10616.333333333334</v>
      </c>
      <c r="K129" s="2">
        <f t="shared" si="12"/>
        <v>0</v>
      </c>
      <c r="L129" s="1">
        <v>0</v>
      </c>
      <c r="M129" s="1">
        <v>0</v>
      </c>
      <c r="N129" s="1">
        <v>5</v>
      </c>
      <c r="O129" s="2">
        <f t="shared" si="13"/>
        <v>1.6666666666666667</v>
      </c>
      <c r="P129" s="2">
        <v>11252</v>
      </c>
      <c r="Q129" s="2">
        <f t="shared" si="14"/>
        <v>14.812181538096931</v>
      </c>
    </row>
    <row r="130" spans="1:17" x14ac:dyDescent="0.3">
      <c r="A130" s="1" t="s">
        <v>167</v>
      </c>
      <c r="B130" s="1" t="s">
        <v>184</v>
      </c>
      <c r="C130" s="1" t="s">
        <v>185</v>
      </c>
      <c r="D130" s="1" t="s">
        <v>185</v>
      </c>
      <c r="E130" s="2">
        <v>30502</v>
      </c>
      <c r="F130" s="1">
        <v>0</v>
      </c>
      <c r="G130" s="1">
        <v>0</v>
      </c>
      <c r="H130" s="1">
        <v>0</v>
      </c>
      <c r="I130" s="2">
        <f t="shared" si="11"/>
        <v>0</v>
      </c>
      <c r="J130" s="2">
        <v>8640</v>
      </c>
      <c r="K130" s="2">
        <f t="shared" si="12"/>
        <v>0</v>
      </c>
      <c r="L130" s="1">
        <v>0</v>
      </c>
      <c r="M130" s="1">
        <v>0</v>
      </c>
      <c r="N130" s="1">
        <v>9</v>
      </c>
      <c r="O130" s="2">
        <f t="shared" si="13"/>
        <v>3</v>
      </c>
      <c r="P130" s="2">
        <v>8468</v>
      </c>
      <c r="Q130" s="2">
        <f t="shared" si="14"/>
        <v>35.427491733585263</v>
      </c>
    </row>
    <row r="131" spans="1:17" x14ac:dyDescent="0.3">
      <c r="A131" s="1" t="s">
        <v>167</v>
      </c>
      <c r="B131" s="1" t="s">
        <v>186</v>
      </c>
      <c r="C131" s="1" t="s">
        <v>186</v>
      </c>
      <c r="D131" s="1" t="s">
        <v>187</v>
      </c>
      <c r="E131" s="2">
        <v>30601</v>
      </c>
      <c r="F131" s="1">
        <v>0</v>
      </c>
      <c r="G131" s="1">
        <v>0</v>
      </c>
      <c r="H131" s="1">
        <v>5</v>
      </c>
      <c r="I131" s="2">
        <f t="shared" ref="I131:I194" si="15">AVERAGE(F131:H131)</f>
        <v>1.6666666666666667</v>
      </c>
      <c r="J131" s="2">
        <v>10619</v>
      </c>
      <c r="K131" s="2">
        <f t="shared" ref="K131:K194" si="16">I131/J131*100000</f>
        <v>15.695137646357159</v>
      </c>
      <c r="L131" s="1">
        <v>3</v>
      </c>
      <c r="M131" s="1">
        <v>1</v>
      </c>
      <c r="N131" s="1">
        <v>1</v>
      </c>
      <c r="O131" s="2">
        <f t="shared" ref="O131:O194" si="17">AVERAGE(L131:N131)</f>
        <v>1.6666666666666667</v>
      </c>
      <c r="P131" s="2">
        <v>10632</v>
      </c>
      <c r="Q131" s="2">
        <f t="shared" ref="Q131:Q194" si="18">O131/P131*100000</f>
        <v>15.675946827188364</v>
      </c>
    </row>
    <row r="132" spans="1:17" x14ac:dyDescent="0.3">
      <c r="A132" s="1" t="s">
        <v>167</v>
      </c>
      <c r="B132" s="1" t="s">
        <v>186</v>
      </c>
      <c r="C132" s="1" t="s">
        <v>188</v>
      </c>
      <c r="D132" s="1" t="s">
        <v>188</v>
      </c>
      <c r="E132" s="2">
        <v>30602</v>
      </c>
      <c r="F132" s="1">
        <v>0</v>
      </c>
      <c r="G132" s="1">
        <v>0</v>
      </c>
      <c r="H132" s="1">
        <v>0</v>
      </c>
      <c r="I132" s="2">
        <f t="shared" si="15"/>
        <v>0</v>
      </c>
      <c r="J132" s="2">
        <v>10425.666666666666</v>
      </c>
      <c r="K132" s="2">
        <f t="shared" si="16"/>
        <v>0</v>
      </c>
      <c r="L132" s="1">
        <v>2</v>
      </c>
      <c r="M132" s="1">
        <v>0</v>
      </c>
      <c r="N132" s="1">
        <v>4</v>
      </c>
      <c r="O132" s="2">
        <f t="shared" si="17"/>
        <v>2</v>
      </c>
      <c r="P132" s="2">
        <v>10524.333333333334</v>
      </c>
      <c r="Q132" s="2">
        <f t="shared" si="18"/>
        <v>19.003579007379724</v>
      </c>
    </row>
    <row r="133" spans="1:17" x14ac:dyDescent="0.3">
      <c r="A133" s="1" t="s">
        <v>167</v>
      </c>
      <c r="B133" s="1" t="s">
        <v>189</v>
      </c>
      <c r="C133" s="1" t="s">
        <v>189</v>
      </c>
      <c r="D133" s="1" t="s">
        <v>189</v>
      </c>
      <c r="E133" s="2">
        <v>30701</v>
      </c>
      <c r="F133" s="1">
        <v>0</v>
      </c>
      <c r="G133" s="1">
        <v>1</v>
      </c>
      <c r="H133" s="1">
        <v>0</v>
      </c>
      <c r="I133" s="2">
        <f t="shared" si="15"/>
        <v>0.33333333333333331</v>
      </c>
      <c r="J133" s="2">
        <v>19368.666666666668</v>
      </c>
      <c r="K133" s="2">
        <f t="shared" si="16"/>
        <v>1.7209926685712318</v>
      </c>
      <c r="L133" s="1">
        <v>0</v>
      </c>
      <c r="M133" s="1">
        <v>1</v>
      </c>
      <c r="N133" s="1">
        <v>3</v>
      </c>
      <c r="O133" s="2">
        <f t="shared" si="17"/>
        <v>1.3333333333333333</v>
      </c>
      <c r="P133" s="2">
        <v>19306.666666666668</v>
      </c>
      <c r="Q133" s="2">
        <f t="shared" si="18"/>
        <v>6.9060773480662974</v>
      </c>
    </row>
    <row r="134" spans="1:17" x14ac:dyDescent="0.3">
      <c r="A134" s="1" t="s">
        <v>167</v>
      </c>
      <c r="B134" s="1" t="s">
        <v>189</v>
      </c>
      <c r="C134" s="1" t="s">
        <v>190</v>
      </c>
      <c r="D134" s="1" t="s">
        <v>191</v>
      </c>
      <c r="E134" s="2">
        <v>30702</v>
      </c>
      <c r="F134" s="1">
        <v>0</v>
      </c>
      <c r="G134" s="1">
        <v>0</v>
      </c>
      <c r="H134" s="1">
        <v>0</v>
      </c>
      <c r="I134" s="2">
        <f t="shared" si="15"/>
        <v>0</v>
      </c>
      <c r="J134" s="2">
        <v>7309.333333333333</v>
      </c>
      <c r="K134" s="2">
        <f t="shared" si="16"/>
        <v>0</v>
      </c>
      <c r="L134" s="1">
        <v>1</v>
      </c>
      <c r="M134" s="1">
        <v>0</v>
      </c>
      <c r="N134" s="1">
        <v>3</v>
      </c>
      <c r="O134" s="2">
        <f t="shared" si="17"/>
        <v>1.3333333333333333</v>
      </c>
      <c r="P134" s="2">
        <v>7756.333333333333</v>
      </c>
      <c r="Q134" s="2">
        <f t="shared" si="18"/>
        <v>17.190253126477288</v>
      </c>
    </row>
    <row r="135" spans="1:17" x14ac:dyDescent="0.3">
      <c r="A135" s="1" t="s">
        <v>167</v>
      </c>
      <c r="B135" s="1" t="s">
        <v>189</v>
      </c>
      <c r="C135" s="1" t="s">
        <v>192</v>
      </c>
      <c r="D135" s="1" t="s">
        <v>192</v>
      </c>
      <c r="E135" s="2">
        <v>30703</v>
      </c>
      <c r="F135" s="1">
        <v>0</v>
      </c>
      <c r="G135" s="1">
        <v>0</v>
      </c>
      <c r="H135" s="1">
        <v>0</v>
      </c>
      <c r="I135" s="2">
        <f t="shared" si="15"/>
        <v>0</v>
      </c>
      <c r="J135" s="2">
        <v>3862</v>
      </c>
      <c r="K135" s="2">
        <f t="shared" si="16"/>
        <v>0</v>
      </c>
      <c r="L135" s="1">
        <v>0</v>
      </c>
      <c r="M135" s="1">
        <v>0</v>
      </c>
      <c r="N135" s="1">
        <v>1</v>
      </c>
      <c r="O135" s="2">
        <f t="shared" si="17"/>
        <v>0.33333333333333331</v>
      </c>
      <c r="P135" s="2">
        <v>3931.6666666666665</v>
      </c>
      <c r="Q135" s="2">
        <f t="shared" si="18"/>
        <v>8.4781687155574392</v>
      </c>
    </row>
    <row r="136" spans="1:17" x14ac:dyDescent="0.3">
      <c r="A136" s="1" t="s">
        <v>167</v>
      </c>
      <c r="B136" s="1" t="s">
        <v>193</v>
      </c>
      <c r="C136" s="1" t="s">
        <v>194</v>
      </c>
      <c r="D136" s="1" t="s">
        <v>194</v>
      </c>
      <c r="E136" s="2">
        <v>30801</v>
      </c>
      <c r="F136" s="1">
        <v>0</v>
      </c>
      <c r="G136" s="1">
        <v>0</v>
      </c>
      <c r="H136" s="1">
        <v>0</v>
      </c>
      <c r="I136" s="2">
        <f t="shared" si="15"/>
        <v>0</v>
      </c>
      <c r="J136" s="2">
        <v>21303</v>
      </c>
      <c r="K136" s="2">
        <f t="shared" si="16"/>
        <v>0</v>
      </c>
      <c r="L136" s="1">
        <v>7</v>
      </c>
      <c r="M136" s="1">
        <v>0</v>
      </c>
      <c r="N136" s="1">
        <v>1</v>
      </c>
      <c r="O136" s="2">
        <f t="shared" si="17"/>
        <v>2.6666666666666665</v>
      </c>
      <c r="P136" s="2">
        <v>20962</v>
      </c>
      <c r="Q136" s="2">
        <f t="shared" si="18"/>
        <v>12.721432433291987</v>
      </c>
    </row>
    <row r="137" spans="1:17" x14ac:dyDescent="0.3">
      <c r="A137" s="1" t="s">
        <v>167</v>
      </c>
      <c r="B137" s="1" t="s">
        <v>193</v>
      </c>
      <c r="C137" s="1" t="s">
        <v>195</v>
      </c>
      <c r="D137" s="1" t="s">
        <v>195</v>
      </c>
      <c r="E137" s="2">
        <v>30802</v>
      </c>
      <c r="F137" s="1">
        <v>0</v>
      </c>
      <c r="G137" s="1">
        <v>0</v>
      </c>
      <c r="H137" s="1">
        <v>0</v>
      </c>
      <c r="I137" s="2">
        <f t="shared" si="15"/>
        <v>0</v>
      </c>
      <c r="J137" s="2">
        <v>7145.333333333333</v>
      </c>
      <c r="K137" s="2">
        <f t="shared" si="16"/>
        <v>0</v>
      </c>
      <c r="L137" s="1">
        <v>5</v>
      </c>
      <c r="M137" s="1">
        <v>0</v>
      </c>
      <c r="N137" s="1">
        <v>2</v>
      </c>
      <c r="O137" s="2">
        <f t="shared" si="17"/>
        <v>2.3333333333333335</v>
      </c>
      <c r="P137" s="2">
        <v>7195.333333333333</v>
      </c>
      <c r="Q137" s="2">
        <f t="shared" si="18"/>
        <v>32.42842583155749</v>
      </c>
    </row>
    <row r="138" spans="1:17" x14ac:dyDescent="0.3">
      <c r="A138" s="1" t="s">
        <v>167</v>
      </c>
      <c r="B138" s="1" t="s">
        <v>193</v>
      </c>
      <c r="C138" s="1" t="s">
        <v>196</v>
      </c>
      <c r="D138" s="1" t="s">
        <v>196</v>
      </c>
      <c r="E138" s="2">
        <v>30803</v>
      </c>
      <c r="F138" s="1">
        <v>0</v>
      </c>
      <c r="G138" s="1">
        <v>0</v>
      </c>
      <c r="H138" s="1">
        <v>0</v>
      </c>
      <c r="I138" s="2">
        <f t="shared" si="15"/>
        <v>0</v>
      </c>
      <c r="J138" s="2">
        <v>6609.666666666667</v>
      </c>
      <c r="K138" s="2">
        <f t="shared" si="16"/>
        <v>0</v>
      </c>
      <c r="L138" s="1">
        <v>14</v>
      </c>
      <c r="M138" s="1">
        <v>1</v>
      </c>
      <c r="N138" s="1">
        <v>4</v>
      </c>
      <c r="O138" s="2">
        <f t="shared" si="17"/>
        <v>6.333333333333333</v>
      </c>
      <c r="P138" s="2">
        <v>7219.666666666667</v>
      </c>
      <c r="Q138" s="2">
        <f t="shared" si="18"/>
        <v>87.723348261692593</v>
      </c>
    </row>
    <row r="139" spans="1:17" x14ac:dyDescent="0.3">
      <c r="A139" s="1" t="s">
        <v>167</v>
      </c>
      <c r="B139" s="1" t="s">
        <v>197</v>
      </c>
      <c r="C139" s="1" t="s">
        <v>197</v>
      </c>
      <c r="D139" s="1" t="s">
        <v>197</v>
      </c>
      <c r="E139" s="2">
        <v>30901</v>
      </c>
      <c r="F139" s="1">
        <v>0</v>
      </c>
      <c r="G139" s="1">
        <v>9</v>
      </c>
      <c r="H139" s="1">
        <v>9</v>
      </c>
      <c r="I139" s="2">
        <f t="shared" si="15"/>
        <v>6</v>
      </c>
      <c r="J139" s="2">
        <v>153893.33333333334</v>
      </c>
      <c r="K139" s="2">
        <f t="shared" si="16"/>
        <v>3.8988043666608903</v>
      </c>
      <c r="L139" s="1">
        <v>22</v>
      </c>
      <c r="M139" s="1">
        <v>27</v>
      </c>
      <c r="N139" s="1">
        <v>22</v>
      </c>
      <c r="O139" s="2">
        <f t="shared" si="17"/>
        <v>23.666666666666668</v>
      </c>
      <c r="P139" s="2">
        <v>163442.66666666666</v>
      </c>
      <c r="Q139" s="2">
        <f t="shared" si="18"/>
        <v>14.480103114649788</v>
      </c>
    </row>
    <row r="140" spans="1:17" x14ac:dyDescent="0.3">
      <c r="A140" s="1" t="s">
        <v>167</v>
      </c>
      <c r="B140" s="1" t="s">
        <v>197</v>
      </c>
      <c r="C140" s="1" t="s">
        <v>198</v>
      </c>
      <c r="D140" s="1" t="s">
        <v>198</v>
      </c>
      <c r="E140" s="2">
        <v>30902</v>
      </c>
      <c r="F140" s="1">
        <v>0</v>
      </c>
      <c r="G140" s="1">
        <v>4</v>
      </c>
      <c r="H140" s="1">
        <v>10</v>
      </c>
      <c r="I140" s="2">
        <f t="shared" si="15"/>
        <v>4.666666666666667</v>
      </c>
      <c r="J140" s="2">
        <v>49755</v>
      </c>
      <c r="K140" s="2">
        <f t="shared" si="16"/>
        <v>9.3792918634643083</v>
      </c>
      <c r="L140" s="1">
        <v>6</v>
      </c>
      <c r="M140" s="1">
        <v>5</v>
      </c>
      <c r="N140" s="1">
        <v>23</v>
      </c>
      <c r="O140" s="2">
        <f t="shared" si="17"/>
        <v>11.333333333333334</v>
      </c>
      <c r="P140" s="2">
        <v>54432</v>
      </c>
      <c r="Q140" s="2">
        <f t="shared" si="18"/>
        <v>20.821085635900452</v>
      </c>
    </row>
    <row r="141" spans="1:17" x14ac:dyDescent="0.3">
      <c r="A141" s="1" t="s">
        <v>167</v>
      </c>
      <c r="B141" s="1" t="s">
        <v>197</v>
      </c>
      <c r="C141" s="1" t="s">
        <v>199</v>
      </c>
      <c r="D141" s="1" t="s">
        <v>199</v>
      </c>
      <c r="E141" s="2">
        <v>30903</v>
      </c>
      <c r="F141" s="1">
        <v>0</v>
      </c>
      <c r="G141" s="1">
        <v>1</v>
      </c>
      <c r="H141" s="1">
        <v>9</v>
      </c>
      <c r="I141" s="2">
        <f t="shared" si="15"/>
        <v>3.3333333333333335</v>
      </c>
      <c r="J141" s="2">
        <v>58393.333333333336</v>
      </c>
      <c r="K141" s="2">
        <f t="shared" si="16"/>
        <v>5.7084142025345361</v>
      </c>
      <c r="L141" s="1">
        <v>5</v>
      </c>
      <c r="M141" s="1">
        <v>22</v>
      </c>
      <c r="N141" s="1">
        <v>3</v>
      </c>
      <c r="O141" s="2">
        <f t="shared" si="17"/>
        <v>10</v>
      </c>
      <c r="P141" s="2">
        <v>60958.666666666664</v>
      </c>
      <c r="Q141" s="2">
        <f t="shared" si="18"/>
        <v>16.404558279927382</v>
      </c>
    </row>
    <row r="142" spans="1:17" x14ac:dyDescent="0.3">
      <c r="A142" s="1" t="s">
        <v>167</v>
      </c>
      <c r="B142" s="1" t="s">
        <v>197</v>
      </c>
      <c r="C142" s="1" t="s">
        <v>200</v>
      </c>
      <c r="D142" s="1" t="s">
        <v>200</v>
      </c>
      <c r="E142" s="2">
        <v>30904</v>
      </c>
      <c r="F142" s="1">
        <v>0</v>
      </c>
      <c r="G142" s="1">
        <v>1</v>
      </c>
      <c r="H142" s="1">
        <v>2</v>
      </c>
      <c r="I142" s="2">
        <f t="shared" si="15"/>
        <v>1</v>
      </c>
      <c r="J142" s="2">
        <v>54188</v>
      </c>
      <c r="K142" s="2">
        <f t="shared" si="16"/>
        <v>1.8454270318151622</v>
      </c>
      <c r="L142" s="1">
        <v>4</v>
      </c>
      <c r="M142" s="1">
        <v>3</v>
      </c>
      <c r="N142" s="1">
        <v>4</v>
      </c>
      <c r="O142" s="2">
        <f t="shared" si="17"/>
        <v>3.6666666666666665</v>
      </c>
      <c r="P142" s="2">
        <v>55456</v>
      </c>
      <c r="Q142" s="2">
        <f t="shared" si="18"/>
        <v>6.6118484323908442</v>
      </c>
    </row>
    <row r="143" spans="1:17" x14ac:dyDescent="0.3">
      <c r="A143" s="1" t="s">
        <v>167</v>
      </c>
      <c r="B143" s="1" t="s">
        <v>197</v>
      </c>
      <c r="C143" s="1" t="s">
        <v>201</v>
      </c>
      <c r="D143" s="1" t="s">
        <v>201</v>
      </c>
      <c r="E143" s="2">
        <v>30905</v>
      </c>
      <c r="F143" s="1">
        <v>0</v>
      </c>
      <c r="G143" s="1">
        <v>2</v>
      </c>
      <c r="H143" s="1">
        <v>4</v>
      </c>
      <c r="I143" s="2">
        <f t="shared" si="15"/>
        <v>2</v>
      </c>
      <c r="J143" s="2">
        <v>60300</v>
      </c>
      <c r="K143" s="2">
        <f t="shared" si="16"/>
        <v>3.3167495854063018</v>
      </c>
      <c r="L143" s="1">
        <v>12</v>
      </c>
      <c r="M143" s="1">
        <v>22</v>
      </c>
      <c r="N143" s="1">
        <v>2</v>
      </c>
      <c r="O143" s="2">
        <f t="shared" si="17"/>
        <v>12</v>
      </c>
      <c r="P143" s="2">
        <v>65048</v>
      </c>
      <c r="Q143" s="2">
        <f t="shared" si="18"/>
        <v>18.447915385561434</v>
      </c>
    </row>
    <row r="144" spans="1:17" x14ac:dyDescent="0.3">
      <c r="A144" s="1" t="s">
        <v>167</v>
      </c>
      <c r="B144" s="1" t="s">
        <v>202</v>
      </c>
      <c r="C144" s="1" t="s">
        <v>203</v>
      </c>
      <c r="D144" s="1" t="s">
        <v>203</v>
      </c>
      <c r="E144" s="2">
        <v>31001</v>
      </c>
      <c r="F144" s="1">
        <v>1</v>
      </c>
      <c r="G144" s="1">
        <v>2</v>
      </c>
      <c r="H144" s="1">
        <v>12</v>
      </c>
      <c r="I144" s="2">
        <f t="shared" si="15"/>
        <v>5</v>
      </c>
      <c r="J144" s="2">
        <v>199320.33333333334</v>
      </c>
      <c r="K144" s="2">
        <f t="shared" si="16"/>
        <v>2.5085248034570817</v>
      </c>
      <c r="L144" s="1">
        <v>6</v>
      </c>
      <c r="M144" s="1">
        <v>13</v>
      </c>
      <c r="N144" s="1">
        <v>24</v>
      </c>
      <c r="O144" s="2">
        <f t="shared" si="17"/>
        <v>14.333333333333334</v>
      </c>
      <c r="P144" s="2">
        <v>214665.66666666666</v>
      </c>
      <c r="Q144" s="2">
        <f t="shared" si="18"/>
        <v>6.6770497378093383</v>
      </c>
    </row>
    <row r="145" spans="1:17" x14ac:dyDescent="0.3">
      <c r="A145" s="1" t="s">
        <v>167</v>
      </c>
      <c r="B145" s="1" t="s">
        <v>202</v>
      </c>
      <c r="C145" s="1" t="s">
        <v>204</v>
      </c>
      <c r="D145" s="1" t="s">
        <v>204</v>
      </c>
      <c r="E145" s="2">
        <v>31002</v>
      </c>
      <c r="F145" s="1">
        <v>0</v>
      </c>
      <c r="G145" s="1">
        <v>0</v>
      </c>
      <c r="H145" s="1">
        <v>0</v>
      </c>
      <c r="I145" s="2">
        <f t="shared" si="15"/>
        <v>0</v>
      </c>
      <c r="J145" s="2">
        <v>19304.333333333332</v>
      </c>
      <c r="K145" s="2">
        <f t="shared" si="16"/>
        <v>0</v>
      </c>
      <c r="L145" s="1">
        <v>0</v>
      </c>
      <c r="M145" s="1">
        <v>4</v>
      </c>
      <c r="N145" s="1">
        <v>11</v>
      </c>
      <c r="O145" s="2">
        <f t="shared" si="17"/>
        <v>5</v>
      </c>
      <c r="P145" s="2">
        <v>19315.333333333332</v>
      </c>
      <c r="Q145" s="2">
        <f t="shared" si="18"/>
        <v>25.886169882304216</v>
      </c>
    </row>
    <row r="146" spans="1:17" x14ac:dyDescent="0.3">
      <c r="A146" s="1" t="s">
        <v>167</v>
      </c>
      <c r="B146" s="1" t="s">
        <v>202</v>
      </c>
      <c r="C146" s="1" t="s">
        <v>205</v>
      </c>
      <c r="D146" s="1" t="s">
        <v>205</v>
      </c>
      <c r="E146" s="2">
        <v>31003</v>
      </c>
      <c r="F146" s="1">
        <v>0</v>
      </c>
      <c r="G146" s="1">
        <v>1</v>
      </c>
      <c r="H146" s="1">
        <v>2</v>
      </c>
      <c r="I146" s="2">
        <f t="shared" si="15"/>
        <v>1</v>
      </c>
      <c r="J146" s="2">
        <v>85504</v>
      </c>
      <c r="K146" s="2">
        <f t="shared" si="16"/>
        <v>1.1695359281437125</v>
      </c>
      <c r="L146" s="1">
        <v>2</v>
      </c>
      <c r="M146" s="1">
        <v>6</v>
      </c>
      <c r="N146" s="1">
        <v>16</v>
      </c>
      <c r="O146" s="2">
        <f t="shared" si="17"/>
        <v>8</v>
      </c>
      <c r="P146" s="2">
        <v>93571</v>
      </c>
      <c r="Q146" s="2">
        <f t="shared" si="18"/>
        <v>8.5496574793472337</v>
      </c>
    </row>
    <row r="147" spans="1:17" x14ac:dyDescent="0.3">
      <c r="A147" s="1" t="s">
        <v>167</v>
      </c>
      <c r="B147" s="1" t="s">
        <v>206</v>
      </c>
      <c r="C147" s="1" t="s">
        <v>206</v>
      </c>
      <c r="D147" s="1" t="s">
        <v>206</v>
      </c>
      <c r="E147" s="2">
        <v>31101</v>
      </c>
      <c r="F147" s="1">
        <v>0</v>
      </c>
      <c r="G147" s="1">
        <v>3</v>
      </c>
      <c r="H147" s="1">
        <v>2</v>
      </c>
      <c r="I147" s="2">
        <f t="shared" si="15"/>
        <v>1.6666666666666667</v>
      </c>
      <c r="J147" s="2">
        <v>24572</v>
      </c>
      <c r="K147" s="2">
        <f t="shared" si="16"/>
        <v>6.7827879971783602</v>
      </c>
      <c r="L147" s="1">
        <v>2</v>
      </c>
      <c r="M147" s="1">
        <v>1</v>
      </c>
      <c r="N147" s="1">
        <v>11</v>
      </c>
      <c r="O147" s="2">
        <f t="shared" si="17"/>
        <v>4.666666666666667</v>
      </c>
      <c r="P147" s="2">
        <v>24541.666666666668</v>
      </c>
      <c r="Q147" s="2">
        <f t="shared" si="18"/>
        <v>19.015280135823428</v>
      </c>
    </row>
    <row r="148" spans="1:17" x14ac:dyDescent="0.3">
      <c r="A148" s="1" t="s">
        <v>167</v>
      </c>
      <c r="B148" s="1" t="s">
        <v>207</v>
      </c>
      <c r="C148" s="1" t="s">
        <v>208</v>
      </c>
      <c r="D148" s="1" t="s">
        <v>208</v>
      </c>
      <c r="E148" s="2">
        <v>31201</v>
      </c>
      <c r="F148" s="1">
        <v>0</v>
      </c>
      <c r="G148" s="1">
        <v>2</v>
      </c>
      <c r="H148" s="1">
        <v>0</v>
      </c>
      <c r="I148" s="2">
        <f t="shared" si="15"/>
        <v>0.66666666666666663</v>
      </c>
      <c r="J148" s="2">
        <v>14724</v>
      </c>
      <c r="K148" s="2">
        <f t="shared" si="16"/>
        <v>4.5277551390020827</v>
      </c>
      <c r="L148" s="1">
        <v>0</v>
      </c>
      <c r="M148" s="1">
        <v>0</v>
      </c>
      <c r="N148" s="1">
        <v>8</v>
      </c>
      <c r="O148" s="2">
        <f t="shared" si="17"/>
        <v>2.6666666666666665</v>
      </c>
      <c r="P148" s="2">
        <v>14757.666666666666</v>
      </c>
      <c r="Q148" s="2">
        <f t="shared" si="18"/>
        <v>18.069703882727623</v>
      </c>
    </row>
    <row r="149" spans="1:17" x14ac:dyDescent="0.3">
      <c r="A149" s="1" t="s">
        <v>167</v>
      </c>
      <c r="B149" s="1" t="s">
        <v>207</v>
      </c>
      <c r="C149" s="1" t="s">
        <v>209</v>
      </c>
      <c r="D149" s="1" t="s">
        <v>209</v>
      </c>
      <c r="E149" s="2">
        <v>31202</v>
      </c>
      <c r="F149" s="1">
        <v>0</v>
      </c>
      <c r="G149" s="1">
        <v>0</v>
      </c>
      <c r="H149" s="1">
        <v>0</v>
      </c>
      <c r="I149" s="2">
        <f t="shared" si="15"/>
        <v>0</v>
      </c>
      <c r="J149" s="2">
        <v>11138.333333333334</v>
      </c>
      <c r="K149" s="2">
        <f t="shared" si="16"/>
        <v>0</v>
      </c>
      <c r="L149" s="1">
        <v>0</v>
      </c>
      <c r="M149" s="1">
        <v>0</v>
      </c>
      <c r="N149" s="1">
        <v>7</v>
      </c>
      <c r="O149" s="2">
        <f t="shared" si="17"/>
        <v>2.3333333333333335</v>
      </c>
      <c r="P149" s="2">
        <v>11699.666666666666</v>
      </c>
      <c r="Q149" s="2">
        <f t="shared" si="18"/>
        <v>19.943588136414146</v>
      </c>
    </row>
    <row r="150" spans="1:17" x14ac:dyDescent="0.3">
      <c r="A150" s="1" t="s">
        <v>167</v>
      </c>
      <c r="B150" s="1" t="s">
        <v>207</v>
      </c>
      <c r="C150" s="1" t="s">
        <v>210</v>
      </c>
      <c r="D150" s="1" t="s">
        <v>210</v>
      </c>
      <c r="E150" s="2">
        <v>31203</v>
      </c>
      <c r="F150" s="1">
        <v>0</v>
      </c>
      <c r="G150" s="1">
        <v>0</v>
      </c>
      <c r="H150" s="1">
        <v>0</v>
      </c>
      <c r="I150" s="2">
        <f t="shared" si="15"/>
        <v>0</v>
      </c>
      <c r="J150" s="2">
        <v>11605</v>
      </c>
      <c r="K150" s="2">
        <f t="shared" si="16"/>
        <v>0</v>
      </c>
      <c r="L150" s="1">
        <v>2</v>
      </c>
      <c r="M150" s="1">
        <v>0</v>
      </c>
      <c r="N150" s="1">
        <v>0</v>
      </c>
      <c r="O150" s="2">
        <f t="shared" si="17"/>
        <v>0.66666666666666663</v>
      </c>
      <c r="P150" s="2">
        <v>12094</v>
      </c>
      <c r="Q150" s="2">
        <f t="shared" si="18"/>
        <v>5.5123752825092334</v>
      </c>
    </row>
    <row r="151" spans="1:17" x14ac:dyDescent="0.3">
      <c r="A151" s="1" t="s">
        <v>167</v>
      </c>
      <c r="B151" s="1" t="s">
        <v>207</v>
      </c>
      <c r="C151" s="1" t="s">
        <v>211</v>
      </c>
      <c r="D151" s="1" t="s">
        <v>211</v>
      </c>
      <c r="E151" s="2">
        <v>31204</v>
      </c>
      <c r="F151" s="1">
        <v>0</v>
      </c>
      <c r="G151" s="1">
        <v>0</v>
      </c>
      <c r="H151" s="1">
        <v>0</v>
      </c>
      <c r="I151" s="2">
        <f t="shared" si="15"/>
        <v>0</v>
      </c>
      <c r="J151" s="2">
        <v>25025</v>
      </c>
      <c r="K151" s="2">
        <f t="shared" si="16"/>
        <v>0</v>
      </c>
      <c r="L151" s="1">
        <v>6</v>
      </c>
      <c r="M151" s="1">
        <v>7</v>
      </c>
      <c r="N151" s="1">
        <v>6</v>
      </c>
      <c r="O151" s="2">
        <f t="shared" si="17"/>
        <v>6.333333333333333</v>
      </c>
      <c r="P151" s="2">
        <v>26904</v>
      </c>
      <c r="Q151" s="2">
        <f t="shared" si="18"/>
        <v>23.540489642184557</v>
      </c>
    </row>
    <row r="152" spans="1:17" x14ac:dyDescent="0.3">
      <c r="A152" s="1" t="s">
        <v>167</v>
      </c>
      <c r="B152" s="1" t="s">
        <v>207</v>
      </c>
      <c r="C152" s="1" t="s">
        <v>212</v>
      </c>
      <c r="D152" s="1" t="s">
        <v>212</v>
      </c>
      <c r="E152" s="2">
        <v>31205</v>
      </c>
      <c r="F152" s="1">
        <v>0</v>
      </c>
      <c r="G152" s="1">
        <v>2</v>
      </c>
      <c r="H152" s="1">
        <v>1</v>
      </c>
      <c r="I152" s="2">
        <f t="shared" si="15"/>
        <v>1</v>
      </c>
      <c r="J152" s="2">
        <v>56962.666666666664</v>
      </c>
      <c r="K152" s="2">
        <f t="shared" si="16"/>
        <v>1.7555357895229624</v>
      </c>
      <c r="L152" s="1">
        <v>1</v>
      </c>
      <c r="M152" s="1">
        <v>1</v>
      </c>
      <c r="N152" s="1">
        <v>7</v>
      </c>
      <c r="O152" s="2">
        <f t="shared" si="17"/>
        <v>3</v>
      </c>
      <c r="P152" s="2">
        <v>62868.666666666664</v>
      </c>
      <c r="Q152" s="2">
        <f t="shared" si="18"/>
        <v>4.7718524331145353</v>
      </c>
    </row>
    <row r="153" spans="1:17" x14ac:dyDescent="0.3">
      <c r="A153" s="1" t="s">
        <v>167</v>
      </c>
      <c r="B153" s="1" t="s">
        <v>207</v>
      </c>
      <c r="C153" s="1" t="s">
        <v>213</v>
      </c>
      <c r="D153" s="1" t="s">
        <v>213</v>
      </c>
      <c r="E153" s="2">
        <v>31206</v>
      </c>
      <c r="F153" s="1">
        <v>0</v>
      </c>
      <c r="G153" s="1">
        <v>2</v>
      </c>
      <c r="H153" s="1">
        <v>2</v>
      </c>
      <c r="I153" s="2">
        <f t="shared" si="15"/>
        <v>1.3333333333333333</v>
      </c>
      <c r="J153" s="2">
        <v>39699</v>
      </c>
      <c r="K153" s="2">
        <f t="shared" si="16"/>
        <v>3.3586068498786701</v>
      </c>
      <c r="L153" s="1">
        <v>3</v>
      </c>
      <c r="M153" s="1">
        <v>5</v>
      </c>
      <c r="N153" s="1">
        <v>16</v>
      </c>
      <c r="O153" s="2">
        <f t="shared" si="17"/>
        <v>8</v>
      </c>
      <c r="P153" s="2">
        <v>44356</v>
      </c>
      <c r="Q153" s="2">
        <f t="shared" si="18"/>
        <v>18.035891423933631</v>
      </c>
    </row>
    <row r="154" spans="1:17" x14ac:dyDescent="0.3">
      <c r="A154" s="1" t="s">
        <v>167</v>
      </c>
      <c r="B154" s="1" t="s">
        <v>214</v>
      </c>
      <c r="C154" s="1" t="s">
        <v>214</v>
      </c>
      <c r="D154" s="1" t="s">
        <v>214</v>
      </c>
      <c r="E154" s="2">
        <v>31301</v>
      </c>
      <c r="F154" s="1">
        <v>0</v>
      </c>
      <c r="G154" s="1">
        <v>0</v>
      </c>
      <c r="H154" s="1">
        <v>2</v>
      </c>
      <c r="I154" s="2">
        <f t="shared" si="15"/>
        <v>0.66666666666666663</v>
      </c>
      <c r="J154" s="2">
        <v>19763.666666666668</v>
      </c>
      <c r="K154" s="2">
        <f t="shared" si="16"/>
        <v>3.3731932333743737</v>
      </c>
      <c r="L154" s="1">
        <v>0</v>
      </c>
      <c r="M154" s="1">
        <v>1</v>
      </c>
      <c r="N154" s="1">
        <v>5</v>
      </c>
      <c r="O154" s="2">
        <f t="shared" si="17"/>
        <v>2</v>
      </c>
      <c r="P154" s="2">
        <v>19829.666666666668</v>
      </c>
      <c r="Q154" s="2">
        <f t="shared" si="18"/>
        <v>10.085898233286825</v>
      </c>
    </row>
    <row r="155" spans="1:17" x14ac:dyDescent="0.3">
      <c r="A155" s="1" t="s">
        <v>167</v>
      </c>
      <c r="B155" s="1" t="s">
        <v>214</v>
      </c>
      <c r="C155" s="1" t="s">
        <v>215</v>
      </c>
      <c r="D155" s="1" t="s">
        <v>215</v>
      </c>
      <c r="E155" s="2">
        <v>31302</v>
      </c>
      <c r="F155" s="1">
        <v>0</v>
      </c>
      <c r="G155" s="1">
        <v>0</v>
      </c>
      <c r="H155" s="1">
        <v>0</v>
      </c>
      <c r="I155" s="2">
        <f t="shared" si="15"/>
        <v>0</v>
      </c>
      <c r="J155" s="2">
        <v>5320</v>
      </c>
      <c r="K155" s="2">
        <f t="shared" si="16"/>
        <v>0</v>
      </c>
      <c r="L155" s="1">
        <v>0</v>
      </c>
      <c r="M155" s="1">
        <v>0</v>
      </c>
      <c r="N155" s="1">
        <v>0</v>
      </c>
      <c r="O155" s="2">
        <f t="shared" si="17"/>
        <v>0</v>
      </c>
      <c r="P155" s="2">
        <v>5240</v>
      </c>
      <c r="Q155" s="2">
        <f t="shared" si="18"/>
        <v>0</v>
      </c>
    </row>
    <row r="156" spans="1:17" x14ac:dyDescent="0.3">
      <c r="A156" s="1" t="s">
        <v>167</v>
      </c>
      <c r="B156" s="1" t="s">
        <v>214</v>
      </c>
      <c r="C156" s="1" t="s">
        <v>216</v>
      </c>
      <c r="D156" s="1" t="s">
        <v>216</v>
      </c>
      <c r="E156" s="2">
        <v>31303</v>
      </c>
      <c r="F156" s="1">
        <v>0</v>
      </c>
      <c r="G156" s="1">
        <v>1</v>
      </c>
      <c r="H156" s="1">
        <v>0</v>
      </c>
      <c r="I156" s="2">
        <f t="shared" si="15"/>
        <v>0.33333333333333331</v>
      </c>
      <c r="J156" s="2">
        <v>3455</v>
      </c>
      <c r="K156" s="2">
        <f t="shared" si="16"/>
        <v>9.6478533526290402</v>
      </c>
      <c r="L156" s="1">
        <v>0</v>
      </c>
      <c r="M156" s="1">
        <v>2</v>
      </c>
      <c r="N156" s="1">
        <v>0</v>
      </c>
      <c r="O156" s="2">
        <f t="shared" si="17"/>
        <v>0.66666666666666663</v>
      </c>
      <c r="P156" s="2">
        <v>3460</v>
      </c>
      <c r="Q156" s="2">
        <f t="shared" si="18"/>
        <v>19.267822736030826</v>
      </c>
    </row>
    <row r="157" spans="1:17" x14ac:dyDescent="0.3">
      <c r="A157" s="1" t="s">
        <v>167</v>
      </c>
      <c r="B157" s="1" t="s">
        <v>214</v>
      </c>
      <c r="C157" s="1" t="s">
        <v>217</v>
      </c>
      <c r="D157" s="1" t="s">
        <v>218</v>
      </c>
      <c r="E157" s="2">
        <v>31304</v>
      </c>
      <c r="F157" s="1">
        <v>0</v>
      </c>
      <c r="G157" s="1">
        <v>0</v>
      </c>
      <c r="H157" s="1">
        <v>0</v>
      </c>
      <c r="I157" s="2">
        <f t="shared" si="15"/>
        <v>0</v>
      </c>
      <c r="J157" s="2">
        <v>7692.333333333333</v>
      </c>
      <c r="K157" s="2">
        <f t="shared" si="16"/>
        <v>0</v>
      </c>
      <c r="L157" s="1">
        <v>0</v>
      </c>
      <c r="M157" s="1">
        <v>0</v>
      </c>
      <c r="N157" s="1">
        <v>0</v>
      </c>
      <c r="O157" s="2">
        <f t="shared" si="17"/>
        <v>0</v>
      </c>
      <c r="P157" s="2">
        <v>7944</v>
      </c>
      <c r="Q157" s="2">
        <f t="shared" si="18"/>
        <v>0</v>
      </c>
    </row>
    <row r="158" spans="1:17" x14ac:dyDescent="0.3">
      <c r="A158" s="1" t="s">
        <v>167</v>
      </c>
      <c r="B158" s="1" t="s">
        <v>219</v>
      </c>
      <c r="C158" s="1" t="s">
        <v>219</v>
      </c>
      <c r="D158" s="1" t="s">
        <v>220</v>
      </c>
      <c r="E158" s="2">
        <v>31401</v>
      </c>
      <c r="F158" s="1">
        <v>0</v>
      </c>
      <c r="G158" s="1">
        <v>1</v>
      </c>
      <c r="H158" s="1">
        <v>1</v>
      </c>
      <c r="I158" s="2">
        <f t="shared" si="15"/>
        <v>0.66666666666666663</v>
      </c>
      <c r="J158" s="2">
        <v>32344</v>
      </c>
      <c r="K158" s="2">
        <f t="shared" si="16"/>
        <v>2.061175694616209</v>
      </c>
      <c r="L158" s="1">
        <v>3</v>
      </c>
      <c r="M158" s="1">
        <v>0</v>
      </c>
      <c r="N158" s="1">
        <v>1</v>
      </c>
      <c r="O158" s="2">
        <f t="shared" si="17"/>
        <v>1.3333333333333333</v>
      </c>
      <c r="P158" s="2">
        <v>34319</v>
      </c>
      <c r="Q158" s="2">
        <f t="shared" si="18"/>
        <v>3.8851170877162304</v>
      </c>
    </row>
    <row r="159" spans="1:17" x14ac:dyDescent="0.3">
      <c r="A159" s="1" t="s">
        <v>167</v>
      </c>
      <c r="B159" s="1" t="s">
        <v>219</v>
      </c>
      <c r="C159" s="1" t="s">
        <v>221</v>
      </c>
      <c r="D159" s="1" t="s">
        <v>221</v>
      </c>
      <c r="E159" s="2">
        <v>31402</v>
      </c>
      <c r="F159" s="1">
        <v>0</v>
      </c>
      <c r="G159" s="1">
        <v>0</v>
      </c>
      <c r="H159" s="1">
        <v>0</v>
      </c>
      <c r="I159" s="2">
        <f t="shared" si="15"/>
        <v>0</v>
      </c>
      <c r="J159" s="2">
        <v>8377.6666666666661</v>
      </c>
      <c r="K159" s="2">
        <f t="shared" si="16"/>
        <v>0</v>
      </c>
      <c r="L159" s="1">
        <v>0</v>
      </c>
      <c r="M159" s="1">
        <v>0</v>
      </c>
      <c r="N159" s="1">
        <v>0</v>
      </c>
      <c r="O159" s="2">
        <f t="shared" si="17"/>
        <v>0</v>
      </c>
      <c r="P159" s="2">
        <v>8516.3333333333339</v>
      </c>
      <c r="Q159" s="2">
        <f t="shared" si="18"/>
        <v>0</v>
      </c>
    </row>
    <row r="160" spans="1:17" x14ac:dyDescent="0.3">
      <c r="A160" s="1" t="s">
        <v>167</v>
      </c>
      <c r="B160" s="1" t="s">
        <v>219</v>
      </c>
      <c r="C160" s="1" t="s">
        <v>222</v>
      </c>
      <c r="D160" s="1" t="s">
        <v>223</v>
      </c>
      <c r="E160" s="2">
        <v>31403</v>
      </c>
      <c r="F160" s="1">
        <v>0</v>
      </c>
      <c r="G160" s="1">
        <v>0</v>
      </c>
      <c r="H160" s="1">
        <v>0</v>
      </c>
      <c r="I160" s="2">
        <f t="shared" si="15"/>
        <v>0</v>
      </c>
      <c r="J160" s="2">
        <v>13190</v>
      </c>
      <c r="K160" s="2">
        <f t="shared" si="16"/>
        <v>0</v>
      </c>
      <c r="L160" s="1">
        <v>0</v>
      </c>
      <c r="M160" s="1">
        <v>13</v>
      </c>
      <c r="N160" s="1">
        <v>4</v>
      </c>
      <c r="O160" s="2">
        <f t="shared" si="17"/>
        <v>5.666666666666667</v>
      </c>
      <c r="P160" s="2">
        <v>12977</v>
      </c>
      <c r="Q160" s="2">
        <f t="shared" si="18"/>
        <v>43.667000590788831</v>
      </c>
    </row>
    <row r="161" spans="1:17" x14ac:dyDescent="0.3">
      <c r="A161" s="1" t="s">
        <v>167</v>
      </c>
      <c r="B161" s="1" t="s">
        <v>219</v>
      </c>
      <c r="C161" s="1" t="s">
        <v>224</v>
      </c>
      <c r="D161" s="1" t="s">
        <v>224</v>
      </c>
      <c r="E161" s="2">
        <v>31404</v>
      </c>
      <c r="F161" s="1">
        <v>0</v>
      </c>
      <c r="G161" s="1">
        <v>0</v>
      </c>
      <c r="H161" s="1">
        <v>0</v>
      </c>
      <c r="I161" s="2">
        <f t="shared" si="15"/>
        <v>0</v>
      </c>
      <c r="J161" s="2">
        <v>1287.3333333333333</v>
      </c>
      <c r="K161" s="2">
        <f t="shared" si="16"/>
        <v>0</v>
      </c>
      <c r="L161" s="1">
        <v>0</v>
      </c>
      <c r="M161" s="1">
        <v>0</v>
      </c>
      <c r="N161" s="1">
        <v>0</v>
      </c>
      <c r="O161" s="2">
        <f t="shared" si="17"/>
        <v>0</v>
      </c>
      <c r="P161" s="2">
        <v>1278.3333333333333</v>
      </c>
      <c r="Q161" s="2">
        <f t="shared" si="18"/>
        <v>0</v>
      </c>
    </row>
    <row r="162" spans="1:17" x14ac:dyDescent="0.3">
      <c r="A162" s="1" t="s">
        <v>167</v>
      </c>
      <c r="B162" s="1" t="s">
        <v>219</v>
      </c>
      <c r="C162" s="1" t="s">
        <v>225</v>
      </c>
      <c r="D162" s="1" t="s">
        <v>226</v>
      </c>
      <c r="E162" s="2">
        <v>31405</v>
      </c>
      <c r="F162" s="1">
        <v>0</v>
      </c>
      <c r="G162" s="1">
        <v>0</v>
      </c>
      <c r="H162" s="1">
        <v>0</v>
      </c>
      <c r="I162" s="2">
        <f t="shared" si="15"/>
        <v>0</v>
      </c>
      <c r="J162" s="2">
        <v>3380.6666666666665</v>
      </c>
      <c r="K162" s="2">
        <f t="shared" si="16"/>
        <v>0</v>
      </c>
      <c r="L162" s="1">
        <v>0</v>
      </c>
      <c r="M162" s="1">
        <v>0</v>
      </c>
      <c r="N162" s="1">
        <v>0</v>
      </c>
      <c r="O162" s="2">
        <f t="shared" si="17"/>
        <v>0</v>
      </c>
      <c r="P162" s="2">
        <v>3730.6666666666665</v>
      </c>
      <c r="Q162" s="2">
        <f t="shared" si="18"/>
        <v>0</v>
      </c>
    </row>
    <row r="163" spans="1:17" x14ac:dyDescent="0.3">
      <c r="A163" s="1" t="s">
        <v>167</v>
      </c>
      <c r="B163" s="1" t="s">
        <v>227</v>
      </c>
      <c r="C163" s="1" t="s">
        <v>227</v>
      </c>
      <c r="D163" s="1" t="s">
        <v>227</v>
      </c>
      <c r="E163" s="2">
        <v>31501</v>
      </c>
      <c r="F163" s="1">
        <v>0</v>
      </c>
      <c r="G163" s="1">
        <v>0</v>
      </c>
      <c r="H163" s="1">
        <v>0</v>
      </c>
      <c r="I163" s="2">
        <f t="shared" si="15"/>
        <v>0</v>
      </c>
      <c r="J163" s="2">
        <v>7814.666666666667</v>
      </c>
      <c r="K163" s="2">
        <f t="shared" si="16"/>
        <v>0</v>
      </c>
      <c r="L163" s="1">
        <v>0</v>
      </c>
      <c r="M163" s="1">
        <v>0</v>
      </c>
      <c r="N163" s="1">
        <v>0</v>
      </c>
      <c r="O163" s="2">
        <f t="shared" si="17"/>
        <v>0</v>
      </c>
      <c r="P163" s="2">
        <v>8120.666666666667</v>
      </c>
      <c r="Q163" s="2">
        <f t="shared" si="18"/>
        <v>0</v>
      </c>
    </row>
    <row r="164" spans="1:17" x14ac:dyDescent="0.3">
      <c r="A164" s="1" t="s">
        <v>167</v>
      </c>
      <c r="B164" s="1" t="s">
        <v>228</v>
      </c>
      <c r="C164" s="1" t="s">
        <v>228</v>
      </c>
      <c r="D164" s="1" t="s">
        <v>228</v>
      </c>
      <c r="E164" s="2">
        <v>31601</v>
      </c>
      <c r="F164" s="1">
        <v>0</v>
      </c>
      <c r="G164" s="1">
        <v>0</v>
      </c>
      <c r="H164" s="1">
        <v>1</v>
      </c>
      <c r="I164" s="2">
        <f t="shared" si="15"/>
        <v>0.33333333333333331</v>
      </c>
      <c r="J164" s="2">
        <v>19457</v>
      </c>
      <c r="K164" s="2">
        <f t="shared" si="16"/>
        <v>1.7131794898151478</v>
      </c>
      <c r="L164" s="1">
        <v>0</v>
      </c>
      <c r="M164" s="1">
        <v>0</v>
      </c>
      <c r="N164" s="1">
        <v>1</v>
      </c>
      <c r="O164" s="2">
        <f t="shared" si="17"/>
        <v>0.33333333333333331</v>
      </c>
      <c r="P164" s="2">
        <v>18443.333333333332</v>
      </c>
      <c r="Q164" s="2">
        <f t="shared" si="18"/>
        <v>1.8073377914332187</v>
      </c>
    </row>
    <row r="165" spans="1:17" x14ac:dyDescent="0.3">
      <c r="A165" s="1" t="s">
        <v>167</v>
      </c>
      <c r="B165" s="1" t="s">
        <v>228</v>
      </c>
      <c r="C165" s="1" t="s">
        <v>229</v>
      </c>
      <c r="D165" s="1" t="s">
        <v>229</v>
      </c>
      <c r="E165" s="2">
        <v>31602</v>
      </c>
      <c r="F165" s="1">
        <v>0</v>
      </c>
      <c r="G165" s="1">
        <v>0</v>
      </c>
      <c r="H165" s="1">
        <v>1</v>
      </c>
      <c r="I165" s="2">
        <f t="shared" si="15"/>
        <v>0.33333333333333331</v>
      </c>
      <c r="J165" s="2">
        <v>24473</v>
      </c>
      <c r="K165" s="2">
        <f t="shared" si="16"/>
        <v>1.3620452471431099</v>
      </c>
      <c r="L165" s="1">
        <v>2</v>
      </c>
      <c r="M165" s="1">
        <v>5</v>
      </c>
      <c r="N165" s="1">
        <v>1</v>
      </c>
      <c r="O165" s="2">
        <f t="shared" si="17"/>
        <v>2.6666666666666665</v>
      </c>
      <c r="P165" s="2">
        <v>26548</v>
      </c>
      <c r="Q165" s="2">
        <f t="shared" si="18"/>
        <v>10.044698910150167</v>
      </c>
    </row>
    <row r="166" spans="1:17" x14ac:dyDescent="0.3">
      <c r="A166" s="1" t="s">
        <v>230</v>
      </c>
      <c r="B166" s="1" t="s">
        <v>168</v>
      </c>
      <c r="C166" s="1" t="s">
        <v>230</v>
      </c>
      <c r="D166" s="1" t="s">
        <v>230</v>
      </c>
      <c r="E166" s="2">
        <v>40101</v>
      </c>
      <c r="F166" s="1">
        <v>7</v>
      </c>
      <c r="G166" s="1">
        <v>16</v>
      </c>
      <c r="H166" s="1">
        <v>31</v>
      </c>
      <c r="I166" s="2">
        <f t="shared" si="15"/>
        <v>18</v>
      </c>
      <c r="J166" s="2">
        <v>283933</v>
      </c>
      <c r="K166" s="2">
        <f t="shared" si="16"/>
        <v>6.3395237608872517</v>
      </c>
      <c r="L166" s="1">
        <v>67</v>
      </c>
      <c r="M166" s="1">
        <v>92</v>
      </c>
      <c r="N166" s="1">
        <v>48</v>
      </c>
      <c r="O166" s="2">
        <f t="shared" si="17"/>
        <v>69</v>
      </c>
      <c r="P166" s="2">
        <v>294784</v>
      </c>
      <c r="Q166" s="2">
        <f t="shared" si="18"/>
        <v>23.406969170646981</v>
      </c>
    </row>
    <row r="167" spans="1:17" x14ac:dyDescent="0.3">
      <c r="A167" s="1" t="s">
        <v>230</v>
      </c>
      <c r="B167" s="1" t="s">
        <v>168</v>
      </c>
      <c r="C167" s="1" t="s">
        <v>231</v>
      </c>
      <c r="D167" s="1" t="s">
        <v>231</v>
      </c>
      <c r="E167" s="2">
        <v>40102</v>
      </c>
      <c r="F167" s="1">
        <v>2</v>
      </c>
      <c r="G167" s="1">
        <v>2</v>
      </c>
      <c r="H167" s="1">
        <v>0</v>
      </c>
      <c r="I167" s="2">
        <f t="shared" si="15"/>
        <v>1.3333333333333333</v>
      </c>
      <c r="J167" s="2">
        <v>23088</v>
      </c>
      <c r="K167" s="2">
        <f t="shared" si="16"/>
        <v>5.7750057750057744</v>
      </c>
      <c r="L167" s="1">
        <v>5</v>
      </c>
      <c r="M167" s="1">
        <v>0</v>
      </c>
      <c r="N167" s="1">
        <v>25</v>
      </c>
      <c r="O167" s="2">
        <f t="shared" si="17"/>
        <v>10</v>
      </c>
      <c r="P167" s="2">
        <v>23072</v>
      </c>
      <c r="Q167" s="2">
        <f t="shared" si="18"/>
        <v>43.342579750346744</v>
      </c>
    </row>
    <row r="168" spans="1:17" x14ac:dyDescent="0.3">
      <c r="A168" s="1" t="s">
        <v>230</v>
      </c>
      <c r="B168" s="1" t="s">
        <v>168</v>
      </c>
      <c r="C168" s="1" t="s">
        <v>232</v>
      </c>
      <c r="D168" s="1" t="s">
        <v>232</v>
      </c>
      <c r="E168" s="2">
        <v>40103</v>
      </c>
      <c r="F168" s="1">
        <v>0</v>
      </c>
      <c r="G168" s="1">
        <v>0</v>
      </c>
      <c r="H168" s="1">
        <v>0</v>
      </c>
      <c r="I168" s="2">
        <f t="shared" si="15"/>
        <v>0</v>
      </c>
      <c r="J168" s="2">
        <v>9698</v>
      </c>
      <c r="K168" s="2">
        <f t="shared" si="16"/>
        <v>0</v>
      </c>
      <c r="L168" s="1">
        <v>0</v>
      </c>
      <c r="M168" s="1">
        <v>1</v>
      </c>
      <c r="N168" s="1">
        <v>0</v>
      </c>
      <c r="O168" s="2">
        <f t="shared" si="17"/>
        <v>0.33333333333333331</v>
      </c>
      <c r="P168" s="2">
        <v>10254</v>
      </c>
      <c r="Q168" s="2">
        <f t="shared" si="18"/>
        <v>3.2507639295234378</v>
      </c>
    </row>
    <row r="169" spans="1:17" x14ac:dyDescent="0.3">
      <c r="A169" s="1" t="s">
        <v>230</v>
      </c>
      <c r="B169" s="1" t="s">
        <v>168</v>
      </c>
      <c r="C169" s="1" t="s">
        <v>233</v>
      </c>
      <c r="D169" s="1" t="s">
        <v>234</v>
      </c>
      <c r="E169" s="2">
        <v>40104</v>
      </c>
      <c r="F169" s="1">
        <v>0</v>
      </c>
      <c r="G169" s="1">
        <v>0</v>
      </c>
      <c r="H169" s="1">
        <v>0</v>
      </c>
      <c r="I169" s="2">
        <f t="shared" si="15"/>
        <v>0</v>
      </c>
      <c r="J169" s="2">
        <v>14496.333333333334</v>
      </c>
      <c r="K169" s="2">
        <f t="shared" si="16"/>
        <v>0</v>
      </c>
      <c r="L169" s="1">
        <v>0</v>
      </c>
      <c r="M169" s="1">
        <v>0</v>
      </c>
      <c r="N169" s="1">
        <v>4</v>
      </c>
      <c r="O169" s="2">
        <f t="shared" si="17"/>
        <v>1.3333333333333333</v>
      </c>
      <c r="P169" s="2">
        <v>15439.333333333334</v>
      </c>
      <c r="Q169" s="2">
        <f t="shared" si="18"/>
        <v>8.6359514659527612</v>
      </c>
    </row>
    <row r="170" spans="1:17" x14ac:dyDescent="0.3">
      <c r="A170" s="1" t="s">
        <v>230</v>
      </c>
      <c r="B170" s="1" t="s">
        <v>235</v>
      </c>
      <c r="C170" s="1" t="s">
        <v>236</v>
      </c>
      <c r="D170" s="1" t="s">
        <v>236</v>
      </c>
      <c r="E170" s="2">
        <v>40201</v>
      </c>
      <c r="F170" s="1">
        <v>0</v>
      </c>
      <c r="G170" s="1">
        <v>1</v>
      </c>
      <c r="H170" s="1">
        <v>0</v>
      </c>
      <c r="I170" s="2">
        <f t="shared" si="15"/>
        <v>0.33333333333333331</v>
      </c>
      <c r="J170" s="2">
        <v>32408</v>
      </c>
      <c r="K170" s="2">
        <f t="shared" si="16"/>
        <v>1.0285526207520777</v>
      </c>
      <c r="L170" s="1">
        <v>0</v>
      </c>
      <c r="M170" s="1">
        <v>4</v>
      </c>
      <c r="N170" s="1">
        <v>5</v>
      </c>
      <c r="O170" s="2">
        <f t="shared" si="17"/>
        <v>3</v>
      </c>
      <c r="P170" s="2">
        <v>34753</v>
      </c>
      <c r="Q170" s="2">
        <f t="shared" si="18"/>
        <v>8.6323482864788641</v>
      </c>
    </row>
    <row r="171" spans="1:17" x14ac:dyDescent="0.3">
      <c r="A171" s="1" t="s">
        <v>230</v>
      </c>
      <c r="B171" s="1" t="s">
        <v>235</v>
      </c>
      <c r="C171" s="1" t="s">
        <v>237</v>
      </c>
      <c r="D171" s="1" t="s">
        <v>237</v>
      </c>
      <c r="E171" s="2">
        <v>40202</v>
      </c>
      <c r="F171" s="1">
        <v>0</v>
      </c>
      <c r="G171" s="1">
        <v>0</v>
      </c>
      <c r="H171" s="1">
        <v>0</v>
      </c>
      <c r="I171" s="2">
        <f t="shared" si="15"/>
        <v>0</v>
      </c>
      <c r="J171" s="2">
        <v>4666</v>
      </c>
      <c r="K171" s="2">
        <f t="shared" si="16"/>
        <v>0</v>
      </c>
      <c r="L171" s="1">
        <v>0</v>
      </c>
      <c r="M171" s="1">
        <v>0</v>
      </c>
      <c r="N171" s="1">
        <v>0</v>
      </c>
      <c r="O171" s="2">
        <f t="shared" si="17"/>
        <v>0</v>
      </c>
      <c r="P171" s="2">
        <v>5017</v>
      </c>
      <c r="Q171" s="2">
        <f t="shared" si="18"/>
        <v>0</v>
      </c>
    </row>
    <row r="172" spans="1:17" x14ac:dyDescent="0.3">
      <c r="A172" s="1" t="s">
        <v>230</v>
      </c>
      <c r="B172" s="1" t="s">
        <v>238</v>
      </c>
      <c r="C172" s="1" t="s">
        <v>239</v>
      </c>
      <c r="D172" s="1" t="s">
        <v>239</v>
      </c>
      <c r="E172" s="2">
        <v>40301</v>
      </c>
      <c r="F172" s="1">
        <v>0</v>
      </c>
      <c r="G172" s="1">
        <v>0</v>
      </c>
      <c r="H172" s="1">
        <v>1</v>
      </c>
      <c r="I172" s="2">
        <f t="shared" si="15"/>
        <v>0.33333333333333331</v>
      </c>
      <c r="J172" s="2">
        <v>13187.333333333334</v>
      </c>
      <c r="K172" s="2">
        <f t="shared" si="16"/>
        <v>2.5276780749203778</v>
      </c>
      <c r="L172" s="1">
        <v>0</v>
      </c>
      <c r="M172" s="1">
        <v>1</v>
      </c>
      <c r="N172" s="1">
        <v>0</v>
      </c>
      <c r="O172" s="2">
        <f t="shared" si="17"/>
        <v>0.33333333333333331</v>
      </c>
      <c r="P172" s="2">
        <v>15453.333333333334</v>
      </c>
      <c r="Q172" s="2">
        <f t="shared" si="18"/>
        <v>2.1570319240724762</v>
      </c>
    </row>
    <row r="173" spans="1:17" x14ac:dyDescent="0.3">
      <c r="A173" s="1" t="s">
        <v>230</v>
      </c>
      <c r="B173" s="1" t="s">
        <v>238</v>
      </c>
      <c r="C173" s="1" t="s">
        <v>240</v>
      </c>
      <c r="D173" s="1" t="s">
        <v>240</v>
      </c>
      <c r="E173" s="2">
        <v>40302</v>
      </c>
      <c r="F173" s="1">
        <v>0</v>
      </c>
      <c r="G173" s="1">
        <v>0</v>
      </c>
      <c r="H173" s="1">
        <v>0</v>
      </c>
      <c r="I173" s="2">
        <f t="shared" si="15"/>
        <v>0</v>
      </c>
      <c r="J173" s="2">
        <v>2509</v>
      </c>
      <c r="K173" s="2">
        <f t="shared" si="16"/>
        <v>0</v>
      </c>
      <c r="L173" s="1">
        <v>0</v>
      </c>
      <c r="M173" s="1">
        <v>0</v>
      </c>
      <c r="N173" s="1">
        <v>0</v>
      </c>
      <c r="O173" s="2">
        <f t="shared" si="17"/>
        <v>0</v>
      </c>
      <c r="P173" s="2">
        <v>2886</v>
      </c>
      <c r="Q173" s="2">
        <f t="shared" si="18"/>
        <v>0</v>
      </c>
    </row>
    <row r="174" spans="1:17" x14ac:dyDescent="0.3">
      <c r="A174" s="1" t="s">
        <v>230</v>
      </c>
      <c r="B174" s="1" t="s">
        <v>241</v>
      </c>
      <c r="C174" s="1" t="s">
        <v>242</v>
      </c>
      <c r="D174" s="1" t="s">
        <v>242</v>
      </c>
      <c r="E174" s="2">
        <v>40401</v>
      </c>
      <c r="F174" s="1">
        <v>0</v>
      </c>
      <c r="G174" s="1">
        <v>0</v>
      </c>
      <c r="H174" s="1">
        <v>0</v>
      </c>
      <c r="I174" s="2">
        <f t="shared" si="15"/>
        <v>0</v>
      </c>
      <c r="J174" s="2">
        <v>5635</v>
      </c>
      <c r="K174" s="2">
        <f t="shared" si="16"/>
        <v>0</v>
      </c>
      <c r="L174" s="1">
        <v>1</v>
      </c>
      <c r="M174" s="1">
        <v>0</v>
      </c>
      <c r="N174" s="1">
        <v>4</v>
      </c>
      <c r="O174" s="2">
        <f t="shared" si="17"/>
        <v>1.6666666666666667</v>
      </c>
      <c r="P174" s="2">
        <v>6464</v>
      </c>
      <c r="Q174" s="2">
        <f t="shared" si="18"/>
        <v>25.783828382838287</v>
      </c>
    </row>
    <row r="175" spans="1:17" x14ac:dyDescent="0.3">
      <c r="A175" s="1" t="s">
        <v>230</v>
      </c>
      <c r="B175" s="1" t="s">
        <v>241</v>
      </c>
      <c r="C175" s="1" t="s">
        <v>243</v>
      </c>
      <c r="D175" s="1" t="s">
        <v>243</v>
      </c>
      <c r="E175" s="2">
        <v>40402</v>
      </c>
      <c r="F175" s="1">
        <v>0</v>
      </c>
      <c r="G175" s="1">
        <v>0</v>
      </c>
      <c r="H175" s="1">
        <v>0</v>
      </c>
      <c r="I175" s="2">
        <f t="shared" si="15"/>
        <v>0</v>
      </c>
      <c r="J175" s="2">
        <v>5248</v>
      </c>
      <c r="K175" s="2">
        <f t="shared" si="16"/>
        <v>0</v>
      </c>
      <c r="L175" s="1">
        <v>0</v>
      </c>
      <c r="M175" s="1">
        <v>0</v>
      </c>
      <c r="N175" s="1">
        <v>1</v>
      </c>
      <c r="O175" s="2">
        <f t="shared" si="17"/>
        <v>0.33333333333333331</v>
      </c>
      <c r="P175" s="2">
        <v>5271</v>
      </c>
      <c r="Q175" s="2">
        <f t="shared" si="18"/>
        <v>6.3239107063808255</v>
      </c>
    </row>
    <row r="176" spans="1:17" x14ac:dyDescent="0.3">
      <c r="A176" s="1" t="s">
        <v>230</v>
      </c>
      <c r="B176" s="1" t="s">
        <v>244</v>
      </c>
      <c r="C176" s="1" t="s">
        <v>245</v>
      </c>
      <c r="D176" s="1" t="s">
        <v>245</v>
      </c>
      <c r="E176" s="2">
        <v>40501</v>
      </c>
      <c r="F176" s="1">
        <v>0</v>
      </c>
      <c r="G176" s="1">
        <v>1</v>
      </c>
      <c r="H176" s="1">
        <v>1</v>
      </c>
      <c r="I176" s="2">
        <f t="shared" si="15"/>
        <v>0.66666666666666663</v>
      </c>
      <c r="J176" s="2">
        <v>2736.3333333333335</v>
      </c>
      <c r="K176" s="2">
        <f t="shared" si="16"/>
        <v>24.363503471799241</v>
      </c>
      <c r="L176" s="1">
        <v>0</v>
      </c>
      <c r="M176" s="1">
        <v>0</v>
      </c>
      <c r="N176" s="1">
        <v>0</v>
      </c>
      <c r="O176" s="2">
        <f t="shared" si="17"/>
        <v>0</v>
      </c>
      <c r="P176" s="2">
        <v>3726.3333333333335</v>
      </c>
      <c r="Q176" s="2">
        <f t="shared" si="18"/>
        <v>0</v>
      </c>
    </row>
    <row r="177" spans="1:17" x14ac:dyDescent="0.3">
      <c r="A177" s="1" t="s">
        <v>230</v>
      </c>
      <c r="B177" s="1" t="s">
        <v>244</v>
      </c>
      <c r="C177" s="1" t="s">
        <v>246</v>
      </c>
      <c r="D177" s="1" t="s">
        <v>246</v>
      </c>
      <c r="E177" s="2">
        <v>40502</v>
      </c>
      <c r="F177" s="1">
        <v>0</v>
      </c>
      <c r="G177" s="1">
        <v>0</v>
      </c>
      <c r="H177" s="1">
        <v>0</v>
      </c>
      <c r="I177" s="2">
        <f t="shared" si="15"/>
        <v>0</v>
      </c>
      <c r="J177" s="2">
        <v>4206.333333333333</v>
      </c>
      <c r="K177" s="2">
        <f t="shared" si="16"/>
        <v>0</v>
      </c>
      <c r="L177" s="1">
        <v>0</v>
      </c>
      <c r="M177" s="1">
        <v>0</v>
      </c>
      <c r="N177" s="1">
        <v>0</v>
      </c>
      <c r="O177" s="2">
        <f t="shared" si="17"/>
        <v>0</v>
      </c>
      <c r="P177" s="2">
        <v>4196.333333333333</v>
      </c>
      <c r="Q177" s="2">
        <f t="shared" si="18"/>
        <v>0</v>
      </c>
    </row>
    <row r="178" spans="1:17" x14ac:dyDescent="0.3">
      <c r="A178" s="1" t="s">
        <v>230</v>
      </c>
      <c r="B178" s="1" t="s">
        <v>244</v>
      </c>
      <c r="C178" s="1" t="s">
        <v>247</v>
      </c>
      <c r="D178" s="1" t="s">
        <v>247</v>
      </c>
      <c r="E178" s="2">
        <v>40503</v>
      </c>
      <c r="F178" s="1">
        <v>0</v>
      </c>
      <c r="G178" s="1">
        <v>0</v>
      </c>
      <c r="H178" s="1">
        <v>0</v>
      </c>
      <c r="I178" s="2">
        <f t="shared" si="15"/>
        <v>0</v>
      </c>
      <c r="J178" s="2">
        <v>1701</v>
      </c>
      <c r="K178" s="2">
        <f t="shared" si="16"/>
        <v>0</v>
      </c>
      <c r="L178" s="1">
        <v>0</v>
      </c>
      <c r="M178" s="1">
        <v>0</v>
      </c>
      <c r="N178" s="1">
        <v>0</v>
      </c>
      <c r="O178" s="2">
        <f t="shared" si="17"/>
        <v>0</v>
      </c>
      <c r="P178" s="2">
        <v>1549</v>
      </c>
      <c r="Q178" s="2">
        <f t="shared" si="18"/>
        <v>0</v>
      </c>
    </row>
    <row r="179" spans="1:17" x14ac:dyDescent="0.3">
      <c r="A179" s="1" t="s">
        <v>230</v>
      </c>
      <c r="B179" s="1" t="s">
        <v>244</v>
      </c>
      <c r="C179" s="1" t="s">
        <v>248</v>
      </c>
      <c r="D179" s="1" t="s">
        <v>248</v>
      </c>
      <c r="E179" s="2">
        <v>40504</v>
      </c>
      <c r="F179" s="1">
        <v>0</v>
      </c>
      <c r="G179" s="1">
        <v>0</v>
      </c>
      <c r="H179" s="1">
        <v>0</v>
      </c>
      <c r="I179" s="2">
        <f t="shared" si="15"/>
        <v>0</v>
      </c>
      <c r="J179" s="2">
        <v>728.66666666666663</v>
      </c>
      <c r="K179" s="2">
        <f t="shared" si="16"/>
        <v>0</v>
      </c>
      <c r="L179" s="1">
        <v>0</v>
      </c>
      <c r="M179" s="1">
        <v>0</v>
      </c>
      <c r="N179" s="1">
        <v>0</v>
      </c>
      <c r="O179" s="2">
        <f t="shared" si="17"/>
        <v>0</v>
      </c>
      <c r="P179" s="2">
        <v>851.33333333333337</v>
      </c>
      <c r="Q179" s="2">
        <f t="shared" si="18"/>
        <v>0</v>
      </c>
    </row>
    <row r="180" spans="1:17" x14ac:dyDescent="0.3">
      <c r="A180" s="1" t="s">
        <v>230</v>
      </c>
      <c r="B180" s="1" t="s">
        <v>244</v>
      </c>
      <c r="C180" s="1" t="s">
        <v>249</v>
      </c>
      <c r="D180" s="1" t="s">
        <v>249</v>
      </c>
      <c r="E180" s="2">
        <v>40505</v>
      </c>
      <c r="F180" s="1">
        <v>0</v>
      </c>
      <c r="G180" s="1">
        <v>0</v>
      </c>
      <c r="H180" s="1">
        <v>0</v>
      </c>
      <c r="I180" s="2">
        <f t="shared" si="15"/>
        <v>0</v>
      </c>
      <c r="J180" s="2">
        <v>3391</v>
      </c>
      <c r="K180" s="2">
        <f t="shared" si="16"/>
        <v>0</v>
      </c>
      <c r="L180" s="1">
        <v>0</v>
      </c>
      <c r="M180" s="1">
        <v>0</v>
      </c>
      <c r="N180" s="1">
        <v>0</v>
      </c>
      <c r="O180" s="2">
        <f t="shared" si="17"/>
        <v>0</v>
      </c>
      <c r="P180" s="2">
        <v>3784.6666666666665</v>
      </c>
      <c r="Q180" s="2">
        <f t="shared" si="18"/>
        <v>0</v>
      </c>
    </row>
    <row r="181" spans="1:17" x14ac:dyDescent="0.3">
      <c r="A181" s="1" t="s">
        <v>230</v>
      </c>
      <c r="B181" s="1" t="s">
        <v>250</v>
      </c>
      <c r="C181" s="1" t="s">
        <v>250</v>
      </c>
      <c r="D181" s="1" t="s">
        <v>251</v>
      </c>
      <c r="E181" s="2">
        <v>40601</v>
      </c>
      <c r="F181" s="1">
        <v>0</v>
      </c>
      <c r="G181" s="1">
        <v>0</v>
      </c>
      <c r="H181" s="1">
        <v>0</v>
      </c>
      <c r="I181" s="2">
        <f t="shared" si="15"/>
        <v>0</v>
      </c>
      <c r="J181" s="2">
        <v>8500</v>
      </c>
      <c r="K181" s="2">
        <f t="shared" si="16"/>
        <v>0</v>
      </c>
      <c r="L181" s="1">
        <v>0</v>
      </c>
      <c r="M181" s="1">
        <v>1</v>
      </c>
      <c r="N181" s="1">
        <v>0</v>
      </c>
      <c r="O181" s="2">
        <f t="shared" si="17"/>
        <v>0.33333333333333331</v>
      </c>
      <c r="P181" s="2">
        <v>9021.6666666666661</v>
      </c>
      <c r="Q181" s="2">
        <f t="shared" si="18"/>
        <v>3.6948087936449285</v>
      </c>
    </row>
    <row r="182" spans="1:17" x14ac:dyDescent="0.3">
      <c r="A182" s="1" t="s">
        <v>230</v>
      </c>
      <c r="B182" s="1" t="s">
        <v>250</v>
      </c>
      <c r="C182" s="1" t="s">
        <v>252</v>
      </c>
      <c r="D182" s="1" t="s">
        <v>252</v>
      </c>
      <c r="E182" s="2">
        <v>40602</v>
      </c>
      <c r="F182" s="1">
        <v>0</v>
      </c>
      <c r="G182" s="1">
        <v>0</v>
      </c>
      <c r="H182" s="1">
        <v>0</v>
      </c>
      <c r="I182" s="2">
        <f t="shared" si="15"/>
        <v>0</v>
      </c>
      <c r="J182" s="2">
        <v>4943</v>
      </c>
      <c r="K182" s="2">
        <f t="shared" si="16"/>
        <v>0</v>
      </c>
      <c r="L182" s="1">
        <v>0</v>
      </c>
      <c r="M182" s="1">
        <v>0</v>
      </c>
      <c r="N182" s="1">
        <v>1</v>
      </c>
      <c r="O182" s="2">
        <f t="shared" si="17"/>
        <v>0.33333333333333331</v>
      </c>
      <c r="P182" s="2">
        <v>4364.666666666667</v>
      </c>
      <c r="Q182" s="2">
        <f t="shared" si="18"/>
        <v>7.6370856881014202</v>
      </c>
    </row>
    <row r="183" spans="1:17" x14ac:dyDescent="0.3">
      <c r="A183" s="1" t="s">
        <v>230</v>
      </c>
      <c r="B183" s="1" t="s">
        <v>250</v>
      </c>
      <c r="C183" s="1" t="s">
        <v>253</v>
      </c>
      <c r="D183" s="1" t="s">
        <v>253</v>
      </c>
      <c r="E183" s="2">
        <v>40603</v>
      </c>
      <c r="F183" s="1">
        <v>0</v>
      </c>
      <c r="G183" s="1">
        <v>0</v>
      </c>
      <c r="H183" s="1">
        <v>0</v>
      </c>
      <c r="I183" s="2">
        <f t="shared" si="15"/>
        <v>0</v>
      </c>
      <c r="J183" s="2">
        <v>3468</v>
      </c>
      <c r="K183" s="2">
        <f t="shared" si="16"/>
        <v>0</v>
      </c>
      <c r="L183" s="1">
        <v>0</v>
      </c>
      <c r="M183" s="1">
        <v>0</v>
      </c>
      <c r="N183" s="1">
        <v>0</v>
      </c>
      <c r="O183" s="2">
        <f t="shared" si="17"/>
        <v>0</v>
      </c>
      <c r="P183" s="2">
        <v>3585</v>
      </c>
      <c r="Q183" s="2">
        <f t="shared" si="18"/>
        <v>0</v>
      </c>
    </row>
    <row r="184" spans="1:17" x14ac:dyDescent="0.3">
      <c r="A184" s="1" t="s">
        <v>230</v>
      </c>
      <c r="B184" s="1" t="s">
        <v>254</v>
      </c>
      <c r="C184" s="1" t="s">
        <v>255</v>
      </c>
      <c r="D184" s="1" t="s">
        <v>256</v>
      </c>
      <c r="E184" s="2">
        <v>40701</v>
      </c>
      <c r="F184" s="1">
        <v>1</v>
      </c>
      <c r="G184" s="1">
        <v>3</v>
      </c>
      <c r="H184" s="1">
        <v>1</v>
      </c>
      <c r="I184" s="2">
        <f t="shared" si="15"/>
        <v>1.6666666666666667</v>
      </c>
      <c r="J184" s="2">
        <v>21965.333333333332</v>
      </c>
      <c r="K184" s="2">
        <f t="shared" si="16"/>
        <v>7.5877139735340542</v>
      </c>
      <c r="L184" s="1">
        <v>0</v>
      </c>
      <c r="M184" s="1">
        <v>1</v>
      </c>
      <c r="N184" s="1">
        <v>0</v>
      </c>
      <c r="O184" s="2">
        <f t="shared" si="17"/>
        <v>0.33333333333333331</v>
      </c>
      <c r="P184" s="2">
        <v>20415.333333333332</v>
      </c>
      <c r="Q184" s="2">
        <f t="shared" si="18"/>
        <v>1.6327596904287627</v>
      </c>
    </row>
    <row r="185" spans="1:17" x14ac:dyDescent="0.3">
      <c r="A185" s="1" t="s">
        <v>230</v>
      </c>
      <c r="B185" s="1" t="s">
        <v>254</v>
      </c>
      <c r="C185" s="1" t="s">
        <v>257</v>
      </c>
      <c r="D185" s="1" t="s">
        <v>257</v>
      </c>
      <c r="E185" s="2">
        <v>40702</v>
      </c>
      <c r="F185" s="1">
        <v>0</v>
      </c>
      <c r="G185" s="1">
        <v>1</v>
      </c>
      <c r="H185" s="1">
        <v>1</v>
      </c>
      <c r="I185" s="2">
        <f t="shared" si="15"/>
        <v>0.66666666666666663</v>
      </c>
      <c r="J185" s="2">
        <v>5564.333333333333</v>
      </c>
      <c r="K185" s="2">
        <f t="shared" si="16"/>
        <v>11.981069909542923</v>
      </c>
      <c r="L185" s="1">
        <v>1</v>
      </c>
      <c r="M185" s="1">
        <v>0</v>
      </c>
      <c r="N185" s="1">
        <v>3</v>
      </c>
      <c r="O185" s="2">
        <f t="shared" si="17"/>
        <v>1.3333333333333333</v>
      </c>
      <c r="P185" s="2">
        <v>5989.666666666667</v>
      </c>
      <c r="Q185" s="2">
        <f t="shared" si="18"/>
        <v>22.260559853080302</v>
      </c>
    </row>
    <row r="186" spans="1:17" x14ac:dyDescent="0.3">
      <c r="A186" s="1" t="s">
        <v>230</v>
      </c>
      <c r="B186" s="1" t="s">
        <v>258</v>
      </c>
      <c r="C186" s="1" t="s">
        <v>259</v>
      </c>
      <c r="D186" s="1" t="s">
        <v>259</v>
      </c>
      <c r="E186" s="2">
        <v>40801</v>
      </c>
      <c r="F186" s="1">
        <v>0</v>
      </c>
      <c r="G186" s="1">
        <v>0</v>
      </c>
      <c r="H186" s="1">
        <v>0</v>
      </c>
      <c r="I186" s="2">
        <f t="shared" si="15"/>
        <v>0</v>
      </c>
      <c r="J186" s="2">
        <v>14227.666666666666</v>
      </c>
      <c r="K186" s="2">
        <f t="shared" si="16"/>
        <v>0</v>
      </c>
      <c r="L186" s="1">
        <v>0</v>
      </c>
      <c r="M186" s="1">
        <v>0</v>
      </c>
      <c r="N186" s="1">
        <v>0</v>
      </c>
      <c r="O186" s="2">
        <f t="shared" si="17"/>
        <v>0</v>
      </c>
      <c r="P186" s="2">
        <v>15570.333333333334</v>
      </c>
      <c r="Q186" s="2">
        <f t="shared" si="18"/>
        <v>0</v>
      </c>
    </row>
    <row r="187" spans="1:17" x14ac:dyDescent="0.3">
      <c r="A187" s="1" t="s">
        <v>230</v>
      </c>
      <c r="B187" s="1" t="s">
        <v>258</v>
      </c>
      <c r="C187" s="1" t="s">
        <v>260</v>
      </c>
      <c r="D187" s="1" t="s">
        <v>260</v>
      </c>
      <c r="E187" s="2">
        <v>40802</v>
      </c>
      <c r="F187" s="1">
        <v>0</v>
      </c>
      <c r="G187" s="1">
        <v>0</v>
      </c>
      <c r="H187" s="1">
        <v>0</v>
      </c>
      <c r="I187" s="2">
        <f t="shared" si="15"/>
        <v>0</v>
      </c>
      <c r="J187" s="2">
        <v>3094</v>
      </c>
      <c r="K187" s="2">
        <f t="shared" si="16"/>
        <v>0</v>
      </c>
      <c r="L187" s="1">
        <v>0</v>
      </c>
      <c r="M187" s="1">
        <v>0</v>
      </c>
      <c r="N187" s="1">
        <v>0</v>
      </c>
      <c r="O187" s="2">
        <f t="shared" si="17"/>
        <v>0</v>
      </c>
      <c r="P187" s="2">
        <v>3163</v>
      </c>
      <c r="Q187" s="2">
        <f t="shared" si="18"/>
        <v>0</v>
      </c>
    </row>
    <row r="188" spans="1:17" x14ac:dyDescent="0.3">
      <c r="A188" s="1" t="s">
        <v>230</v>
      </c>
      <c r="B188" s="1" t="s">
        <v>261</v>
      </c>
      <c r="C188" s="1" t="s">
        <v>261</v>
      </c>
      <c r="D188" s="1" t="s">
        <v>261</v>
      </c>
      <c r="E188" s="2">
        <v>40901</v>
      </c>
      <c r="F188" s="1">
        <v>0</v>
      </c>
      <c r="G188" s="1">
        <v>2</v>
      </c>
      <c r="H188" s="1">
        <v>0</v>
      </c>
      <c r="I188" s="2">
        <f t="shared" si="15"/>
        <v>0.66666666666666663</v>
      </c>
      <c r="J188" s="2">
        <v>12317</v>
      </c>
      <c r="K188" s="2">
        <f t="shared" si="16"/>
        <v>5.4125734080268462</v>
      </c>
      <c r="L188" s="1">
        <v>1</v>
      </c>
      <c r="M188" s="1">
        <v>3</v>
      </c>
      <c r="N188" s="1">
        <v>3</v>
      </c>
      <c r="O188" s="2">
        <f t="shared" si="17"/>
        <v>2.3333333333333335</v>
      </c>
      <c r="P188" s="2">
        <v>14773</v>
      </c>
      <c r="Q188" s="2">
        <f t="shared" si="18"/>
        <v>15.7945802026219</v>
      </c>
    </row>
    <row r="189" spans="1:17" x14ac:dyDescent="0.3">
      <c r="A189" s="1" t="s">
        <v>230</v>
      </c>
      <c r="B189" s="1" t="s">
        <v>261</v>
      </c>
      <c r="C189" s="1" t="s">
        <v>262</v>
      </c>
      <c r="D189" s="1" t="s">
        <v>262</v>
      </c>
      <c r="E189" s="2">
        <v>40902</v>
      </c>
      <c r="F189" s="1">
        <v>0</v>
      </c>
      <c r="G189" s="1">
        <v>0</v>
      </c>
      <c r="H189" s="1">
        <v>0</v>
      </c>
      <c r="I189" s="2">
        <f t="shared" si="15"/>
        <v>0</v>
      </c>
      <c r="J189" s="2">
        <v>1196</v>
      </c>
      <c r="K189" s="2">
        <f t="shared" si="16"/>
        <v>0</v>
      </c>
      <c r="L189" s="1">
        <v>0</v>
      </c>
      <c r="M189" s="1">
        <v>0</v>
      </c>
      <c r="N189" s="1">
        <v>0</v>
      </c>
      <c r="O189" s="2">
        <f t="shared" si="17"/>
        <v>0</v>
      </c>
      <c r="P189" s="2">
        <v>1363</v>
      </c>
      <c r="Q189" s="2">
        <f t="shared" si="18"/>
        <v>0</v>
      </c>
    </row>
    <row r="190" spans="1:17" x14ac:dyDescent="0.3">
      <c r="A190" s="1" t="s">
        <v>230</v>
      </c>
      <c r="B190" s="1" t="s">
        <v>261</v>
      </c>
      <c r="C190" s="1" t="s">
        <v>263</v>
      </c>
      <c r="D190" s="1" t="s">
        <v>263</v>
      </c>
      <c r="E190" s="2">
        <v>40903</v>
      </c>
      <c r="F190" s="1">
        <v>0</v>
      </c>
      <c r="G190" s="1">
        <v>0</v>
      </c>
      <c r="H190" s="1">
        <v>0</v>
      </c>
      <c r="I190" s="2">
        <f t="shared" si="15"/>
        <v>0</v>
      </c>
      <c r="J190" s="2">
        <v>2215</v>
      </c>
      <c r="K190" s="2">
        <f t="shared" si="16"/>
        <v>0</v>
      </c>
      <c r="L190" s="1">
        <v>0</v>
      </c>
      <c r="M190" s="1">
        <v>0</v>
      </c>
      <c r="N190" s="1">
        <v>0</v>
      </c>
      <c r="O190" s="2">
        <f t="shared" si="17"/>
        <v>0</v>
      </c>
      <c r="P190" s="2">
        <v>2336</v>
      </c>
      <c r="Q190" s="2">
        <f t="shared" si="18"/>
        <v>0</v>
      </c>
    </row>
    <row r="191" spans="1:17" x14ac:dyDescent="0.3">
      <c r="A191" s="1" t="s">
        <v>230</v>
      </c>
      <c r="B191" s="1" t="s">
        <v>264</v>
      </c>
      <c r="C191" s="1" t="s">
        <v>265</v>
      </c>
      <c r="D191" s="1" t="s">
        <v>265</v>
      </c>
      <c r="E191" s="2">
        <v>41001</v>
      </c>
      <c r="F191" s="1">
        <v>0</v>
      </c>
      <c r="G191" s="1">
        <v>0</v>
      </c>
      <c r="H191" s="1">
        <v>0</v>
      </c>
      <c r="I191" s="2">
        <f t="shared" si="15"/>
        <v>0</v>
      </c>
      <c r="J191" s="2">
        <v>11296</v>
      </c>
      <c r="K191" s="2">
        <f t="shared" si="16"/>
        <v>0</v>
      </c>
      <c r="L191" s="1">
        <v>0</v>
      </c>
      <c r="M191" s="1">
        <v>0</v>
      </c>
      <c r="N191" s="1">
        <v>1</v>
      </c>
      <c r="O191" s="2">
        <f t="shared" si="17"/>
        <v>0.33333333333333331</v>
      </c>
      <c r="P191" s="2">
        <v>11951</v>
      </c>
      <c r="Q191" s="2">
        <f t="shared" si="18"/>
        <v>2.7891668758541823</v>
      </c>
    </row>
    <row r="192" spans="1:17" x14ac:dyDescent="0.3">
      <c r="A192" s="1" t="s">
        <v>230</v>
      </c>
      <c r="B192" s="1" t="s">
        <v>266</v>
      </c>
      <c r="C192" s="1" t="s">
        <v>267</v>
      </c>
      <c r="D192" s="1" t="s">
        <v>267</v>
      </c>
      <c r="E192" s="2">
        <v>41101</v>
      </c>
      <c r="F192" s="1">
        <v>0</v>
      </c>
      <c r="G192" s="1">
        <v>0</v>
      </c>
      <c r="H192" s="1">
        <v>0</v>
      </c>
      <c r="I192" s="2">
        <f t="shared" si="15"/>
        <v>0</v>
      </c>
      <c r="J192" s="2">
        <v>5369.666666666667</v>
      </c>
      <c r="K192" s="2">
        <f t="shared" si="16"/>
        <v>0</v>
      </c>
      <c r="L192" s="1">
        <v>0</v>
      </c>
      <c r="M192" s="1">
        <v>0</v>
      </c>
      <c r="N192" s="1">
        <v>0</v>
      </c>
      <c r="O192" s="2">
        <f t="shared" si="17"/>
        <v>0</v>
      </c>
      <c r="P192" s="2">
        <v>5428.333333333333</v>
      </c>
      <c r="Q192" s="2">
        <f t="shared" si="18"/>
        <v>0</v>
      </c>
    </row>
    <row r="193" spans="1:17" x14ac:dyDescent="0.3">
      <c r="A193" s="1" t="s">
        <v>230</v>
      </c>
      <c r="B193" s="1" t="s">
        <v>268</v>
      </c>
      <c r="C193" s="1" t="s">
        <v>269</v>
      </c>
      <c r="D193" s="1" t="s">
        <v>270</v>
      </c>
      <c r="E193" s="2">
        <v>41201</v>
      </c>
      <c r="F193" s="1">
        <v>0</v>
      </c>
      <c r="G193" s="1">
        <v>0</v>
      </c>
      <c r="H193" s="1">
        <v>0</v>
      </c>
      <c r="I193" s="2">
        <f t="shared" si="15"/>
        <v>0</v>
      </c>
      <c r="J193" s="2">
        <v>5848.333333333333</v>
      </c>
      <c r="K193" s="2">
        <f t="shared" si="16"/>
        <v>0</v>
      </c>
      <c r="L193" s="1">
        <v>0</v>
      </c>
      <c r="M193" s="1">
        <v>0</v>
      </c>
      <c r="N193" s="1">
        <v>0</v>
      </c>
      <c r="O193" s="2">
        <f t="shared" si="17"/>
        <v>0</v>
      </c>
      <c r="P193" s="2">
        <v>6209.666666666667</v>
      </c>
      <c r="Q193" s="2">
        <f t="shared" si="18"/>
        <v>0</v>
      </c>
    </row>
    <row r="194" spans="1:17" x14ac:dyDescent="0.3">
      <c r="A194" s="1" t="s">
        <v>230</v>
      </c>
      <c r="B194" s="1" t="s">
        <v>268</v>
      </c>
      <c r="C194" s="1" t="s">
        <v>271</v>
      </c>
      <c r="D194" s="1" t="s">
        <v>271</v>
      </c>
      <c r="E194" s="2">
        <v>41202</v>
      </c>
      <c r="F194" s="1">
        <v>0</v>
      </c>
      <c r="G194" s="1">
        <v>0</v>
      </c>
      <c r="H194" s="1">
        <v>0</v>
      </c>
      <c r="I194" s="2">
        <f t="shared" si="15"/>
        <v>0</v>
      </c>
      <c r="J194" s="2">
        <v>2587.6666666666665</v>
      </c>
      <c r="K194" s="2">
        <f t="shared" si="16"/>
        <v>0</v>
      </c>
      <c r="L194" s="1">
        <v>0</v>
      </c>
      <c r="M194" s="1">
        <v>0</v>
      </c>
      <c r="N194" s="1">
        <v>0</v>
      </c>
      <c r="O194" s="2">
        <f t="shared" si="17"/>
        <v>0</v>
      </c>
      <c r="P194" s="2">
        <v>2914.3333333333335</v>
      </c>
      <c r="Q194" s="2">
        <f t="shared" si="18"/>
        <v>0</v>
      </c>
    </row>
    <row r="195" spans="1:17" x14ac:dyDescent="0.3">
      <c r="A195" s="1" t="s">
        <v>230</v>
      </c>
      <c r="B195" s="1" t="s">
        <v>272</v>
      </c>
      <c r="C195" s="1" t="s">
        <v>208</v>
      </c>
      <c r="D195" s="1" t="s">
        <v>208</v>
      </c>
      <c r="E195" s="2">
        <v>41301</v>
      </c>
      <c r="F195" s="1">
        <v>0</v>
      </c>
      <c r="G195" s="1">
        <v>0</v>
      </c>
      <c r="H195" s="1">
        <v>0</v>
      </c>
      <c r="I195" s="2">
        <f t="shared" ref="I195:I258" si="19">AVERAGE(F195:H195)</f>
        <v>0</v>
      </c>
      <c r="J195" s="2">
        <v>6137.333333333333</v>
      </c>
      <c r="K195" s="2">
        <f t="shared" ref="K195:K258" si="20">I195/J195*100000</f>
        <v>0</v>
      </c>
      <c r="L195" s="1">
        <v>0</v>
      </c>
      <c r="M195" s="1">
        <v>0</v>
      </c>
      <c r="N195" s="1">
        <v>0</v>
      </c>
      <c r="O195" s="2">
        <f t="shared" ref="O195:O258" si="21">AVERAGE(L195:N195)</f>
        <v>0</v>
      </c>
      <c r="P195" s="2">
        <v>6483.333333333333</v>
      </c>
      <c r="Q195" s="2">
        <f t="shared" ref="Q195:Q258" si="22">O195/P195*100000</f>
        <v>0</v>
      </c>
    </row>
    <row r="196" spans="1:17" x14ac:dyDescent="0.3">
      <c r="A196" s="1" t="s">
        <v>230</v>
      </c>
      <c r="B196" s="1" t="s">
        <v>273</v>
      </c>
      <c r="C196" s="1" t="s">
        <v>274</v>
      </c>
      <c r="D196" s="1" t="s">
        <v>274</v>
      </c>
      <c r="E196" s="2">
        <v>41401</v>
      </c>
      <c r="F196" s="1">
        <v>0</v>
      </c>
      <c r="G196" s="1">
        <v>0</v>
      </c>
      <c r="H196" s="1">
        <v>0</v>
      </c>
      <c r="I196" s="2">
        <f t="shared" si="19"/>
        <v>0</v>
      </c>
      <c r="J196" s="2">
        <v>13630</v>
      </c>
      <c r="K196" s="2">
        <f t="shared" si="20"/>
        <v>0</v>
      </c>
      <c r="L196" s="1">
        <v>0</v>
      </c>
      <c r="M196" s="1">
        <v>1</v>
      </c>
      <c r="N196" s="1">
        <v>0</v>
      </c>
      <c r="O196" s="2">
        <f t="shared" si="21"/>
        <v>0.33333333333333331</v>
      </c>
      <c r="P196" s="2">
        <v>13477</v>
      </c>
      <c r="Q196" s="2">
        <f t="shared" si="22"/>
        <v>2.4733496574410725</v>
      </c>
    </row>
    <row r="197" spans="1:17" x14ac:dyDescent="0.3">
      <c r="A197" s="1" t="s">
        <v>230</v>
      </c>
      <c r="B197" s="1" t="s">
        <v>275</v>
      </c>
      <c r="C197" s="1" t="s">
        <v>276</v>
      </c>
      <c r="D197" s="1" t="s">
        <v>276</v>
      </c>
      <c r="E197" s="2">
        <v>41501</v>
      </c>
      <c r="F197" s="1">
        <v>0</v>
      </c>
      <c r="G197" s="1">
        <v>0</v>
      </c>
      <c r="H197" s="1">
        <v>0</v>
      </c>
      <c r="I197" s="2">
        <f t="shared" si="19"/>
        <v>0</v>
      </c>
      <c r="J197" s="2">
        <v>951</v>
      </c>
      <c r="K197" s="2">
        <f t="shared" si="20"/>
        <v>0</v>
      </c>
      <c r="L197" s="1">
        <v>0</v>
      </c>
      <c r="M197" s="1">
        <v>0</v>
      </c>
      <c r="N197" s="1">
        <v>0</v>
      </c>
      <c r="O197" s="2">
        <f t="shared" si="21"/>
        <v>0</v>
      </c>
      <c r="P197" s="2">
        <v>1203</v>
      </c>
      <c r="Q197" s="2">
        <f t="shared" si="22"/>
        <v>0</v>
      </c>
    </row>
    <row r="198" spans="1:17" x14ac:dyDescent="0.3">
      <c r="A198" s="1" t="s">
        <v>230</v>
      </c>
      <c r="B198" s="1" t="s">
        <v>275</v>
      </c>
      <c r="C198" s="1" t="s">
        <v>277</v>
      </c>
      <c r="D198" s="1" t="s">
        <v>277</v>
      </c>
      <c r="E198" s="2">
        <v>41502</v>
      </c>
      <c r="F198" s="1">
        <v>0</v>
      </c>
      <c r="G198" s="1">
        <v>0</v>
      </c>
      <c r="H198" s="1">
        <v>0</v>
      </c>
      <c r="I198" s="2">
        <f t="shared" si="19"/>
        <v>0</v>
      </c>
      <c r="J198" s="2">
        <v>963.33333333333337</v>
      </c>
      <c r="K198" s="2">
        <f t="shared" si="20"/>
        <v>0</v>
      </c>
      <c r="L198" s="1">
        <v>0</v>
      </c>
      <c r="M198" s="1">
        <v>0</v>
      </c>
      <c r="N198" s="1">
        <v>0</v>
      </c>
      <c r="O198" s="2">
        <f t="shared" si="21"/>
        <v>0</v>
      </c>
      <c r="P198" s="2">
        <v>1098.3333333333333</v>
      </c>
      <c r="Q198" s="2">
        <f t="shared" si="22"/>
        <v>0</v>
      </c>
    </row>
    <row r="199" spans="1:17" x14ac:dyDescent="0.3">
      <c r="A199" s="1" t="s">
        <v>230</v>
      </c>
      <c r="B199" s="1" t="s">
        <v>275</v>
      </c>
      <c r="C199" s="1" t="s">
        <v>238</v>
      </c>
      <c r="D199" s="1" t="s">
        <v>238</v>
      </c>
      <c r="E199" s="2">
        <v>41503</v>
      </c>
      <c r="F199" s="1">
        <v>0</v>
      </c>
      <c r="G199" s="1">
        <v>0</v>
      </c>
      <c r="H199" s="1">
        <v>0</v>
      </c>
      <c r="I199" s="2">
        <f t="shared" si="19"/>
        <v>0</v>
      </c>
      <c r="J199" s="2">
        <v>1009</v>
      </c>
      <c r="K199" s="2">
        <f t="shared" si="20"/>
        <v>0</v>
      </c>
      <c r="L199" s="1">
        <v>0</v>
      </c>
      <c r="M199" s="1">
        <v>0</v>
      </c>
      <c r="N199" s="1">
        <v>0</v>
      </c>
      <c r="O199" s="2">
        <f t="shared" si="21"/>
        <v>0</v>
      </c>
      <c r="P199" s="2">
        <v>1106</v>
      </c>
      <c r="Q199" s="2">
        <f t="shared" si="22"/>
        <v>0</v>
      </c>
    </row>
    <row r="200" spans="1:17" x14ac:dyDescent="0.3">
      <c r="A200" s="1" t="s">
        <v>230</v>
      </c>
      <c r="B200" s="1" t="s">
        <v>278</v>
      </c>
      <c r="C200" s="1" t="s">
        <v>279</v>
      </c>
      <c r="D200" s="1" t="s">
        <v>280</v>
      </c>
      <c r="E200" s="2">
        <v>41601</v>
      </c>
      <c r="F200" s="1">
        <v>0</v>
      </c>
      <c r="G200" s="1">
        <v>0</v>
      </c>
      <c r="H200" s="1">
        <v>0</v>
      </c>
      <c r="I200" s="2">
        <f t="shared" si="19"/>
        <v>0</v>
      </c>
      <c r="J200" s="2">
        <v>5781</v>
      </c>
      <c r="K200" s="2">
        <f t="shared" si="20"/>
        <v>0</v>
      </c>
      <c r="L200" s="1">
        <v>0</v>
      </c>
      <c r="M200" s="1">
        <v>0</v>
      </c>
      <c r="N200" s="1">
        <v>0</v>
      </c>
      <c r="O200" s="2">
        <f t="shared" si="21"/>
        <v>0</v>
      </c>
      <c r="P200" s="2">
        <v>5940</v>
      </c>
      <c r="Q200" s="2">
        <f t="shared" si="22"/>
        <v>0</v>
      </c>
    </row>
    <row r="201" spans="1:17" x14ac:dyDescent="0.3">
      <c r="A201" s="1" t="s">
        <v>281</v>
      </c>
      <c r="B201" s="1" t="s">
        <v>282</v>
      </c>
      <c r="C201" s="1" t="s">
        <v>281</v>
      </c>
      <c r="D201" s="1" t="s">
        <v>281</v>
      </c>
      <c r="E201" s="2">
        <v>50101</v>
      </c>
      <c r="F201" s="1">
        <v>11</v>
      </c>
      <c r="G201" s="1">
        <v>16</v>
      </c>
      <c r="H201" s="1">
        <v>14</v>
      </c>
      <c r="I201" s="2">
        <f t="shared" si="19"/>
        <v>13.666666666666666</v>
      </c>
      <c r="J201" s="2">
        <v>207072</v>
      </c>
      <c r="K201" s="2">
        <f t="shared" si="20"/>
        <v>6.5999587905012094</v>
      </c>
      <c r="L201" s="1">
        <v>13</v>
      </c>
      <c r="M201" s="1">
        <v>16</v>
      </c>
      <c r="N201" s="1">
        <v>20</v>
      </c>
      <c r="O201" s="2">
        <f t="shared" si="21"/>
        <v>16.333333333333332</v>
      </c>
      <c r="P201" s="2">
        <v>216083</v>
      </c>
      <c r="Q201" s="2">
        <f t="shared" si="22"/>
        <v>7.5588238470094051</v>
      </c>
    </row>
    <row r="202" spans="1:17" x14ac:dyDescent="0.3">
      <c r="A202" s="1" t="s">
        <v>281</v>
      </c>
      <c r="B202" s="1" t="s">
        <v>282</v>
      </c>
      <c r="C202" s="1" t="s">
        <v>283</v>
      </c>
      <c r="D202" s="1" t="s">
        <v>283</v>
      </c>
      <c r="E202" s="2">
        <v>50102</v>
      </c>
      <c r="F202" s="1">
        <v>0</v>
      </c>
      <c r="G202" s="1">
        <v>0</v>
      </c>
      <c r="H202" s="1">
        <v>0</v>
      </c>
      <c r="I202" s="2">
        <f t="shared" si="19"/>
        <v>0</v>
      </c>
      <c r="J202" s="2">
        <v>28150.333333333332</v>
      </c>
      <c r="K202" s="2">
        <f t="shared" si="20"/>
        <v>0</v>
      </c>
      <c r="L202" s="1">
        <v>0</v>
      </c>
      <c r="M202" s="1">
        <v>3</v>
      </c>
      <c r="N202" s="1">
        <v>0</v>
      </c>
      <c r="O202" s="2">
        <f t="shared" si="21"/>
        <v>1</v>
      </c>
      <c r="P202" s="2">
        <v>28693.333333333332</v>
      </c>
      <c r="Q202" s="2">
        <f t="shared" si="22"/>
        <v>3.4851301115241635</v>
      </c>
    </row>
    <row r="203" spans="1:17" x14ac:dyDescent="0.3">
      <c r="A203" s="1" t="s">
        <v>281</v>
      </c>
      <c r="B203" s="1" t="s">
        <v>282</v>
      </c>
      <c r="C203" s="1" t="s">
        <v>284</v>
      </c>
      <c r="D203" s="1" t="s">
        <v>285</v>
      </c>
      <c r="E203" s="2">
        <v>50103</v>
      </c>
      <c r="F203" s="1">
        <v>0</v>
      </c>
      <c r="G203" s="1">
        <v>0</v>
      </c>
      <c r="H203" s="1">
        <v>0</v>
      </c>
      <c r="I203" s="2">
        <f t="shared" si="19"/>
        <v>0</v>
      </c>
      <c r="J203" s="2">
        <v>10227.333333333334</v>
      </c>
      <c r="K203" s="2">
        <f t="shared" si="20"/>
        <v>0</v>
      </c>
      <c r="L203" s="1">
        <v>1</v>
      </c>
      <c r="M203" s="1">
        <v>1</v>
      </c>
      <c r="N203" s="1">
        <v>2</v>
      </c>
      <c r="O203" s="2">
        <f t="shared" si="21"/>
        <v>1.3333333333333333</v>
      </c>
      <c r="P203" s="2">
        <v>10940.666666666666</v>
      </c>
      <c r="Q203" s="2">
        <f t="shared" si="22"/>
        <v>12.186947778928767</v>
      </c>
    </row>
    <row r="204" spans="1:17" x14ac:dyDescent="0.3">
      <c r="A204" s="1" t="s">
        <v>281</v>
      </c>
      <c r="B204" s="1" t="s">
        <v>282</v>
      </c>
      <c r="C204" s="1" t="s">
        <v>286</v>
      </c>
      <c r="D204" s="1" t="s">
        <v>287</v>
      </c>
      <c r="E204" s="2">
        <v>50104</v>
      </c>
      <c r="F204" s="1">
        <v>0</v>
      </c>
      <c r="G204" s="1">
        <v>0</v>
      </c>
      <c r="H204" s="1">
        <v>0</v>
      </c>
      <c r="I204" s="2">
        <f t="shared" si="19"/>
        <v>0</v>
      </c>
      <c r="J204" s="2">
        <v>2994.3333333333335</v>
      </c>
      <c r="K204" s="2">
        <f t="shared" si="20"/>
        <v>0</v>
      </c>
      <c r="L204" s="1">
        <v>0</v>
      </c>
      <c r="M204" s="1">
        <v>0</v>
      </c>
      <c r="N204" s="1">
        <v>0</v>
      </c>
      <c r="O204" s="2">
        <f t="shared" si="21"/>
        <v>0</v>
      </c>
      <c r="P204" s="2">
        <v>3128.3333333333335</v>
      </c>
      <c r="Q204" s="2">
        <f t="shared" si="22"/>
        <v>0</v>
      </c>
    </row>
    <row r="205" spans="1:17" x14ac:dyDescent="0.3">
      <c r="A205" s="1" t="s">
        <v>281</v>
      </c>
      <c r="B205" s="1" t="s">
        <v>288</v>
      </c>
      <c r="C205" s="1" t="s">
        <v>289</v>
      </c>
      <c r="D205" s="1" t="s">
        <v>289</v>
      </c>
      <c r="E205" s="2">
        <v>50201</v>
      </c>
      <c r="F205" s="1">
        <v>0</v>
      </c>
      <c r="G205" s="1">
        <v>0</v>
      </c>
      <c r="H205" s="1">
        <v>1</v>
      </c>
      <c r="I205" s="2">
        <f t="shared" si="19"/>
        <v>0.33333333333333331</v>
      </c>
      <c r="J205" s="2">
        <v>22401</v>
      </c>
      <c r="K205" s="2">
        <f t="shared" si="20"/>
        <v>1.4880288082377273</v>
      </c>
      <c r="L205" s="1">
        <v>0</v>
      </c>
      <c r="M205" s="1">
        <v>0</v>
      </c>
      <c r="N205" s="1">
        <v>1</v>
      </c>
      <c r="O205" s="2">
        <f t="shared" si="21"/>
        <v>0.33333333333333331</v>
      </c>
      <c r="P205" s="2">
        <v>22618.666666666668</v>
      </c>
      <c r="Q205" s="2">
        <f t="shared" si="22"/>
        <v>1.4737090308889411</v>
      </c>
    </row>
    <row r="206" spans="1:17" x14ac:dyDescent="0.3">
      <c r="A206" s="1" t="s">
        <v>281</v>
      </c>
      <c r="B206" s="1" t="s">
        <v>288</v>
      </c>
      <c r="C206" s="1" t="s">
        <v>290</v>
      </c>
      <c r="D206" s="1" t="s">
        <v>290</v>
      </c>
      <c r="E206" s="2">
        <v>50202</v>
      </c>
      <c r="F206" s="1">
        <v>0</v>
      </c>
      <c r="G206" s="1">
        <v>0</v>
      </c>
      <c r="H206" s="1">
        <v>0</v>
      </c>
      <c r="I206" s="2">
        <f t="shared" si="19"/>
        <v>0</v>
      </c>
      <c r="J206" s="2">
        <v>16058.333333333334</v>
      </c>
      <c r="K206" s="2">
        <f t="shared" si="20"/>
        <v>0</v>
      </c>
      <c r="L206" s="1">
        <v>0</v>
      </c>
      <c r="M206" s="1">
        <v>0</v>
      </c>
      <c r="N206" s="1">
        <v>0</v>
      </c>
      <c r="O206" s="2">
        <f t="shared" si="21"/>
        <v>0</v>
      </c>
      <c r="P206" s="2">
        <v>16018</v>
      </c>
      <c r="Q206" s="2">
        <f t="shared" si="22"/>
        <v>0</v>
      </c>
    </row>
    <row r="207" spans="1:17" x14ac:dyDescent="0.3">
      <c r="A207" s="1" t="s">
        <v>281</v>
      </c>
      <c r="B207" s="1" t="s">
        <v>288</v>
      </c>
      <c r="C207" s="1" t="s">
        <v>291</v>
      </c>
      <c r="D207" s="1" t="s">
        <v>291</v>
      </c>
      <c r="E207" s="2">
        <v>50203</v>
      </c>
      <c r="F207" s="1">
        <v>0</v>
      </c>
      <c r="G207" s="1">
        <v>0</v>
      </c>
      <c r="H207" s="1">
        <v>1</v>
      </c>
      <c r="I207" s="2">
        <f t="shared" si="19"/>
        <v>0.33333333333333331</v>
      </c>
      <c r="J207" s="2">
        <v>41376.333333333336</v>
      </c>
      <c r="K207" s="2">
        <f t="shared" si="20"/>
        <v>0.80561351497232714</v>
      </c>
      <c r="L207" s="1">
        <v>2</v>
      </c>
      <c r="M207" s="1">
        <v>1</v>
      </c>
      <c r="N207" s="1">
        <v>1</v>
      </c>
      <c r="O207" s="2">
        <f t="shared" si="21"/>
        <v>1.3333333333333333</v>
      </c>
      <c r="P207" s="2">
        <v>41532</v>
      </c>
      <c r="Q207" s="2">
        <f t="shared" si="22"/>
        <v>3.2103759350219909</v>
      </c>
    </row>
    <row r="208" spans="1:17" x14ac:dyDescent="0.3">
      <c r="A208" s="1" t="s">
        <v>281</v>
      </c>
      <c r="B208" s="1" t="s">
        <v>288</v>
      </c>
      <c r="C208" s="1" t="s">
        <v>292</v>
      </c>
      <c r="D208" s="1" t="s">
        <v>292</v>
      </c>
      <c r="E208" s="2">
        <v>50204</v>
      </c>
      <c r="F208" s="1">
        <v>0</v>
      </c>
      <c r="G208" s="1">
        <v>0</v>
      </c>
      <c r="H208" s="1">
        <v>0</v>
      </c>
      <c r="I208" s="2">
        <f t="shared" si="19"/>
        <v>0</v>
      </c>
      <c r="J208" s="2">
        <v>8107.333333333333</v>
      </c>
      <c r="K208" s="2">
        <f t="shared" si="20"/>
        <v>0</v>
      </c>
      <c r="L208" s="1">
        <v>0</v>
      </c>
      <c r="M208" s="1">
        <v>2</v>
      </c>
      <c r="N208" s="1">
        <v>1</v>
      </c>
      <c r="O208" s="2">
        <f t="shared" si="21"/>
        <v>1</v>
      </c>
      <c r="P208" s="2">
        <v>8157.333333333333</v>
      </c>
      <c r="Q208" s="2">
        <f t="shared" si="22"/>
        <v>12.258908139915006</v>
      </c>
    </row>
    <row r="209" spans="1:17" x14ac:dyDescent="0.3">
      <c r="A209" s="1" t="s">
        <v>281</v>
      </c>
      <c r="B209" s="1" t="s">
        <v>293</v>
      </c>
      <c r="C209" s="1" t="s">
        <v>294</v>
      </c>
      <c r="D209" s="1" t="s">
        <v>295</v>
      </c>
      <c r="E209" s="2">
        <v>50301</v>
      </c>
      <c r="F209" s="1">
        <v>0</v>
      </c>
      <c r="G209" s="1">
        <v>5</v>
      </c>
      <c r="H209" s="1">
        <v>3</v>
      </c>
      <c r="I209" s="2">
        <f t="shared" si="19"/>
        <v>2.6666666666666665</v>
      </c>
      <c r="J209" s="2">
        <v>32668</v>
      </c>
      <c r="K209" s="2">
        <f t="shared" si="20"/>
        <v>8.1629321252193776</v>
      </c>
      <c r="L209" s="1">
        <v>4</v>
      </c>
      <c r="M209" s="1">
        <v>2</v>
      </c>
      <c r="N209" s="1">
        <v>4</v>
      </c>
      <c r="O209" s="2">
        <f t="shared" si="21"/>
        <v>3.3333333333333335</v>
      </c>
      <c r="P209" s="2">
        <v>31951</v>
      </c>
      <c r="Q209" s="2">
        <f t="shared" si="22"/>
        <v>10.432641649191993</v>
      </c>
    </row>
    <row r="210" spans="1:17" x14ac:dyDescent="0.3">
      <c r="A210" s="1" t="s">
        <v>281</v>
      </c>
      <c r="B210" s="1" t="s">
        <v>293</v>
      </c>
      <c r="C210" s="1" t="s">
        <v>296</v>
      </c>
      <c r="D210" s="1" t="s">
        <v>296</v>
      </c>
      <c r="E210" s="2">
        <v>50302</v>
      </c>
      <c r="F210" s="1">
        <v>0</v>
      </c>
      <c r="G210" s="1">
        <v>0</v>
      </c>
      <c r="H210" s="1">
        <v>0</v>
      </c>
      <c r="I210" s="2">
        <f t="shared" si="19"/>
        <v>0</v>
      </c>
      <c r="J210" s="2">
        <v>9532</v>
      </c>
      <c r="K210" s="2">
        <f t="shared" si="20"/>
        <v>0</v>
      </c>
      <c r="L210" s="1">
        <v>1</v>
      </c>
      <c r="M210" s="1">
        <v>1</v>
      </c>
      <c r="N210" s="1">
        <v>4</v>
      </c>
      <c r="O210" s="2">
        <f t="shared" si="21"/>
        <v>2</v>
      </c>
      <c r="P210" s="2">
        <v>9316</v>
      </c>
      <c r="Q210" s="2">
        <f t="shared" si="22"/>
        <v>21.468441391155004</v>
      </c>
    </row>
    <row r="211" spans="1:17" x14ac:dyDescent="0.3">
      <c r="A211" s="1" t="s">
        <v>281</v>
      </c>
      <c r="B211" s="1" t="s">
        <v>293</v>
      </c>
      <c r="C211" s="1" t="s">
        <v>297</v>
      </c>
      <c r="D211" s="1" t="s">
        <v>297</v>
      </c>
      <c r="E211" s="2">
        <v>50303</v>
      </c>
      <c r="F211" s="1">
        <v>0</v>
      </c>
      <c r="G211" s="1">
        <v>0</v>
      </c>
      <c r="H211" s="1">
        <v>0</v>
      </c>
      <c r="I211" s="2">
        <f t="shared" si="19"/>
        <v>0</v>
      </c>
      <c r="J211" s="2">
        <v>13219.333333333334</v>
      </c>
      <c r="K211" s="2">
        <f t="shared" si="20"/>
        <v>0</v>
      </c>
      <c r="L211" s="1">
        <v>0</v>
      </c>
      <c r="M211" s="1">
        <v>0</v>
      </c>
      <c r="N211" s="1">
        <v>0</v>
      </c>
      <c r="O211" s="2">
        <f t="shared" si="21"/>
        <v>0</v>
      </c>
      <c r="P211" s="2">
        <v>14010.333333333334</v>
      </c>
      <c r="Q211" s="2">
        <f t="shared" si="22"/>
        <v>0</v>
      </c>
    </row>
    <row r="212" spans="1:17" x14ac:dyDescent="0.3">
      <c r="A212" s="1" t="s">
        <v>281</v>
      </c>
      <c r="B212" s="1" t="s">
        <v>290</v>
      </c>
      <c r="C212" s="1" t="s">
        <v>298</v>
      </c>
      <c r="D212" s="1" t="s">
        <v>298</v>
      </c>
      <c r="E212" s="2">
        <v>50401</v>
      </c>
      <c r="F212" s="1">
        <v>0</v>
      </c>
      <c r="G212" s="1">
        <v>0</v>
      </c>
      <c r="H212" s="1">
        <v>0</v>
      </c>
      <c r="I212" s="2">
        <f t="shared" si="19"/>
        <v>0</v>
      </c>
      <c r="J212" s="2">
        <v>15615.333333333334</v>
      </c>
      <c r="K212" s="2">
        <f t="shared" si="20"/>
        <v>0</v>
      </c>
      <c r="L212" s="1">
        <v>0</v>
      </c>
      <c r="M212" s="1">
        <v>1</v>
      </c>
      <c r="N212" s="1">
        <v>0</v>
      </c>
      <c r="O212" s="2">
        <f t="shared" si="21"/>
        <v>0.33333333333333331</v>
      </c>
      <c r="P212" s="2">
        <v>16053.333333333334</v>
      </c>
      <c r="Q212" s="2">
        <f t="shared" si="22"/>
        <v>2.0764119601328903</v>
      </c>
    </row>
    <row r="213" spans="1:17" x14ac:dyDescent="0.3">
      <c r="A213" s="1" t="s">
        <v>281</v>
      </c>
      <c r="B213" s="1" t="s">
        <v>290</v>
      </c>
      <c r="C213" s="1" t="s">
        <v>299</v>
      </c>
      <c r="D213" s="1" t="s">
        <v>299</v>
      </c>
      <c r="E213" s="2">
        <v>50402</v>
      </c>
      <c r="F213" s="1">
        <v>0</v>
      </c>
      <c r="G213" s="1">
        <v>1</v>
      </c>
      <c r="H213" s="1">
        <v>0</v>
      </c>
      <c r="I213" s="2">
        <f t="shared" si="19"/>
        <v>0.33333333333333331</v>
      </c>
      <c r="J213" s="2">
        <v>18420.333333333332</v>
      </c>
      <c r="K213" s="2">
        <f t="shared" si="20"/>
        <v>1.8095944698793001</v>
      </c>
      <c r="L213" s="1">
        <v>3</v>
      </c>
      <c r="M213" s="1">
        <v>0</v>
      </c>
      <c r="N213" s="1">
        <v>0</v>
      </c>
      <c r="O213" s="2">
        <f t="shared" si="21"/>
        <v>1</v>
      </c>
      <c r="P213" s="2">
        <v>17066.333333333332</v>
      </c>
      <c r="Q213" s="2">
        <f t="shared" si="22"/>
        <v>5.859489443153187</v>
      </c>
    </row>
    <row r="214" spans="1:17" x14ac:dyDescent="0.3">
      <c r="A214" s="1" t="s">
        <v>281</v>
      </c>
      <c r="B214" s="1" t="s">
        <v>290</v>
      </c>
      <c r="C214" s="1" t="s">
        <v>300</v>
      </c>
      <c r="D214" s="1" t="s">
        <v>300</v>
      </c>
      <c r="E214" s="2">
        <v>50403</v>
      </c>
      <c r="F214" s="1">
        <v>0</v>
      </c>
      <c r="G214" s="1">
        <v>1</v>
      </c>
      <c r="H214" s="1">
        <v>0</v>
      </c>
      <c r="I214" s="2">
        <f t="shared" si="19"/>
        <v>0.33333333333333331</v>
      </c>
      <c r="J214" s="2">
        <v>29817</v>
      </c>
      <c r="K214" s="2">
        <f t="shared" si="20"/>
        <v>1.1179304870823132</v>
      </c>
      <c r="L214" s="1">
        <v>0</v>
      </c>
      <c r="M214" s="1">
        <v>0</v>
      </c>
      <c r="N214" s="1">
        <v>0</v>
      </c>
      <c r="O214" s="2">
        <f t="shared" si="21"/>
        <v>0</v>
      </c>
      <c r="P214" s="2">
        <v>31809</v>
      </c>
      <c r="Q214" s="2">
        <f t="shared" si="22"/>
        <v>0</v>
      </c>
    </row>
    <row r="215" spans="1:17" x14ac:dyDescent="0.3">
      <c r="A215" s="1" t="s">
        <v>281</v>
      </c>
      <c r="B215" s="1" t="s">
        <v>290</v>
      </c>
      <c r="C215" s="1" t="s">
        <v>301</v>
      </c>
      <c r="D215" s="1" t="s">
        <v>301</v>
      </c>
      <c r="E215" s="2">
        <v>50404</v>
      </c>
      <c r="F215" s="1">
        <v>0</v>
      </c>
      <c r="G215" s="1">
        <v>3</v>
      </c>
      <c r="H215" s="1">
        <v>0</v>
      </c>
      <c r="I215" s="2">
        <f t="shared" si="19"/>
        <v>1</v>
      </c>
      <c r="J215" s="2">
        <v>15097</v>
      </c>
      <c r="K215" s="2">
        <f t="shared" si="20"/>
        <v>6.623832549513148</v>
      </c>
      <c r="L215" s="1">
        <v>0</v>
      </c>
      <c r="M215" s="1">
        <v>0</v>
      </c>
      <c r="N215" s="1">
        <v>0</v>
      </c>
      <c r="O215" s="2">
        <f t="shared" si="21"/>
        <v>0</v>
      </c>
      <c r="P215" s="2">
        <v>14513</v>
      </c>
      <c r="Q215" s="2">
        <f t="shared" si="22"/>
        <v>0</v>
      </c>
    </row>
    <row r="216" spans="1:17" x14ac:dyDescent="0.3">
      <c r="A216" s="1" t="s">
        <v>281</v>
      </c>
      <c r="B216" s="1" t="s">
        <v>290</v>
      </c>
      <c r="C216" s="1" t="s">
        <v>302</v>
      </c>
      <c r="D216" s="1" t="s">
        <v>302</v>
      </c>
      <c r="E216" s="2">
        <v>50405</v>
      </c>
      <c r="F216" s="1">
        <v>0</v>
      </c>
      <c r="G216" s="1">
        <v>1</v>
      </c>
      <c r="H216" s="1">
        <v>2</v>
      </c>
      <c r="I216" s="2">
        <f t="shared" si="19"/>
        <v>1</v>
      </c>
      <c r="J216" s="2">
        <v>20690.666666666668</v>
      </c>
      <c r="K216" s="2">
        <f t="shared" si="20"/>
        <v>4.8330970485887352</v>
      </c>
      <c r="L216" s="1">
        <v>1</v>
      </c>
      <c r="M216" s="1">
        <v>1</v>
      </c>
      <c r="N216" s="1">
        <v>0</v>
      </c>
      <c r="O216" s="2">
        <f t="shared" si="21"/>
        <v>0.66666666666666663</v>
      </c>
      <c r="P216" s="2">
        <v>20884.666666666668</v>
      </c>
      <c r="Q216" s="2">
        <f t="shared" si="22"/>
        <v>3.1921345803939087</v>
      </c>
    </row>
    <row r="217" spans="1:17" x14ac:dyDescent="0.3">
      <c r="A217" s="1" t="s">
        <v>281</v>
      </c>
      <c r="B217" s="1" t="s">
        <v>303</v>
      </c>
      <c r="C217" s="1" t="s">
        <v>304</v>
      </c>
      <c r="D217" s="1" t="s">
        <v>304</v>
      </c>
      <c r="E217" s="2">
        <v>50501</v>
      </c>
      <c r="F217" s="1">
        <v>0</v>
      </c>
      <c r="G217" s="1">
        <v>0</v>
      </c>
      <c r="H217" s="1">
        <v>0</v>
      </c>
      <c r="I217" s="2">
        <f t="shared" si="19"/>
        <v>0</v>
      </c>
      <c r="J217" s="2">
        <v>28816</v>
      </c>
      <c r="K217" s="2">
        <f t="shared" si="20"/>
        <v>0</v>
      </c>
      <c r="L217" s="1">
        <v>0</v>
      </c>
      <c r="M217" s="1">
        <v>0</v>
      </c>
      <c r="N217" s="1">
        <v>0</v>
      </c>
      <c r="O217" s="2">
        <f t="shared" si="21"/>
        <v>0</v>
      </c>
      <c r="P217" s="2">
        <v>28132</v>
      </c>
      <c r="Q217" s="2">
        <f t="shared" si="22"/>
        <v>0</v>
      </c>
    </row>
    <row r="218" spans="1:17" x14ac:dyDescent="0.3">
      <c r="A218" s="1" t="s">
        <v>281</v>
      </c>
      <c r="B218" s="1" t="s">
        <v>303</v>
      </c>
      <c r="C218" s="1" t="s">
        <v>305</v>
      </c>
      <c r="D218" s="1" t="s">
        <v>305</v>
      </c>
      <c r="E218" s="2">
        <v>50502</v>
      </c>
      <c r="F218" s="1">
        <v>0</v>
      </c>
      <c r="G218" s="1">
        <v>1</v>
      </c>
      <c r="H218" s="1">
        <v>0</v>
      </c>
      <c r="I218" s="2">
        <f t="shared" si="19"/>
        <v>0.33333333333333331</v>
      </c>
      <c r="J218" s="2">
        <v>10782</v>
      </c>
      <c r="K218" s="2">
        <f t="shared" si="20"/>
        <v>3.0915723737092682</v>
      </c>
      <c r="L218" s="1">
        <v>0</v>
      </c>
      <c r="M218" s="1">
        <v>1</v>
      </c>
      <c r="N218" s="1">
        <v>0</v>
      </c>
      <c r="O218" s="2">
        <f t="shared" si="21"/>
        <v>0.33333333333333331</v>
      </c>
      <c r="P218" s="2">
        <v>10731.666666666666</v>
      </c>
      <c r="Q218" s="2">
        <f t="shared" si="22"/>
        <v>3.1060723714862557</v>
      </c>
    </row>
    <row r="219" spans="1:17" x14ac:dyDescent="0.3">
      <c r="A219" s="1" t="s">
        <v>281</v>
      </c>
      <c r="B219" s="1" t="s">
        <v>306</v>
      </c>
      <c r="C219" s="1" t="s">
        <v>307</v>
      </c>
      <c r="D219" s="1" t="s">
        <v>307</v>
      </c>
      <c r="E219" s="2">
        <v>50601</v>
      </c>
      <c r="F219" s="1">
        <v>0</v>
      </c>
      <c r="G219" s="1">
        <v>0</v>
      </c>
      <c r="H219" s="1">
        <v>0</v>
      </c>
      <c r="I219" s="2">
        <f t="shared" si="19"/>
        <v>0</v>
      </c>
      <c r="J219" s="2">
        <v>30208</v>
      </c>
      <c r="K219" s="2">
        <f t="shared" si="20"/>
        <v>0</v>
      </c>
      <c r="L219" s="1">
        <v>1</v>
      </c>
      <c r="M219" s="1">
        <v>0</v>
      </c>
      <c r="N219" s="1">
        <v>2</v>
      </c>
      <c r="O219" s="2">
        <f t="shared" si="21"/>
        <v>1</v>
      </c>
      <c r="P219" s="2">
        <v>29297.666666666668</v>
      </c>
      <c r="Q219" s="2">
        <f t="shared" si="22"/>
        <v>3.4132410999738316</v>
      </c>
    </row>
    <row r="220" spans="1:17" x14ac:dyDescent="0.3">
      <c r="A220" s="1" t="s">
        <v>281</v>
      </c>
      <c r="B220" s="1" t="s">
        <v>306</v>
      </c>
      <c r="C220" s="1" t="s">
        <v>308</v>
      </c>
      <c r="D220" s="1" t="s">
        <v>308</v>
      </c>
      <c r="E220" s="2">
        <v>50602</v>
      </c>
      <c r="F220" s="1">
        <v>0</v>
      </c>
      <c r="G220" s="1">
        <v>0</v>
      </c>
      <c r="H220" s="1">
        <v>0</v>
      </c>
      <c r="I220" s="2">
        <f t="shared" si="19"/>
        <v>0</v>
      </c>
      <c r="J220" s="2">
        <v>10328.666666666666</v>
      </c>
      <c r="K220" s="2">
        <f t="shared" si="20"/>
        <v>0</v>
      </c>
      <c r="L220" s="1">
        <v>0</v>
      </c>
      <c r="M220" s="1">
        <v>1</v>
      </c>
      <c r="N220" s="1">
        <v>0</v>
      </c>
      <c r="O220" s="2">
        <f t="shared" si="21"/>
        <v>0.33333333333333331</v>
      </c>
      <c r="P220" s="2">
        <v>10147.333333333334</v>
      </c>
      <c r="Q220" s="2">
        <f t="shared" si="22"/>
        <v>3.28493528677485</v>
      </c>
    </row>
    <row r="221" spans="1:17" x14ac:dyDescent="0.3">
      <c r="A221" s="1" t="s">
        <v>281</v>
      </c>
      <c r="B221" s="1" t="s">
        <v>309</v>
      </c>
      <c r="C221" s="1" t="s">
        <v>310</v>
      </c>
      <c r="D221" s="1" t="s">
        <v>311</v>
      </c>
      <c r="E221" s="2">
        <v>50701</v>
      </c>
      <c r="F221" s="1">
        <v>0</v>
      </c>
      <c r="G221" s="1">
        <v>0</v>
      </c>
      <c r="H221" s="1">
        <v>0</v>
      </c>
      <c r="I221" s="2">
        <f t="shared" si="19"/>
        <v>0</v>
      </c>
      <c r="J221" s="2">
        <v>18198</v>
      </c>
      <c r="K221" s="2">
        <f t="shared" si="20"/>
        <v>0</v>
      </c>
      <c r="L221" s="1">
        <v>0</v>
      </c>
      <c r="M221" s="1">
        <v>1</v>
      </c>
      <c r="N221" s="1">
        <v>0</v>
      </c>
      <c r="O221" s="2">
        <f t="shared" si="21"/>
        <v>0.33333333333333331</v>
      </c>
      <c r="P221" s="2">
        <v>17390</v>
      </c>
      <c r="Q221" s="2">
        <f t="shared" si="22"/>
        <v>1.9168104274487252</v>
      </c>
    </row>
    <row r="222" spans="1:17" x14ac:dyDescent="0.3">
      <c r="A222" s="1" t="s">
        <v>281</v>
      </c>
      <c r="B222" s="1" t="s">
        <v>309</v>
      </c>
      <c r="C222" s="1" t="s">
        <v>312</v>
      </c>
      <c r="D222" s="1" t="s">
        <v>312</v>
      </c>
      <c r="E222" s="2">
        <v>50702</v>
      </c>
      <c r="F222" s="1">
        <v>0</v>
      </c>
      <c r="G222" s="1">
        <v>0</v>
      </c>
      <c r="H222" s="1">
        <v>0</v>
      </c>
      <c r="I222" s="2">
        <f t="shared" si="19"/>
        <v>0</v>
      </c>
      <c r="J222" s="2">
        <v>8542.3333333333339</v>
      </c>
      <c r="K222" s="2">
        <f t="shared" si="20"/>
        <v>0</v>
      </c>
      <c r="L222" s="1">
        <v>0</v>
      </c>
      <c r="M222" s="1">
        <v>0</v>
      </c>
      <c r="N222" s="1">
        <v>0</v>
      </c>
      <c r="O222" s="2">
        <f t="shared" si="21"/>
        <v>0</v>
      </c>
      <c r="P222" s="2">
        <v>8450</v>
      </c>
      <c r="Q222" s="2">
        <f t="shared" si="22"/>
        <v>0</v>
      </c>
    </row>
    <row r="223" spans="1:17" x14ac:dyDescent="0.3">
      <c r="A223" s="1" t="s">
        <v>281</v>
      </c>
      <c r="B223" s="1" t="s">
        <v>313</v>
      </c>
      <c r="C223" s="1" t="s">
        <v>314</v>
      </c>
      <c r="D223" s="1" t="s">
        <v>314</v>
      </c>
      <c r="E223" s="2">
        <v>50801</v>
      </c>
      <c r="F223" s="1">
        <v>0</v>
      </c>
      <c r="G223" s="1">
        <v>0</v>
      </c>
      <c r="H223" s="1">
        <v>1</v>
      </c>
      <c r="I223" s="2">
        <f t="shared" si="19"/>
        <v>0.33333333333333331</v>
      </c>
      <c r="J223" s="2">
        <v>45232.333333333336</v>
      </c>
      <c r="K223" s="2">
        <f t="shared" si="20"/>
        <v>0.73693596763377223</v>
      </c>
      <c r="L223" s="1">
        <v>0</v>
      </c>
      <c r="M223" s="1">
        <v>3</v>
      </c>
      <c r="N223" s="1">
        <v>4</v>
      </c>
      <c r="O223" s="2">
        <f t="shared" si="21"/>
        <v>2.3333333333333335</v>
      </c>
      <c r="P223" s="2">
        <v>45471.333333333336</v>
      </c>
      <c r="Q223" s="2">
        <f t="shared" si="22"/>
        <v>5.1314381221868723</v>
      </c>
    </row>
    <row r="224" spans="1:17" x14ac:dyDescent="0.3">
      <c r="A224" s="1" t="s">
        <v>281</v>
      </c>
      <c r="B224" s="1" t="s">
        <v>313</v>
      </c>
      <c r="C224" s="1" t="s">
        <v>315</v>
      </c>
      <c r="D224" s="1" t="s">
        <v>315</v>
      </c>
      <c r="E224" s="2">
        <v>50802</v>
      </c>
      <c r="F224" s="1">
        <v>0</v>
      </c>
      <c r="G224" s="1">
        <v>0</v>
      </c>
      <c r="H224" s="1">
        <v>0</v>
      </c>
      <c r="I224" s="2">
        <f t="shared" si="19"/>
        <v>0</v>
      </c>
      <c r="J224" s="2">
        <v>10143</v>
      </c>
      <c r="K224" s="2">
        <f t="shared" si="20"/>
        <v>0</v>
      </c>
      <c r="L224" s="1">
        <v>0</v>
      </c>
      <c r="M224" s="1">
        <v>0</v>
      </c>
      <c r="N224" s="1">
        <v>0</v>
      </c>
      <c r="O224" s="2">
        <f t="shared" si="21"/>
        <v>0</v>
      </c>
      <c r="P224" s="2">
        <v>9520</v>
      </c>
      <c r="Q224" s="2">
        <f t="shared" si="22"/>
        <v>0</v>
      </c>
    </row>
    <row r="225" spans="1:17" x14ac:dyDescent="0.3">
      <c r="A225" s="1" t="s">
        <v>281</v>
      </c>
      <c r="B225" s="1" t="s">
        <v>316</v>
      </c>
      <c r="C225" s="1" t="s">
        <v>317</v>
      </c>
      <c r="D225" s="1" t="s">
        <v>318</v>
      </c>
      <c r="E225" s="2">
        <v>50901</v>
      </c>
      <c r="F225" s="1">
        <v>0</v>
      </c>
      <c r="G225" s="1">
        <v>0</v>
      </c>
      <c r="H225" s="1">
        <v>0</v>
      </c>
      <c r="I225" s="2">
        <f t="shared" si="19"/>
        <v>0</v>
      </c>
      <c r="J225" s="2">
        <v>12788</v>
      </c>
      <c r="K225" s="2">
        <f t="shared" si="20"/>
        <v>0</v>
      </c>
      <c r="L225" s="1">
        <v>0</v>
      </c>
      <c r="M225" s="1">
        <v>0</v>
      </c>
      <c r="N225" s="1">
        <v>0</v>
      </c>
      <c r="O225" s="2">
        <f t="shared" si="21"/>
        <v>0</v>
      </c>
      <c r="P225" s="2">
        <v>12668</v>
      </c>
      <c r="Q225" s="2">
        <f t="shared" si="22"/>
        <v>0</v>
      </c>
    </row>
    <row r="226" spans="1:17" x14ac:dyDescent="0.3">
      <c r="A226" s="1" t="s">
        <v>281</v>
      </c>
      <c r="B226" s="1" t="s">
        <v>316</v>
      </c>
      <c r="C226" s="1" t="s">
        <v>319</v>
      </c>
      <c r="D226" s="1" t="s">
        <v>320</v>
      </c>
      <c r="E226" s="2">
        <v>50902</v>
      </c>
      <c r="F226" s="1">
        <v>0</v>
      </c>
      <c r="G226" s="1">
        <v>0</v>
      </c>
      <c r="H226" s="1">
        <v>0</v>
      </c>
      <c r="I226" s="2">
        <f t="shared" si="19"/>
        <v>0</v>
      </c>
      <c r="J226" s="2">
        <v>1377</v>
      </c>
      <c r="K226" s="2">
        <f t="shared" si="20"/>
        <v>0</v>
      </c>
      <c r="L226" s="1">
        <v>0</v>
      </c>
      <c r="M226" s="1">
        <v>0</v>
      </c>
      <c r="N226" s="1">
        <v>0</v>
      </c>
      <c r="O226" s="2">
        <f t="shared" si="21"/>
        <v>0</v>
      </c>
      <c r="P226" s="2">
        <v>1558</v>
      </c>
      <c r="Q226" s="2">
        <f t="shared" si="22"/>
        <v>0</v>
      </c>
    </row>
    <row r="227" spans="1:17" x14ac:dyDescent="0.3">
      <c r="A227" s="1" t="s">
        <v>281</v>
      </c>
      <c r="B227" s="1" t="s">
        <v>321</v>
      </c>
      <c r="C227" s="1" t="s">
        <v>322</v>
      </c>
      <c r="D227" s="1" t="s">
        <v>323</v>
      </c>
      <c r="E227" s="2">
        <v>51001</v>
      </c>
      <c r="F227" s="1">
        <v>0</v>
      </c>
      <c r="G227" s="1">
        <v>0</v>
      </c>
      <c r="H227" s="1">
        <v>0</v>
      </c>
      <c r="I227" s="2">
        <f t="shared" si="19"/>
        <v>0</v>
      </c>
      <c r="J227" s="2">
        <v>3234</v>
      </c>
      <c r="K227" s="2">
        <f t="shared" si="20"/>
        <v>0</v>
      </c>
      <c r="L227" s="1">
        <v>0</v>
      </c>
      <c r="M227" s="1">
        <v>0</v>
      </c>
      <c r="N227" s="1">
        <v>0</v>
      </c>
      <c r="O227" s="2">
        <f t="shared" si="21"/>
        <v>0</v>
      </c>
      <c r="P227" s="2">
        <v>3155.6666666666665</v>
      </c>
      <c r="Q227" s="2">
        <f t="shared" si="22"/>
        <v>0</v>
      </c>
    </row>
    <row r="228" spans="1:17" x14ac:dyDescent="0.3">
      <c r="A228" s="1" t="s">
        <v>281</v>
      </c>
      <c r="B228" s="1" t="s">
        <v>321</v>
      </c>
      <c r="C228" s="1" t="s">
        <v>324</v>
      </c>
      <c r="D228" s="1" t="s">
        <v>324</v>
      </c>
      <c r="E228" s="2">
        <v>51002</v>
      </c>
      <c r="F228" s="1">
        <v>0</v>
      </c>
      <c r="G228" s="1">
        <v>0</v>
      </c>
      <c r="H228" s="1">
        <v>0</v>
      </c>
      <c r="I228" s="2">
        <f t="shared" si="19"/>
        <v>0</v>
      </c>
      <c r="J228" s="2">
        <v>1088</v>
      </c>
      <c r="K228" s="2">
        <f t="shared" si="20"/>
        <v>0</v>
      </c>
      <c r="L228" s="1">
        <v>0</v>
      </c>
      <c r="M228" s="1">
        <v>0</v>
      </c>
      <c r="N228" s="1">
        <v>0</v>
      </c>
      <c r="O228" s="2">
        <f t="shared" si="21"/>
        <v>0</v>
      </c>
      <c r="P228" s="2">
        <v>1035</v>
      </c>
      <c r="Q228" s="2">
        <f t="shared" si="22"/>
        <v>0</v>
      </c>
    </row>
    <row r="229" spans="1:17" x14ac:dyDescent="0.3">
      <c r="A229" s="1" t="s">
        <v>281</v>
      </c>
      <c r="B229" s="1" t="s">
        <v>321</v>
      </c>
      <c r="C229" s="1" t="s">
        <v>325</v>
      </c>
      <c r="D229" s="1" t="s">
        <v>325</v>
      </c>
      <c r="E229" s="2">
        <v>51003</v>
      </c>
      <c r="F229" s="1">
        <v>0</v>
      </c>
      <c r="G229" s="1">
        <v>0</v>
      </c>
      <c r="H229" s="1">
        <v>0</v>
      </c>
      <c r="I229" s="2">
        <f t="shared" si="19"/>
        <v>0</v>
      </c>
      <c r="J229" s="2">
        <v>2084</v>
      </c>
      <c r="K229" s="2">
        <f t="shared" si="20"/>
        <v>0</v>
      </c>
      <c r="L229" s="1">
        <v>0</v>
      </c>
      <c r="M229" s="1">
        <v>0</v>
      </c>
      <c r="N229" s="1">
        <v>0</v>
      </c>
      <c r="O229" s="2">
        <f t="shared" si="21"/>
        <v>0</v>
      </c>
      <c r="P229" s="2">
        <v>1969.6666666666667</v>
      </c>
      <c r="Q229" s="2">
        <f t="shared" si="22"/>
        <v>0</v>
      </c>
    </row>
    <row r="230" spans="1:17" x14ac:dyDescent="0.3">
      <c r="A230" s="1" t="s">
        <v>281</v>
      </c>
      <c r="B230" s="1" t="s">
        <v>326</v>
      </c>
      <c r="C230" s="1" t="s">
        <v>327</v>
      </c>
      <c r="D230" s="1" t="s">
        <v>328</v>
      </c>
      <c r="E230" s="2">
        <v>51101</v>
      </c>
      <c r="F230" s="1">
        <v>0</v>
      </c>
      <c r="G230" s="1">
        <v>0</v>
      </c>
      <c r="H230" s="1">
        <v>0</v>
      </c>
      <c r="I230" s="2">
        <f t="shared" si="19"/>
        <v>0</v>
      </c>
      <c r="J230" s="2">
        <v>18670</v>
      </c>
      <c r="K230" s="2">
        <f t="shared" si="20"/>
        <v>0</v>
      </c>
      <c r="L230" s="1">
        <v>4</v>
      </c>
      <c r="M230" s="1">
        <v>1</v>
      </c>
      <c r="N230" s="1">
        <v>3</v>
      </c>
      <c r="O230" s="2">
        <f t="shared" si="21"/>
        <v>2.6666666666666665</v>
      </c>
      <c r="P230" s="2">
        <v>16814</v>
      </c>
      <c r="Q230" s="2">
        <f t="shared" si="22"/>
        <v>15.859799373537923</v>
      </c>
    </row>
    <row r="231" spans="1:17" x14ac:dyDescent="0.3">
      <c r="A231" s="1" t="s">
        <v>281</v>
      </c>
      <c r="B231" s="1" t="s">
        <v>326</v>
      </c>
      <c r="C231" s="1" t="s">
        <v>329</v>
      </c>
      <c r="D231" s="1" t="s">
        <v>329</v>
      </c>
      <c r="E231" s="2">
        <v>51102</v>
      </c>
      <c r="F231" s="1">
        <v>0</v>
      </c>
      <c r="G231" s="1">
        <v>0</v>
      </c>
      <c r="H231" s="1">
        <v>1</v>
      </c>
      <c r="I231" s="2">
        <f t="shared" si="19"/>
        <v>0.33333333333333331</v>
      </c>
      <c r="J231" s="2">
        <v>12547.666666666666</v>
      </c>
      <c r="K231" s="2">
        <f t="shared" si="20"/>
        <v>2.6565364078314695</v>
      </c>
      <c r="L231" s="1">
        <v>3</v>
      </c>
      <c r="M231" s="1">
        <v>3</v>
      </c>
      <c r="N231" s="1">
        <v>1</v>
      </c>
      <c r="O231" s="2">
        <f t="shared" si="21"/>
        <v>2.3333333333333335</v>
      </c>
      <c r="P231" s="2">
        <v>12822.333333333334</v>
      </c>
      <c r="Q231" s="2">
        <f t="shared" si="22"/>
        <v>18.197415966932699</v>
      </c>
    </row>
    <row r="232" spans="1:17" x14ac:dyDescent="0.3">
      <c r="A232" s="1" t="s">
        <v>281</v>
      </c>
      <c r="B232" s="1" t="s">
        <v>326</v>
      </c>
      <c r="C232" s="1" t="s">
        <v>330</v>
      </c>
      <c r="D232" s="1" t="s">
        <v>330</v>
      </c>
      <c r="E232" s="2">
        <v>51103</v>
      </c>
      <c r="F232" s="1">
        <v>0</v>
      </c>
      <c r="G232" s="1">
        <v>0</v>
      </c>
      <c r="H232" s="1">
        <v>0</v>
      </c>
      <c r="I232" s="2">
        <f t="shared" si="19"/>
        <v>0</v>
      </c>
      <c r="J232" s="2">
        <v>14931</v>
      </c>
      <c r="K232" s="2">
        <f t="shared" si="20"/>
        <v>0</v>
      </c>
      <c r="L232" s="1">
        <v>0</v>
      </c>
      <c r="M232" s="1">
        <v>0</v>
      </c>
      <c r="N232" s="1">
        <v>0</v>
      </c>
      <c r="O232" s="2">
        <f t="shared" si="21"/>
        <v>0</v>
      </c>
      <c r="P232" s="2">
        <v>14427</v>
      </c>
      <c r="Q232" s="2">
        <f t="shared" si="22"/>
        <v>0</v>
      </c>
    </row>
    <row r="233" spans="1:17" x14ac:dyDescent="0.3">
      <c r="A233" s="1" t="s">
        <v>281</v>
      </c>
      <c r="B233" s="1" t="s">
        <v>331</v>
      </c>
      <c r="C233" s="1" t="s">
        <v>332</v>
      </c>
      <c r="D233" s="1" t="s">
        <v>332</v>
      </c>
      <c r="E233" s="2">
        <v>51201</v>
      </c>
      <c r="F233" s="1">
        <v>0</v>
      </c>
      <c r="G233" s="1">
        <v>1</v>
      </c>
      <c r="H233" s="1">
        <v>1</v>
      </c>
      <c r="I233" s="2">
        <f t="shared" si="19"/>
        <v>0.66666666666666663</v>
      </c>
      <c r="J233" s="2">
        <v>32849</v>
      </c>
      <c r="K233" s="2">
        <f t="shared" si="20"/>
        <v>2.0294884674317837</v>
      </c>
      <c r="L233" s="1">
        <v>3</v>
      </c>
      <c r="M233" s="1">
        <v>2</v>
      </c>
      <c r="N233" s="1">
        <v>3</v>
      </c>
      <c r="O233" s="2">
        <f t="shared" si="21"/>
        <v>2.6666666666666665</v>
      </c>
      <c r="P233" s="2">
        <v>34664</v>
      </c>
      <c r="Q233" s="2">
        <f t="shared" si="22"/>
        <v>7.692899453804138</v>
      </c>
    </row>
    <row r="234" spans="1:17" x14ac:dyDescent="0.3">
      <c r="A234" s="1" t="s">
        <v>281</v>
      </c>
      <c r="B234" s="1" t="s">
        <v>331</v>
      </c>
      <c r="C234" s="1" t="s">
        <v>333</v>
      </c>
      <c r="D234" s="1" t="s">
        <v>333</v>
      </c>
      <c r="E234" s="2">
        <v>51202</v>
      </c>
      <c r="F234" s="1">
        <v>0</v>
      </c>
      <c r="G234" s="1">
        <v>0</v>
      </c>
      <c r="H234" s="1">
        <v>0</v>
      </c>
      <c r="I234" s="2">
        <f t="shared" si="19"/>
        <v>0</v>
      </c>
      <c r="J234" s="2">
        <v>8253.6666666666661</v>
      </c>
      <c r="K234" s="2">
        <f t="shared" si="20"/>
        <v>0</v>
      </c>
      <c r="L234" s="1">
        <v>0</v>
      </c>
      <c r="M234" s="1">
        <v>0</v>
      </c>
      <c r="N234" s="1">
        <v>0</v>
      </c>
      <c r="O234" s="2">
        <f t="shared" si="21"/>
        <v>0</v>
      </c>
      <c r="P234" s="2">
        <v>7899.666666666667</v>
      </c>
      <c r="Q234" s="2">
        <f t="shared" si="22"/>
        <v>0</v>
      </c>
    </row>
    <row r="235" spans="1:17" x14ac:dyDescent="0.3">
      <c r="A235" s="1" t="s">
        <v>281</v>
      </c>
      <c r="B235" s="1" t="s">
        <v>331</v>
      </c>
      <c r="C235" s="1" t="s">
        <v>334</v>
      </c>
      <c r="D235" s="1" t="s">
        <v>334</v>
      </c>
      <c r="E235" s="2">
        <v>51203</v>
      </c>
      <c r="F235" s="1">
        <v>0</v>
      </c>
      <c r="G235" s="1">
        <v>0</v>
      </c>
      <c r="H235" s="1">
        <v>0</v>
      </c>
      <c r="I235" s="2">
        <f t="shared" si="19"/>
        <v>0</v>
      </c>
      <c r="J235" s="2">
        <v>13059.333333333334</v>
      </c>
      <c r="K235" s="2">
        <f t="shared" si="20"/>
        <v>0</v>
      </c>
      <c r="L235" s="1">
        <v>0</v>
      </c>
      <c r="M235" s="1">
        <v>0</v>
      </c>
      <c r="N235" s="1">
        <v>1</v>
      </c>
      <c r="O235" s="2">
        <f t="shared" si="21"/>
        <v>0.33333333333333331</v>
      </c>
      <c r="P235" s="2">
        <v>14312.666666666666</v>
      </c>
      <c r="Q235" s="2">
        <f t="shared" si="22"/>
        <v>2.3289394009967861</v>
      </c>
    </row>
    <row r="236" spans="1:17" x14ac:dyDescent="0.3">
      <c r="A236" s="1" t="s">
        <v>281</v>
      </c>
      <c r="B236" s="1" t="s">
        <v>333</v>
      </c>
      <c r="C236" s="1" t="s">
        <v>335</v>
      </c>
      <c r="D236" s="1" t="s">
        <v>335</v>
      </c>
      <c r="E236" s="2">
        <v>51204</v>
      </c>
      <c r="F236" s="1">
        <v>0</v>
      </c>
      <c r="G236" s="1">
        <v>0</v>
      </c>
      <c r="H236" s="1">
        <v>0</v>
      </c>
      <c r="I236" s="2">
        <f t="shared" si="19"/>
        <v>0</v>
      </c>
      <c r="J236" s="2">
        <v>5856</v>
      </c>
      <c r="K236" s="2">
        <f t="shared" si="20"/>
        <v>0</v>
      </c>
      <c r="L236" s="1">
        <v>0</v>
      </c>
      <c r="M236" s="1">
        <v>0</v>
      </c>
      <c r="N236" s="1">
        <v>0</v>
      </c>
      <c r="O236" s="2">
        <f t="shared" si="21"/>
        <v>0</v>
      </c>
      <c r="P236" s="2">
        <v>5821.666666666667</v>
      </c>
      <c r="Q236" s="2">
        <f t="shared" si="22"/>
        <v>0</v>
      </c>
    </row>
    <row r="237" spans="1:17" x14ac:dyDescent="0.3">
      <c r="A237" s="1" t="s">
        <v>281</v>
      </c>
      <c r="B237" s="1" t="s">
        <v>336</v>
      </c>
      <c r="C237" s="1" t="s">
        <v>337</v>
      </c>
      <c r="D237" s="1" t="s">
        <v>337</v>
      </c>
      <c r="E237" s="2">
        <v>51301</v>
      </c>
      <c r="F237" s="1">
        <v>0</v>
      </c>
      <c r="G237" s="1">
        <v>0</v>
      </c>
      <c r="H237" s="1">
        <v>0</v>
      </c>
      <c r="I237" s="2">
        <f t="shared" si="19"/>
        <v>0</v>
      </c>
      <c r="J237" s="2">
        <v>3851</v>
      </c>
      <c r="K237" s="2">
        <f t="shared" si="20"/>
        <v>0</v>
      </c>
      <c r="L237" s="1">
        <v>0</v>
      </c>
      <c r="M237" s="1">
        <v>0</v>
      </c>
      <c r="N237" s="1">
        <v>0</v>
      </c>
      <c r="O237" s="2">
        <f t="shared" si="21"/>
        <v>0</v>
      </c>
      <c r="P237" s="2">
        <v>3668.6666666666665</v>
      </c>
      <c r="Q237" s="2">
        <f t="shared" si="22"/>
        <v>0</v>
      </c>
    </row>
    <row r="238" spans="1:17" x14ac:dyDescent="0.3">
      <c r="A238" s="1" t="s">
        <v>281</v>
      </c>
      <c r="B238" s="1" t="s">
        <v>336</v>
      </c>
      <c r="C238" s="1" t="s">
        <v>338</v>
      </c>
      <c r="D238" s="1" t="s">
        <v>338</v>
      </c>
      <c r="E238" s="2">
        <v>51302</v>
      </c>
      <c r="F238" s="1">
        <v>0</v>
      </c>
      <c r="G238" s="1">
        <v>0</v>
      </c>
      <c r="H238" s="1">
        <v>0</v>
      </c>
      <c r="I238" s="2">
        <f t="shared" si="19"/>
        <v>0</v>
      </c>
      <c r="J238" s="2">
        <v>5154</v>
      </c>
      <c r="K238" s="2">
        <f t="shared" si="20"/>
        <v>0</v>
      </c>
      <c r="L238" s="1">
        <v>0</v>
      </c>
      <c r="M238" s="1">
        <v>0</v>
      </c>
      <c r="N238" s="1">
        <v>0</v>
      </c>
      <c r="O238" s="2">
        <f t="shared" si="21"/>
        <v>0</v>
      </c>
      <c r="P238" s="2">
        <v>4578</v>
      </c>
      <c r="Q238" s="2">
        <f t="shared" si="22"/>
        <v>0</v>
      </c>
    </row>
    <row r="239" spans="1:17" x14ac:dyDescent="0.3">
      <c r="A239" s="1" t="s">
        <v>281</v>
      </c>
      <c r="B239" s="1" t="s">
        <v>339</v>
      </c>
      <c r="C239" s="1" t="s">
        <v>340</v>
      </c>
      <c r="D239" s="1" t="s">
        <v>340</v>
      </c>
      <c r="E239" s="2">
        <v>51401</v>
      </c>
      <c r="F239" s="1">
        <v>0</v>
      </c>
      <c r="G239" s="1">
        <v>0</v>
      </c>
      <c r="H239" s="1">
        <v>0</v>
      </c>
      <c r="I239" s="2">
        <f t="shared" si="19"/>
        <v>0</v>
      </c>
      <c r="J239" s="2">
        <v>4150</v>
      </c>
      <c r="K239" s="2">
        <f t="shared" si="20"/>
        <v>0</v>
      </c>
      <c r="L239" s="1">
        <v>0</v>
      </c>
      <c r="M239" s="1">
        <v>0</v>
      </c>
      <c r="N239" s="1">
        <v>0</v>
      </c>
      <c r="O239" s="2">
        <f t="shared" si="21"/>
        <v>0</v>
      </c>
      <c r="P239" s="2">
        <v>4150</v>
      </c>
      <c r="Q239" s="2">
        <f t="shared" si="22"/>
        <v>0</v>
      </c>
    </row>
    <row r="240" spans="1:17" x14ac:dyDescent="0.3">
      <c r="A240" s="1" t="s">
        <v>281</v>
      </c>
      <c r="B240" s="1" t="s">
        <v>339</v>
      </c>
      <c r="C240" s="1" t="s">
        <v>341</v>
      </c>
      <c r="D240" s="1" t="s">
        <v>341</v>
      </c>
      <c r="E240" s="2">
        <v>51402</v>
      </c>
      <c r="F240" s="1">
        <v>0</v>
      </c>
      <c r="G240" s="1">
        <v>0</v>
      </c>
      <c r="H240" s="1">
        <v>0</v>
      </c>
      <c r="I240" s="2">
        <f t="shared" si="19"/>
        <v>0</v>
      </c>
      <c r="J240" s="2">
        <v>1619</v>
      </c>
      <c r="K240" s="2">
        <f t="shared" si="20"/>
        <v>0</v>
      </c>
      <c r="L240" s="1">
        <v>0</v>
      </c>
      <c r="M240" s="1">
        <v>0</v>
      </c>
      <c r="N240" s="1">
        <v>0</v>
      </c>
      <c r="O240" s="2">
        <f t="shared" si="21"/>
        <v>0</v>
      </c>
      <c r="P240" s="2">
        <v>1572.6666666666667</v>
      </c>
      <c r="Q240" s="2">
        <f t="shared" si="22"/>
        <v>0</v>
      </c>
    </row>
    <row r="241" spans="1:17" x14ac:dyDescent="0.3">
      <c r="A241" s="1" t="s">
        <v>281</v>
      </c>
      <c r="B241" s="1" t="s">
        <v>342</v>
      </c>
      <c r="C241" s="1" t="s">
        <v>343</v>
      </c>
      <c r="D241" s="1" t="s">
        <v>343</v>
      </c>
      <c r="E241" s="2">
        <v>51501</v>
      </c>
      <c r="F241" s="1">
        <v>1</v>
      </c>
      <c r="G241" s="1">
        <v>0</v>
      </c>
      <c r="H241" s="1">
        <v>0</v>
      </c>
      <c r="I241" s="2">
        <f t="shared" si="19"/>
        <v>0.33333333333333331</v>
      </c>
      <c r="J241" s="2">
        <v>47476</v>
      </c>
      <c r="K241" s="2">
        <f t="shared" si="20"/>
        <v>0.70210913584407564</v>
      </c>
      <c r="L241" s="1">
        <v>0</v>
      </c>
      <c r="M241" s="1">
        <v>4</v>
      </c>
      <c r="N241" s="1">
        <v>2</v>
      </c>
      <c r="O241" s="2">
        <f t="shared" si="21"/>
        <v>2</v>
      </c>
      <c r="P241" s="2">
        <v>48945</v>
      </c>
      <c r="Q241" s="2">
        <f t="shared" si="22"/>
        <v>4.0862192256614565</v>
      </c>
    </row>
    <row r="242" spans="1:17" x14ac:dyDescent="0.3">
      <c r="A242" s="1" t="s">
        <v>281</v>
      </c>
      <c r="B242" s="1" t="s">
        <v>344</v>
      </c>
      <c r="C242" s="1" t="s">
        <v>345</v>
      </c>
      <c r="D242" s="1" t="s">
        <v>345</v>
      </c>
      <c r="E242" s="2">
        <v>51601</v>
      </c>
      <c r="F242" s="1">
        <v>0</v>
      </c>
      <c r="G242" s="1">
        <v>0</v>
      </c>
      <c r="H242" s="1">
        <v>0</v>
      </c>
      <c r="I242" s="2">
        <f t="shared" si="19"/>
        <v>0</v>
      </c>
      <c r="J242" s="2">
        <v>1938</v>
      </c>
      <c r="K242" s="2">
        <f t="shared" si="20"/>
        <v>0</v>
      </c>
      <c r="L242" s="1">
        <v>0</v>
      </c>
      <c r="M242" s="1">
        <v>0</v>
      </c>
      <c r="N242" s="1">
        <v>0</v>
      </c>
      <c r="O242" s="2">
        <f t="shared" si="21"/>
        <v>0</v>
      </c>
      <c r="P242" s="2">
        <v>2083</v>
      </c>
      <c r="Q242" s="2">
        <f t="shared" si="22"/>
        <v>0</v>
      </c>
    </row>
    <row r="243" spans="1:17" x14ac:dyDescent="0.3">
      <c r="A243" s="1" t="s">
        <v>346</v>
      </c>
      <c r="B243" s="1" t="s">
        <v>168</v>
      </c>
      <c r="C243" s="1" t="s">
        <v>346</v>
      </c>
      <c r="D243" s="1" t="s">
        <v>346</v>
      </c>
      <c r="E243" s="2">
        <v>60101</v>
      </c>
      <c r="F243" s="1">
        <v>17</v>
      </c>
      <c r="G243" s="1">
        <v>22</v>
      </c>
      <c r="H243" s="1">
        <v>10</v>
      </c>
      <c r="I243" s="2">
        <f t="shared" si="19"/>
        <v>16.333333333333332</v>
      </c>
      <c r="J243" s="2">
        <v>224956</v>
      </c>
      <c r="K243" s="2">
        <f t="shared" si="20"/>
        <v>7.2606791253993377</v>
      </c>
      <c r="L243" s="1">
        <v>12</v>
      </c>
      <c r="M243" s="1">
        <v>10</v>
      </c>
      <c r="N243" s="1">
        <v>11</v>
      </c>
      <c r="O243" s="2">
        <f t="shared" si="21"/>
        <v>11</v>
      </c>
      <c r="P243" s="2">
        <v>236145</v>
      </c>
      <c r="Q243" s="2">
        <f t="shared" si="22"/>
        <v>4.6581549471722878</v>
      </c>
    </row>
    <row r="244" spans="1:17" x14ac:dyDescent="0.3">
      <c r="A244" s="1" t="s">
        <v>346</v>
      </c>
      <c r="B244" s="1" t="s">
        <v>347</v>
      </c>
      <c r="C244" s="1" t="s">
        <v>348</v>
      </c>
      <c r="D244" s="1" t="s">
        <v>348</v>
      </c>
      <c r="E244" s="2">
        <v>60201</v>
      </c>
      <c r="F244" s="1">
        <v>0</v>
      </c>
      <c r="G244" s="1">
        <v>2</v>
      </c>
      <c r="H244" s="1">
        <v>0</v>
      </c>
      <c r="I244" s="2">
        <f t="shared" si="19"/>
        <v>0.66666666666666663</v>
      </c>
      <c r="J244" s="2">
        <v>18157</v>
      </c>
      <c r="K244" s="2">
        <f t="shared" si="20"/>
        <v>3.6716785078298537</v>
      </c>
      <c r="L244" s="1">
        <v>0</v>
      </c>
      <c r="M244" s="1">
        <v>0</v>
      </c>
      <c r="N244" s="1">
        <v>0</v>
      </c>
      <c r="O244" s="2">
        <f t="shared" si="21"/>
        <v>0</v>
      </c>
      <c r="P244" s="2">
        <v>17858</v>
      </c>
      <c r="Q244" s="2">
        <f t="shared" si="22"/>
        <v>0</v>
      </c>
    </row>
    <row r="245" spans="1:17" x14ac:dyDescent="0.3">
      <c r="A245" s="1" t="s">
        <v>346</v>
      </c>
      <c r="B245" s="1" t="s">
        <v>347</v>
      </c>
      <c r="C245" s="1" t="s">
        <v>349</v>
      </c>
      <c r="D245" s="1" t="s">
        <v>349</v>
      </c>
      <c r="E245" s="2">
        <v>60202</v>
      </c>
      <c r="F245" s="1">
        <v>0</v>
      </c>
      <c r="G245" s="1">
        <v>1</v>
      </c>
      <c r="H245" s="1">
        <v>1</v>
      </c>
      <c r="I245" s="2">
        <f t="shared" si="19"/>
        <v>0.66666666666666663</v>
      </c>
      <c r="J245" s="2">
        <v>35941</v>
      </c>
      <c r="K245" s="2">
        <f t="shared" si="20"/>
        <v>1.8548918134349814</v>
      </c>
      <c r="L245" s="1">
        <v>0</v>
      </c>
      <c r="M245" s="1">
        <v>3</v>
      </c>
      <c r="N245" s="1">
        <v>1</v>
      </c>
      <c r="O245" s="2">
        <f t="shared" si="21"/>
        <v>1.3333333333333333</v>
      </c>
      <c r="P245" s="2">
        <v>36762</v>
      </c>
      <c r="Q245" s="2">
        <f t="shared" si="22"/>
        <v>3.6269336089802873</v>
      </c>
    </row>
    <row r="246" spans="1:17" x14ac:dyDescent="0.3">
      <c r="A246" s="1" t="s">
        <v>346</v>
      </c>
      <c r="B246" s="1" t="s">
        <v>350</v>
      </c>
      <c r="C246" s="1" t="s">
        <v>351</v>
      </c>
      <c r="D246" s="1" t="s">
        <v>351</v>
      </c>
      <c r="E246" s="2">
        <v>60301</v>
      </c>
      <c r="F246" s="1">
        <v>0</v>
      </c>
      <c r="G246" s="1">
        <v>2</v>
      </c>
      <c r="H246" s="1">
        <v>8</v>
      </c>
      <c r="I246" s="2">
        <f t="shared" si="19"/>
        <v>3.3333333333333335</v>
      </c>
      <c r="J246" s="2">
        <v>95355.333333333328</v>
      </c>
      <c r="K246" s="2">
        <f t="shared" si="20"/>
        <v>3.4956967972425952</v>
      </c>
      <c r="L246" s="1">
        <v>5</v>
      </c>
      <c r="M246" s="1">
        <v>8</v>
      </c>
      <c r="N246" s="1">
        <v>13</v>
      </c>
      <c r="O246" s="2">
        <f t="shared" si="21"/>
        <v>8.6666666666666661</v>
      </c>
      <c r="P246" s="2">
        <v>97132.666666666672</v>
      </c>
      <c r="Q246" s="2">
        <f t="shared" si="22"/>
        <v>8.9225046156802712</v>
      </c>
    </row>
    <row r="247" spans="1:17" x14ac:dyDescent="0.3">
      <c r="A247" s="1" t="s">
        <v>346</v>
      </c>
      <c r="B247" s="1" t="s">
        <v>350</v>
      </c>
      <c r="C247" s="1" t="s">
        <v>352</v>
      </c>
      <c r="D247" s="1" t="s">
        <v>352</v>
      </c>
      <c r="E247" s="2">
        <v>60302</v>
      </c>
      <c r="F247" s="1">
        <v>0</v>
      </c>
      <c r="G247" s="1">
        <v>0</v>
      </c>
      <c r="H247" s="1">
        <v>0</v>
      </c>
      <c r="I247" s="2">
        <f t="shared" si="19"/>
        <v>0</v>
      </c>
      <c r="J247" s="2">
        <v>15531.666666666666</v>
      </c>
      <c r="K247" s="2">
        <f t="shared" si="20"/>
        <v>0</v>
      </c>
      <c r="L247" s="1">
        <v>0</v>
      </c>
      <c r="M247" s="1">
        <v>0</v>
      </c>
      <c r="N247" s="1">
        <v>0</v>
      </c>
      <c r="O247" s="2">
        <f t="shared" si="21"/>
        <v>0</v>
      </c>
      <c r="P247" s="2">
        <v>15626.333333333334</v>
      </c>
      <c r="Q247" s="2">
        <f t="shared" si="22"/>
        <v>0</v>
      </c>
    </row>
    <row r="248" spans="1:17" x14ac:dyDescent="0.3">
      <c r="A248" s="1" t="s">
        <v>346</v>
      </c>
      <c r="B248" s="1" t="s">
        <v>350</v>
      </c>
      <c r="C248" s="1" t="s">
        <v>353</v>
      </c>
      <c r="D248" s="1" t="s">
        <v>353</v>
      </c>
      <c r="E248" s="2">
        <v>60303</v>
      </c>
      <c r="F248" s="1">
        <v>3</v>
      </c>
      <c r="G248" s="1">
        <v>2</v>
      </c>
      <c r="H248" s="1">
        <v>6</v>
      </c>
      <c r="I248" s="2">
        <f t="shared" si="19"/>
        <v>3.6666666666666665</v>
      </c>
      <c r="J248" s="2">
        <v>43450.333333333336</v>
      </c>
      <c r="K248" s="2">
        <f t="shared" si="20"/>
        <v>8.4387538262076998</v>
      </c>
      <c r="L248" s="1">
        <v>0</v>
      </c>
      <c r="M248" s="1">
        <v>2</v>
      </c>
      <c r="N248" s="1">
        <v>2</v>
      </c>
      <c r="O248" s="2">
        <f t="shared" si="21"/>
        <v>1.3333333333333333</v>
      </c>
      <c r="P248" s="2">
        <v>45498</v>
      </c>
      <c r="Q248" s="2">
        <f t="shared" si="22"/>
        <v>2.9305317449851276</v>
      </c>
    </row>
    <row r="249" spans="1:17" x14ac:dyDescent="0.3">
      <c r="A249" s="1" t="s">
        <v>346</v>
      </c>
      <c r="B249" s="1" t="s">
        <v>354</v>
      </c>
      <c r="C249" s="1" t="s">
        <v>355</v>
      </c>
      <c r="D249" s="1" t="s">
        <v>356</v>
      </c>
      <c r="E249" s="2">
        <v>60401</v>
      </c>
      <c r="F249" s="1">
        <v>0</v>
      </c>
      <c r="G249" s="1">
        <v>0</v>
      </c>
      <c r="H249" s="1">
        <v>0</v>
      </c>
      <c r="I249" s="2">
        <f t="shared" si="19"/>
        <v>0</v>
      </c>
      <c r="J249" s="2">
        <v>15465.333333333334</v>
      </c>
      <c r="K249" s="2">
        <f t="shared" si="20"/>
        <v>0</v>
      </c>
      <c r="L249" s="1">
        <v>0</v>
      </c>
      <c r="M249" s="1">
        <v>0</v>
      </c>
      <c r="N249" s="1">
        <v>0</v>
      </c>
      <c r="O249" s="2">
        <f t="shared" si="21"/>
        <v>0</v>
      </c>
      <c r="P249" s="2">
        <v>15856.333333333334</v>
      </c>
      <c r="Q249" s="2">
        <f t="shared" si="22"/>
        <v>0</v>
      </c>
    </row>
    <row r="250" spans="1:17" x14ac:dyDescent="0.3">
      <c r="A250" s="1" t="s">
        <v>346</v>
      </c>
      <c r="B250" s="1" t="s">
        <v>354</v>
      </c>
      <c r="C250" s="1" t="s">
        <v>357</v>
      </c>
      <c r="D250" s="1" t="s">
        <v>357</v>
      </c>
      <c r="E250" s="2">
        <v>60402</v>
      </c>
      <c r="F250" s="1">
        <v>0</v>
      </c>
      <c r="G250" s="1">
        <v>0</v>
      </c>
      <c r="H250" s="1">
        <v>0</v>
      </c>
      <c r="I250" s="2">
        <f t="shared" si="19"/>
        <v>0</v>
      </c>
      <c r="J250" s="2">
        <v>5066</v>
      </c>
      <c r="K250" s="2">
        <f t="shared" si="20"/>
        <v>0</v>
      </c>
      <c r="L250" s="1">
        <v>0</v>
      </c>
      <c r="M250" s="1">
        <v>0</v>
      </c>
      <c r="N250" s="1">
        <v>0</v>
      </c>
      <c r="O250" s="2">
        <f t="shared" si="21"/>
        <v>0</v>
      </c>
      <c r="P250" s="2">
        <v>4823.666666666667</v>
      </c>
      <c r="Q250" s="2">
        <f t="shared" si="22"/>
        <v>0</v>
      </c>
    </row>
    <row r="251" spans="1:17" x14ac:dyDescent="0.3">
      <c r="A251" s="1" t="s">
        <v>346</v>
      </c>
      <c r="B251" s="1" t="s">
        <v>358</v>
      </c>
      <c r="C251" s="1" t="s">
        <v>359</v>
      </c>
      <c r="D251" s="1" t="s">
        <v>360</v>
      </c>
      <c r="E251" s="2">
        <v>60501</v>
      </c>
      <c r="F251" s="1">
        <v>0</v>
      </c>
      <c r="G251" s="1">
        <v>0</v>
      </c>
      <c r="H251" s="1">
        <v>0</v>
      </c>
      <c r="I251" s="2">
        <f t="shared" si="19"/>
        <v>0</v>
      </c>
      <c r="J251" s="2">
        <v>27648.333333333332</v>
      </c>
      <c r="K251" s="2">
        <f t="shared" si="20"/>
        <v>0</v>
      </c>
      <c r="L251" s="1">
        <v>0</v>
      </c>
      <c r="M251" s="1">
        <v>0</v>
      </c>
      <c r="N251" s="1">
        <v>0</v>
      </c>
      <c r="O251" s="2">
        <f t="shared" si="21"/>
        <v>0</v>
      </c>
      <c r="P251" s="2">
        <v>29811.333333333332</v>
      </c>
      <c r="Q251" s="2">
        <f t="shared" si="22"/>
        <v>0</v>
      </c>
    </row>
    <row r="252" spans="1:17" x14ac:dyDescent="0.3">
      <c r="A252" s="1" t="s">
        <v>346</v>
      </c>
      <c r="B252" s="1" t="s">
        <v>358</v>
      </c>
      <c r="C252" s="1" t="s">
        <v>361</v>
      </c>
      <c r="D252" s="1" t="s">
        <v>361</v>
      </c>
      <c r="E252" s="2">
        <v>60502</v>
      </c>
      <c r="F252" s="1">
        <v>0</v>
      </c>
      <c r="G252" s="1">
        <v>0</v>
      </c>
      <c r="H252" s="1">
        <v>0</v>
      </c>
      <c r="I252" s="2">
        <f t="shared" si="19"/>
        <v>0</v>
      </c>
      <c r="J252" s="2">
        <v>10275</v>
      </c>
      <c r="K252" s="2">
        <f t="shared" si="20"/>
        <v>0</v>
      </c>
      <c r="L252" s="1">
        <v>0</v>
      </c>
      <c r="M252" s="1">
        <v>1</v>
      </c>
      <c r="N252" s="1">
        <v>0</v>
      </c>
      <c r="O252" s="2">
        <f t="shared" si="21"/>
        <v>0.33333333333333331</v>
      </c>
      <c r="P252" s="2">
        <v>9658</v>
      </c>
      <c r="Q252" s="2">
        <f t="shared" si="22"/>
        <v>3.4513701939670045</v>
      </c>
    </row>
    <row r="253" spans="1:17" x14ac:dyDescent="0.3">
      <c r="A253" s="1" t="s">
        <v>346</v>
      </c>
      <c r="B253" s="1" t="s">
        <v>362</v>
      </c>
      <c r="C253" s="1" t="s">
        <v>213</v>
      </c>
      <c r="D253" s="1" t="s">
        <v>213</v>
      </c>
      <c r="E253" s="2">
        <v>60601</v>
      </c>
      <c r="F253" s="1">
        <v>0</v>
      </c>
      <c r="G253" s="1">
        <v>1</v>
      </c>
      <c r="H253" s="1">
        <v>0</v>
      </c>
      <c r="I253" s="2">
        <f t="shared" si="19"/>
        <v>0.33333333333333331</v>
      </c>
      <c r="J253" s="2">
        <v>21323.333333333332</v>
      </c>
      <c r="K253" s="2">
        <f t="shared" si="20"/>
        <v>1.5632327653587621</v>
      </c>
      <c r="L253" s="1">
        <v>0</v>
      </c>
      <c r="M253" s="1">
        <v>0</v>
      </c>
      <c r="N253" s="1">
        <v>3</v>
      </c>
      <c r="O253" s="2">
        <f t="shared" si="21"/>
        <v>1</v>
      </c>
      <c r="P253" s="2">
        <v>20941.333333333332</v>
      </c>
      <c r="Q253" s="2">
        <f t="shared" si="22"/>
        <v>4.7752451292499689</v>
      </c>
    </row>
    <row r="254" spans="1:17" x14ac:dyDescent="0.3">
      <c r="A254" s="1" t="s">
        <v>363</v>
      </c>
      <c r="B254" s="1" t="s">
        <v>364</v>
      </c>
      <c r="C254" s="1" t="s">
        <v>365</v>
      </c>
      <c r="D254" s="1" t="s">
        <v>365</v>
      </c>
      <c r="E254" s="2">
        <v>70101</v>
      </c>
      <c r="F254" s="1">
        <v>61</v>
      </c>
      <c r="G254" s="1">
        <v>44</v>
      </c>
      <c r="H254" s="1">
        <v>62</v>
      </c>
      <c r="I254" s="2">
        <f t="shared" si="19"/>
        <v>55.666666666666664</v>
      </c>
      <c r="J254" s="2">
        <v>1543282.6666666667</v>
      </c>
      <c r="K254" s="2">
        <f t="shared" si="20"/>
        <v>3.6070298636153924</v>
      </c>
      <c r="L254" s="1">
        <v>128</v>
      </c>
      <c r="M254" s="1">
        <v>130</v>
      </c>
      <c r="N254" s="1">
        <v>131</v>
      </c>
      <c r="O254" s="2">
        <f t="shared" si="21"/>
        <v>129.66666666666666</v>
      </c>
      <c r="P254" s="2">
        <v>1593993.3333333333</v>
      </c>
      <c r="Q254" s="2">
        <f t="shared" si="22"/>
        <v>8.134705707677572</v>
      </c>
    </row>
    <row r="255" spans="1:17" x14ac:dyDescent="0.3">
      <c r="A255" s="1" t="s">
        <v>363</v>
      </c>
      <c r="B255" s="1" t="s">
        <v>364</v>
      </c>
      <c r="C255" s="1" t="s">
        <v>366</v>
      </c>
      <c r="D255" s="1" t="s">
        <v>366</v>
      </c>
      <c r="E255" s="2">
        <v>70102</v>
      </c>
      <c r="F255" s="1">
        <v>1</v>
      </c>
      <c r="G255" s="1">
        <v>1</v>
      </c>
      <c r="H255" s="1">
        <v>4</v>
      </c>
      <c r="I255" s="2">
        <f t="shared" si="19"/>
        <v>2</v>
      </c>
      <c r="J255" s="2">
        <v>80970</v>
      </c>
      <c r="K255" s="2">
        <f t="shared" si="20"/>
        <v>2.4700506360380388</v>
      </c>
      <c r="L255" s="1">
        <v>9</v>
      </c>
      <c r="M255" s="1">
        <v>19</v>
      </c>
      <c r="N255" s="1">
        <v>4</v>
      </c>
      <c r="O255" s="2">
        <f t="shared" si="21"/>
        <v>10.666666666666666</v>
      </c>
      <c r="P255" s="2">
        <v>101227.66666666667</v>
      </c>
      <c r="Q255" s="2">
        <f t="shared" si="22"/>
        <v>10.537303701557216</v>
      </c>
    </row>
    <row r="256" spans="1:17" x14ac:dyDescent="0.3">
      <c r="A256" s="1" t="s">
        <v>363</v>
      </c>
      <c r="B256" s="1" t="s">
        <v>364</v>
      </c>
      <c r="C256" s="1" t="s">
        <v>367</v>
      </c>
      <c r="D256" s="1" t="s">
        <v>368</v>
      </c>
      <c r="E256" s="2">
        <v>70103</v>
      </c>
      <c r="F256" s="1">
        <v>1</v>
      </c>
      <c r="G256" s="1">
        <v>0</v>
      </c>
      <c r="H256" s="1">
        <v>0</v>
      </c>
      <c r="I256" s="2">
        <f t="shared" si="19"/>
        <v>0.33333333333333331</v>
      </c>
      <c r="J256" s="2">
        <v>19808.333333333332</v>
      </c>
      <c r="K256" s="2">
        <f t="shared" si="20"/>
        <v>1.6827934371055955</v>
      </c>
      <c r="L256" s="1">
        <v>1</v>
      </c>
      <c r="M256" s="1">
        <v>5</v>
      </c>
      <c r="N256" s="1">
        <v>0</v>
      </c>
      <c r="O256" s="2">
        <f t="shared" si="21"/>
        <v>2</v>
      </c>
      <c r="P256" s="2">
        <v>22374.333333333332</v>
      </c>
      <c r="Q256" s="2">
        <f t="shared" si="22"/>
        <v>8.9388138194061657</v>
      </c>
    </row>
    <row r="257" spans="1:17" x14ac:dyDescent="0.3">
      <c r="A257" s="1" t="s">
        <v>363</v>
      </c>
      <c r="B257" s="1" t="s">
        <v>364</v>
      </c>
      <c r="C257" s="1" t="s">
        <v>369</v>
      </c>
      <c r="D257" s="1" t="s">
        <v>369</v>
      </c>
      <c r="E257" s="2">
        <v>70104</v>
      </c>
      <c r="F257" s="1">
        <v>0</v>
      </c>
      <c r="G257" s="1">
        <v>2</v>
      </c>
      <c r="H257" s="1">
        <v>2</v>
      </c>
      <c r="I257" s="2">
        <f t="shared" si="19"/>
        <v>1.3333333333333333</v>
      </c>
      <c r="J257" s="2">
        <v>123314.66666666667</v>
      </c>
      <c r="K257" s="2">
        <f t="shared" si="20"/>
        <v>1.0812447289319465</v>
      </c>
      <c r="L257" s="1">
        <v>9</v>
      </c>
      <c r="M257" s="1">
        <v>24</v>
      </c>
      <c r="N257" s="1">
        <v>4</v>
      </c>
      <c r="O257" s="2">
        <f t="shared" si="21"/>
        <v>12.333333333333334</v>
      </c>
      <c r="P257" s="2">
        <v>142760.66666666666</v>
      </c>
      <c r="Q257" s="2">
        <f t="shared" si="22"/>
        <v>8.6391676512204576</v>
      </c>
    </row>
    <row r="258" spans="1:17" x14ac:dyDescent="0.3">
      <c r="A258" s="1" t="s">
        <v>363</v>
      </c>
      <c r="B258" s="1" t="s">
        <v>364</v>
      </c>
      <c r="C258" s="1" t="s">
        <v>370</v>
      </c>
      <c r="D258" s="1" t="s">
        <v>370</v>
      </c>
      <c r="E258" s="2">
        <v>70105</v>
      </c>
      <c r="F258" s="1">
        <v>0</v>
      </c>
      <c r="G258" s="1">
        <v>1</v>
      </c>
      <c r="H258" s="1">
        <v>1</v>
      </c>
      <c r="I258" s="2">
        <f t="shared" si="19"/>
        <v>0.66666666666666663</v>
      </c>
      <c r="J258" s="2">
        <v>53097</v>
      </c>
      <c r="K258" s="2">
        <f t="shared" si="20"/>
        <v>1.2555637167197142</v>
      </c>
      <c r="L258" s="1">
        <v>14</v>
      </c>
      <c r="M258" s="1">
        <v>14</v>
      </c>
      <c r="N258" s="1">
        <v>4</v>
      </c>
      <c r="O258" s="2">
        <f t="shared" si="21"/>
        <v>10.666666666666666</v>
      </c>
      <c r="P258" s="2">
        <v>55066</v>
      </c>
      <c r="Q258" s="2">
        <f t="shared" si="22"/>
        <v>19.370694560466834</v>
      </c>
    </row>
    <row r="259" spans="1:17" x14ac:dyDescent="0.3">
      <c r="A259" s="1" t="s">
        <v>363</v>
      </c>
      <c r="B259" s="1" t="s">
        <v>371</v>
      </c>
      <c r="C259" s="1" t="s">
        <v>371</v>
      </c>
      <c r="D259" s="1" t="s">
        <v>371</v>
      </c>
      <c r="E259" s="2">
        <v>70201</v>
      </c>
      <c r="F259" s="1">
        <v>1</v>
      </c>
      <c r="G259" s="1">
        <v>5</v>
      </c>
      <c r="H259" s="1">
        <v>6</v>
      </c>
      <c r="I259" s="2">
        <f t="shared" ref="I259:I322" si="23">AVERAGE(F259:H259)</f>
        <v>4</v>
      </c>
      <c r="J259" s="2">
        <v>128138</v>
      </c>
      <c r="K259" s="2">
        <f t="shared" ref="K259:K322" si="24">I259/J259*100000</f>
        <v>3.1216344878178215</v>
      </c>
      <c r="L259" s="1">
        <v>12</v>
      </c>
      <c r="M259" s="1">
        <v>9</v>
      </c>
      <c r="N259" s="1">
        <v>10</v>
      </c>
      <c r="O259" s="2">
        <f t="shared" ref="O259:O322" si="25">AVERAGE(L259:N259)</f>
        <v>10.333333333333334</v>
      </c>
      <c r="P259" s="2">
        <v>146270</v>
      </c>
      <c r="Q259" s="2">
        <f t="shared" ref="Q259:Q322" si="26">O259/P259*100000</f>
        <v>7.0645609717189668</v>
      </c>
    </row>
    <row r="260" spans="1:17" x14ac:dyDescent="0.3">
      <c r="A260" s="1" t="s">
        <v>363</v>
      </c>
      <c r="B260" s="1" t="s">
        <v>371</v>
      </c>
      <c r="C260" s="1" t="s">
        <v>372</v>
      </c>
      <c r="D260" s="1" t="s">
        <v>372</v>
      </c>
      <c r="E260" s="2">
        <v>70202</v>
      </c>
      <c r="F260" s="1">
        <v>0</v>
      </c>
      <c r="G260" s="1">
        <v>0</v>
      </c>
      <c r="H260" s="1">
        <v>0</v>
      </c>
      <c r="I260" s="2">
        <f t="shared" si="23"/>
        <v>0</v>
      </c>
      <c r="J260" s="2">
        <v>11330.666666666666</v>
      </c>
      <c r="K260" s="2">
        <f t="shared" si="24"/>
        <v>0</v>
      </c>
      <c r="L260" s="1">
        <v>6</v>
      </c>
      <c r="M260" s="1">
        <v>14</v>
      </c>
      <c r="N260" s="1">
        <v>0</v>
      </c>
      <c r="O260" s="2">
        <f t="shared" si="25"/>
        <v>6.666666666666667</v>
      </c>
      <c r="P260" s="2">
        <v>10672.666666666666</v>
      </c>
      <c r="Q260" s="2">
        <f t="shared" si="26"/>
        <v>62.464863514273226</v>
      </c>
    </row>
    <row r="261" spans="1:17" x14ac:dyDescent="0.3">
      <c r="A261" s="1" t="s">
        <v>363</v>
      </c>
      <c r="B261" s="1" t="s">
        <v>373</v>
      </c>
      <c r="C261" s="1" t="s">
        <v>374</v>
      </c>
      <c r="D261" s="1" t="s">
        <v>375</v>
      </c>
      <c r="E261" s="2">
        <v>70301</v>
      </c>
      <c r="F261" s="1">
        <v>1</v>
      </c>
      <c r="G261" s="1">
        <v>2</v>
      </c>
      <c r="H261" s="1">
        <v>9</v>
      </c>
      <c r="I261" s="2">
        <f t="shared" si="23"/>
        <v>4</v>
      </c>
      <c r="J261" s="2">
        <v>61256.666666666664</v>
      </c>
      <c r="K261" s="2">
        <f t="shared" si="24"/>
        <v>6.5299015073189315</v>
      </c>
      <c r="L261" s="1">
        <v>5</v>
      </c>
      <c r="M261" s="1">
        <v>2</v>
      </c>
      <c r="N261" s="1">
        <v>3</v>
      </c>
      <c r="O261" s="2">
        <f t="shared" si="25"/>
        <v>3.3333333333333335</v>
      </c>
      <c r="P261" s="2">
        <v>66339.333333333328</v>
      </c>
      <c r="Q261" s="2">
        <f t="shared" si="26"/>
        <v>5.0246711352741968</v>
      </c>
    </row>
    <row r="262" spans="1:17" x14ac:dyDescent="0.3">
      <c r="A262" s="1" t="s">
        <v>363</v>
      </c>
      <c r="B262" s="1" t="s">
        <v>373</v>
      </c>
      <c r="C262" s="1" t="s">
        <v>376</v>
      </c>
      <c r="D262" s="1" t="s">
        <v>377</v>
      </c>
      <c r="E262" s="2">
        <v>70302</v>
      </c>
      <c r="F262" s="1">
        <v>0</v>
      </c>
      <c r="G262" s="1">
        <v>0</v>
      </c>
      <c r="H262" s="1">
        <v>0</v>
      </c>
      <c r="I262" s="2">
        <f t="shared" si="23"/>
        <v>0</v>
      </c>
      <c r="J262" s="2">
        <v>13573</v>
      </c>
      <c r="K262" s="2">
        <f t="shared" si="24"/>
        <v>0</v>
      </c>
      <c r="L262" s="1">
        <v>4</v>
      </c>
      <c r="M262" s="1">
        <v>0</v>
      </c>
      <c r="N262" s="1">
        <v>0</v>
      </c>
      <c r="O262" s="2">
        <f t="shared" si="25"/>
        <v>1.3333333333333333</v>
      </c>
      <c r="P262" s="2">
        <v>14856</v>
      </c>
      <c r="Q262" s="2">
        <f t="shared" si="26"/>
        <v>8.9750493627714949</v>
      </c>
    </row>
    <row r="263" spans="1:17" x14ac:dyDescent="0.3">
      <c r="A263" s="1" t="s">
        <v>363</v>
      </c>
      <c r="B263" s="1" t="s">
        <v>373</v>
      </c>
      <c r="C263" s="1" t="s">
        <v>378</v>
      </c>
      <c r="D263" s="1" t="s">
        <v>378</v>
      </c>
      <c r="E263" s="2">
        <v>70303</v>
      </c>
      <c r="F263" s="1">
        <v>0</v>
      </c>
      <c r="G263" s="1">
        <v>0</v>
      </c>
      <c r="H263" s="1">
        <v>0</v>
      </c>
      <c r="I263" s="2">
        <f t="shared" si="23"/>
        <v>0</v>
      </c>
      <c r="J263" s="2">
        <v>7683.333333333333</v>
      </c>
      <c r="K263" s="2">
        <f t="shared" si="24"/>
        <v>0</v>
      </c>
      <c r="L263" s="1">
        <v>2</v>
      </c>
      <c r="M263" s="1">
        <v>0</v>
      </c>
      <c r="N263" s="1">
        <v>0</v>
      </c>
      <c r="O263" s="2">
        <f t="shared" si="25"/>
        <v>0.66666666666666663</v>
      </c>
      <c r="P263" s="2">
        <v>8565.3333333333339</v>
      </c>
      <c r="Q263" s="2">
        <f t="shared" si="26"/>
        <v>7.783312577833124</v>
      </c>
    </row>
    <row r="264" spans="1:17" x14ac:dyDescent="0.3">
      <c r="A264" s="1" t="s">
        <v>363</v>
      </c>
      <c r="B264" s="1" t="s">
        <v>379</v>
      </c>
      <c r="C264" s="1" t="s">
        <v>380</v>
      </c>
      <c r="D264" s="1" t="s">
        <v>380</v>
      </c>
      <c r="E264" s="2">
        <v>70401</v>
      </c>
      <c r="F264" s="1">
        <v>0</v>
      </c>
      <c r="G264" s="1">
        <v>0</v>
      </c>
      <c r="H264" s="1">
        <v>4</v>
      </c>
      <c r="I264" s="2">
        <f t="shared" si="23"/>
        <v>1.3333333333333333</v>
      </c>
      <c r="J264" s="2">
        <v>13291.333333333334</v>
      </c>
      <c r="K264" s="2">
        <f t="shared" si="24"/>
        <v>10.03159953854642</v>
      </c>
      <c r="L264" s="1">
        <v>18</v>
      </c>
      <c r="M264" s="1">
        <v>21</v>
      </c>
      <c r="N264" s="1">
        <v>1</v>
      </c>
      <c r="O264" s="2">
        <f t="shared" si="25"/>
        <v>13.333333333333334</v>
      </c>
      <c r="P264" s="2">
        <v>13527</v>
      </c>
      <c r="Q264" s="2">
        <f t="shared" si="26"/>
        <v>98.568295507749937</v>
      </c>
    </row>
    <row r="265" spans="1:17" x14ac:dyDescent="0.3">
      <c r="A265" s="1" t="s">
        <v>363</v>
      </c>
      <c r="B265" s="1" t="s">
        <v>379</v>
      </c>
      <c r="C265" s="1" t="s">
        <v>381</v>
      </c>
      <c r="D265" s="1" t="s">
        <v>381</v>
      </c>
      <c r="E265" s="2">
        <v>70402</v>
      </c>
      <c r="F265" s="1">
        <v>0</v>
      </c>
      <c r="G265" s="1">
        <v>0</v>
      </c>
      <c r="H265" s="1">
        <v>2</v>
      </c>
      <c r="I265" s="2">
        <f t="shared" si="23"/>
        <v>0.66666666666666663</v>
      </c>
      <c r="J265" s="2">
        <v>19454.333333333332</v>
      </c>
      <c r="K265" s="2">
        <f t="shared" si="24"/>
        <v>3.4268286414337847</v>
      </c>
      <c r="L265" s="1">
        <v>10</v>
      </c>
      <c r="M265" s="1">
        <v>17</v>
      </c>
      <c r="N265" s="1">
        <v>2</v>
      </c>
      <c r="O265" s="2">
        <f t="shared" si="25"/>
        <v>9.6666666666666661</v>
      </c>
      <c r="P265" s="2">
        <v>19089.333333333332</v>
      </c>
      <c r="Q265" s="2">
        <f t="shared" si="26"/>
        <v>50.63910037018929</v>
      </c>
    </row>
    <row r="266" spans="1:17" x14ac:dyDescent="0.3">
      <c r="A266" s="1" t="s">
        <v>363</v>
      </c>
      <c r="B266" s="1" t="s">
        <v>379</v>
      </c>
      <c r="C266" s="1" t="s">
        <v>382</v>
      </c>
      <c r="D266" s="1" t="s">
        <v>382</v>
      </c>
      <c r="E266" s="2">
        <v>70403</v>
      </c>
      <c r="F266" s="1">
        <v>1</v>
      </c>
      <c r="G266" s="1">
        <v>5</v>
      </c>
      <c r="H266" s="1">
        <v>19</v>
      </c>
      <c r="I266" s="2">
        <f t="shared" si="23"/>
        <v>8.3333333333333339</v>
      </c>
      <c r="J266" s="2">
        <v>54714.333333333336</v>
      </c>
      <c r="K266" s="2">
        <f t="shared" si="24"/>
        <v>15.230622079528217</v>
      </c>
      <c r="L266" s="1">
        <v>8</v>
      </c>
      <c r="M266" s="1">
        <v>15</v>
      </c>
      <c r="N266" s="1">
        <v>20</v>
      </c>
      <c r="O266" s="2">
        <f t="shared" si="25"/>
        <v>14.333333333333334</v>
      </c>
      <c r="P266" s="2">
        <v>57089.333333333336</v>
      </c>
      <c r="Q266" s="2">
        <f t="shared" si="26"/>
        <v>25.106850082910992</v>
      </c>
    </row>
    <row r="267" spans="1:17" x14ac:dyDescent="0.3">
      <c r="A267" s="1" t="s">
        <v>363</v>
      </c>
      <c r="B267" s="1" t="s">
        <v>379</v>
      </c>
      <c r="C267" s="1" t="s">
        <v>383</v>
      </c>
      <c r="D267" s="1" t="s">
        <v>383</v>
      </c>
      <c r="E267" s="2">
        <v>70404</v>
      </c>
      <c r="F267" s="1">
        <v>0</v>
      </c>
      <c r="G267" s="1">
        <v>0</v>
      </c>
      <c r="H267" s="1">
        <v>0</v>
      </c>
      <c r="I267" s="2">
        <f t="shared" si="23"/>
        <v>0</v>
      </c>
      <c r="J267" s="2">
        <v>9783.3333333333339</v>
      </c>
      <c r="K267" s="2">
        <f t="shared" si="24"/>
        <v>0</v>
      </c>
      <c r="L267" s="1">
        <v>0</v>
      </c>
      <c r="M267" s="1">
        <v>4</v>
      </c>
      <c r="N267" s="1">
        <v>1</v>
      </c>
      <c r="O267" s="2">
        <f t="shared" si="25"/>
        <v>1.6666666666666667</v>
      </c>
      <c r="P267" s="2">
        <v>10121.333333333334</v>
      </c>
      <c r="Q267" s="2">
        <f t="shared" si="26"/>
        <v>16.466868660255567</v>
      </c>
    </row>
    <row r="268" spans="1:17" x14ac:dyDescent="0.3">
      <c r="A268" s="1" t="s">
        <v>363</v>
      </c>
      <c r="B268" s="1" t="s">
        <v>384</v>
      </c>
      <c r="C268" s="1" t="s">
        <v>385</v>
      </c>
      <c r="D268" s="1" t="s">
        <v>386</v>
      </c>
      <c r="E268" s="2">
        <v>70501</v>
      </c>
      <c r="F268" s="1">
        <v>0</v>
      </c>
      <c r="G268" s="1">
        <v>1</v>
      </c>
      <c r="H268" s="1">
        <v>3</v>
      </c>
      <c r="I268" s="2">
        <f t="shared" si="23"/>
        <v>1.3333333333333333</v>
      </c>
      <c r="J268" s="2">
        <v>35945</v>
      </c>
      <c r="K268" s="2">
        <f t="shared" si="24"/>
        <v>3.709370797978393</v>
      </c>
      <c r="L268" s="1">
        <v>3</v>
      </c>
      <c r="M268" s="1">
        <v>9</v>
      </c>
      <c r="N268" s="1">
        <v>4</v>
      </c>
      <c r="O268" s="2">
        <f t="shared" si="25"/>
        <v>5.333333333333333</v>
      </c>
      <c r="P268" s="2">
        <v>39958</v>
      </c>
      <c r="Q268" s="2">
        <f t="shared" si="26"/>
        <v>13.347348048784555</v>
      </c>
    </row>
    <row r="269" spans="1:17" x14ac:dyDescent="0.3">
      <c r="A269" s="1" t="s">
        <v>363</v>
      </c>
      <c r="B269" s="1" t="s">
        <v>384</v>
      </c>
      <c r="C269" s="1" t="s">
        <v>387</v>
      </c>
      <c r="D269" s="1" t="s">
        <v>387</v>
      </c>
      <c r="E269" s="2">
        <v>70502</v>
      </c>
      <c r="F269" s="1">
        <v>1</v>
      </c>
      <c r="G269" s="1">
        <v>0</v>
      </c>
      <c r="H269" s="1">
        <v>0</v>
      </c>
      <c r="I269" s="2">
        <f t="shared" si="23"/>
        <v>0.33333333333333331</v>
      </c>
      <c r="J269" s="2">
        <v>47486</v>
      </c>
      <c r="K269" s="2">
        <f t="shared" si="24"/>
        <v>0.70196127981580536</v>
      </c>
      <c r="L269" s="1">
        <v>11</v>
      </c>
      <c r="M269" s="1">
        <v>25</v>
      </c>
      <c r="N269" s="1">
        <v>2</v>
      </c>
      <c r="O269" s="2">
        <f t="shared" si="25"/>
        <v>12.666666666666666</v>
      </c>
      <c r="P269" s="2">
        <v>52983</v>
      </c>
      <c r="Q269" s="2">
        <f t="shared" si="26"/>
        <v>23.90703936482771</v>
      </c>
    </row>
    <row r="270" spans="1:17" x14ac:dyDescent="0.3">
      <c r="A270" s="1" t="s">
        <v>363</v>
      </c>
      <c r="B270" s="1" t="s">
        <v>384</v>
      </c>
      <c r="C270" s="1" t="s">
        <v>388</v>
      </c>
      <c r="D270" s="1" t="s">
        <v>388</v>
      </c>
      <c r="E270" s="2">
        <v>70503</v>
      </c>
      <c r="F270" s="1">
        <v>5</v>
      </c>
      <c r="G270" s="1">
        <v>3</v>
      </c>
      <c r="H270" s="1">
        <v>1</v>
      </c>
      <c r="I270" s="2">
        <f t="shared" si="23"/>
        <v>3</v>
      </c>
      <c r="J270" s="2">
        <v>17426</v>
      </c>
      <c r="K270" s="2">
        <f t="shared" si="24"/>
        <v>17.215654768736371</v>
      </c>
      <c r="L270" s="1">
        <v>6</v>
      </c>
      <c r="M270" s="1">
        <v>9</v>
      </c>
      <c r="N270" s="1">
        <v>0</v>
      </c>
      <c r="O270" s="2">
        <f t="shared" si="25"/>
        <v>5</v>
      </c>
      <c r="P270" s="2">
        <v>18446</v>
      </c>
      <c r="Q270" s="2">
        <f t="shared" si="26"/>
        <v>27.106147674292533</v>
      </c>
    </row>
    <row r="271" spans="1:17" x14ac:dyDescent="0.3">
      <c r="A271" s="1" t="s">
        <v>363</v>
      </c>
      <c r="B271" s="1" t="s">
        <v>389</v>
      </c>
      <c r="C271" s="1" t="s">
        <v>390</v>
      </c>
      <c r="D271" s="1" t="s">
        <v>390</v>
      </c>
      <c r="E271" s="2">
        <v>70601</v>
      </c>
      <c r="F271" s="1">
        <v>0</v>
      </c>
      <c r="G271" s="1">
        <v>0</v>
      </c>
      <c r="H271" s="1">
        <v>2</v>
      </c>
      <c r="I271" s="2">
        <f t="shared" si="23"/>
        <v>0.66666666666666663</v>
      </c>
      <c r="J271" s="2">
        <v>19532.333333333332</v>
      </c>
      <c r="K271" s="2">
        <f t="shared" si="24"/>
        <v>3.4131440176118235</v>
      </c>
      <c r="L271" s="1">
        <v>8</v>
      </c>
      <c r="M271" s="1">
        <v>13</v>
      </c>
      <c r="N271" s="1">
        <v>5</v>
      </c>
      <c r="O271" s="2">
        <f t="shared" si="25"/>
        <v>8.6666666666666661</v>
      </c>
      <c r="P271" s="2">
        <v>20473.666666666668</v>
      </c>
      <c r="Q271" s="2">
        <f t="shared" si="26"/>
        <v>42.330798912424086</v>
      </c>
    </row>
    <row r="272" spans="1:17" x14ac:dyDescent="0.3">
      <c r="A272" s="1" t="s">
        <v>363</v>
      </c>
      <c r="B272" s="1" t="s">
        <v>389</v>
      </c>
      <c r="C272" s="1" t="s">
        <v>391</v>
      </c>
      <c r="D272" s="1" t="s">
        <v>392</v>
      </c>
      <c r="E272" s="2">
        <v>70602</v>
      </c>
      <c r="F272" s="1">
        <v>0</v>
      </c>
      <c r="G272" s="1">
        <v>0</v>
      </c>
      <c r="H272" s="1">
        <v>0</v>
      </c>
      <c r="I272" s="2">
        <f t="shared" si="23"/>
        <v>0</v>
      </c>
      <c r="J272" s="2">
        <v>18498</v>
      </c>
      <c r="K272" s="2">
        <f t="shared" si="24"/>
        <v>0</v>
      </c>
      <c r="L272" s="1">
        <v>0</v>
      </c>
      <c r="M272" s="1">
        <v>3</v>
      </c>
      <c r="N272" s="1">
        <v>1</v>
      </c>
      <c r="O272" s="2">
        <f t="shared" si="25"/>
        <v>1.3333333333333333</v>
      </c>
      <c r="P272" s="2">
        <v>18087</v>
      </c>
      <c r="Q272" s="2">
        <f t="shared" si="26"/>
        <v>7.3717771511767189</v>
      </c>
    </row>
    <row r="273" spans="1:17" x14ac:dyDescent="0.3">
      <c r="A273" s="1" t="s">
        <v>363</v>
      </c>
      <c r="B273" s="1" t="s">
        <v>389</v>
      </c>
      <c r="C273" s="1" t="s">
        <v>393</v>
      </c>
      <c r="D273" s="1" t="s">
        <v>393</v>
      </c>
      <c r="E273" s="2">
        <v>70603</v>
      </c>
      <c r="F273" s="1">
        <v>0</v>
      </c>
      <c r="G273" s="1">
        <v>0</v>
      </c>
      <c r="H273" s="1">
        <v>0</v>
      </c>
      <c r="I273" s="2">
        <f t="shared" si="23"/>
        <v>0</v>
      </c>
      <c r="J273" s="2">
        <v>6040.333333333333</v>
      </c>
      <c r="K273" s="2">
        <f t="shared" si="24"/>
        <v>0</v>
      </c>
      <c r="L273" s="1">
        <v>0</v>
      </c>
      <c r="M273" s="1">
        <v>0</v>
      </c>
      <c r="N273" s="1">
        <v>0</v>
      </c>
      <c r="O273" s="2">
        <f t="shared" si="25"/>
        <v>0</v>
      </c>
      <c r="P273" s="2">
        <v>6024</v>
      </c>
      <c r="Q273" s="2">
        <f t="shared" si="26"/>
        <v>0</v>
      </c>
    </row>
    <row r="274" spans="1:17" x14ac:dyDescent="0.3">
      <c r="A274" s="1" t="s">
        <v>363</v>
      </c>
      <c r="B274" s="1" t="s">
        <v>394</v>
      </c>
      <c r="C274" s="1" t="s">
        <v>395</v>
      </c>
      <c r="D274" s="1" t="s">
        <v>395</v>
      </c>
      <c r="E274" s="2">
        <v>70701</v>
      </c>
      <c r="F274" s="1">
        <v>0</v>
      </c>
      <c r="G274" s="1">
        <v>0</v>
      </c>
      <c r="H274" s="1">
        <v>0</v>
      </c>
      <c r="I274" s="2">
        <f t="shared" si="23"/>
        <v>0</v>
      </c>
      <c r="J274" s="2">
        <v>5683.333333333333</v>
      </c>
      <c r="K274" s="2">
        <f t="shared" si="24"/>
        <v>0</v>
      </c>
      <c r="L274" s="1">
        <v>1</v>
      </c>
      <c r="M274" s="1">
        <v>1</v>
      </c>
      <c r="N274" s="1">
        <v>1</v>
      </c>
      <c r="O274" s="2">
        <f t="shared" si="25"/>
        <v>1</v>
      </c>
      <c r="P274" s="2">
        <v>5864.666666666667</v>
      </c>
      <c r="Q274" s="2">
        <f t="shared" si="26"/>
        <v>17.051267477549164</v>
      </c>
    </row>
    <row r="275" spans="1:17" x14ac:dyDescent="0.3">
      <c r="A275" s="1" t="s">
        <v>363</v>
      </c>
      <c r="B275" s="1" t="s">
        <v>394</v>
      </c>
      <c r="C275" s="1" t="s">
        <v>396</v>
      </c>
      <c r="D275" s="1" t="s">
        <v>396</v>
      </c>
      <c r="E275" s="2">
        <v>70702</v>
      </c>
      <c r="F275" s="1">
        <v>0</v>
      </c>
      <c r="G275" s="1">
        <v>0</v>
      </c>
      <c r="H275" s="1">
        <v>1</v>
      </c>
      <c r="I275" s="2">
        <f t="shared" si="23"/>
        <v>0.33333333333333331</v>
      </c>
      <c r="J275" s="2">
        <v>36313.666666666664</v>
      </c>
      <c r="K275" s="2">
        <f t="shared" si="24"/>
        <v>0.91792805279922163</v>
      </c>
      <c r="L275" s="1">
        <v>1</v>
      </c>
      <c r="M275" s="1">
        <v>0</v>
      </c>
      <c r="N275" s="1">
        <v>0</v>
      </c>
      <c r="O275" s="2">
        <f t="shared" si="25"/>
        <v>0.33333333333333331</v>
      </c>
      <c r="P275" s="2">
        <v>38672.333333333336</v>
      </c>
      <c r="Q275" s="2">
        <f t="shared" si="26"/>
        <v>0.86194264633631268</v>
      </c>
    </row>
    <row r="276" spans="1:17" x14ac:dyDescent="0.3">
      <c r="A276" s="1" t="s">
        <v>363</v>
      </c>
      <c r="B276" s="1" t="s">
        <v>394</v>
      </c>
      <c r="C276" s="1" t="s">
        <v>397</v>
      </c>
      <c r="D276" s="1" t="s">
        <v>397</v>
      </c>
      <c r="E276" s="2">
        <v>70703</v>
      </c>
      <c r="F276" s="1">
        <v>0</v>
      </c>
      <c r="G276" s="1">
        <v>1</v>
      </c>
      <c r="H276" s="1">
        <v>0</v>
      </c>
      <c r="I276" s="2">
        <f t="shared" si="23"/>
        <v>0.33333333333333331</v>
      </c>
      <c r="J276" s="2">
        <v>29191</v>
      </c>
      <c r="K276" s="2">
        <f t="shared" si="24"/>
        <v>1.1419044682721842</v>
      </c>
      <c r="L276" s="1">
        <v>4</v>
      </c>
      <c r="M276" s="1">
        <v>2</v>
      </c>
      <c r="N276" s="1">
        <v>4</v>
      </c>
      <c r="O276" s="2">
        <f t="shared" si="25"/>
        <v>3.3333333333333335</v>
      </c>
      <c r="P276" s="2">
        <v>30766</v>
      </c>
      <c r="Q276" s="2">
        <f t="shared" si="26"/>
        <v>10.834470952783377</v>
      </c>
    </row>
    <row r="277" spans="1:17" x14ac:dyDescent="0.3">
      <c r="A277" s="1" t="s">
        <v>363</v>
      </c>
      <c r="B277" s="1" t="s">
        <v>394</v>
      </c>
      <c r="C277" s="1" t="s">
        <v>398</v>
      </c>
      <c r="D277" s="1" t="s">
        <v>398</v>
      </c>
      <c r="E277" s="2">
        <v>70704</v>
      </c>
      <c r="F277" s="1">
        <v>0</v>
      </c>
      <c r="G277" s="1">
        <v>0</v>
      </c>
      <c r="H277" s="1">
        <v>0</v>
      </c>
      <c r="I277" s="2">
        <f t="shared" si="23"/>
        <v>0</v>
      </c>
      <c r="J277" s="2">
        <v>4994.333333333333</v>
      </c>
      <c r="K277" s="2">
        <f t="shared" si="24"/>
        <v>0</v>
      </c>
      <c r="L277" s="1">
        <v>1</v>
      </c>
      <c r="M277" s="1">
        <v>1</v>
      </c>
      <c r="N277" s="1">
        <v>0</v>
      </c>
      <c r="O277" s="2">
        <f t="shared" si="25"/>
        <v>0.66666666666666663</v>
      </c>
      <c r="P277" s="2">
        <v>4961.333333333333</v>
      </c>
      <c r="Q277" s="2">
        <f t="shared" si="26"/>
        <v>13.437248051599031</v>
      </c>
    </row>
    <row r="278" spans="1:17" x14ac:dyDescent="0.3">
      <c r="A278" s="1" t="s">
        <v>363</v>
      </c>
      <c r="B278" s="1" t="s">
        <v>394</v>
      </c>
      <c r="C278" s="1" t="s">
        <v>399</v>
      </c>
      <c r="D278" s="1" t="s">
        <v>399</v>
      </c>
      <c r="E278" s="2">
        <v>70705</v>
      </c>
      <c r="F278" s="1">
        <v>0</v>
      </c>
      <c r="G278" s="1">
        <v>0</v>
      </c>
      <c r="H278" s="1">
        <v>0</v>
      </c>
      <c r="I278" s="2">
        <f t="shared" si="23"/>
        <v>0</v>
      </c>
      <c r="J278" s="2">
        <v>13962.333333333334</v>
      </c>
      <c r="K278" s="2">
        <f t="shared" si="24"/>
        <v>0</v>
      </c>
      <c r="L278" s="1">
        <v>0</v>
      </c>
      <c r="M278" s="1">
        <v>0</v>
      </c>
      <c r="N278" s="1">
        <v>1</v>
      </c>
      <c r="O278" s="2">
        <f t="shared" si="25"/>
        <v>0.33333333333333331</v>
      </c>
      <c r="P278" s="2">
        <v>14927.666666666666</v>
      </c>
      <c r="Q278" s="2">
        <f t="shared" si="26"/>
        <v>2.2329901971730344</v>
      </c>
    </row>
    <row r="279" spans="1:17" x14ac:dyDescent="0.3">
      <c r="A279" s="1" t="s">
        <v>363</v>
      </c>
      <c r="B279" s="1" t="s">
        <v>394</v>
      </c>
      <c r="C279" s="1" t="s">
        <v>400</v>
      </c>
      <c r="D279" s="1" t="s">
        <v>400</v>
      </c>
      <c r="E279" s="2">
        <v>70706</v>
      </c>
      <c r="F279" s="1">
        <v>1</v>
      </c>
      <c r="G279" s="1">
        <v>2</v>
      </c>
      <c r="H279" s="1">
        <v>12</v>
      </c>
      <c r="I279" s="2">
        <f t="shared" si="23"/>
        <v>5</v>
      </c>
      <c r="J279" s="2">
        <v>33148.666666666664</v>
      </c>
      <c r="K279" s="2">
        <f t="shared" si="24"/>
        <v>15.08356293868029</v>
      </c>
      <c r="L279" s="1">
        <v>6</v>
      </c>
      <c r="M279" s="1">
        <v>6</v>
      </c>
      <c r="N279" s="1">
        <v>3</v>
      </c>
      <c r="O279" s="2">
        <f t="shared" si="25"/>
        <v>5</v>
      </c>
      <c r="P279" s="2">
        <v>32754.666666666668</v>
      </c>
      <c r="Q279" s="2">
        <f t="shared" si="26"/>
        <v>15.265000407066676</v>
      </c>
    </row>
    <row r="280" spans="1:17" x14ac:dyDescent="0.3">
      <c r="A280" s="1" t="s">
        <v>363</v>
      </c>
      <c r="B280" s="1" t="s">
        <v>394</v>
      </c>
      <c r="C280" s="1" t="s">
        <v>401</v>
      </c>
      <c r="D280" s="1" t="s">
        <v>401</v>
      </c>
      <c r="E280" s="2">
        <v>70707</v>
      </c>
      <c r="F280" s="1">
        <v>0</v>
      </c>
      <c r="G280" s="1">
        <v>1</v>
      </c>
      <c r="H280" s="1">
        <v>1</v>
      </c>
      <c r="I280" s="2">
        <f t="shared" si="23"/>
        <v>0.66666666666666663</v>
      </c>
      <c r="J280" s="2">
        <v>5388</v>
      </c>
      <c r="K280" s="2">
        <f t="shared" si="24"/>
        <v>12.373174956693887</v>
      </c>
      <c r="L280" s="1">
        <v>1</v>
      </c>
      <c r="M280" s="1">
        <v>3</v>
      </c>
      <c r="N280" s="1">
        <v>1</v>
      </c>
      <c r="O280" s="2">
        <f t="shared" si="25"/>
        <v>1.6666666666666667</v>
      </c>
      <c r="P280" s="2">
        <v>5560</v>
      </c>
      <c r="Q280" s="2">
        <f t="shared" si="26"/>
        <v>29.97601918465228</v>
      </c>
    </row>
    <row r="281" spans="1:17" x14ac:dyDescent="0.3">
      <c r="A281" s="1" t="s">
        <v>363</v>
      </c>
      <c r="B281" s="1" t="s">
        <v>402</v>
      </c>
      <c r="C281" s="1" t="s">
        <v>402</v>
      </c>
      <c r="D281" s="1" t="s">
        <v>402</v>
      </c>
      <c r="E281" s="2">
        <v>70801</v>
      </c>
      <c r="F281" s="1">
        <v>0</v>
      </c>
      <c r="G281" s="1">
        <v>0</v>
      </c>
      <c r="H281" s="1">
        <v>0</v>
      </c>
      <c r="I281" s="2">
        <f t="shared" si="23"/>
        <v>0</v>
      </c>
      <c r="J281" s="2">
        <v>17187</v>
      </c>
      <c r="K281" s="2">
        <f t="shared" si="24"/>
        <v>0</v>
      </c>
      <c r="L281" s="1">
        <v>1</v>
      </c>
      <c r="M281" s="1">
        <v>1</v>
      </c>
      <c r="N281" s="1">
        <v>1</v>
      </c>
      <c r="O281" s="2">
        <f t="shared" si="25"/>
        <v>1</v>
      </c>
      <c r="P281" s="2">
        <v>17175</v>
      </c>
      <c r="Q281" s="2">
        <f t="shared" si="26"/>
        <v>5.8224163027656477</v>
      </c>
    </row>
    <row r="282" spans="1:17" x14ac:dyDescent="0.3">
      <c r="A282" s="1" t="s">
        <v>363</v>
      </c>
      <c r="B282" s="1" t="s">
        <v>402</v>
      </c>
      <c r="C282" s="1" t="s">
        <v>403</v>
      </c>
      <c r="D282" s="1" t="s">
        <v>403</v>
      </c>
      <c r="E282" s="2">
        <v>70802</v>
      </c>
      <c r="F282" s="1">
        <v>0</v>
      </c>
      <c r="G282" s="1">
        <v>0</v>
      </c>
      <c r="H282" s="1">
        <v>0</v>
      </c>
      <c r="I282" s="2">
        <f t="shared" si="23"/>
        <v>0</v>
      </c>
      <c r="J282" s="2">
        <v>2270.3333333333335</v>
      </c>
      <c r="K282" s="2">
        <f t="shared" si="24"/>
        <v>0</v>
      </c>
      <c r="L282" s="1">
        <v>0</v>
      </c>
      <c r="M282" s="1">
        <v>1</v>
      </c>
      <c r="N282" s="1">
        <v>0</v>
      </c>
      <c r="O282" s="2">
        <f t="shared" si="25"/>
        <v>0.33333333333333331</v>
      </c>
      <c r="P282" s="2">
        <v>2347.6666666666665</v>
      </c>
      <c r="Q282" s="2">
        <f t="shared" si="26"/>
        <v>14.19849495953429</v>
      </c>
    </row>
    <row r="283" spans="1:17" x14ac:dyDescent="0.3">
      <c r="A283" s="1" t="s">
        <v>363</v>
      </c>
      <c r="B283" s="1" t="s">
        <v>402</v>
      </c>
      <c r="C283" s="1" t="s">
        <v>404</v>
      </c>
      <c r="D283" s="1" t="s">
        <v>405</v>
      </c>
      <c r="E283" s="2">
        <v>70803</v>
      </c>
      <c r="F283" s="1">
        <v>0</v>
      </c>
      <c r="G283" s="1">
        <v>0</v>
      </c>
      <c r="H283" s="1">
        <v>0</v>
      </c>
      <c r="I283" s="2">
        <f t="shared" si="23"/>
        <v>0</v>
      </c>
      <c r="J283" s="2">
        <v>2792.6666666666665</v>
      </c>
      <c r="K283" s="2">
        <f t="shared" si="24"/>
        <v>0</v>
      </c>
      <c r="L283" s="1">
        <v>0</v>
      </c>
      <c r="M283" s="1">
        <v>0</v>
      </c>
      <c r="N283" s="1">
        <v>0</v>
      </c>
      <c r="O283" s="2">
        <f t="shared" si="25"/>
        <v>0</v>
      </c>
      <c r="P283" s="2">
        <v>2807.3333333333335</v>
      </c>
      <c r="Q283" s="2">
        <f t="shared" si="26"/>
        <v>0</v>
      </c>
    </row>
    <row r="284" spans="1:17" x14ac:dyDescent="0.3">
      <c r="A284" s="1" t="s">
        <v>363</v>
      </c>
      <c r="B284" s="1" t="s">
        <v>402</v>
      </c>
      <c r="C284" s="1" t="s">
        <v>406</v>
      </c>
      <c r="D284" s="1" t="s">
        <v>406</v>
      </c>
      <c r="E284" s="2">
        <v>70804</v>
      </c>
      <c r="F284" s="1">
        <v>0</v>
      </c>
      <c r="G284" s="1">
        <v>0</v>
      </c>
      <c r="H284" s="1">
        <v>0</v>
      </c>
      <c r="I284" s="2">
        <f t="shared" si="23"/>
        <v>0</v>
      </c>
      <c r="J284" s="2">
        <v>2043.6666666666667</v>
      </c>
      <c r="K284" s="2">
        <f t="shared" si="24"/>
        <v>0</v>
      </c>
      <c r="L284" s="1">
        <v>1</v>
      </c>
      <c r="M284" s="1">
        <v>0</v>
      </c>
      <c r="N284" s="1">
        <v>0</v>
      </c>
      <c r="O284" s="2">
        <f t="shared" si="25"/>
        <v>0.33333333333333331</v>
      </c>
      <c r="P284" s="2">
        <v>1845.6666666666667</v>
      </c>
      <c r="Q284" s="2">
        <f t="shared" si="26"/>
        <v>18.06032147372223</v>
      </c>
    </row>
    <row r="285" spans="1:17" x14ac:dyDescent="0.3">
      <c r="A285" s="1" t="s">
        <v>363</v>
      </c>
      <c r="B285" s="1" t="s">
        <v>402</v>
      </c>
      <c r="C285" s="1" t="s">
        <v>407</v>
      </c>
      <c r="D285" s="1" t="s">
        <v>407</v>
      </c>
      <c r="E285" s="2">
        <v>70805</v>
      </c>
      <c r="F285" s="1">
        <v>0</v>
      </c>
      <c r="G285" s="1">
        <v>0</v>
      </c>
      <c r="H285" s="1">
        <v>0</v>
      </c>
      <c r="I285" s="2">
        <f t="shared" si="23"/>
        <v>0</v>
      </c>
      <c r="J285" s="2">
        <v>2037</v>
      </c>
      <c r="K285" s="2">
        <f t="shared" si="24"/>
        <v>0</v>
      </c>
      <c r="L285" s="1">
        <v>0</v>
      </c>
      <c r="M285" s="1">
        <v>0</v>
      </c>
      <c r="N285" s="1">
        <v>0</v>
      </c>
      <c r="O285" s="2">
        <f t="shared" si="25"/>
        <v>0</v>
      </c>
      <c r="P285" s="2">
        <v>2014.6666666666667</v>
      </c>
      <c r="Q285" s="2">
        <f t="shared" si="26"/>
        <v>0</v>
      </c>
    </row>
    <row r="286" spans="1:17" x14ac:dyDescent="0.3">
      <c r="A286" s="1" t="s">
        <v>363</v>
      </c>
      <c r="B286" s="1" t="s">
        <v>408</v>
      </c>
      <c r="C286" s="1" t="s">
        <v>409</v>
      </c>
      <c r="D286" s="1" t="s">
        <v>409</v>
      </c>
      <c r="E286" s="2">
        <v>70901</v>
      </c>
      <c r="F286" s="1">
        <v>0</v>
      </c>
      <c r="G286" s="1">
        <v>0</v>
      </c>
      <c r="H286" s="1">
        <v>2</v>
      </c>
      <c r="I286" s="2">
        <f t="shared" si="23"/>
        <v>0.66666666666666663</v>
      </c>
      <c r="J286" s="2">
        <v>11255</v>
      </c>
      <c r="K286" s="2">
        <f t="shared" si="24"/>
        <v>5.9232933511032133</v>
      </c>
      <c r="L286" s="1">
        <v>3</v>
      </c>
      <c r="M286" s="1">
        <v>2</v>
      </c>
      <c r="N286" s="1">
        <v>0</v>
      </c>
      <c r="O286" s="2">
        <f t="shared" si="25"/>
        <v>1.6666666666666667</v>
      </c>
      <c r="P286" s="2">
        <v>11702</v>
      </c>
      <c r="Q286" s="2">
        <f t="shared" si="26"/>
        <v>14.242579616020054</v>
      </c>
    </row>
    <row r="287" spans="1:17" x14ac:dyDescent="0.3">
      <c r="A287" s="1" t="s">
        <v>363</v>
      </c>
      <c r="B287" s="1" t="s">
        <v>408</v>
      </c>
      <c r="C287" s="1" t="s">
        <v>410</v>
      </c>
      <c r="D287" s="1" t="s">
        <v>410</v>
      </c>
      <c r="E287" s="2">
        <v>70902</v>
      </c>
      <c r="F287" s="1">
        <v>0</v>
      </c>
      <c r="G287" s="1">
        <v>1</v>
      </c>
      <c r="H287" s="1">
        <v>1</v>
      </c>
      <c r="I287" s="2">
        <f t="shared" si="23"/>
        <v>0.66666666666666663</v>
      </c>
      <c r="J287" s="2">
        <v>9461.6666666666661</v>
      </c>
      <c r="K287" s="2">
        <f t="shared" si="24"/>
        <v>7.0459749867887966</v>
      </c>
      <c r="L287" s="1">
        <v>9</v>
      </c>
      <c r="M287" s="1">
        <v>4</v>
      </c>
      <c r="N287" s="1">
        <v>11</v>
      </c>
      <c r="O287" s="2">
        <f t="shared" si="25"/>
        <v>8</v>
      </c>
      <c r="P287" s="2">
        <v>9612.3333333333339</v>
      </c>
      <c r="Q287" s="2">
        <f t="shared" si="26"/>
        <v>83.226410514269858</v>
      </c>
    </row>
    <row r="288" spans="1:17" x14ac:dyDescent="0.3">
      <c r="A288" s="1" t="s">
        <v>363</v>
      </c>
      <c r="B288" s="1" t="s">
        <v>408</v>
      </c>
      <c r="C288" s="1" t="s">
        <v>411</v>
      </c>
      <c r="D288" s="1" t="s">
        <v>411</v>
      </c>
      <c r="E288" s="2">
        <v>70903</v>
      </c>
      <c r="F288" s="1">
        <v>0</v>
      </c>
      <c r="G288" s="1">
        <v>1</v>
      </c>
      <c r="H288" s="1">
        <v>2</v>
      </c>
      <c r="I288" s="2">
        <f t="shared" si="23"/>
        <v>1</v>
      </c>
      <c r="J288" s="2">
        <v>11667.333333333334</v>
      </c>
      <c r="K288" s="2">
        <f t="shared" si="24"/>
        <v>8.5709388034969418</v>
      </c>
      <c r="L288" s="1">
        <v>0</v>
      </c>
      <c r="M288" s="1">
        <v>0</v>
      </c>
      <c r="N288" s="1">
        <v>8</v>
      </c>
      <c r="O288" s="2">
        <f t="shared" si="25"/>
        <v>2.6666666666666665</v>
      </c>
      <c r="P288" s="2">
        <v>12519</v>
      </c>
      <c r="Q288" s="2">
        <f t="shared" si="26"/>
        <v>21.300955880395129</v>
      </c>
    </row>
    <row r="289" spans="1:17" x14ac:dyDescent="0.3">
      <c r="A289" s="1" t="s">
        <v>363</v>
      </c>
      <c r="B289" s="1" t="s">
        <v>408</v>
      </c>
      <c r="C289" s="1" t="s">
        <v>412</v>
      </c>
      <c r="D289" s="1" t="s">
        <v>412</v>
      </c>
      <c r="E289" s="2">
        <v>70904</v>
      </c>
      <c r="F289" s="1">
        <v>0</v>
      </c>
      <c r="G289" s="1">
        <v>0</v>
      </c>
      <c r="H289" s="1">
        <v>0</v>
      </c>
      <c r="I289" s="2">
        <f t="shared" si="23"/>
        <v>0</v>
      </c>
      <c r="J289" s="2">
        <v>3053.3333333333335</v>
      </c>
      <c r="K289" s="2">
        <f t="shared" si="24"/>
        <v>0</v>
      </c>
      <c r="L289" s="1">
        <v>0</v>
      </c>
      <c r="M289" s="1">
        <v>0</v>
      </c>
      <c r="N289" s="1">
        <v>0</v>
      </c>
      <c r="O289" s="2">
        <f t="shared" si="25"/>
        <v>0</v>
      </c>
      <c r="P289" s="2">
        <v>3086.6666666666665</v>
      </c>
      <c r="Q289" s="2">
        <f t="shared" si="26"/>
        <v>0</v>
      </c>
    </row>
    <row r="290" spans="1:17" x14ac:dyDescent="0.3">
      <c r="A290" s="1" t="s">
        <v>363</v>
      </c>
      <c r="B290" s="1" t="s">
        <v>413</v>
      </c>
      <c r="C290" s="1" t="s">
        <v>414</v>
      </c>
      <c r="D290" s="1" t="s">
        <v>414</v>
      </c>
      <c r="E290" s="2">
        <v>71001</v>
      </c>
      <c r="F290" s="1">
        <v>0</v>
      </c>
      <c r="G290" s="1">
        <v>6</v>
      </c>
      <c r="H290" s="1">
        <v>7</v>
      </c>
      <c r="I290" s="2">
        <f t="shared" si="23"/>
        <v>4.333333333333333</v>
      </c>
      <c r="J290" s="2">
        <v>120033</v>
      </c>
      <c r="K290" s="2">
        <f t="shared" si="24"/>
        <v>3.6101183285707541</v>
      </c>
      <c r="L290" s="1">
        <v>13</v>
      </c>
      <c r="M290" s="1">
        <v>19</v>
      </c>
      <c r="N290" s="1">
        <v>18</v>
      </c>
      <c r="O290" s="2">
        <f t="shared" si="25"/>
        <v>16.666666666666668</v>
      </c>
      <c r="P290" s="2">
        <v>126042</v>
      </c>
      <c r="Q290" s="2">
        <f t="shared" si="26"/>
        <v>13.22310552567134</v>
      </c>
    </row>
    <row r="291" spans="1:17" x14ac:dyDescent="0.3">
      <c r="A291" s="1" t="s">
        <v>363</v>
      </c>
      <c r="B291" s="1" t="s">
        <v>413</v>
      </c>
      <c r="C291" s="1" t="s">
        <v>415</v>
      </c>
      <c r="D291" s="1" t="s">
        <v>415</v>
      </c>
      <c r="E291" s="2">
        <v>71002</v>
      </c>
      <c r="F291" s="1">
        <v>0</v>
      </c>
      <c r="G291" s="1">
        <v>0</v>
      </c>
      <c r="H291" s="1">
        <v>0</v>
      </c>
      <c r="I291" s="2">
        <f t="shared" si="23"/>
        <v>0</v>
      </c>
      <c r="J291" s="2">
        <v>15279</v>
      </c>
      <c r="K291" s="2">
        <f t="shared" si="24"/>
        <v>0</v>
      </c>
      <c r="L291" s="1">
        <v>1</v>
      </c>
      <c r="M291" s="1">
        <v>0</v>
      </c>
      <c r="N291" s="1">
        <v>0</v>
      </c>
      <c r="O291" s="2">
        <f t="shared" si="25"/>
        <v>0.33333333333333331</v>
      </c>
      <c r="P291" s="2">
        <v>15890</v>
      </c>
      <c r="Q291" s="2">
        <f t="shared" si="26"/>
        <v>2.0977554017201592</v>
      </c>
    </row>
    <row r="292" spans="1:17" x14ac:dyDescent="0.3">
      <c r="A292" s="1" t="s">
        <v>363</v>
      </c>
      <c r="B292" s="1" t="s">
        <v>413</v>
      </c>
      <c r="C292" s="1" t="s">
        <v>416</v>
      </c>
      <c r="D292" s="1" t="s">
        <v>416</v>
      </c>
      <c r="E292" s="2">
        <v>71003</v>
      </c>
      <c r="F292" s="1">
        <v>0</v>
      </c>
      <c r="G292" s="1">
        <v>0</v>
      </c>
      <c r="H292" s="1">
        <v>1</v>
      </c>
      <c r="I292" s="2">
        <f t="shared" si="23"/>
        <v>0.33333333333333331</v>
      </c>
      <c r="J292" s="2">
        <v>22947.666666666668</v>
      </c>
      <c r="K292" s="2">
        <f t="shared" si="24"/>
        <v>1.4525805092747264</v>
      </c>
      <c r="L292" s="1">
        <v>2</v>
      </c>
      <c r="M292" s="1">
        <v>1</v>
      </c>
      <c r="N292" s="1">
        <v>0</v>
      </c>
      <c r="O292" s="2">
        <f t="shared" si="25"/>
        <v>1</v>
      </c>
      <c r="P292" s="2">
        <v>22774.333333333332</v>
      </c>
      <c r="Q292" s="2">
        <f t="shared" si="26"/>
        <v>4.3909078933887562</v>
      </c>
    </row>
    <row r="293" spans="1:17" x14ac:dyDescent="0.3">
      <c r="A293" s="1" t="s">
        <v>363</v>
      </c>
      <c r="B293" s="1" t="s">
        <v>413</v>
      </c>
      <c r="C293" s="1" t="s">
        <v>417</v>
      </c>
      <c r="D293" s="1" t="s">
        <v>417</v>
      </c>
      <c r="E293" s="2">
        <v>71004</v>
      </c>
      <c r="F293" s="1">
        <v>0</v>
      </c>
      <c r="G293" s="1">
        <v>0</v>
      </c>
      <c r="H293" s="1">
        <v>0</v>
      </c>
      <c r="I293" s="2">
        <f t="shared" si="23"/>
        <v>0</v>
      </c>
      <c r="J293" s="2">
        <v>14830</v>
      </c>
      <c r="K293" s="2">
        <f t="shared" si="24"/>
        <v>0</v>
      </c>
      <c r="L293" s="1">
        <v>0</v>
      </c>
      <c r="M293" s="1">
        <v>2</v>
      </c>
      <c r="N293" s="1">
        <v>1</v>
      </c>
      <c r="O293" s="2">
        <f t="shared" si="25"/>
        <v>1</v>
      </c>
      <c r="P293" s="2">
        <v>14666</v>
      </c>
      <c r="Q293" s="2">
        <f t="shared" si="26"/>
        <v>6.8184917496249833</v>
      </c>
    </row>
    <row r="294" spans="1:17" x14ac:dyDescent="0.3">
      <c r="A294" s="1" t="s">
        <v>363</v>
      </c>
      <c r="B294" s="1" t="s">
        <v>413</v>
      </c>
      <c r="C294" s="1" t="s">
        <v>304</v>
      </c>
      <c r="D294" s="1" t="s">
        <v>304</v>
      </c>
      <c r="E294" s="2">
        <v>71005</v>
      </c>
      <c r="F294" s="1">
        <v>0</v>
      </c>
      <c r="G294" s="1">
        <v>1</v>
      </c>
      <c r="H294" s="1">
        <v>0</v>
      </c>
      <c r="I294" s="2">
        <f t="shared" si="23"/>
        <v>0.33333333333333331</v>
      </c>
      <c r="J294" s="2">
        <v>16802</v>
      </c>
      <c r="K294" s="2">
        <f t="shared" si="24"/>
        <v>1.9838908066500018</v>
      </c>
      <c r="L294" s="1">
        <v>0</v>
      </c>
      <c r="M294" s="1">
        <v>1</v>
      </c>
      <c r="N294" s="1">
        <v>0</v>
      </c>
      <c r="O294" s="2">
        <f t="shared" si="25"/>
        <v>0.33333333333333331</v>
      </c>
      <c r="P294" s="2">
        <v>15487</v>
      </c>
      <c r="Q294" s="2">
        <f t="shared" si="26"/>
        <v>2.1523428251651922</v>
      </c>
    </row>
    <row r="295" spans="1:17" x14ac:dyDescent="0.3">
      <c r="A295" s="1" t="s">
        <v>363</v>
      </c>
      <c r="B295" s="1" t="s">
        <v>418</v>
      </c>
      <c r="C295" s="1" t="s">
        <v>356</v>
      </c>
      <c r="D295" s="1" t="s">
        <v>356</v>
      </c>
      <c r="E295" s="2">
        <v>71101</v>
      </c>
      <c r="F295" s="1">
        <v>19</v>
      </c>
      <c r="G295" s="1">
        <v>0</v>
      </c>
      <c r="H295" s="1">
        <v>3</v>
      </c>
      <c r="I295" s="2">
        <f t="shared" si="23"/>
        <v>7.333333333333333</v>
      </c>
      <c r="J295" s="2">
        <v>25397</v>
      </c>
      <c r="K295" s="2">
        <f t="shared" si="24"/>
        <v>28.874801485739784</v>
      </c>
      <c r="L295" s="1">
        <v>9</v>
      </c>
      <c r="M295" s="1">
        <v>8</v>
      </c>
      <c r="N295" s="1">
        <v>6</v>
      </c>
      <c r="O295" s="2">
        <f t="shared" si="25"/>
        <v>7.666666666666667</v>
      </c>
      <c r="P295" s="2">
        <v>29166.666666666668</v>
      </c>
      <c r="Q295" s="2">
        <f t="shared" si="26"/>
        <v>26.285714285714285</v>
      </c>
    </row>
    <row r="296" spans="1:17" x14ac:dyDescent="0.3">
      <c r="A296" s="1" t="s">
        <v>363</v>
      </c>
      <c r="B296" s="1" t="s">
        <v>418</v>
      </c>
      <c r="C296" s="1" t="s">
        <v>419</v>
      </c>
      <c r="D296" s="1" t="s">
        <v>419</v>
      </c>
      <c r="E296" s="2">
        <v>71102</v>
      </c>
      <c r="F296" s="1">
        <v>0</v>
      </c>
      <c r="G296" s="1">
        <v>0</v>
      </c>
      <c r="H296" s="1">
        <v>2</v>
      </c>
      <c r="I296" s="2">
        <f t="shared" si="23"/>
        <v>0.66666666666666663</v>
      </c>
      <c r="J296" s="2">
        <v>14365</v>
      </c>
      <c r="K296" s="2">
        <f t="shared" si="24"/>
        <v>4.6409096182851837</v>
      </c>
      <c r="L296" s="1">
        <v>1</v>
      </c>
      <c r="M296" s="1">
        <v>2</v>
      </c>
      <c r="N296" s="1">
        <v>1</v>
      </c>
      <c r="O296" s="2">
        <f t="shared" si="25"/>
        <v>1.3333333333333333</v>
      </c>
      <c r="P296" s="2">
        <v>14790.666666666666</v>
      </c>
      <c r="Q296" s="2">
        <f t="shared" si="26"/>
        <v>9.0146939511403588</v>
      </c>
    </row>
    <row r="297" spans="1:17" x14ac:dyDescent="0.3">
      <c r="A297" s="1" t="s">
        <v>363</v>
      </c>
      <c r="B297" s="1" t="s">
        <v>418</v>
      </c>
      <c r="C297" s="1" t="s">
        <v>420</v>
      </c>
      <c r="D297" s="1" t="s">
        <v>420</v>
      </c>
      <c r="E297" s="2">
        <v>71103</v>
      </c>
      <c r="F297" s="1">
        <v>1</v>
      </c>
      <c r="G297" s="1">
        <v>0</v>
      </c>
      <c r="H297" s="1">
        <v>0</v>
      </c>
      <c r="I297" s="2">
        <f t="shared" si="23"/>
        <v>0.33333333333333331</v>
      </c>
      <c r="J297" s="2">
        <v>8037</v>
      </c>
      <c r="K297" s="2">
        <f t="shared" si="24"/>
        <v>4.1474845506200486</v>
      </c>
      <c r="L297" s="1">
        <v>6</v>
      </c>
      <c r="M297" s="1">
        <v>1</v>
      </c>
      <c r="N297" s="1">
        <v>0</v>
      </c>
      <c r="O297" s="2">
        <f t="shared" si="25"/>
        <v>2.3333333333333335</v>
      </c>
      <c r="P297" s="2">
        <v>8349</v>
      </c>
      <c r="Q297" s="2">
        <f t="shared" si="26"/>
        <v>27.947458777498301</v>
      </c>
    </row>
    <row r="298" spans="1:17" x14ac:dyDescent="0.3">
      <c r="A298" s="1" t="s">
        <v>363</v>
      </c>
      <c r="B298" s="1" t="s">
        <v>418</v>
      </c>
      <c r="C298" s="1" t="s">
        <v>421</v>
      </c>
      <c r="D298" s="1" t="s">
        <v>421</v>
      </c>
      <c r="E298" s="2">
        <v>71104</v>
      </c>
      <c r="F298" s="1">
        <v>6</v>
      </c>
      <c r="G298" s="1">
        <v>1</v>
      </c>
      <c r="H298" s="1">
        <v>9</v>
      </c>
      <c r="I298" s="2">
        <f t="shared" si="23"/>
        <v>5.333333333333333</v>
      </c>
      <c r="J298" s="2">
        <v>45794</v>
      </c>
      <c r="K298" s="2">
        <f t="shared" si="24"/>
        <v>11.646358329329896</v>
      </c>
      <c r="L298" s="1">
        <v>10</v>
      </c>
      <c r="M298" s="1">
        <v>12</v>
      </c>
      <c r="N298" s="1">
        <v>12</v>
      </c>
      <c r="O298" s="2">
        <f t="shared" si="25"/>
        <v>11.333333333333334</v>
      </c>
      <c r="P298" s="2">
        <v>44867</v>
      </c>
      <c r="Q298" s="2">
        <f t="shared" si="26"/>
        <v>25.259842051693528</v>
      </c>
    </row>
    <row r="299" spans="1:17" x14ac:dyDescent="0.3">
      <c r="A299" s="1" t="s">
        <v>363</v>
      </c>
      <c r="B299" s="1" t="s">
        <v>418</v>
      </c>
      <c r="C299" s="1" t="s">
        <v>422</v>
      </c>
      <c r="D299" s="1" t="s">
        <v>422</v>
      </c>
      <c r="E299" s="2">
        <v>71105</v>
      </c>
      <c r="F299" s="1">
        <v>0</v>
      </c>
      <c r="G299" s="1">
        <v>0</v>
      </c>
      <c r="H299" s="1">
        <v>0</v>
      </c>
      <c r="I299" s="2">
        <f t="shared" si="23"/>
        <v>0</v>
      </c>
      <c r="J299" s="2">
        <v>6402.333333333333</v>
      </c>
      <c r="K299" s="2">
        <f t="shared" si="24"/>
        <v>0</v>
      </c>
      <c r="L299" s="1">
        <v>1</v>
      </c>
      <c r="M299" s="1">
        <v>0</v>
      </c>
      <c r="N299" s="1">
        <v>1</v>
      </c>
      <c r="O299" s="2">
        <f t="shared" si="25"/>
        <v>0.66666666666666663</v>
      </c>
      <c r="P299" s="2">
        <v>6357.333333333333</v>
      </c>
      <c r="Q299" s="2">
        <f t="shared" si="26"/>
        <v>10.486577181208053</v>
      </c>
    </row>
    <row r="300" spans="1:17" x14ac:dyDescent="0.3">
      <c r="A300" s="1" t="s">
        <v>363</v>
      </c>
      <c r="B300" s="1" t="s">
        <v>418</v>
      </c>
      <c r="C300" s="1" t="s">
        <v>423</v>
      </c>
      <c r="D300" s="1" t="s">
        <v>423</v>
      </c>
      <c r="E300" s="2">
        <v>71106</v>
      </c>
      <c r="F300" s="1">
        <v>1</v>
      </c>
      <c r="G300" s="1">
        <v>1</v>
      </c>
      <c r="H300" s="1">
        <v>3</v>
      </c>
      <c r="I300" s="2">
        <f t="shared" si="23"/>
        <v>1.6666666666666667</v>
      </c>
      <c r="J300" s="2">
        <v>24254</v>
      </c>
      <c r="K300" s="2">
        <f t="shared" si="24"/>
        <v>6.8717187542948235</v>
      </c>
      <c r="L300" s="1">
        <v>13</v>
      </c>
      <c r="M300" s="1">
        <v>8</v>
      </c>
      <c r="N300" s="1">
        <v>13</v>
      </c>
      <c r="O300" s="2">
        <f t="shared" si="25"/>
        <v>11.333333333333334</v>
      </c>
      <c r="P300" s="2">
        <v>25059</v>
      </c>
      <c r="Q300" s="2">
        <f t="shared" si="26"/>
        <v>45.226598560730011</v>
      </c>
    </row>
    <row r="301" spans="1:17" x14ac:dyDescent="0.3">
      <c r="A301" s="1" t="s">
        <v>363</v>
      </c>
      <c r="B301" s="1" t="s">
        <v>424</v>
      </c>
      <c r="C301" s="1" t="s">
        <v>425</v>
      </c>
      <c r="D301" s="1" t="s">
        <v>425</v>
      </c>
      <c r="E301" s="2">
        <v>71201</v>
      </c>
      <c r="F301" s="1">
        <v>2</v>
      </c>
      <c r="G301" s="1">
        <v>1</v>
      </c>
      <c r="H301" s="1">
        <v>1</v>
      </c>
      <c r="I301" s="2">
        <f t="shared" si="23"/>
        <v>1.3333333333333333</v>
      </c>
      <c r="J301" s="2">
        <v>14975</v>
      </c>
      <c r="K301" s="2">
        <f t="shared" si="24"/>
        <v>8.9037284362826927</v>
      </c>
      <c r="L301" s="1">
        <v>19</v>
      </c>
      <c r="M301" s="1">
        <v>8</v>
      </c>
      <c r="N301" s="1">
        <v>4</v>
      </c>
      <c r="O301" s="2">
        <f t="shared" si="25"/>
        <v>10.333333333333334</v>
      </c>
      <c r="P301" s="2">
        <v>15264</v>
      </c>
      <c r="Q301" s="2">
        <f t="shared" si="26"/>
        <v>67.697414395527602</v>
      </c>
    </row>
    <row r="302" spans="1:17" x14ac:dyDescent="0.3">
      <c r="A302" s="1" t="s">
        <v>363</v>
      </c>
      <c r="B302" s="1" t="s">
        <v>426</v>
      </c>
      <c r="C302" s="1" t="s">
        <v>427</v>
      </c>
      <c r="D302" s="1" t="s">
        <v>427</v>
      </c>
      <c r="E302" s="2">
        <v>71301</v>
      </c>
      <c r="F302" s="1">
        <v>0</v>
      </c>
      <c r="G302" s="1">
        <v>0</v>
      </c>
      <c r="H302" s="1">
        <v>0</v>
      </c>
      <c r="I302" s="2">
        <f t="shared" si="23"/>
        <v>0</v>
      </c>
      <c r="J302" s="2">
        <v>16627</v>
      </c>
      <c r="K302" s="2">
        <f t="shared" si="24"/>
        <v>0</v>
      </c>
      <c r="L302" s="1">
        <v>1</v>
      </c>
      <c r="M302" s="1">
        <v>8</v>
      </c>
      <c r="N302" s="1">
        <v>3</v>
      </c>
      <c r="O302" s="2">
        <f t="shared" si="25"/>
        <v>4</v>
      </c>
      <c r="P302" s="2">
        <v>17031</v>
      </c>
      <c r="Q302" s="2">
        <f t="shared" si="26"/>
        <v>23.486583289295989</v>
      </c>
    </row>
    <row r="303" spans="1:17" x14ac:dyDescent="0.3">
      <c r="A303" s="1" t="s">
        <v>363</v>
      </c>
      <c r="B303" s="1" t="s">
        <v>426</v>
      </c>
      <c r="C303" s="1" t="s">
        <v>428</v>
      </c>
      <c r="D303" s="1" t="s">
        <v>428</v>
      </c>
      <c r="E303" s="2">
        <v>71302</v>
      </c>
      <c r="F303" s="1">
        <v>0</v>
      </c>
      <c r="G303" s="1">
        <v>0</v>
      </c>
      <c r="H303" s="1">
        <v>0</v>
      </c>
      <c r="I303" s="2">
        <f t="shared" si="23"/>
        <v>0</v>
      </c>
      <c r="J303" s="2">
        <v>6612.333333333333</v>
      </c>
      <c r="K303" s="2">
        <f t="shared" si="24"/>
        <v>0</v>
      </c>
      <c r="L303" s="1">
        <v>0</v>
      </c>
      <c r="M303" s="1">
        <v>1</v>
      </c>
      <c r="N303" s="1">
        <v>0</v>
      </c>
      <c r="O303" s="2">
        <f t="shared" si="25"/>
        <v>0.33333333333333331</v>
      </c>
      <c r="P303" s="2">
        <v>6168</v>
      </c>
      <c r="Q303" s="2">
        <f t="shared" si="26"/>
        <v>5.4042369217466488</v>
      </c>
    </row>
    <row r="304" spans="1:17" x14ac:dyDescent="0.3">
      <c r="A304" s="1" t="s">
        <v>363</v>
      </c>
      <c r="B304" s="1" t="s">
        <v>429</v>
      </c>
      <c r="C304" s="1" t="s">
        <v>430</v>
      </c>
      <c r="D304" s="1" t="s">
        <v>430</v>
      </c>
      <c r="E304" s="2">
        <v>71401</v>
      </c>
      <c r="F304" s="1">
        <v>0</v>
      </c>
      <c r="G304" s="1">
        <v>1</v>
      </c>
      <c r="H304" s="1">
        <v>2</v>
      </c>
      <c r="I304" s="2">
        <f t="shared" si="23"/>
        <v>1</v>
      </c>
      <c r="J304" s="2">
        <v>18399.333333333332</v>
      </c>
      <c r="K304" s="2">
        <f t="shared" si="24"/>
        <v>5.4349795282437778</v>
      </c>
      <c r="L304" s="1">
        <v>11</v>
      </c>
      <c r="M304" s="1">
        <v>8</v>
      </c>
      <c r="N304" s="1">
        <v>5</v>
      </c>
      <c r="O304" s="2">
        <f t="shared" si="25"/>
        <v>8</v>
      </c>
      <c r="P304" s="2">
        <v>17582.333333333332</v>
      </c>
      <c r="Q304" s="2">
        <f t="shared" si="26"/>
        <v>45.500218021878027</v>
      </c>
    </row>
    <row r="305" spans="1:17" x14ac:dyDescent="0.3">
      <c r="A305" s="1" t="s">
        <v>363</v>
      </c>
      <c r="B305" s="1" t="s">
        <v>429</v>
      </c>
      <c r="C305" s="1" t="s">
        <v>431</v>
      </c>
      <c r="D305" s="1" t="s">
        <v>431</v>
      </c>
      <c r="E305" s="2">
        <v>71402</v>
      </c>
      <c r="F305" s="1">
        <v>0</v>
      </c>
      <c r="G305" s="1">
        <v>0</v>
      </c>
      <c r="H305" s="1">
        <v>0</v>
      </c>
      <c r="I305" s="2">
        <f t="shared" si="23"/>
        <v>0</v>
      </c>
      <c r="J305" s="2">
        <v>17340</v>
      </c>
      <c r="K305" s="2">
        <f t="shared" si="24"/>
        <v>0</v>
      </c>
      <c r="L305" s="1">
        <v>3</v>
      </c>
      <c r="M305" s="1">
        <v>3</v>
      </c>
      <c r="N305" s="1">
        <v>2</v>
      </c>
      <c r="O305" s="2">
        <f t="shared" si="25"/>
        <v>2.6666666666666665</v>
      </c>
      <c r="P305" s="2">
        <v>17729</v>
      </c>
      <c r="Q305" s="2">
        <f t="shared" si="26"/>
        <v>15.041269483144376</v>
      </c>
    </row>
    <row r="306" spans="1:17" x14ac:dyDescent="0.3">
      <c r="A306" s="1" t="s">
        <v>363</v>
      </c>
      <c r="B306" s="1" t="s">
        <v>429</v>
      </c>
      <c r="C306" s="1" t="s">
        <v>432</v>
      </c>
      <c r="D306" s="1" t="s">
        <v>432</v>
      </c>
      <c r="E306" s="2">
        <v>71403</v>
      </c>
      <c r="F306" s="1">
        <v>0</v>
      </c>
      <c r="G306" s="1">
        <v>0</v>
      </c>
      <c r="H306" s="1">
        <v>1</v>
      </c>
      <c r="I306" s="2">
        <f t="shared" si="23"/>
        <v>0.33333333333333331</v>
      </c>
      <c r="J306" s="2">
        <v>7736</v>
      </c>
      <c r="K306" s="2">
        <f t="shared" si="24"/>
        <v>4.3088590141330574</v>
      </c>
      <c r="L306" s="1">
        <v>3</v>
      </c>
      <c r="M306" s="1">
        <v>0</v>
      </c>
      <c r="N306" s="1">
        <v>0</v>
      </c>
      <c r="O306" s="2">
        <f t="shared" si="25"/>
        <v>1</v>
      </c>
      <c r="P306" s="2">
        <v>8532</v>
      </c>
      <c r="Q306" s="2">
        <f t="shared" si="26"/>
        <v>11.720581340834507</v>
      </c>
    </row>
    <row r="307" spans="1:17" x14ac:dyDescent="0.3">
      <c r="A307" s="1" t="s">
        <v>363</v>
      </c>
      <c r="B307" s="1" t="s">
        <v>433</v>
      </c>
      <c r="C307" s="1" t="s">
        <v>434</v>
      </c>
      <c r="D307" s="1" t="s">
        <v>434</v>
      </c>
      <c r="E307" s="2">
        <v>71501</v>
      </c>
      <c r="F307" s="1">
        <v>5</v>
      </c>
      <c r="G307" s="1">
        <v>3</v>
      </c>
      <c r="H307" s="1">
        <v>5</v>
      </c>
      <c r="I307" s="2">
        <f t="shared" si="23"/>
        <v>4.333333333333333</v>
      </c>
      <c r="J307" s="2">
        <v>31113.666666666668</v>
      </c>
      <c r="K307" s="2">
        <f t="shared" si="24"/>
        <v>13.927427389892971</v>
      </c>
      <c r="L307" s="1">
        <v>35</v>
      </c>
      <c r="M307" s="1">
        <v>9</v>
      </c>
      <c r="N307" s="1">
        <v>5</v>
      </c>
      <c r="O307" s="2">
        <f t="shared" si="25"/>
        <v>16.333333333333332</v>
      </c>
      <c r="P307" s="2">
        <v>33424.333333333336</v>
      </c>
      <c r="Q307" s="2">
        <f t="shared" si="26"/>
        <v>48.866594197839895</v>
      </c>
    </row>
    <row r="308" spans="1:17" x14ac:dyDescent="0.3">
      <c r="A308" s="1" t="s">
        <v>363</v>
      </c>
      <c r="B308" s="1" t="s">
        <v>433</v>
      </c>
      <c r="C308" s="1" t="s">
        <v>435</v>
      </c>
      <c r="D308" s="1" t="s">
        <v>436</v>
      </c>
      <c r="E308" s="2">
        <v>71502</v>
      </c>
      <c r="F308" s="1">
        <v>0</v>
      </c>
      <c r="G308" s="1">
        <v>0</v>
      </c>
      <c r="H308" s="1">
        <v>0</v>
      </c>
      <c r="I308" s="2">
        <f t="shared" si="23"/>
        <v>0</v>
      </c>
      <c r="J308" s="2">
        <v>6735.666666666667</v>
      </c>
      <c r="K308" s="2">
        <f t="shared" si="24"/>
        <v>0</v>
      </c>
      <c r="L308" s="1">
        <v>1</v>
      </c>
      <c r="M308" s="1">
        <v>0</v>
      </c>
      <c r="N308" s="1">
        <v>0</v>
      </c>
      <c r="O308" s="2">
        <f t="shared" si="25"/>
        <v>0.33333333333333331</v>
      </c>
      <c r="P308" s="2">
        <v>6569.666666666667</v>
      </c>
      <c r="Q308" s="2">
        <f t="shared" si="26"/>
        <v>5.0738241412552636</v>
      </c>
    </row>
    <row r="309" spans="1:17" x14ac:dyDescent="0.3">
      <c r="A309" s="1" t="s">
        <v>363</v>
      </c>
      <c r="B309" s="1" t="s">
        <v>433</v>
      </c>
      <c r="C309" s="1" t="s">
        <v>361</v>
      </c>
      <c r="D309" s="1" t="s">
        <v>361</v>
      </c>
      <c r="E309" s="2">
        <v>71503</v>
      </c>
      <c r="F309" s="1">
        <v>1</v>
      </c>
      <c r="G309" s="1">
        <v>0</v>
      </c>
      <c r="H309" s="1">
        <v>6</v>
      </c>
      <c r="I309" s="2">
        <f t="shared" si="23"/>
        <v>2.3333333333333335</v>
      </c>
      <c r="J309" s="2">
        <v>15960.333333333334</v>
      </c>
      <c r="K309" s="2">
        <f t="shared" si="24"/>
        <v>14.619577703055493</v>
      </c>
      <c r="L309" s="1">
        <v>0</v>
      </c>
      <c r="M309" s="1">
        <v>10</v>
      </c>
      <c r="N309" s="1">
        <v>7</v>
      </c>
      <c r="O309" s="2">
        <f t="shared" si="25"/>
        <v>5.666666666666667</v>
      </c>
      <c r="P309" s="2">
        <v>16963.333333333332</v>
      </c>
      <c r="Q309" s="2">
        <f t="shared" si="26"/>
        <v>33.405384161917866</v>
      </c>
    </row>
    <row r="310" spans="1:17" x14ac:dyDescent="0.3">
      <c r="A310" s="1" t="s">
        <v>437</v>
      </c>
      <c r="B310" s="1" t="s">
        <v>168</v>
      </c>
      <c r="C310" s="1" t="s">
        <v>438</v>
      </c>
      <c r="D310" s="1" t="s">
        <v>438</v>
      </c>
      <c r="E310" s="2">
        <v>80101</v>
      </c>
      <c r="F310" s="1">
        <v>3</v>
      </c>
      <c r="G310" s="1">
        <v>9</v>
      </c>
      <c r="H310" s="1">
        <v>2</v>
      </c>
      <c r="I310" s="2">
        <f t="shared" si="23"/>
        <v>4.666666666666667</v>
      </c>
      <c r="J310" s="2">
        <v>116957</v>
      </c>
      <c r="K310" s="2">
        <f t="shared" si="24"/>
        <v>3.990070424742997</v>
      </c>
      <c r="L310" s="1">
        <v>1</v>
      </c>
      <c r="M310" s="1">
        <v>15</v>
      </c>
      <c r="N310" s="1">
        <v>5</v>
      </c>
      <c r="O310" s="2">
        <f t="shared" si="25"/>
        <v>7</v>
      </c>
      <c r="P310" s="2">
        <v>122877</v>
      </c>
      <c r="Q310" s="2">
        <f t="shared" si="26"/>
        <v>5.6967536642333396</v>
      </c>
    </row>
    <row r="311" spans="1:17" x14ac:dyDescent="0.3">
      <c r="A311" s="1" t="s">
        <v>437</v>
      </c>
      <c r="B311" s="1" t="s">
        <v>168</v>
      </c>
      <c r="C311" s="1" t="s">
        <v>419</v>
      </c>
      <c r="D311" s="1" t="s">
        <v>419</v>
      </c>
      <c r="E311" s="2">
        <v>80102</v>
      </c>
      <c r="F311" s="1">
        <v>0</v>
      </c>
      <c r="G311" s="1">
        <v>0</v>
      </c>
      <c r="H311" s="1">
        <v>0</v>
      </c>
      <c r="I311" s="2">
        <f t="shared" si="23"/>
        <v>0</v>
      </c>
      <c r="J311" s="2">
        <v>6664</v>
      </c>
      <c r="K311" s="2">
        <f t="shared" si="24"/>
        <v>0</v>
      </c>
      <c r="L311" s="1">
        <v>0</v>
      </c>
      <c r="M311" s="1">
        <v>0</v>
      </c>
      <c r="N311" s="1">
        <v>0</v>
      </c>
      <c r="O311" s="2">
        <f t="shared" si="25"/>
        <v>0</v>
      </c>
      <c r="P311" s="2">
        <v>7456</v>
      </c>
      <c r="Q311" s="2">
        <f t="shared" si="26"/>
        <v>0</v>
      </c>
    </row>
    <row r="312" spans="1:17" x14ac:dyDescent="0.3">
      <c r="A312" s="1" t="s">
        <v>437</v>
      </c>
      <c r="B312" s="1" t="s">
        <v>439</v>
      </c>
      <c r="C312" s="1" t="s">
        <v>440</v>
      </c>
      <c r="D312" s="1" t="s">
        <v>440</v>
      </c>
      <c r="E312" s="2">
        <v>80201</v>
      </c>
      <c r="F312" s="1">
        <v>1</v>
      </c>
      <c r="G312" s="1">
        <v>5</v>
      </c>
      <c r="H312" s="1">
        <v>3</v>
      </c>
      <c r="I312" s="2">
        <f t="shared" si="23"/>
        <v>3</v>
      </c>
      <c r="J312" s="2">
        <v>99591.333333333328</v>
      </c>
      <c r="K312" s="2">
        <f t="shared" si="24"/>
        <v>3.0123103081258744</v>
      </c>
      <c r="L312" s="1">
        <v>2</v>
      </c>
      <c r="M312" s="1">
        <v>8</v>
      </c>
      <c r="N312" s="1">
        <v>2</v>
      </c>
      <c r="O312" s="2">
        <f t="shared" si="25"/>
        <v>4</v>
      </c>
      <c r="P312" s="2">
        <v>105631</v>
      </c>
      <c r="Q312" s="2">
        <f t="shared" si="26"/>
        <v>3.7867671422215068</v>
      </c>
    </row>
    <row r="313" spans="1:17" x14ac:dyDescent="0.3">
      <c r="A313" s="1" t="s">
        <v>437</v>
      </c>
      <c r="B313" s="1" t="s">
        <v>439</v>
      </c>
      <c r="C313" s="1" t="s">
        <v>441</v>
      </c>
      <c r="D313" s="1" t="s">
        <v>441</v>
      </c>
      <c r="E313" s="2">
        <v>80202</v>
      </c>
      <c r="F313" s="1">
        <v>0</v>
      </c>
      <c r="G313" s="1">
        <v>1</v>
      </c>
      <c r="H313" s="1">
        <v>0</v>
      </c>
      <c r="I313" s="2">
        <f t="shared" si="23"/>
        <v>0.33333333333333331</v>
      </c>
      <c r="J313" s="2">
        <v>41199</v>
      </c>
      <c r="K313" s="2">
        <f t="shared" si="24"/>
        <v>0.80908112656456066</v>
      </c>
      <c r="L313" s="1">
        <v>0</v>
      </c>
      <c r="M313" s="1">
        <v>8</v>
      </c>
      <c r="N313" s="1">
        <v>0</v>
      </c>
      <c r="O313" s="2">
        <f t="shared" si="25"/>
        <v>2.6666666666666665</v>
      </c>
      <c r="P313" s="2">
        <v>40847</v>
      </c>
      <c r="Q313" s="2">
        <f t="shared" si="26"/>
        <v>6.5284272202772939</v>
      </c>
    </row>
    <row r="314" spans="1:17" x14ac:dyDescent="0.3">
      <c r="A314" s="1" t="s">
        <v>437</v>
      </c>
      <c r="B314" s="1" t="s">
        <v>442</v>
      </c>
      <c r="C314" s="1" t="s">
        <v>443</v>
      </c>
      <c r="D314" s="1" t="s">
        <v>443</v>
      </c>
      <c r="E314" s="2">
        <v>80301</v>
      </c>
      <c r="F314" s="1">
        <v>0</v>
      </c>
      <c r="G314" s="1">
        <v>0</v>
      </c>
      <c r="H314" s="1">
        <v>0</v>
      </c>
      <c r="I314" s="2">
        <f t="shared" si="23"/>
        <v>0</v>
      </c>
      <c r="J314" s="2">
        <v>12095.666666666666</v>
      </c>
      <c r="K314" s="2">
        <f t="shared" si="24"/>
        <v>0</v>
      </c>
      <c r="L314" s="1">
        <v>1</v>
      </c>
      <c r="M314" s="1">
        <v>1</v>
      </c>
      <c r="N314" s="1">
        <v>0</v>
      </c>
      <c r="O314" s="2">
        <f t="shared" si="25"/>
        <v>0.66666666666666663</v>
      </c>
      <c r="P314" s="2">
        <v>11438.333333333334</v>
      </c>
      <c r="Q314" s="2">
        <f t="shared" si="26"/>
        <v>5.8283549468162601</v>
      </c>
    </row>
    <row r="315" spans="1:17" x14ac:dyDescent="0.3">
      <c r="A315" s="1" t="s">
        <v>437</v>
      </c>
      <c r="B315" s="1" t="s">
        <v>442</v>
      </c>
      <c r="C315" s="1" t="s">
        <v>444</v>
      </c>
      <c r="D315" s="1" t="s">
        <v>444</v>
      </c>
      <c r="E315" s="2">
        <v>80302</v>
      </c>
      <c r="F315" s="1">
        <v>1</v>
      </c>
      <c r="G315" s="1">
        <v>0</v>
      </c>
      <c r="H315" s="1">
        <v>0</v>
      </c>
      <c r="I315" s="2">
        <f t="shared" si="23"/>
        <v>0.33333333333333331</v>
      </c>
      <c r="J315" s="2">
        <v>43604.666666666664</v>
      </c>
      <c r="K315" s="2">
        <f t="shared" si="24"/>
        <v>0.76444417264207187</v>
      </c>
      <c r="L315" s="1">
        <v>2</v>
      </c>
      <c r="M315" s="1">
        <v>3</v>
      </c>
      <c r="N315" s="1">
        <v>5</v>
      </c>
      <c r="O315" s="2">
        <f t="shared" si="25"/>
        <v>3.3333333333333335</v>
      </c>
      <c r="P315" s="2">
        <v>45170.666666666664</v>
      </c>
      <c r="Q315" s="2">
        <f t="shared" si="26"/>
        <v>7.3794202727433733</v>
      </c>
    </row>
    <row r="316" spans="1:17" x14ac:dyDescent="0.3">
      <c r="A316" s="1" t="s">
        <v>437</v>
      </c>
      <c r="B316" s="1" t="s">
        <v>442</v>
      </c>
      <c r="C316" s="1" t="s">
        <v>392</v>
      </c>
      <c r="D316" s="1" t="s">
        <v>392</v>
      </c>
      <c r="E316" s="2">
        <v>80303</v>
      </c>
      <c r="F316" s="1">
        <v>0</v>
      </c>
      <c r="G316" s="1">
        <v>0</v>
      </c>
      <c r="H316" s="1">
        <v>0</v>
      </c>
      <c r="I316" s="2">
        <f t="shared" si="23"/>
        <v>0</v>
      </c>
      <c r="J316" s="2">
        <v>10313.333333333334</v>
      </c>
      <c r="K316" s="2">
        <f t="shared" si="24"/>
        <v>0</v>
      </c>
      <c r="L316" s="1">
        <v>0</v>
      </c>
      <c r="M316" s="1">
        <v>1</v>
      </c>
      <c r="N316" s="1">
        <v>1</v>
      </c>
      <c r="O316" s="2">
        <f t="shared" si="25"/>
        <v>0.66666666666666663</v>
      </c>
      <c r="P316" s="2">
        <v>10790.666666666666</v>
      </c>
      <c r="Q316" s="2">
        <f t="shared" si="26"/>
        <v>6.1781786729272206</v>
      </c>
    </row>
    <row r="317" spans="1:17" x14ac:dyDescent="0.3">
      <c r="A317" s="1" t="s">
        <v>437</v>
      </c>
      <c r="B317" s="1" t="s">
        <v>442</v>
      </c>
      <c r="C317" s="1" t="s">
        <v>445</v>
      </c>
      <c r="D317" s="1" t="s">
        <v>446</v>
      </c>
      <c r="E317" s="2">
        <v>80304</v>
      </c>
      <c r="F317" s="1">
        <v>0</v>
      </c>
      <c r="G317" s="1">
        <v>1</v>
      </c>
      <c r="H317" s="1">
        <v>1</v>
      </c>
      <c r="I317" s="2">
        <f t="shared" si="23"/>
        <v>0.66666666666666663</v>
      </c>
      <c r="J317" s="2">
        <v>20258.333333333332</v>
      </c>
      <c r="K317" s="2">
        <f t="shared" si="24"/>
        <v>3.2908268202385846</v>
      </c>
      <c r="L317" s="1">
        <v>0</v>
      </c>
      <c r="M317" s="1">
        <v>3</v>
      </c>
      <c r="N317" s="1">
        <v>5</v>
      </c>
      <c r="O317" s="2">
        <f t="shared" si="25"/>
        <v>2.6666666666666665</v>
      </c>
      <c r="P317" s="2">
        <v>20866</v>
      </c>
      <c r="Q317" s="2">
        <f t="shared" si="26"/>
        <v>12.779961021118885</v>
      </c>
    </row>
    <row r="318" spans="1:17" x14ac:dyDescent="0.3">
      <c r="A318" s="1" t="s">
        <v>437</v>
      </c>
      <c r="B318" s="1" t="s">
        <v>447</v>
      </c>
      <c r="C318" s="1" t="s">
        <v>448</v>
      </c>
      <c r="D318" s="1" t="s">
        <v>449</v>
      </c>
      <c r="E318" s="2">
        <v>80401</v>
      </c>
      <c r="F318" s="1">
        <v>0</v>
      </c>
      <c r="G318" s="1">
        <v>2</v>
      </c>
      <c r="H318" s="1">
        <v>0</v>
      </c>
      <c r="I318" s="2">
        <f t="shared" si="23"/>
        <v>0.66666666666666663</v>
      </c>
      <c r="J318" s="2">
        <v>17652</v>
      </c>
      <c r="K318" s="2">
        <f t="shared" si="24"/>
        <v>3.7767202960948714</v>
      </c>
      <c r="L318" s="1">
        <v>1</v>
      </c>
      <c r="M318" s="1">
        <v>3</v>
      </c>
      <c r="N318" s="1">
        <v>1</v>
      </c>
      <c r="O318" s="2">
        <f t="shared" si="25"/>
        <v>1.6666666666666667</v>
      </c>
      <c r="P318" s="2">
        <v>18012</v>
      </c>
      <c r="Q318" s="2">
        <f t="shared" si="26"/>
        <v>9.253090532237767</v>
      </c>
    </row>
    <row r="319" spans="1:17" x14ac:dyDescent="0.3">
      <c r="A319" s="1" t="s">
        <v>437</v>
      </c>
      <c r="B319" s="1" t="s">
        <v>447</v>
      </c>
      <c r="C319" s="1" t="s">
        <v>450</v>
      </c>
      <c r="D319" s="1" t="s">
        <v>450</v>
      </c>
      <c r="E319" s="2">
        <v>80402</v>
      </c>
      <c r="F319" s="1">
        <v>0</v>
      </c>
      <c r="G319" s="1">
        <v>0</v>
      </c>
      <c r="H319" s="1">
        <v>0</v>
      </c>
      <c r="I319" s="2">
        <f t="shared" si="23"/>
        <v>0</v>
      </c>
      <c r="J319" s="2">
        <v>7253.333333333333</v>
      </c>
      <c r="K319" s="2">
        <f t="shared" si="24"/>
        <v>0</v>
      </c>
      <c r="L319" s="1">
        <v>0</v>
      </c>
      <c r="M319" s="1">
        <v>0</v>
      </c>
      <c r="N319" s="1">
        <v>1</v>
      </c>
      <c r="O319" s="2">
        <f t="shared" si="25"/>
        <v>0.33333333333333331</v>
      </c>
      <c r="P319" s="2">
        <v>7762.666666666667</v>
      </c>
      <c r="Q319" s="2">
        <f t="shared" si="26"/>
        <v>4.2940570250772927</v>
      </c>
    </row>
    <row r="320" spans="1:17" x14ac:dyDescent="0.3">
      <c r="A320" s="1" t="s">
        <v>437</v>
      </c>
      <c r="B320" s="1" t="s">
        <v>451</v>
      </c>
      <c r="C320" s="1" t="s">
        <v>375</v>
      </c>
      <c r="D320" s="1" t="s">
        <v>375</v>
      </c>
      <c r="E320" s="2">
        <v>80501</v>
      </c>
      <c r="F320" s="1">
        <v>0</v>
      </c>
      <c r="G320" s="1">
        <v>1</v>
      </c>
      <c r="H320" s="1">
        <v>0</v>
      </c>
      <c r="I320" s="2">
        <f t="shared" si="23"/>
        <v>0.33333333333333331</v>
      </c>
      <c r="J320" s="2">
        <v>20576.333333333332</v>
      </c>
      <c r="K320" s="2">
        <f t="shared" si="24"/>
        <v>1.6199841241555832</v>
      </c>
      <c r="L320" s="1">
        <v>0</v>
      </c>
      <c r="M320" s="1">
        <v>2</v>
      </c>
      <c r="N320" s="1">
        <v>0</v>
      </c>
      <c r="O320" s="2">
        <f t="shared" si="25"/>
        <v>0.66666666666666663</v>
      </c>
      <c r="P320" s="2">
        <v>21377.666666666668</v>
      </c>
      <c r="Q320" s="2">
        <f t="shared" si="26"/>
        <v>3.1185193270235287</v>
      </c>
    </row>
    <row r="321" spans="1:17" x14ac:dyDescent="0.3">
      <c r="A321" s="1" t="s">
        <v>437</v>
      </c>
      <c r="B321" s="1" t="s">
        <v>452</v>
      </c>
      <c r="C321" s="1" t="s">
        <v>453</v>
      </c>
      <c r="D321" s="1" t="s">
        <v>453</v>
      </c>
      <c r="E321" s="2">
        <v>80601</v>
      </c>
      <c r="F321" s="1">
        <v>0</v>
      </c>
      <c r="G321" s="1">
        <v>0</v>
      </c>
      <c r="H321" s="1">
        <v>0</v>
      </c>
      <c r="I321" s="2">
        <f t="shared" si="23"/>
        <v>0</v>
      </c>
      <c r="J321" s="2">
        <v>4082</v>
      </c>
      <c r="K321" s="2">
        <f t="shared" si="24"/>
        <v>0</v>
      </c>
      <c r="L321" s="1">
        <v>0</v>
      </c>
      <c r="M321" s="1">
        <v>0</v>
      </c>
      <c r="N321" s="1">
        <v>0</v>
      </c>
      <c r="O321" s="2">
        <f t="shared" si="25"/>
        <v>0</v>
      </c>
      <c r="P321" s="2">
        <v>4227</v>
      </c>
      <c r="Q321" s="2">
        <f t="shared" si="26"/>
        <v>0</v>
      </c>
    </row>
    <row r="322" spans="1:17" x14ac:dyDescent="0.3">
      <c r="A322" s="1" t="s">
        <v>437</v>
      </c>
      <c r="B322" s="1" t="s">
        <v>452</v>
      </c>
      <c r="C322" s="1" t="s">
        <v>454</v>
      </c>
      <c r="D322" s="1" t="s">
        <v>454</v>
      </c>
      <c r="E322" s="2">
        <v>80602</v>
      </c>
      <c r="F322" s="1">
        <v>0</v>
      </c>
      <c r="G322" s="1">
        <v>0</v>
      </c>
      <c r="H322" s="1">
        <v>0</v>
      </c>
      <c r="I322" s="2">
        <f t="shared" si="23"/>
        <v>0</v>
      </c>
      <c r="J322" s="2">
        <v>14330</v>
      </c>
      <c r="K322" s="2">
        <f t="shared" si="24"/>
        <v>0</v>
      </c>
      <c r="L322" s="1">
        <v>0</v>
      </c>
      <c r="M322" s="1">
        <v>0</v>
      </c>
      <c r="N322" s="1">
        <v>3</v>
      </c>
      <c r="O322" s="2">
        <f t="shared" si="25"/>
        <v>1</v>
      </c>
      <c r="P322" s="2">
        <v>15374</v>
      </c>
      <c r="Q322" s="2">
        <f t="shared" si="26"/>
        <v>6.5044880967867824</v>
      </c>
    </row>
    <row r="323" spans="1:17" x14ac:dyDescent="0.3">
      <c r="A323" s="1" t="s">
        <v>437</v>
      </c>
      <c r="B323" s="1" t="s">
        <v>455</v>
      </c>
      <c r="C323" s="1" t="s">
        <v>456</v>
      </c>
      <c r="D323" s="1" t="s">
        <v>456</v>
      </c>
      <c r="E323" s="2">
        <v>80701</v>
      </c>
      <c r="F323" s="1">
        <v>0</v>
      </c>
      <c r="G323" s="1">
        <v>0</v>
      </c>
      <c r="H323" s="1">
        <v>0</v>
      </c>
      <c r="I323" s="2">
        <f t="shared" ref="I323:I344" si="27">AVERAGE(F323:H323)</f>
        <v>0</v>
      </c>
      <c r="J323" s="2">
        <v>6878.666666666667</v>
      </c>
      <c r="K323" s="2">
        <f t="shared" ref="K323:K344" si="28">I323/J323*100000</f>
        <v>0</v>
      </c>
      <c r="L323" s="1">
        <v>0</v>
      </c>
      <c r="M323" s="1">
        <v>1</v>
      </c>
      <c r="N323" s="1">
        <v>0</v>
      </c>
      <c r="O323" s="2">
        <f t="shared" ref="O323:O344" si="29">AVERAGE(L323:N323)</f>
        <v>0.33333333333333331</v>
      </c>
      <c r="P323" s="2">
        <v>6856.666666666667</v>
      </c>
      <c r="Q323" s="2">
        <f t="shared" ref="Q323:Q344" si="30">O323/P323*100000</f>
        <v>4.8614487117160907</v>
      </c>
    </row>
    <row r="324" spans="1:17" x14ac:dyDescent="0.3">
      <c r="A324" s="1" t="s">
        <v>437</v>
      </c>
      <c r="B324" s="1" t="s">
        <v>455</v>
      </c>
      <c r="C324" s="1" t="s">
        <v>420</v>
      </c>
      <c r="D324" s="1" t="s">
        <v>420</v>
      </c>
      <c r="E324" s="2">
        <v>80702</v>
      </c>
      <c r="F324" s="1">
        <v>0</v>
      </c>
      <c r="G324" s="1">
        <v>0</v>
      </c>
      <c r="H324" s="1">
        <v>0</v>
      </c>
      <c r="I324" s="2">
        <f t="shared" si="27"/>
        <v>0</v>
      </c>
      <c r="J324" s="2">
        <v>5238.666666666667</v>
      </c>
      <c r="K324" s="2">
        <f t="shared" si="28"/>
        <v>0</v>
      </c>
      <c r="L324" s="1">
        <v>0</v>
      </c>
      <c r="M324" s="1">
        <v>0</v>
      </c>
      <c r="N324" s="1">
        <v>0</v>
      </c>
      <c r="O324" s="2">
        <f t="shared" si="29"/>
        <v>0</v>
      </c>
      <c r="P324" s="2">
        <v>5400.666666666667</v>
      </c>
      <c r="Q324" s="2">
        <f t="shared" si="30"/>
        <v>0</v>
      </c>
    </row>
    <row r="325" spans="1:17" x14ac:dyDescent="0.3">
      <c r="A325" s="1" t="s">
        <v>437</v>
      </c>
      <c r="B325" s="1" t="s">
        <v>455</v>
      </c>
      <c r="C325" s="1" t="s">
        <v>457</v>
      </c>
      <c r="D325" s="1" t="s">
        <v>457</v>
      </c>
      <c r="E325" s="2">
        <v>80703</v>
      </c>
      <c r="F325" s="1">
        <v>0</v>
      </c>
      <c r="G325" s="1">
        <v>0</v>
      </c>
      <c r="H325" s="1">
        <v>0</v>
      </c>
      <c r="I325" s="2">
        <f t="shared" si="27"/>
        <v>0</v>
      </c>
      <c r="J325" s="2">
        <v>1032.6666666666667</v>
      </c>
      <c r="K325" s="2">
        <f t="shared" si="28"/>
        <v>0</v>
      </c>
      <c r="L325" s="1">
        <v>0</v>
      </c>
      <c r="M325" s="1">
        <v>0</v>
      </c>
      <c r="N325" s="1">
        <v>0</v>
      </c>
      <c r="O325" s="2">
        <f t="shared" si="29"/>
        <v>0</v>
      </c>
      <c r="P325" s="2">
        <v>1082.6666666666667</v>
      </c>
      <c r="Q325" s="2">
        <f t="shared" si="30"/>
        <v>0</v>
      </c>
    </row>
    <row r="326" spans="1:17" x14ac:dyDescent="0.3">
      <c r="A326" s="1" t="s">
        <v>437</v>
      </c>
      <c r="B326" s="1" t="s">
        <v>458</v>
      </c>
      <c r="C326" s="1" t="s">
        <v>459</v>
      </c>
      <c r="D326" s="1" t="s">
        <v>459</v>
      </c>
      <c r="E326" s="2">
        <v>80801</v>
      </c>
      <c r="F326" s="1">
        <v>0</v>
      </c>
      <c r="G326" s="1">
        <v>0</v>
      </c>
      <c r="H326" s="1">
        <v>0</v>
      </c>
      <c r="I326" s="2">
        <f t="shared" si="27"/>
        <v>0</v>
      </c>
      <c r="J326" s="2">
        <v>12189</v>
      </c>
      <c r="K326" s="2">
        <f t="shared" si="28"/>
        <v>0</v>
      </c>
      <c r="L326" s="1">
        <v>0</v>
      </c>
      <c r="M326" s="1">
        <v>1</v>
      </c>
      <c r="N326" s="1">
        <v>0</v>
      </c>
      <c r="O326" s="2">
        <f t="shared" si="29"/>
        <v>0.33333333333333331</v>
      </c>
      <c r="P326" s="2">
        <v>12653</v>
      </c>
      <c r="Q326" s="2">
        <f t="shared" si="30"/>
        <v>2.6344213493506148</v>
      </c>
    </row>
    <row r="327" spans="1:17" x14ac:dyDescent="0.3">
      <c r="A327" s="1" t="s">
        <v>437</v>
      </c>
      <c r="B327" s="1" t="s">
        <v>458</v>
      </c>
      <c r="C327" s="1" t="s">
        <v>460</v>
      </c>
      <c r="D327" s="1" t="s">
        <v>460</v>
      </c>
      <c r="E327" s="2">
        <v>80802</v>
      </c>
      <c r="F327" s="1">
        <v>0</v>
      </c>
      <c r="G327" s="1">
        <v>0</v>
      </c>
      <c r="H327" s="1">
        <v>0</v>
      </c>
      <c r="I327" s="2">
        <f t="shared" si="27"/>
        <v>0</v>
      </c>
      <c r="J327" s="2">
        <v>6314.333333333333</v>
      </c>
      <c r="K327" s="2">
        <f t="shared" si="28"/>
        <v>0</v>
      </c>
      <c r="L327" s="1">
        <v>0</v>
      </c>
      <c r="M327" s="1">
        <v>0</v>
      </c>
      <c r="N327" s="1">
        <v>0</v>
      </c>
      <c r="O327" s="2">
        <f t="shared" si="29"/>
        <v>0</v>
      </c>
      <c r="P327" s="2">
        <v>6514</v>
      </c>
      <c r="Q327" s="2">
        <f t="shared" si="30"/>
        <v>0</v>
      </c>
    </row>
    <row r="328" spans="1:17" x14ac:dyDescent="0.3">
      <c r="A328" s="1" t="s">
        <v>437</v>
      </c>
      <c r="B328" s="1" t="s">
        <v>458</v>
      </c>
      <c r="C328" s="1" t="s">
        <v>461</v>
      </c>
      <c r="D328" s="1" t="s">
        <v>461</v>
      </c>
      <c r="E328" s="2">
        <v>80803</v>
      </c>
      <c r="F328" s="1">
        <v>0</v>
      </c>
      <c r="G328" s="1">
        <v>0</v>
      </c>
      <c r="H328" s="1">
        <v>0</v>
      </c>
      <c r="I328" s="2">
        <f t="shared" si="27"/>
        <v>0</v>
      </c>
      <c r="J328" s="2">
        <v>4413</v>
      </c>
      <c r="K328" s="2">
        <f t="shared" si="28"/>
        <v>0</v>
      </c>
      <c r="L328" s="1">
        <v>0</v>
      </c>
      <c r="M328" s="1">
        <v>0</v>
      </c>
      <c r="N328" s="1">
        <v>1</v>
      </c>
      <c r="O328" s="2">
        <f t="shared" si="29"/>
        <v>0.33333333333333331</v>
      </c>
      <c r="P328" s="2">
        <v>4585</v>
      </c>
      <c r="Q328" s="2">
        <f t="shared" si="30"/>
        <v>7.2700836059614682</v>
      </c>
    </row>
    <row r="329" spans="1:17" x14ac:dyDescent="0.3">
      <c r="A329" s="1" t="s">
        <v>437</v>
      </c>
      <c r="B329" s="1" t="s">
        <v>451</v>
      </c>
      <c r="C329" s="1" t="s">
        <v>462</v>
      </c>
      <c r="D329" s="1" t="s">
        <v>462</v>
      </c>
      <c r="E329" s="2">
        <v>80901</v>
      </c>
      <c r="F329" s="1">
        <v>0</v>
      </c>
      <c r="G329" s="1">
        <v>0</v>
      </c>
      <c r="H329" s="1">
        <v>0</v>
      </c>
      <c r="I329" s="2">
        <f t="shared" si="27"/>
        <v>0</v>
      </c>
      <c r="J329" s="2">
        <v>3703</v>
      </c>
      <c r="K329" s="2">
        <f t="shared" si="28"/>
        <v>0</v>
      </c>
      <c r="L329" s="1">
        <v>0</v>
      </c>
      <c r="M329" s="1">
        <v>0</v>
      </c>
      <c r="N329" s="1">
        <v>0</v>
      </c>
      <c r="O329" s="2">
        <f t="shared" si="29"/>
        <v>0</v>
      </c>
      <c r="P329" s="2">
        <v>3900.6666666666665</v>
      </c>
      <c r="Q329" s="2">
        <f t="shared" si="30"/>
        <v>0</v>
      </c>
    </row>
    <row r="330" spans="1:17" x14ac:dyDescent="0.3">
      <c r="A330" s="1" t="s">
        <v>463</v>
      </c>
      <c r="B330" s="1" t="s">
        <v>464</v>
      </c>
      <c r="C330" s="1" t="s">
        <v>465</v>
      </c>
      <c r="D330" s="1" t="s">
        <v>465</v>
      </c>
      <c r="E330" s="2">
        <v>90101</v>
      </c>
      <c r="F330" s="1">
        <v>3</v>
      </c>
      <c r="G330" s="1">
        <v>4</v>
      </c>
      <c r="H330" s="1">
        <v>0</v>
      </c>
      <c r="I330" s="2">
        <f t="shared" si="27"/>
        <v>2.3333333333333335</v>
      </c>
      <c r="J330" s="2">
        <v>51003.333333333336</v>
      </c>
      <c r="K330" s="2">
        <f t="shared" si="28"/>
        <v>4.5748643879485007</v>
      </c>
      <c r="L330" s="1">
        <v>0</v>
      </c>
      <c r="M330" s="1">
        <v>5</v>
      </c>
      <c r="N330" s="1">
        <v>7</v>
      </c>
      <c r="O330" s="2">
        <f t="shared" si="29"/>
        <v>4</v>
      </c>
      <c r="P330" s="2">
        <v>53709.333333333336</v>
      </c>
      <c r="Q330" s="2">
        <f t="shared" si="30"/>
        <v>7.4474951591281462</v>
      </c>
    </row>
    <row r="331" spans="1:17" x14ac:dyDescent="0.3">
      <c r="A331" s="1" t="s">
        <v>463</v>
      </c>
      <c r="B331" s="1" t="s">
        <v>464</v>
      </c>
      <c r="C331" s="1" t="s">
        <v>466</v>
      </c>
      <c r="D331" s="1" t="s">
        <v>466</v>
      </c>
      <c r="E331" s="2">
        <v>90102</v>
      </c>
      <c r="F331" s="1">
        <v>0</v>
      </c>
      <c r="G331" s="1">
        <v>0</v>
      </c>
      <c r="H331" s="1">
        <v>0</v>
      </c>
      <c r="I331" s="2">
        <f t="shared" si="27"/>
        <v>0</v>
      </c>
      <c r="J331" s="2">
        <v>8544</v>
      </c>
      <c r="K331" s="2">
        <f t="shared" si="28"/>
        <v>0</v>
      </c>
      <c r="L331" s="1">
        <v>0</v>
      </c>
      <c r="M331" s="1">
        <v>0</v>
      </c>
      <c r="N331" s="1">
        <v>2</v>
      </c>
      <c r="O331" s="2">
        <f t="shared" si="29"/>
        <v>0.66666666666666663</v>
      </c>
      <c r="P331" s="2">
        <v>8885</v>
      </c>
      <c r="Q331" s="2">
        <f t="shared" si="30"/>
        <v>7.5032826861752007</v>
      </c>
    </row>
    <row r="332" spans="1:17" x14ac:dyDescent="0.3">
      <c r="A332" s="1" t="s">
        <v>463</v>
      </c>
      <c r="B332" s="1" t="s">
        <v>464</v>
      </c>
      <c r="C332" s="1" t="s">
        <v>467</v>
      </c>
      <c r="D332" s="1" t="s">
        <v>467</v>
      </c>
      <c r="E332" s="2">
        <v>90103</v>
      </c>
      <c r="F332" s="1">
        <v>0</v>
      </c>
      <c r="G332" s="1">
        <v>0</v>
      </c>
      <c r="H332" s="1">
        <v>0</v>
      </c>
      <c r="I332" s="2">
        <f t="shared" si="27"/>
        <v>0</v>
      </c>
      <c r="J332" s="2">
        <v>2300</v>
      </c>
      <c r="K332" s="2">
        <f t="shared" si="28"/>
        <v>0</v>
      </c>
      <c r="L332" s="1">
        <v>0</v>
      </c>
      <c r="M332" s="1">
        <v>0</v>
      </c>
      <c r="N332" s="1">
        <v>0</v>
      </c>
      <c r="O332" s="2">
        <f t="shared" si="29"/>
        <v>0</v>
      </c>
      <c r="P332" s="2">
        <v>2372</v>
      </c>
      <c r="Q332" s="2">
        <f t="shared" si="30"/>
        <v>0</v>
      </c>
    </row>
    <row r="333" spans="1:17" x14ac:dyDescent="0.3">
      <c r="A333" s="1" t="s">
        <v>463</v>
      </c>
      <c r="B333" s="1" t="s">
        <v>464</v>
      </c>
      <c r="C333" s="1" t="s">
        <v>468</v>
      </c>
      <c r="D333" s="1" t="s">
        <v>468</v>
      </c>
      <c r="E333" s="2">
        <v>90104</v>
      </c>
      <c r="F333" s="1">
        <v>0</v>
      </c>
      <c r="G333" s="1">
        <v>0</v>
      </c>
      <c r="H333" s="1">
        <v>0</v>
      </c>
      <c r="I333" s="2">
        <f t="shared" si="27"/>
        <v>0</v>
      </c>
      <c r="J333" s="2">
        <v>3747.3333333333335</v>
      </c>
      <c r="K333" s="2">
        <f t="shared" si="28"/>
        <v>0</v>
      </c>
      <c r="L333" s="1">
        <v>0</v>
      </c>
      <c r="M333" s="1">
        <v>0</v>
      </c>
      <c r="N333" s="1">
        <v>1</v>
      </c>
      <c r="O333" s="2">
        <f t="shared" si="29"/>
        <v>0.33333333333333331</v>
      </c>
      <c r="P333" s="2">
        <v>3655</v>
      </c>
      <c r="Q333" s="2">
        <f t="shared" si="30"/>
        <v>9.1199270405836756</v>
      </c>
    </row>
    <row r="334" spans="1:17" x14ac:dyDescent="0.3">
      <c r="A334" s="1" t="s">
        <v>463</v>
      </c>
      <c r="B334" s="1" t="s">
        <v>469</v>
      </c>
      <c r="C334" s="1" t="s">
        <v>470</v>
      </c>
      <c r="D334" s="1" t="s">
        <v>470</v>
      </c>
      <c r="E334" s="2">
        <v>90201</v>
      </c>
      <c r="F334" s="1">
        <v>0</v>
      </c>
      <c r="G334" s="1">
        <v>0</v>
      </c>
      <c r="H334" s="1">
        <v>0</v>
      </c>
      <c r="I334" s="2">
        <f t="shared" si="27"/>
        <v>0</v>
      </c>
      <c r="J334" s="2">
        <v>6809.666666666667</v>
      </c>
      <c r="K334" s="2">
        <f t="shared" si="28"/>
        <v>0</v>
      </c>
      <c r="L334" s="1">
        <v>0</v>
      </c>
      <c r="M334" s="1">
        <v>0</v>
      </c>
      <c r="N334" s="1">
        <v>0</v>
      </c>
      <c r="O334" s="2">
        <f t="shared" si="29"/>
        <v>0</v>
      </c>
      <c r="P334" s="2">
        <v>7135.666666666667</v>
      </c>
      <c r="Q334" s="2">
        <f t="shared" si="30"/>
        <v>0</v>
      </c>
    </row>
    <row r="335" spans="1:17" x14ac:dyDescent="0.3">
      <c r="A335" s="1" t="s">
        <v>463</v>
      </c>
      <c r="B335" s="1" t="s">
        <v>469</v>
      </c>
      <c r="C335" s="1" t="s">
        <v>304</v>
      </c>
      <c r="D335" s="1" t="s">
        <v>304</v>
      </c>
      <c r="E335" s="2">
        <v>90202</v>
      </c>
      <c r="F335" s="1">
        <v>0</v>
      </c>
      <c r="G335" s="1">
        <v>0</v>
      </c>
      <c r="H335" s="1">
        <v>0</v>
      </c>
      <c r="I335" s="2">
        <f t="shared" si="27"/>
        <v>0</v>
      </c>
      <c r="J335" s="2">
        <v>3135.6666666666665</v>
      </c>
      <c r="K335" s="2">
        <f t="shared" si="28"/>
        <v>0</v>
      </c>
      <c r="L335" s="1">
        <v>0</v>
      </c>
      <c r="M335" s="1">
        <v>0</v>
      </c>
      <c r="N335" s="1">
        <v>0</v>
      </c>
      <c r="O335" s="2">
        <f t="shared" si="29"/>
        <v>0</v>
      </c>
      <c r="P335" s="2">
        <v>3218.3333333333335</v>
      </c>
      <c r="Q335" s="2">
        <f t="shared" si="30"/>
        <v>0</v>
      </c>
    </row>
    <row r="336" spans="1:17" x14ac:dyDescent="0.3">
      <c r="A336" s="1" t="s">
        <v>463</v>
      </c>
      <c r="B336" s="1" t="s">
        <v>469</v>
      </c>
      <c r="C336" s="1" t="s">
        <v>471</v>
      </c>
      <c r="D336" s="1" t="s">
        <v>471</v>
      </c>
      <c r="E336" s="2">
        <v>90203</v>
      </c>
      <c r="F336" s="1">
        <v>0</v>
      </c>
      <c r="G336" s="1">
        <v>0</v>
      </c>
      <c r="H336" s="1">
        <v>0</v>
      </c>
      <c r="I336" s="2">
        <f t="shared" si="27"/>
        <v>0</v>
      </c>
      <c r="J336" s="2">
        <v>7031</v>
      </c>
      <c r="K336" s="2">
        <f t="shared" si="28"/>
        <v>0</v>
      </c>
      <c r="L336" s="1">
        <v>0</v>
      </c>
      <c r="M336" s="1">
        <v>0</v>
      </c>
      <c r="N336" s="1">
        <v>0</v>
      </c>
      <c r="O336" s="2">
        <f t="shared" si="29"/>
        <v>0</v>
      </c>
      <c r="P336" s="2">
        <v>7759</v>
      </c>
      <c r="Q336" s="2">
        <f t="shared" si="30"/>
        <v>0</v>
      </c>
    </row>
    <row r="337" spans="1:17" x14ac:dyDescent="0.3">
      <c r="A337" s="1" t="s">
        <v>463</v>
      </c>
      <c r="B337" s="1" t="s">
        <v>472</v>
      </c>
      <c r="C337" s="1" t="s">
        <v>473</v>
      </c>
      <c r="D337" s="1" t="s">
        <v>473</v>
      </c>
      <c r="E337" s="2">
        <v>90301</v>
      </c>
      <c r="F337" s="1">
        <v>0</v>
      </c>
      <c r="G337" s="1">
        <v>0</v>
      </c>
      <c r="H337" s="1">
        <v>0</v>
      </c>
      <c r="I337" s="2">
        <f t="shared" si="27"/>
        <v>0</v>
      </c>
      <c r="J337" s="2">
        <v>10403.666666666666</v>
      </c>
      <c r="K337" s="2">
        <f t="shared" si="28"/>
        <v>0</v>
      </c>
      <c r="L337" s="1">
        <v>0</v>
      </c>
      <c r="M337" s="1">
        <v>0</v>
      </c>
      <c r="N337" s="1">
        <v>0</v>
      </c>
      <c r="O337" s="2">
        <f t="shared" si="29"/>
        <v>0</v>
      </c>
      <c r="P337" s="2">
        <v>11685.666666666666</v>
      </c>
      <c r="Q337" s="2">
        <f t="shared" si="30"/>
        <v>0</v>
      </c>
    </row>
    <row r="338" spans="1:17" x14ac:dyDescent="0.3">
      <c r="A338" s="1" t="s">
        <v>463</v>
      </c>
      <c r="B338" s="1" t="s">
        <v>472</v>
      </c>
      <c r="C338" s="1" t="s">
        <v>359</v>
      </c>
      <c r="D338" s="1" t="s">
        <v>359</v>
      </c>
      <c r="E338" s="2">
        <v>90302</v>
      </c>
      <c r="F338" s="1">
        <v>0</v>
      </c>
      <c r="G338" s="1">
        <v>0</v>
      </c>
      <c r="H338" s="1">
        <v>0</v>
      </c>
      <c r="I338" s="2">
        <f t="shared" si="27"/>
        <v>0</v>
      </c>
      <c r="J338" s="2">
        <v>8557</v>
      </c>
      <c r="K338" s="2">
        <f t="shared" si="28"/>
        <v>0</v>
      </c>
      <c r="L338" s="1">
        <v>0</v>
      </c>
      <c r="M338" s="1">
        <v>0</v>
      </c>
      <c r="N338" s="1">
        <v>0</v>
      </c>
      <c r="O338" s="2">
        <f t="shared" si="29"/>
        <v>0</v>
      </c>
      <c r="P338" s="2">
        <v>9074</v>
      </c>
      <c r="Q338" s="2">
        <f t="shared" si="30"/>
        <v>0</v>
      </c>
    </row>
    <row r="339" spans="1:17" x14ac:dyDescent="0.3">
      <c r="A339" s="1" t="s">
        <v>463</v>
      </c>
      <c r="B339" s="1" t="s">
        <v>472</v>
      </c>
      <c r="C339" s="1" t="s">
        <v>474</v>
      </c>
      <c r="D339" s="1" t="s">
        <v>474</v>
      </c>
      <c r="E339" s="2">
        <v>90303</v>
      </c>
      <c r="F339" s="1">
        <v>0</v>
      </c>
      <c r="G339" s="1">
        <v>0</v>
      </c>
      <c r="H339" s="1">
        <v>0</v>
      </c>
      <c r="I339" s="2">
        <f t="shared" si="27"/>
        <v>0</v>
      </c>
      <c r="J339" s="2">
        <v>9428</v>
      </c>
      <c r="K339" s="2">
        <f t="shared" si="28"/>
        <v>0</v>
      </c>
      <c r="L339" s="1">
        <v>0</v>
      </c>
      <c r="M339" s="1">
        <v>0</v>
      </c>
      <c r="N339" s="1">
        <v>3</v>
      </c>
      <c r="O339" s="2">
        <f t="shared" si="29"/>
        <v>1</v>
      </c>
      <c r="P339" s="2">
        <v>10097</v>
      </c>
      <c r="Q339" s="2">
        <f t="shared" si="30"/>
        <v>9.9039318609487967</v>
      </c>
    </row>
    <row r="340" spans="1:17" x14ac:dyDescent="0.3">
      <c r="A340" s="1" t="s">
        <v>463</v>
      </c>
      <c r="B340" s="1" t="s">
        <v>475</v>
      </c>
      <c r="C340" s="1" t="s">
        <v>392</v>
      </c>
      <c r="D340" s="1" t="s">
        <v>392</v>
      </c>
      <c r="E340" s="2">
        <v>90401</v>
      </c>
      <c r="F340" s="1">
        <v>0</v>
      </c>
      <c r="G340" s="1">
        <v>0</v>
      </c>
      <c r="H340" s="1">
        <v>0</v>
      </c>
      <c r="I340" s="2">
        <f t="shared" si="27"/>
        <v>0</v>
      </c>
      <c r="J340" s="2">
        <v>2663.3333333333335</v>
      </c>
      <c r="K340" s="2">
        <f t="shared" si="28"/>
        <v>0</v>
      </c>
      <c r="L340" s="1">
        <v>0</v>
      </c>
      <c r="M340" s="1">
        <v>0</v>
      </c>
      <c r="N340" s="1">
        <v>0</v>
      </c>
      <c r="O340" s="2">
        <f t="shared" si="29"/>
        <v>0</v>
      </c>
      <c r="P340" s="2">
        <v>2816.6666666666665</v>
      </c>
      <c r="Q340" s="2">
        <f t="shared" si="30"/>
        <v>0</v>
      </c>
    </row>
    <row r="341" spans="1:17" x14ac:dyDescent="0.3">
      <c r="A341" s="1" t="s">
        <v>463</v>
      </c>
      <c r="B341" s="1" t="s">
        <v>475</v>
      </c>
      <c r="C341" s="1" t="s">
        <v>98</v>
      </c>
      <c r="D341" s="1" t="s">
        <v>98</v>
      </c>
      <c r="E341" s="2">
        <v>90402</v>
      </c>
      <c r="F341" s="1">
        <v>0</v>
      </c>
      <c r="G341" s="1">
        <v>0</v>
      </c>
      <c r="H341" s="1">
        <v>0</v>
      </c>
      <c r="I341" s="2">
        <f t="shared" si="27"/>
        <v>0</v>
      </c>
      <c r="J341" s="2">
        <v>2196.6666666666665</v>
      </c>
      <c r="K341" s="2">
        <f t="shared" si="28"/>
        <v>0</v>
      </c>
      <c r="L341" s="1">
        <v>0</v>
      </c>
      <c r="M341" s="1">
        <v>0</v>
      </c>
      <c r="N341" s="1">
        <v>0</v>
      </c>
      <c r="O341" s="2">
        <f t="shared" si="29"/>
        <v>0</v>
      </c>
      <c r="P341" s="2">
        <v>2506.6666666666665</v>
      </c>
      <c r="Q341" s="2">
        <f t="shared" si="30"/>
        <v>0</v>
      </c>
    </row>
    <row r="342" spans="1:17" x14ac:dyDescent="0.3">
      <c r="A342" s="1" t="s">
        <v>463</v>
      </c>
      <c r="B342" s="1" t="s">
        <v>476</v>
      </c>
      <c r="C342" s="1" t="s">
        <v>477</v>
      </c>
      <c r="D342" s="1" t="s">
        <v>477</v>
      </c>
      <c r="E342" s="2">
        <v>90501</v>
      </c>
      <c r="F342" s="1">
        <v>0</v>
      </c>
      <c r="G342" s="1">
        <v>0</v>
      </c>
      <c r="H342" s="1">
        <v>0</v>
      </c>
      <c r="I342" s="2">
        <f t="shared" si="27"/>
        <v>0</v>
      </c>
      <c r="J342" s="2">
        <v>1672.6666666666667</v>
      </c>
      <c r="K342" s="2">
        <f t="shared" si="28"/>
        <v>0</v>
      </c>
      <c r="L342" s="1">
        <v>0</v>
      </c>
      <c r="M342" s="1">
        <v>0</v>
      </c>
      <c r="N342" s="1">
        <v>0</v>
      </c>
      <c r="O342" s="2">
        <f t="shared" si="29"/>
        <v>0</v>
      </c>
      <c r="P342" s="2">
        <v>1446.6666666666667</v>
      </c>
      <c r="Q342" s="2">
        <f t="shared" si="30"/>
        <v>0</v>
      </c>
    </row>
    <row r="343" spans="1:17" x14ac:dyDescent="0.3">
      <c r="A343" s="1" t="s">
        <v>463</v>
      </c>
      <c r="B343" s="1" t="s">
        <v>476</v>
      </c>
      <c r="C343" s="1" t="s">
        <v>478</v>
      </c>
      <c r="D343" s="1" t="s">
        <v>479</v>
      </c>
      <c r="E343" s="2">
        <v>90502</v>
      </c>
      <c r="F343" s="1">
        <v>0</v>
      </c>
      <c r="G343" s="1">
        <v>0</v>
      </c>
      <c r="H343" s="1">
        <v>0</v>
      </c>
      <c r="I343" s="2">
        <f t="shared" si="27"/>
        <v>0</v>
      </c>
      <c r="J343" s="2">
        <v>2625.3333333333335</v>
      </c>
      <c r="K343" s="2">
        <f t="shared" si="28"/>
        <v>0</v>
      </c>
      <c r="L343" s="1">
        <v>0</v>
      </c>
      <c r="M343" s="1">
        <v>0</v>
      </c>
      <c r="N343" s="1">
        <v>1</v>
      </c>
      <c r="O343" s="2">
        <f t="shared" si="29"/>
        <v>0.33333333333333331</v>
      </c>
      <c r="P343" s="2">
        <v>2525</v>
      </c>
      <c r="Q343" s="2">
        <f t="shared" si="30"/>
        <v>13.201320132013201</v>
      </c>
    </row>
    <row r="344" spans="1:17" x14ac:dyDescent="0.3">
      <c r="A344" s="1" t="s">
        <v>463</v>
      </c>
      <c r="B344" s="1" t="s">
        <v>476</v>
      </c>
      <c r="C344" s="1" t="s">
        <v>480</v>
      </c>
      <c r="D344" s="1" t="s">
        <v>480</v>
      </c>
      <c r="E344" s="2">
        <v>90503</v>
      </c>
      <c r="F344" s="1">
        <v>0</v>
      </c>
      <c r="G344" s="1">
        <v>0</v>
      </c>
      <c r="H344" s="1">
        <v>0</v>
      </c>
      <c r="I344" s="2">
        <f t="shared" si="27"/>
        <v>0</v>
      </c>
      <c r="J344" s="2">
        <v>2176.3333333333335</v>
      </c>
      <c r="K344" s="2">
        <f t="shared" si="28"/>
        <v>0</v>
      </c>
      <c r="L344" s="1">
        <v>0</v>
      </c>
      <c r="M344" s="1">
        <v>0</v>
      </c>
      <c r="N344" s="1">
        <v>0</v>
      </c>
      <c r="O344" s="2">
        <f t="shared" si="29"/>
        <v>0</v>
      </c>
      <c r="P344" s="2">
        <v>2182.3333333333335</v>
      </c>
      <c r="Q344" s="2">
        <f t="shared" si="3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EA4E4-947F-4BF5-BE50-2D1A474366F1}">
  <sheetPr>
    <tabColor rgb="FFAF2738"/>
  </sheetPr>
  <dimension ref="A1:D344"/>
  <sheetViews>
    <sheetView workbookViewId="0">
      <selection activeCell="C1" sqref="C1:D1"/>
    </sheetView>
  </sheetViews>
  <sheetFormatPr baseColWidth="10" defaultRowHeight="14.4" x14ac:dyDescent="0.3"/>
  <sheetData>
    <row r="1" spans="1:4" ht="57.6" x14ac:dyDescent="0.3">
      <c r="A1" s="1" t="s">
        <v>481</v>
      </c>
      <c r="B1" s="1" t="s">
        <v>2</v>
      </c>
      <c r="C1" s="9" t="s">
        <v>509</v>
      </c>
      <c r="D1" s="9" t="s">
        <v>510</v>
      </c>
    </row>
    <row r="2" spans="1:4" x14ac:dyDescent="0.3">
      <c r="A2" s="2">
        <v>30101</v>
      </c>
      <c r="B2" s="1" t="s">
        <v>167</v>
      </c>
      <c r="C2" s="2">
        <v>80.666666666666671</v>
      </c>
      <c r="D2" s="2">
        <v>137</v>
      </c>
    </row>
    <row r="3" spans="1:4" x14ac:dyDescent="0.3">
      <c r="A3" s="2">
        <v>20101</v>
      </c>
      <c r="B3" s="1" t="s">
        <v>52</v>
      </c>
      <c r="C3" s="2">
        <v>73.666666666666671</v>
      </c>
      <c r="D3" s="2">
        <v>126</v>
      </c>
    </row>
    <row r="4" spans="1:4" x14ac:dyDescent="0.3">
      <c r="A4" s="2">
        <v>10101</v>
      </c>
      <c r="B4" s="1" t="s">
        <v>6</v>
      </c>
      <c r="C4" s="2">
        <v>72.666666666666671</v>
      </c>
      <c r="D4" s="2">
        <v>76</v>
      </c>
    </row>
    <row r="5" spans="1:4" x14ac:dyDescent="0.3">
      <c r="A5" s="2">
        <v>70101</v>
      </c>
      <c r="B5" s="1" t="s">
        <v>365</v>
      </c>
      <c r="C5" s="2">
        <v>55.666666666666664</v>
      </c>
      <c r="D5" s="2">
        <v>129.66666666666666</v>
      </c>
    </row>
    <row r="6" spans="1:4" x14ac:dyDescent="0.3">
      <c r="A6" s="2">
        <v>20105</v>
      </c>
      <c r="B6" s="1" t="s">
        <v>56</v>
      </c>
      <c r="C6" s="2">
        <v>24</v>
      </c>
      <c r="D6" s="2">
        <v>27.333333333333332</v>
      </c>
    </row>
    <row r="7" spans="1:4" x14ac:dyDescent="0.3">
      <c r="A7" s="2">
        <v>40101</v>
      </c>
      <c r="B7" s="1" t="s">
        <v>230</v>
      </c>
      <c r="C7" s="2">
        <v>18</v>
      </c>
      <c r="D7" s="2">
        <v>69</v>
      </c>
    </row>
    <row r="8" spans="1:4" x14ac:dyDescent="0.3">
      <c r="A8" s="2">
        <v>60101</v>
      </c>
      <c r="B8" s="1" t="s">
        <v>346</v>
      </c>
      <c r="C8" s="2">
        <v>16.333333333333332</v>
      </c>
      <c r="D8" s="2">
        <v>11</v>
      </c>
    </row>
    <row r="9" spans="1:4" x14ac:dyDescent="0.3">
      <c r="A9" s="2">
        <v>50101</v>
      </c>
      <c r="B9" s="1" t="s">
        <v>281</v>
      </c>
      <c r="C9" s="2">
        <v>13.666666666666666</v>
      </c>
      <c r="D9" s="2">
        <v>16.333333333333332</v>
      </c>
    </row>
    <row r="10" spans="1:4" x14ac:dyDescent="0.3">
      <c r="A10" s="2">
        <v>70403</v>
      </c>
      <c r="B10" s="1" t="s">
        <v>382</v>
      </c>
      <c r="C10" s="2">
        <v>8.3333333333333339</v>
      </c>
      <c r="D10" s="2">
        <v>14.333333333333334</v>
      </c>
    </row>
    <row r="11" spans="1:4" x14ac:dyDescent="0.3">
      <c r="A11" s="2">
        <v>71101</v>
      </c>
      <c r="B11" s="1" t="s">
        <v>356</v>
      </c>
      <c r="C11" s="2">
        <v>7.333333333333333</v>
      </c>
      <c r="D11" s="2">
        <v>7.666666666666667</v>
      </c>
    </row>
    <row r="12" spans="1:4" x14ac:dyDescent="0.3">
      <c r="A12" s="2">
        <v>30901</v>
      </c>
      <c r="B12" s="1" t="s">
        <v>197</v>
      </c>
      <c r="C12" s="2">
        <v>6</v>
      </c>
      <c r="D12" s="2">
        <v>23.666666666666668</v>
      </c>
    </row>
    <row r="13" spans="1:4" x14ac:dyDescent="0.3">
      <c r="A13" s="2">
        <v>71104</v>
      </c>
      <c r="B13" s="1" t="s">
        <v>421</v>
      </c>
      <c r="C13" s="2">
        <v>5.333333333333333</v>
      </c>
      <c r="D13" s="2">
        <v>11.333333333333334</v>
      </c>
    </row>
    <row r="14" spans="1:4" x14ac:dyDescent="0.3">
      <c r="A14" s="2">
        <v>31001</v>
      </c>
      <c r="B14" s="1" t="s">
        <v>203</v>
      </c>
      <c r="C14" s="2">
        <v>5</v>
      </c>
      <c r="D14" s="2">
        <v>14.333333333333334</v>
      </c>
    </row>
    <row r="15" spans="1:4" x14ac:dyDescent="0.3">
      <c r="A15" s="2">
        <v>70706</v>
      </c>
      <c r="B15" s="1" t="s">
        <v>400</v>
      </c>
      <c r="C15" s="2">
        <v>5</v>
      </c>
      <c r="D15" s="2">
        <v>5</v>
      </c>
    </row>
    <row r="16" spans="1:4" x14ac:dyDescent="0.3">
      <c r="A16" s="2">
        <v>30902</v>
      </c>
      <c r="B16" s="1" t="s">
        <v>198</v>
      </c>
      <c r="C16" s="2">
        <v>4.666666666666667</v>
      </c>
      <c r="D16" s="2">
        <v>11.333333333333334</v>
      </c>
    </row>
    <row r="17" spans="1:4" x14ac:dyDescent="0.3">
      <c r="A17" s="2">
        <v>80101</v>
      </c>
      <c r="B17" s="1" t="s">
        <v>438</v>
      </c>
      <c r="C17" s="2">
        <v>4.666666666666667</v>
      </c>
      <c r="D17" s="2">
        <v>7</v>
      </c>
    </row>
    <row r="18" spans="1:4" x14ac:dyDescent="0.3">
      <c r="A18" s="2">
        <v>71001</v>
      </c>
      <c r="B18" s="1" t="s">
        <v>414</v>
      </c>
      <c r="C18" s="2">
        <v>4.333333333333333</v>
      </c>
      <c r="D18" s="2">
        <v>16.666666666666668</v>
      </c>
    </row>
    <row r="19" spans="1:4" x14ac:dyDescent="0.3">
      <c r="A19" s="2">
        <v>71501</v>
      </c>
      <c r="B19" s="1" t="s">
        <v>434</v>
      </c>
      <c r="C19" s="2">
        <v>4.333333333333333</v>
      </c>
      <c r="D19" s="2">
        <v>16.333333333333332</v>
      </c>
    </row>
    <row r="20" spans="1:4" x14ac:dyDescent="0.3">
      <c r="A20" s="2">
        <v>70201</v>
      </c>
      <c r="B20" s="1" t="s">
        <v>371</v>
      </c>
      <c r="C20" s="2">
        <v>4</v>
      </c>
      <c r="D20" s="2">
        <v>10.333333333333334</v>
      </c>
    </row>
    <row r="21" spans="1:4" x14ac:dyDescent="0.3">
      <c r="A21" s="2">
        <v>70301</v>
      </c>
      <c r="B21" s="1" t="s">
        <v>374</v>
      </c>
      <c r="C21" s="2">
        <v>4</v>
      </c>
      <c r="D21" s="2">
        <v>3.3333333333333335</v>
      </c>
    </row>
    <row r="22" spans="1:4" x14ac:dyDescent="0.3">
      <c r="A22" s="2">
        <v>60303</v>
      </c>
      <c r="B22" s="1" t="s">
        <v>353</v>
      </c>
      <c r="C22" s="2">
        <v>3.6666666666666665</v>
      </c>
      <c r="D22" s="2">
        <v>1.3333333333333333</v>
      </c>
    </row>
    <row r="23" spans="1:4" x14ac:dyDescent="0.3">
      <c r="A23" s="2">
        <v>30903</v>
      </c>
      <c r="B23" s="1" t="s">
        <v>199</v>
      </c>
      <c r="C23" s="2">
        <v>3.3333333333333335</v>
      </c>
      <c r="D23" s="2">
        <v>10</v>
      </c>
    </row>
    <row r="24" spans="1:4" x14ac:dyDescent="0.3">
      <c r="A24" s="2">
        <v>60301</v>
      </c>
      <c r="B24" s="1" t="s">
        <v>351</v>
      </c>
      <c r="C24" s="2">
        <v>3.3333333333333335</v>
      </c>
      <c r="D24" s="2">
        <v>8.6666666666666661</v>
      </c>
    </row>
    <row r="25" spans="1:4" x14ac:dyDescent="0.3">
      <c r="A25" s="2">
        <v>21105</v>
      </c>
      <c r="B25" s="1" t="s">
        <v>128</v>
      </c>
      <c r="C25" s="2">
        <v>3.3333333333333335</v>
      </c>
      <c r="D25" s="2">
        <v>2</v>
      </c>
    </row>
    <row r="26" spans="1:4" x14ac:dyDescent="0.3">
      <c r="A26" s="2">
        <v>70503</v>
      </c>
      <c r="B26" s="1" t="s">
        <v>388</v>
      </c>
      <c r="C26" s="2">
        <v>3</v>
      </c>
      <c r="D26" s="2">
        <v>5</v>
      </c>
    </row>
    <row r="27" spans="1:4" x14ac:dyDescent="0.3">
      <c r="A27" s="2">
        <v>80201</v>
      </c>
      <c r="B27" s="1" t="s">
        <v>440</v>
      </c>
      <c r="C27" s="2">
        <v>3</v>
      </c>
      <c r="D27" s="2">
        <v>4</v>
      </c>
    </row>
    <row r="28" spans="1:4" x14ac:dyDescent="0.3">
      <c r="A28" s="2">
        <v>10601</v>
      </c>
      <c r="B28" s="1" t="s">
        <v>32</v>
      </c>
      <c r="C28" s="2">
        <v>3</v>
      </c>
      <c r="D28" s="2">
        <v>2.6666666666666665</v>
      </c>
    </row>
    <row r="29" spans="1:4" x14ac:dyDescent="0.3">
      <c r="A29" s="2">
        <v>50301</v>
      </c>
      <c r="B29" s="1" t="s">
        <v>294</v>
      </c>
      <c r="C29" s="2">
        <v>2.6666666666666665</v>
      </c>
      <c r="D29" s="2">
        <v>3.3333333333333335</v>
      </c>
    </row>
    <row r="30" spans="1:4" x14ac:dyDescent="0.3">
      <c r="A30" s="2">
        <v>71503</v>
      </c>
      <c r="B30" s="1" t="s">
        <v>361</v>
      </c>
      <c r="C30" s="2">
        <v>2.3333333333333335</v>
      </c>
      <c r="D30" s="2">
        <v>5.666666666666667</v>
      </c>
    </row>
    <row r="31" spans="1:4" x14ac:dyDescent="0.3">
      <c r="A31" s="2">
        <v>90101</v>
      </c>
      <c r="B31" s="1" t="s">
        <v>465</v>
      </c>
      <c r="C31" s="2">
        <v>2.3333333333333335</v>
      </c>
      <c r="D31" s="2">
        <v>4</v>
      </c>
    </row>
    <row r="32" spans="1:4" x14ac:dyDescent="0.3">
      <c r="A32" s="2">
        <v>10702</v>
      </c>
      <c r="B32" s="1" t="s">
        <v>35</v>
      </c>
      <c r="C32" s="2">
        <v>2.3333333333333335</v>
      </c>
      <c r="D32" s="2">
        <v>3.6666666666666665</v>
      </c>
    </row>
    <row r="33" spans="1:4" x14ac:dyDescent="0.3">
      <c r="A33" s="2">
        <v>30905</v>
      </c>
      <c r="B33" s="1" t="s">
        <v>201</v>
      </c>
      <c r="C33" s="2">
        <v>2</v>
      </c>
      <c r="D33" s="2">
        <v>12</v>
      </c>
    </row>
    <row r="34" spans="1:4" x14ac:dyDescent="0.3">
      <c r="A34" s="2">
        <v>70102</v>
      </c>
      <c r="B34" s="1" t="s">
        <v>366</v>
      </c>
      <c r="C34" s="2">
        <v>2</v>
      </c>
      <c r="D34" s="2">
        <v>10.666666666666666</v>
      </c>
    </row>
    <row r="35" spans="1:4" x14ac:dyDescent="0.3">
      <c r="A35" s="2">
        <v>71106</v>
      </c>
      <c r="B35" s="1" t="s">
        <v>423</v>
      </c>
      <c r="C35" s="2">
        <v>1.6666666666666667</v>
      </c>
      <c r="D35" s="2">
        <v>11.333333333333334</v>
      </c>
    </row>
    <row r="36" spans="1:4" x14ac:dyDescent="0.3">
      <c r="A36" s="2">
        <v>31101</v>
      </c>
      <c r="B36" s="1" t="s">
        <v>206</v>
      </c>
      <c r="C36" s="2">
        <v>1.6666666666666667</v>
      </c>
      <c r="D36" s="2">
        <v>4.666666666666667</v>
      </c>
    </row>
    <row r="37" spans="1:4" x14ac:dyDescent="0.3">
      <c r="A37" s="2">
        <v>30601</v>
      </c>
      <c r="B37" s="1" t="s">
        <v>186</v>
      </c>
      <c r="C37" s="2">
        <v>1.6666666666666667</v>
      </c>
      <c r="D37" s="2">
        <v>1.6666666666666667</v>
      </c>
    </row>
    <row r="38" spans="1:4" x14ac:dyDescent="0.3">
      <c r="A38" s="2">
        <v>21401</v>
      </c>
      <c r="B38" s="1" t="s">
        <v>144</v>
      </c>
      <c r="C38" s="2">
        <v>1.6666666666666667</v>
      </c>
      <c r="D38" s="2">
        <v>1.3333333333333333</v>
      </c>
    </row>
    <row r="39" spans="1:4" x14ac:dyDescent="0.3">
      <c r="A39" s="2">
        <v>11003</v>
      </c>
      <c r="B39" s="1" t="s">
        <v>48</v>
      </c>
      <c r="C39" s="2">
        <v>1.6666666666666667</v>
      </c>
      <c r="D39" s="2">
        <v>0.33333333333333331</v>
      </c>
    </row>
    <row r="40" spans="1:4" x14ac:dyDescent="0.3">
      <c r="A40" s="2">
        <v>22001</v>
      </c>
      <c r="B40" s="1" t="s">
        <v>165</v>
      </c>
      <c r="C40" s="2">
        <v>1.6666666666666667</v>
      </c>
      <c r="D40" s="2">
        <v>0.33333333333333331</v>
      </c>
    </row>
    <row r="41" spans="1:4" x14ac:dyDescent="0.3">
      <c r="A41" s="2">
        <v>40701</v>
      </c>
      <c r="B41" s="1" t="s">
        <v>255</v>
      </c>
      <c r="C41" s="2">
        <v>1.6666666666666667</v>
      </c>
      <c r="D41" s="2">
        <v>0.33333333333333331</v>
      </c>
    </row>
    <row r="42" spans="1:4" x14ac:dyDescent="0.3">
      <c r="A42" s="2">
        <v>70401</v>
      </c>
      <c r="B42" s="1" t="s">
        <v>380</v>
      </c>
      <c r="C42" s="2">
        <v>1.3333333333333333</v>
      </c>
      <c r="D42" s="2">
        <v>13.333333333333334</v>
      </c>
    </row>
    <row r="43" spans="1:4" x14ac:dyDescent="0.3">
      <c r="A43" s="2">
        <v>70104</v>
      </c>
      <c r="B43" s="1" t="s">
        <v>369</v>
      </c>
      <c r="C43" s="2">
        <v>1.3333333333333333</v>
      </c>
      <c r="D43" s="2">
        <v>12.333333333333334</v>
      </c>
    </row>
    <row r="44" spans="1:4" x14ac:dyDescent="0.3">
      <c r="A44" s="2">
        <v>71201</v>
      </c>
      <c r="B44" s="1" t="s">
        <v>425</v>
      </c>
      <c r="C44" s="2">
        <v>1.3333333333333333</v>
      </c>
      <c r="D44" s="2">
        <v>10.333333333333334</v>
      </c>
    </row>
    <row r="45" spans="1:4" x14ac:dyDescent="0.3">
      <c r="A45" s="2">
        <v>40102</v>
      </c>
      <c r="B45" s="1" t="s">
        <v>231</v>
      </c>
      <c r="C45" s="2">
        <v>1.3333333333333333</v>
      </c>
      <c r="D45" s="2">
        <v>10</v>
      </c>
    </row>
    <row r="46" spans="1:4" x14ac:dyDescent="0.3">
      <c r="A46" s="2">
        <v>31206</v>
      </c>
      <c r="B46" s="1" t="s">
        <v>213</v>
      </c>
      <c r="C46" s="2">
        <v>1.3333333333333333</v>
      </c>
      <c r="D46" s="2">
        <v>8</v>
      </c>
    </row>
    <row r="47" spans="1:4" x14ac:dyDescent="0.3">
      <c r="A47" s="2">
        <v>70501</v>
      </c>
      <c r="B47" s="1" t="s">
        <v>385</v>
      </c>
      <c r="C47" s="2">
        <v>1.3333333333333333</v>
      </c>
      <c r="D47" s="2">
        <v>5.333333333333333</v>
      </c>
    </row>
    <row r="48" spans="1:4" x14ac:dyDescent="0.3">
      <c r="A48" s="2">
        <v>20801</v>
      </c>
      <c r="B48" s="1" t="s">
        <v>99</v>
      </c>
      <c r="C48" s="2">
        <v>1.3333333333333333</v>
      </c>
      <c r="D48" s="2">
        <v>3.6666666666666665</v>
      </c>
    </row>
    <row r="49" spans="1:4" x14ac:dyDescent="0.3">
      <c r="A49" s="2">
        <v>10701</v>
      </c>
      <c r="B49" s="1" t="s">
        <v>34</v>
      </c>
      <c r="C49" s="2">
        <v>1.3333333333333333</v>
      </c>
      <c r="D49" s="2">
        <v>2.3333333333333335</v>
      </c>
    </row>
    <row r="50" spans="1:4" x14ac:dyDescent="0.3">
      <c r="A50" s="2">
        <v>21301</v>
      </c>
      <c r="B50" s="1" t="s">
        <v>135</v>
      </c>
      <c r="C50" s="2">
        <v>1.3333333333333333</v>
      </c>
      <c r="D50" s="2">
        <v>1.3333333333333333</v>
      </c>
    </row>
    <row r="51" spans="1:4" x14ac:dyDescent="0.3">
      <c r="A51" s="2">
        <v>10602</v>
      </c>
      <c r="B51" s="1" t="s">
        <v>31</v>
      </c>
      <c r="C51" s="2">
        <v>1.3333333333333333</v>
      </c>
      <c r="D51" s="2">
        <v>0.66666666666666663</v>
      </c>
    </row>
    <row r="52" spans="1:4" x14ac:dyDescent="0.3">
      <c r="A52" s="2">
        <v>20602</v>
      </c>
      <c r="B52" s="1" t="s">
        <v>88</v>
      </c>
      <c r="C52" s="2">
        <v>1.3333333333333333</v>
      </c>
      <c r="D52" s="2">
        <v>0.33333333333333331</v>
      </c>
    </row>
    <row r="53" spans="1:4" x14ac:dyDescent="0.3">
      <c r="A53" s="2">
        <v>31003</v>
      </c>
      <c r="B53" s="1" t="s">
        <v>205</v>
      </c>
      <c r="C53" s="2">
        <v>1</v>
      </c>
      <c r="D53" s="2">
        <v>8</v>
      </c>
    </row>
    <row r="54" spans="1:4" x14ac:dyDescent="0.3">
      <c r="A54" s="2">
        <v>71401</v>
      </c>
      <c r="B54" s="1" t="s">
        <v>430</v>
      </c>
      <c r="C54" s="2">
        <v>1</v>
      </c>
      <c r="D54" s="2">
        <v>8</v>
      </c>
    </row>
    <row r="55" spans="1:4" x14ac:dyDescent="0.3">
      <c r="A55" s="2">
        <v>30904</v>
      </c>
      <c r="B55" s="1" t="s">
        <v>200</v>
      </c>
      <c r="C55" s="2">
        <v>1</v>
      </c>
      <c r="D55" s="2">
        <v>3.6666666666666665</v>
      </c>
    </row>
    <row r="56" spans="1:4" x14ac:dyDescent="0.3">
      <c r="A56" s="2">
        <v>31205</v>
      </c>
      <c r="B56" s="1" t="s">
        <v>212</v>
      </c>
      <c r="C56" s="2">
        <v>1</v>
      </c>
      <c r="D56" s="2">
        <v>3</v>
      </c>
    </row>
    <row r="57" spans="1:4" x14ac:dyDescent="0.3">
      <c r="A57" s="2">
        <v>70903</v>
      </c>
      <c r="B57" s="1" t="s">
        <v>411</v>
      </c>
      <c r="C57" s="2">
        <v>1</v>
      </c>
      <c r="D57" s="2">
        <v>2.6666666666666665</v>
      </c>
    </row>
    <row r="58" spans="1:4" x14ac:dyDescent="0.3">
      <c r="A58" s="2">
        <v>10401</v>
      </c>
      <c r="B58" s="1" t="s">
        <v>21</v>
      </c>
      <c r="C58" s="2">
        <v>1</v>
      </c>
      <c r="D58" s="2">
        <v>1</v>
      </c>
    </row>
    <row r="59" spans="1:4" x14ac:dyDescent="0.3">
      <c r="A59" s="2">
        <v>10301</v>
      </c>
      <c r="B59" s="1" t="s">
        <v>14</v>
      </c>
      <c r="C59" s="2">
        <v>1</v>
      </c>
      <c r="D59" s="2">
        <v>0.66666666666666663</v>
      </c>
    </row>
    <row r="60" spans="1:4" x14ac:dyDescent="0.3">
      <c r="A60" s="2">
        <v>50405</v>
      </c>
      <c r="B60" s="1" t="s">
        <v>302</v>
      </c>
      <c r="C60" s="2">
        <v>1</v>
      </c>
      <c r="D60" s="2">
        <v>0.66666666666666663</v>
      </c>
    </row>
    <row r="61" spans="1:4" x14ac:dyDescent="0.3">
      <c r="A61" s="2">
        <v>21304</v>
      </c>
      <c r="B61" s="1" t="s">
        <v>139</v>
      </c>
      <c r="C61" s="2">
        <v>1</v>
      </c>
      <c r="D61" s="2">
        <v>0.33333333333333331</v>
      </c>
    </row>
    <row r="62" spans="1:4" x14ac:dyDescent="0.3">
      <c r="A62" s="2">
        <v>50404</v>
      </c>
      <c r="B62" s="1" t="s">
        <v>301</v>
      </c>
      <c r="C62" s="2">
        <v>1</v>
      </c>
      <c r="D62" s="2">
        <v>0</v>
      </c>
    </row>
    <row r="63" spans="1:4" x14ac:dyDescent="0.3">
      <c r="A63" s="2">
        <v>70105</v>
      </c>
      <c r="B63" s="1" t="s">
        <v>370</v>
      </c>
      <c r="C63" s="2">
        <v>0.66666666666666663</v>
      </c>
      <c r="D63" s="2">
        <v>10.666666666666666</v>
      </c>
    </row>
    <row r="64" spans="1:4" x14ac:dyDescent="0.3">
      <c r="A64" s="2">
        <v>70402</v>
      </c>
      <c r="B64" s="1" t="s">
        <v>381</v>
      </c>
      <c r="C64" s="2">
        <v>0.66666666666666663</v>
      </c>
      <c r="D64" s="2">
        <v>9.6666666666666661</v>
      </c>
    </row>
    <row r="65" spans="1:4" x14ac:dyDescent="0.3">
      <c r="A65" s="2">
        <v>70601</v>
      </c>
      <c r="B65" s="1" t="s">
        <v>390</v>
      </c>
      <c r="C65" s="2">
        <v>0.66666666666666663</v>
      </c>
      <c r="D65" s="2">
        <v>8.6666666666666661</v>
      </c>
    </row>
    <row r="66" spans="1:4" x14ac:dyDescent="0.3">
      <c r="A66" s="2">
        <v>70902</v>
      </c>
      <c r="B66" s="1" t="s">
        <v>410</v>
      </c>
      <c r="C66" s="2">
        <v>0.66666666666666663</v>
      </c>
      <c r="D66" s="2">
        <v>8</v>
      </c>
    </row>
    <row r="67" spans="1:4" x14ac:dyDescent="0.3">
      <c r="A67" s="2">
        <v>10501</v>
      </c>
      <c r="B67" s="1" t="s">
        <v>29</v>
      </c>
      <c r="C67" s="2">
        <v>0.66666666666666663</v>
      </c>
      <c r="D67" s="2">
        <v>5.666666666666667</v>
      </c>
    </row>
    <row r="68" spans="1:4" x14ac:dyDescent="0.3">
      <c r="A68" s="2">
        <v>11001</v>
      </c>
      <c r="B68" s="1" t="s">
        <v>45</v>
      </c>
      <c r="C68" s="2">
        <v>0.66666666666666663</v>
      </c>
      <c r="D68" s="2">
        <v>4.333333333333333</v>
      </c>
    </row>
    <row r="69" spans="1:4" x14ac:dyDescent="0.3">
      <c r="A69" s="2">
        <v>31201</v>
      </c>
      <c r="B69" s="1" t="s">
        <v>208</v>
      </c>
      <c r="C69" s="2">
        <v>0.66666666666666663</v>
      </c>
      <c r="D69" s="2">
        <v>2.6666666666666665</v>
      </c>
    </row>
    <row r="70" spans="1:4" x14ac:dyDescent="0.3">
      <c r="A70" s="2">
        <v>51201</v>
      </c>
      <c r="B70" s="1" t="s">
        <v>332</v>
      </c>
      <c r="C70" s="2">
        <v>0.66666666666666663</v>
      </c>
      <c r="D70" s="2">
        <v>2.6666666666666665</v>
      </c>
    </row>
    <row r="71" spans="1:4" x14ac:dyDescent="0.3">
      <c r="A71" s="2">
        <v>80304</v>
      </c>
      <c r="B71" s="1" t="s">
        <v>445</v>
      </c>
      <c r="C71" s="2">
        <v>0.66666666666666663</v>
      </c>
      <c r="D71" s="2">
        <v>2.6666666666666665</v>
      </c>
    </row>
    <row r="72" spans="1:4" x14ac:dyDescent="0.3">
      <c r="A72" s="2">
        <v>40901</v>
      </c>
      <c r="B72" s="1" t="s">
        <v>261</v>
      </c>
      <c r="C72" s="2">
        <v>0.66666666666666663</v>
      </c>
      <c r="D72" s="2">
        <v>2.3333333333333335</v>
      </c>
    </row>
    <row r="73" spans="1:4" x14ac:dyDescent="0.3">
      <c r="A73" s="2">
        <v>31301</v>
      </c>
      <c r="B73" s="1" t="s">
        <v>214</v>
      </c>
      <c r="C73" s="2">
        <v>0.66666666666666663</v>
      </c>
      <c r="D73" s="2">
        <v>2</v>
      </c>
    </row>
    <row r="74" spans="1:4" x14ac:dyDescent="0.3">
      <c r="A74" s="2">
        <v>70707</v>
      </c>
      <c r="B74" s="1" t="s">
        <v>401</v>
      </c>
      <c r="C74" s="2">
        <v>0.66666666666666663</v>
      </c>
      <c r="D74" s="2">
        <v>1.6666666666666667</v>
      </c>
    </row>
    <row r="75" spans="1:4" x14ac:dyDescent="0.3">
      <c r="A75" s="2">
        <v>70901</v>
      </c>
      <c r="B75" s="1" t="s">
        <v>409</v>
      </c>
      <c r="C75" s="2">
        <v>0.66666666666666663</v>
      </c>
      <c r="D75" s="2">
        <v>1.6666666666666667</v>
      </c>
    </row>
    <row r="76" spans="1:4" x14ac:dyDescent="0.3">
      <c r="A76" s="2">
        <v>80401</v>
      </c>
      <c r="B76" s="1" t="s">
        <v>448</v>
      </c>
      <c r="C76" s="2">
        <v>0.66666666666666663</v>
      </c>
      <c r="D76" s="2">
        <v>1.6666666666666667</v>
      </c>
    </row>
    <row r="77" spans="1:4" x14ac:dyDescent="0.3">
      <c r="A77" s="2">
        <v>10103</v>
      </c>
      <c r="B77" s="1" t="s">
        <v>8</v>
      </c>
      <c r="C77" s="2">
        <v>0.66666666666666663</v>
      </c>
      <c r="D77" s="2">
        <v>1.3333333333333333</v>
      </c>
    </row>
    <row r="78" spans="1:4" x14ac:dyDescent="0.3">
      <c r="A78" s="2">
        <v>31401</v>
      </c>
      <c r="B78" s="1" t="s">
        <v>219</v>
      </c>
      <c r="C78" s="2">
        <v>0.66666666666666663</v>
      </c>
      <c r="D78" s="2">
        <v>1.3333333333333333</v>
      </c>
    </row>
    <row r="79" spans="1:4" x14ac:dyDescent="0.3">
      <c r="A79" s="2">
        <v>40702</v>
      </c>
      <c r="B79" s="1" t="s">
        <v>257</v>
      </c>
      <c r="C79" s="2">
        <v>0.66666666666666663</v>
      </c>
      <c r="D79" s="2">
        <v>1.3333333333333333</v>
      </c>
    </row>
    <row r="80" spans="1:4" x14ac:dyDescent="0.3">
      <c r="A80" s="2">
        <v>60202</v>
      </c>
      <c r="B80" s="1" t="s">
        <v>349</v>
      </c>
      <c r="C80" s="2">
        <v>0.66666666666666663</v>
      </c>
      <c r="D80" s="2">
        <v>1.3333333333333333</v>
      </c>
    </row>
    <row r="81" spans="1:4" x14ac:dyDescent="0.3">
      <c r="A81" s="2">
        <v>71102</v>
      </c>
      <c r="B81" s="1" t="s">
        <v>419</v>
      </c>
      <c r="C81" s="2">
        <v>0.66666666666666663</v>
      </c>
      <c r="D81" s="2">
        <v>1.3333333333333333</v>
      </c>
    </row>
    <row r="82" spans="1:4" x14ac:dyDescent="0.3">
      <c r="A82" s="2">
        <v>10402</v>
      </c>
      <c r="B82" s="1" t="s">
        <v>20</v>
      </c>
      <c r="C82" s="2">
        <v>0.66666666666666663</v>
      </c>
      <c r="D82" s="2">
        <v>0</v>
      </c>
    </row>
    <row r="83" spans="1:4" x14ac:dyDescent="0.3">
      <c r="A83" s="2">
        <v>40501</v>
      </c>
      <c r="B83" s="1" t="s">
        <v>245</v>
      </c>
      <c r="C83" s="2">
        <v>0.66666666666666663</v>
      </c>
      <c r="D83" s="2">
        <v>0</v>
      </c>
    </row>
    <row r="84" spans="1:4" x14ac:dyDescent="0.3">
      <c r="A84" s="2">
        <v>60201</v>
      </c>
      <c r="B84" s="1" t="s">
        <v>348</v>
      </c>
      <c r="C84" s="2">
        <v>0.66666666666666663</v>
      </c>
      <c r="D84" s="2">
        <v>0</v>
      </c>
    </row>
    <row r="85" spans="1:4" x14ac:dyDescent="0.3">
      <c r="A85" s="2">
        <v>70502</v>
      </c>
      <c r="B85" s="1" t="s">
        <v>387</v>
      </c>
      <c r="C85" s="2">
        <v>0.33333333333333331</v>
      </c>
      <c r="D85" s="2">
        <v>12.666666666666666</v>
      </c>
    </row>
    <row r="86" spans="1:4" x14ac:dyDescent="0.3">
      <c r="A86" s="2">
        <v>30201</v>
      </c>
      <c r="B86" s="1" t="s">
        <v>170</v>
      </c>
      <c r="C86" s="2">
        <v>0.33333333333333331</v>
      </c>
      <c r="D86" s="2">
        <v>4.666666666666667</v>
      </c>
    </row>
    <row r="87" spans="1:4" x14ac:dyDescent="0.3">
      <c r="A87" s="2">
        <v>20804</v>
      </c>
      <c r="B87" s="1" t="s">
        <v>103</v>
      </c>
      <c r="C87" s="2">
        <v>0.33333333333333331</v>
      </c>
      <c r="D87" s="2">
        <v>3.3333333333333335</v>
      </c>
    </row>
    <row r="88" spans="1:4" x14ac:dyDescent="0.3">
      <c r="A88" s="2">
        <v>70703</v>
      </c>
      <c r="B88" s="1" t="s">
        <v>397</v>
      </c>
      <c r="C88" s="2">
        <v>0.33333333333333331</v>
      </c>
      <c r="D88" s="2">
        <v>3.3333333333333335</v>
      </c>
    </row>
    <row r="89" spans="1:4" x14ac:dyDescent="0.3">
      <c r="A89" s="2">
        <v>80302</v>
      </c>
      <c r="B89" s="1" t="s">
        <v>444</v>
      </c>
      <c r="C89" s="2">
        <v>0.33333333333333331</v>
      </c>
      <c r="D89" s="2">
        <v>3.3333333333333335</v>
      </c>
    </row>
    <row r="90" spans="1:4" x14ac:dyDescent="0.3">
      <c r="A90" s="2">
        <v>40201</v>
      </c>
      <c r="B90" s="1" t="s">
        <v>236</v>
      </c>
      <c r="C90" s="2">
        <v>0.33333333333333331</v>
      </c>
      <c r="D90" s="2">
        <v>3</v>
      </c>
    </row>
    <row r="91" spans="1:4" x14ac:dyDescent="0.3">
      <c r="A91" s="2">
        <v>31602</v>
      </c>
      <c r="B91" s="1" t="s">
        <v>229</v>
      </c>
      <c r="C91" s="2">
        <v>0.33333333333333331</v>
      </c>
      <c r="D91" s="2">
        <v>2.6666666666666665</v>
      </c>
    </row>
    <row r="92" spans="1:4" x14ac:dyDescent="0.3">
      <c r="A92" s="2">
        <v>80202</v>
      </c>
      <c r="B92" s="1" t="s">
        <v>441</v>
      </c>
      <c r="C92" s="2">
        <v>0.33333333333333331</v>
      </c>
      <c r="D92" s="2">
        <v>2.6666666666666665</v>
      </c>
    </row>
    <row r="93" spans="1:4" x14ac:dyDescent="0.3">
      <c r="A93" s="2">
        <v>50801</v>
      </c>
      <c r="B93" s="1" t="s">
        <v>314</v>
      </c>
      <c r="C93" s="2">
        <v>0.33333333333333331</v>
      </c>
      <c r="D93" s="2">
        <v>2.3333333333333335</v>
      </c>
    </row>
    <row r="94" spans="1:4" x14ac:dyDescent="0.3">
      <c r="A94" s="2">
        <v>51102</v>
      </c>
      <c r="B94" s="1" t="s">
        <v>329</v>
      </c>
      <c r="C94" s="2">
        <v>0.33333333333333331</v>
      </c>
      <c r="D94" s="2">
        <v>2.3333333333333335</v>
      </c>
    </row>
    <row r="95" spans="1:4" x14ac:dyDescent="0.3">
      <c r="A95" s="2">
        <v>71103</v>
      </c>
      <c r="B95" s="1" t="s">
        <v>420</v>
      </c>
      <c r="C95" s="2">
        <v>0.33333333333333331</v>
      </c>
      <c r="D95" s="2">
        <v>2.3333333333333335</v>
      </c>
    </row>
    <row r="96" spans="1:4" x14ac:dyDescent="0.3">
      <c r="A96" s="2">
        <v>51501</v>
      </c>
      <c r="B96" s="1" t="s">
        <v>343</v>
      </c>
      <c r="C96" s="2">
        <v>0.33333333333333331</v>
      </c>
      <c r="D96" s="2">
        <v>2</v>
      </c>
    </row>
    <row r="97" spans="1:4" x14ac:dyDescent="0.3">
      <c r="A97" s="2">
        <v>70103</v>
      </c>
      <c r="B97" s="1" t="s">
        <v>367</v>
      </c>
      <c r="C97" s="2">
        <v>0.33333333333333331</v>
      </c>
      <c r="D97" s="2">
        <v>2</v>
      </c>
    </row>
    <row r="98" spans="1:4" x14ac:dyDescent="0.3">
      <c r="A98" s="2">
        <v>20201</v>
      </c>
      <c r="B98" s="1" t="s">
        <v>58</v>
      </c>
      <c r="C98" s="2">
        <v>0.33333333333333331</v>
      </c>
      <c r="D98" s="2">
        <v>1.6666666666666667</v>
      </c>
    </row>
    <row r="99" spans="1:4" x14ac:dyDescent="0.3">
      <c r="A99" s="2">
        <v>30701</v>
      </c>
      <c r="B99" s="1" t="s">
        <v>189</v>
      </c>
      <c r="C99" s="2">
        <v>0.33333333333333331</v>
      </c>
      <c r="D99" s="2">
        <v>1.3333333333333333</v>
      </c>
    </row>
    <row r="100" spans="1:4" x14ac:dyDescent="0.3">
      <c r="A100" s="2">
        <v>50203</v>
      </c>
      <c r="B100" s="1" t="s">
        <v>291</v>
      </c>
      <c r="C100" s="2">
        <v>0.33333333333333331</v>
      </c>
      <c r="D100" s="2">
        <v>1.3333333333333333</v>
      </c>
    </row>
    <row r="101" spans="1:4" x14ac:dyDescent="0.3">
      <c r="A101" s="2">
        <v>10902</v>
      </c>
      <c r="B101" s="1" t="s">
        <v>42</v>
      </c>
      <c r="C101" s="2">
        <v>0.33333333333333331</v>
      </c>
      <c r="D101" s="2">
        <v>1</v>
      </c>
    </row>
    <row r="102" spans="1:4" x14ac:dyDescent="0.3">
      <c r="A102" s="2">
        <v>21101</v>
      </c>
      <c r="B102" s="1" t="s">
        <v>122</v>
      </c>
      <c r="C102" s="2">
        <v>0.33333333333333331</v>
      </c>
      <c r="D102" s="2">
        <v>1</v>
      </c>
    </row>
    <row r="103" spans="1:4" x14ac:dyDescent="0.3">
      <c r="A103" s="2">
        <v>21303</v>
      </c>
      <c r="B103" s="1" t="s">
        <v>138</v>
      </c>
      <c r="C103" s="2">
        <v>0.33333333333333331</v>
      </c>
      <c r="D103" s="2">
        <v>1</v>
      </c>
    </row>
    <row r="104" spans="1:4" x14ac:dyDescent="0.3">
      <c r="A104" s="2">
        <v>50402</v>
      </c>
      <c r="B104" s="1" t="s">
        <v>299</v>
      </c>
      <c r="C104" s="2">
        <v>0.33333333333333331</v>
      </c>
      <c r="D104" s="2">
        <v>1</v>
      </c>
    </row>
    <row r="105" spans="1:4" x14ac:dyDescent="0.3">
      <c r="A105" s="2">
        <v>60601</v>
      </c>
      <c r="B105" s="1" t="s">
        <v>213</v>
      </c>
      <c r="C105" s="2">
        <v>0.33333333333333331</v>
      </c>
      <c r="D105" s="2">
        <v>1</v>
      </c>
    </row>
    <row r="106" spans="1:4" x14ac:dyDescent="0.3">
      <c r="A106" s="2">
        <v>71003</v>
      </c>
      <c r="B106" s="1" t="s">
        <v>416</v>
      </c>
      <c r="C106" s="2">
        <v>0.33333333333333331</v>
      </c>
      <c r="D106" s="2">
        <v>1</v>
      </c>
    </row>
    <row r="107" spans="1:4" x14ac:dyDescent="0.3">
      <c r="A107" s="2">
        <v>71403</v>
      </c>
      <c r="B107" s="1" t="s">
        <v>432</v>
      </c>
      <c r="C107" s="2">
        <v>0.33333333333333331</v>
      </c>
      <c r="D107" s="2">
        <v>1</v>
      </c>
    </row>
    <row r="108" spans="1:4" x14ac:dyDescent="0.3">
      <c r="A108" s="2">
        <v>20104</v>
      </c>
      <c r="B108" s="1" t="s">
        <v>55</v>
      </c>
      <c r="C108" s="2">
        <v>0.33333333333333331</v>
      </c>
      <c r="D108" s="2">
        <v>0.66666666666666663</v>
      </c>
    </row>
    <row r="109" spans="1:4" x14ac:dyDescent="0.3">
      <c r="A109" s="2">
        <v>21001</v>
      </c>
      <c r="B109" s="1" t="s">
        <v>115</v>
      </c>
      <c r="C109" s="2">
        <v>0.33333333333333331</v>
      </c>
      <c r="D109" s="2">
        <v>0.66666666666666663</v>
      </c>
    </row>
    <row r="110" spans="1:4" x14ac:dyDescent="0.3">
      <c r="A110" s="2">
        <v>21202</v>
      </c>
      <c r="B110" s="1" t="s">
        <v>131</v>
      </c>
      <c r="C110" s="2">
        <v>0.33333333333333331</v>
      </c>
      <c r="D110" s="2">
        <v>0.66666666666666663</v>
      </c>
    </row>
    <row r="111" spans="1:4" x14ac:dyDescent="0.3">
      <c r="A111" s="2">
        <v>31303</v>
      </c>
      <c r="B111" s="1" t="s">
        <v>216</v>
      </c>
      <c r="C111" s="2">
        <v>0.33333333333333331</v>
      </c>
      <c r="D111" s="2">
        <v>0.66666666666666663</v>
      </c>
    </row>
    <row r="112" spans="1:4" x14ac:dyDescent="0.3">
      <c r="A112" s="2">
        <v>80501</v>
      </c>
      <c r="B112" s="1" t="s">
        <v>375</v>
      </c>
      <c r="C112" s="2">
        <v>0.33333333333333331</v>
      </c>
      <c r="D112" s="2">
        <v>0.66666666666666663</v>
      </c>
    </row>
    <row r="113" spans="1:4" x14ac:dyDescent="0.3">
      <c r="A113" s="2">
        <v>20303</v>
      </c>
      <c r="B113" s="1" t="s">
        <v>69</v>
      </c>
      <c r="C113" s="2">
        <v>0.33333333333333331</v>
      </c>
      <c r="D113" s="2">
        <v>0.33333333333333331</v>
      </c>
    </row>
    <row r="114" spans="1:4" x14ac:dyDescent="0.3">
      <c r="A114" s="2">
        <v>21104</v>
      </c>
      <c r="B114" s="1" t="s">
        <v>127</v>
      </c>
      <c r="C114" s="2">
        <v>0.33333333333333331</v>
      </c>
      <c r="D114" s="2">
        <v>0.33333333333333331</v>
      </c>
    </row>
    <row r="115" spans="1:4" x14ac:dyDescent="0.3">
      <c r="A115" s="2">
        <v>21305</v>
      </c>
      <c r="B115" s="1" t="s">
        <v>140</v>
      </c>
      <c r="C115" s="2">
        <v>0.33333333333333331</v>
      </c>
      <c r="D115" s="2">
        <v>0.33333333333333331</v>
      </c>
    </row>
    <row r="116" spans="1:4" x14ac:dyDescent="0.3">
      <c r="A116" s="2">
        <v>21701</v>
      </c>
      <c r="B116" s="1" t="s">
        <v>154</v>
      </c>
      <c r="C116" s="2">
        <v>0.33333333333333331</v>
      </c>
      <c r="D116" s="2">
        <v>0.33333333333333331</v>
      </c>
    </row>
    <row r="117" spans="1:4" x14ac:dyDescent="0.3">
      <c r="A117" s="2">
        <v>31601</v>
      </c>
      <c r="B117" s="1" t="s">
        <v>228</v>
      </c>
      <c r="C117" s="2">
        <v>0.33333333333333331</v>
      </c>
      <c r="D117" s="2">
        <v>0.33333333333333331</v>
      </c>
    </row>
    <row r="118" spans="1:4" x14ac:dyDescent="0.3">
      <c r="A118" s="2">
        <v>40301</v>
      </c>
      <c r="B118" s="1" t="s">
        <v>239</v>
      </c>
      <c r="C118" s="2">
        <v>0.33333333333333331</v>
      </c>
      <c r="D118" s="2">
        <v>0.33333333333333331</v>
      </c>
    </row>
    <row r="119" spans="1:4" x14ac:dyDescent="0.3">
      <c r="A119" s="2">
        <v>50201</v>
      </c>
      <c r="B119" s="1" t="s">
        <v>289</v>
      </c>
      <c r="C119" s="2">
        <v>0.33333333333333331</v>
      </c>
      <c r="D119" s="2">
        <v>0.33333333333333331</v>
      </c>
    </row>
    <row r="120" spans="1:4" x14ac:dyDescent="0.3">
      <c r="A120" s="2">
        <v>50502</v>
      </c>
      <c r="B120" s="1" t="s">
        <v>305</v>
      </c>
      <c r="C120" s="2">
        <v>0.33333333333333331</v>
      </c>
      <c r="D120" s="2">
        <v>0.33333333333333331</v>
      </c>
    </row>
    <row r="121" spans="1:4" x14ac:dyDescent="0.3">
      <c r="A121" s="2">
        <v>70702</v>
      </c>
      <c r="B121" s="1" t="s">
        <v>396</v>
      </c>
      <c r="C121" s="2">
        <v>0.33333333333333331</v>
      </c>
      <c r="D121" s="2">
        <v>0.33333333333333331</v>
      </c>
    </row>
    <row r="122" spans="1:4" x14ac:dyDescent="0.3">
      <c r="A122" s="2">
        <v>71005</v>
      </c>
      <c r="B122" s="1" t="s">
        <v>304</v>
      </c>
      <c r="C122" s="2">
        <v>0.33333333333333331</v>
      </c>
      <c r="D122" s="2">
        <v>0.33333333333333331</v>
      </c>
    </row>
    <row r="123" spans="1:4" x14ac:dyDescent="0.3">
      <c r="A123" s="2">
        <v>10102</v>
      </c>
      <c r="B123" s="1" t="s">
        <v>7</v>
      </c>
      <c r="C123" s="2">
        <v>0.33333333333333331</v>
      </c>
      <c r="D123" s="2">
        <v>0</v>
      </c>
    </row>
    <row r="124" spans="1:4" x14ac:dyDescent="0.3">
      <c r="A124" s="2">
        <v>20204</v>
      </c>
      <c r="B124" s="1" t="s">
        <v>62</v>
      </c>
      <c r="C124" s="2">
        <v>0.33333333333333331</v>
      </c>
      <c r="D124" s="2">
        <v>0</v>
      </c>
    </row>
    <row r="125" spans="1:4" x14ac:dyDescent="0.3">
      <c r="A125" s="2">
        <v>20305</v>
      </c>
      <c r="B125" s="1" t="s">
        <v>71</v>
      </c>
      <c r="C125" s="2">
        <v>0.33333333333333331</v>
      </c>
      <c r="D125" s="2">
        <v>0</v>
      </c>
    </row>
    <row r="126" spans="1:4" x14ac:dyDescent="0.3">
      <c r="A126" s="2">
        <v>21102</v>
      </c>
      <c r="B126" s="1" t="s">
        <v>124</v>
      </c>
      <c r="C126" s="2">
        <v>0.33333333333333331</v>
      </c>
      <c r="D126" s="2">
        <v>0</v>
      </c>
    </row>
    <row r="127" spans="1:4" x14ac:dyDescent="0.3">
      <c r="A127" s="2">
        <v>21203</v>
      </c>
      <c r="B127" s="1" t="s">
        <v>132</v>
      </c>
      <c r="C127" s="2">
        <v>0.33333333333333331</v>
      </c>
      <c r="D127" s="2">
        <v>0</v>
      </c>
    </row>
    <row r="128" spans="1:4" x14ac:dyDescent="0.3">
      <c r="A128" s="2">
        <v>21402</v>
      </c>
      <c r="B128" s="1" t="s">
        <v>145</v>
      </c>
      <c r="C128" s="2">
        <v>0.33333333333333331</v>
      </c>
      <c r="D128" s="2">
        <v>0</v>
      </c>
    </row>
    <row r="129" spans="1:4" x14ac:dyDescent="0.3">
      <c r="A129" s="2">
        <v>50403</v>
      </c>
      <c r="B129" s="1" t="s">
        <v>300</v>
      </c>
      <c r="C129" s="2">
        <v>0.33333333333333331</v>
      </c>
      <c r="D129" s="2">
        <v>0</v>
      </c>
    </row>
    <row r="130" spans="1:4" x14ac:dyDescent="0.3">
      <c r="A130" s="2">
        <v>70202</v>
      </c>
      <c r="B130" s="1" t="s">
        <v>372</v>
      </c>
      <c r="C130" s="2">
        <v>0</v>
      </c>
      <c r="D130" s="2">
        <v>6.666666666666667</v>
      </c>
    </row>
    <row r="131" spans="1:4" x14ac:dyDescent="0.3">
      <c r="A131" s="2">
        <v>30803</v>
      </c>
      <c r="B131" s="1" t="s">
        <v>196</v>
      </c>
      <c r="C131" s="2">
        <v>0</v>
      </c>
      <c r="D131" s="2">
        <v>6.333333333333333</v>
      </c>
    </row>
    <row r="132" spans="1:4" x14ac:dyDescent="0.3">
      <c r="A132" s="2">
        <v>31204</v>
      </c>
      <c r="B132" s="1" t="s">
        <v>211</v>
      </c>
      <c r="C132" s="2">
        <v>0</v>
      </c>
      <c r="D132" s="2">
        <v>6.333333333333333</v>
      </c>
    </row>
    <row r="133" spans="1:4" x14ac:dyDescent="0.3">
      <c r="A133" s="2">
        <v>31403</v>
      </c>
      <c r="B133" s="1" t="s">
        <v>222</v>
      </c>
      <c r="C133" s="2">
        <v>0</v>
      </c>
      <c r="D133" s="2">
        <v>5.666666666666667</v>
      </c>
    </row>
    <row r="134" spans="1:4" x14ac:dyDescent="0.3">
      <c r="A134" s="2">
        <v>31002</v>
      </c>
      <c r="B134" s="1" t="s">
        <v>204</v>
      </c>
      <c r="C134" s="2">
        <v>0</v>
      </c>
      <c r="D134" s="2">
        <v>5</v>
      </c>
    </row>
    <row r="135" spans="1:4" x14ac:dyDescent="0.3">
      <c r="A135" s="2">
        <v>71301</v>
      </c>
      <c r="B135" s="1" t="s">
        <v>427</v>
      </c>
      <c r="C135" s="2">
        <v>0</v>
      </c>
      <c r="D135" s="2">
        <v>4</v>
      </c>
    </row>
    <row r="136" spans="1:4" x14ac:dyDescent="0.3">
      <c r="A136" s="2">
        <v>30401</v>
      </c>
      <c r="B136" s="1" t="s">
        <v>179</v>
      </c>
      <c r="C136" s="2">
        <v>0</v>
      </c>
      <c r="D136" s="2">
        <v>3.3333333333333335</v>
      </c>
    </row>
    <row r="137" spans="1:4" x14ac:dyDescent="0.3">
      <c r="A137" s="2">
        <v>30403</v>
      </c>
      <c r="B137" s="1" t="s">
        <v>182</v>
      </c>
      <c r="C137" s="2">
        <v>0</v>
      </c>
      <c r="D137" s="2">
        <v>3.3333333333333335</v>
      </c>
    </row>
    <row r="138" spans="1:4" x14ac:dyDescent="0.3">
      <c r="A138" s="2">
        <v>20701</v>
      </c>
      <c r="B138" s="1" t="s">
        <v>96</v>
      </c>
      <c r="C138" s="2">
        <v>0</v>
      </c>
      <c r="D138" s="2">
        <v>3</v>
      </c>
    </row>
    <row r="139" spans="1:4" x14ac:dyDescent="0.3">
      <c r="A139" s="2">
        <v>30502</v>
      </c>
      <c r="B139" s="1" t="s">
        <v>185</v>
      </c>
      <c r="C139" s="2">
        <v>0</v>
      </c>
      <c r="D139" s="2">
        <v>3</v>
      </c>
    </row>
    <row r="140" spans="1:4" x14ac:dyDescent="0.3">
      <c r="A140" s="2">
        <v>30801</v>
      </c>
      <c r="B140" s="1" t="s">
        <v>194</v>
      </c>
      <c r="C140" s="2">
        <v>0</v>
      </c>
      <c r="D140" s="2">
        <v>2.6666666666666665</v>
      </c>
    </row>
    <row r="141" spans="1:4" x14ac:dyDescent="0.3">
      <c r="A141" s="2">
        <v>51101</v>
      </c>
      <c r="B141" s="1" t="s">
        <v>327</v>
      </c>
      <c r="C141" s="2">
        <v>0</v>
      </c>
      <c r="D141" s="2">
        <v>2.6666666666666665</v>
      </c>
    </row>
    <row r="142" spans="1:4" x14ac:dyDescent="0.3">
      <c r="A142" s="2">
        <v>71402</v>
      </c>
      <c r="B142" s="1" t="s">
        <v>431</v>
      </c>
      <c r="C142" s="2">
        <v>0</v>
      </c>
      <c r="D142" s="2">
        <v>2.6666666666666665</v>
      </c>
    </row>
    <row r="143" spans="1:4" x14ac:dyDescent="0.3">
      <c r="A143" s="2">
        <v>30802</v>
      </c>
      <c r="B143" s="1" t="s">
        <v>195</v>
      </c>
      <c r="C143" s="2">
        <v>0</v>
      </c>
      <c r="D143" s="2">
        <v>2.3333333333333335</v>
      </c>
    </row>
    <row r="144" spans="1:4" x14ac:dyDescent="0.3">
      <c r="A144" s="2">
        <v>31202</v>
      </c>
      <c r="B144" s="1" t="s">
        <v>209</v>
      </c>
      <c r="C144" s="2">
        <v>0</v>
      </c>
      <c r="D144" s="2">
        <v>2.3333333333333335</v>
      </c>
    </row>
    <row r="145" spans="1:4" x14ac:dyDescent="0.3">
      <c r="A145" s="2">
        <v>10502</v>
      </c>
      <c r="B145" s="1" t="s">
        <v>30</v>
      </c>
      <c r="C145" s="2">
        <v>0</v>
      </c>
      <c r="D145" s="2">
        <v>2</v>
      </c>
    </row>
    <row r="146" spans="1:4" x14ac:dyDescent="0.3">
      <c r="A146" s="2">
        <v>30602</v>
      </c>
      <c r="B146" s="1" t="s">
        <v>188</v>
      </c>
      <c r="C146" s="2">
        <v>0</v>
      </c>
      <c r="D146" s="2">
        <v>2</v>
      </c>
    </row>
    <row r="147" spans="1:4" x14ac:dyDescent="0.3">
      <c r="A147" s="2">
        <v>50302</v>
      </c>
      <c r="B147" s="1" t="s">
        <v>296</v>
      </c>
      <c r="C147" s="2">
        <v>0</v>
      </c>
      <c r="D147" s="2">
        <v>2</v>
      </c>
    </row>
    <row r="148" spans="1:4" x14ac:dyDescent="0.3">
      <c r="A148" s="2">
        <v>21502</v>
      </c>
      <c r="B148" s="1" t="s">
        <v>148</v>
      </c>
      <c r="C148" s="2">
        <v>0</v>
      </c>
      <c r="D148" s="2">
        <v>1.6666666666666667</v>
      </c>
    </row>
    <row r="149" spans="1:4" x14ac:dyDescent="0.3">
      <c r="A149" s="2">
        <v>30501</v>
      </c>
      <c r="B149" s="1" t="s">
        <v>184</v>
      </c>
      <c r="C149" s="2">
        <v>0</v>
      </c>
      <c r="D149" s="2">
        <v>1.6666666666666667</v>
      </c>
    </row>
    <row r="150" spans="1:4" x14ac:dyDescent="0.3">
      <c r="A150" s="2">
        <v>40401</v>
      </c>
      <c r="B150" s="1" t="s">
        <v>242</v>
      </c>
      <c r="C150" s="2">
        <v>0</v>
      </c>
      <c r="D150" s="2">
        <v>1.6666666666666667</v>
      </c>
    </row>
    <row r="151" spans="1:4" x14ac:dyDescent="0.3">
      <c r="A151" s="2">
        <v>70404</v>
      </c>
      <c r="B151" s="1" t="s">
        <v>383</v>
      </c>
      <c r="C151" s="2">
        <v>0</v>
      </c>
      <c r="D151" s="2">
        <v>1.6666666666666667</v>
      </c>
    </row>
    <row r="152" spans="1:4" x14ac:dyDescent="0.3">
      <c r="A152" s="2">
        <v>30702</v>
      </c>
      <c r="B152" s="1" t="s">
        <v>190</v>
      </c>
      <c r="C152" s="2">
        <v>0</v>
      </c>
      <c r="D152" s="2">
        <v>1.3333333333333333</v>
      </c>
    </row>
    <row r="153" spans="1:4" x14ac:dyDescent="0.3">
      <c r="A153" s="2">
        <v>40104</v>
      </c>
      <c r="B153" s="1" t="s">
        <v>233</v>
      </c>
      <c r="C153" s="2">
        <v>0</v>
      </c>
      <c r="D153" s="2">
        <v>1.3333333333333333</v>
      </c>
    </row>
    <row r="154" spans="1:4" x14ac:dyDescent="0.3">
      <c r="A154" s="2">
        <v>50103</v>
      </c>
      <c r="B154" s="1" t="s">
        <v>284</v>
      </c>
      <c r="C154" s="2">
        <v>0</v>
      </c>
      <c r="D154" s="2">
        <v>1.3333333333333333</v>
      </c>
    </row>
    <row r="155" spans="1:4" x14ac:dyDescent="0.3">
      <c r="A155" s="2">
        <v>70302</v>
      </c>
      <c r="B155" s="1" t="s">
        <v>376</v>
      </c>
      <c r="C155" s="2">
        <v>0</v>
      </c>
      <c r="D155" s="2">
        <v>1.3333333333333333</v>
      </c>
    </row>
    <row r="156" spans="1:4" x14ac:dyDescent="0.3">
      <c r="A156" s="2">
        <v>70602</v>
      </c>
      <c r="B156" s="1" t="s">
        <v>391</v>
      </c>
      <c r="C156" s="2">
        <v>0</v>
      </c>
      <c r="D156" s="2">
        <v>1.3333333333333333</v>
      </c>
    </row>
    <row r="157" spans="1:4" x14ac:dyDescent="0.3">
      <c r="A157" s="2">
        <v>50102</v>
      </c>
      <c r="B157" s="1" t="s">
        <v>283</v>
      </c>
      <c r="C157" s="2">
        <v>0</v>
      </c>
      <c r="D157" s="2">
        <v>1</v>
      </c>
    </row>
    <row r="158" spans="1:4" x14ac:dyDescent="0.3">
      <c r="A158" s="2">
        <v>50204</v>
      </c>
      <c r="B158" s="1" t="s">
        <v>292</v>
      </c>
      <c r="C158" s="2">
        <v>0</v>
      </c>
      <c r="D158" s="2">
        <v>1</v>
      </c>
    </row>
    <row r="159" spans="1:4" x14ac:dyDescent="0.3">
      <c r="A159" s="2">
        <v>50601</v>
      </c>
      <c r="B159" s="1" t="s">
        <v>307</v>
      </c>
      <c r="C159" s="2">
        <v>0</v>
      </c>
      <c r="D159" s="2">
        <v>1</v>
      </c>
    </row>
    <row r="160" spans="1:4" x14ac:dyDescent="0.3">
      <c r="A160" s="2">
        <v>70701</v>
      </c>
      <c r="B160" s="1" t="s">
        <v>395</v>
      </c>
      <c r="C160" s="2">
        <v>0</v>
      </c>
      <c r="D160" s="2">
        <v>1</v>
      </c>
    </row>
    <row r="161" spans="1:4" x14ac:dyDescent="0.3">
      <c r="A161" s="2">
        <v>70801</v>
      </c>
      <c r="B161" s="1" t="s">
        <v>402</v>
      </c>
      <c r="C161" s="2">
        <v>0</v>
      </c>
      <c r="D161" s="2">
        <v>1</v>
      </c>
    </row>
    <row r="162" spans="1:4" x14ac:dyDescent="0.3">
      <c r="A162" s="2">
        <v>71004</v>
      </c>
      <c r="B162" s="1" t="s">
        <v>417</v>
      </c>
      <c r="C162" s="2">
        <v>0</v>
      </c>
      <c r="D162" s="2">
        <v>1</v>
      </c>
    </row>
    <row r="163" spans="1:4" x14ac:dyDescent="0.3">
      <c r="A163" s="2">
        <v>80602</v>
      </c>
      <c r="B163" s="1" t="s">
        <v>454</v>
      </c>
      <c r="C163" s="2">
        <v>0</v>
      </c>
      <c r="D163" s="2">
        <v>1</v>
      </c>
    </row>
    <row r="164" spans="1:4" x14ac:dyDescent="0.3">
      <c r="A164" s="2">
        <v>90303</v>
      </c>
      <c r="B164" s="1" t="s">
        <v>474</v>
      </c>
      <c r="C164" s="2">
        <v>0</v>
      </c>
      <c r="D164" s="2">
        <v>1</v>
      </c>
    </row>
    <row r="165" spans="1:4" x14ac:dyDescent="0.3">
      <c r="A165" s="2">
        <v>20601</v>
      </c>
      <c r="B165" s="1" t="s">
        <v>87</v>
      </c>
      <c r="C165" s="2">
        <v>0</v>
      </c>
      <c r="D165" s="2">
        <v>0.66666666666666663</v>
      </c>
    </row>
    <row r="166" spans="1:4" x14ac:dyDescent="0.3">
      <c r="A166" s="2">
        <v>20607</v>
      </c>
      <c r="B166" s="1" t="s">
        <v>93</v>
      </c>
      <c r="C166" s="2">
        <v>0</v>
      </c>
      <c r="D166" s="2">
        <v>0.66666666666666663</v>
      </c>
    </row>
    <row r="167" spans="1:4" x14ac:dyDescent="0.3">
      <c r="A167" s="2">
        <v>21601</v>
      </c>
      <c r="B167" s="1" t="s">
        <v>150</v>
      </c>
      <c r="C167" s="2">
        <v>0</v>
      </c>
      <c r="D167" s="2">
        <v>0.66666666666666663</v>
      </c>
    </row>
    <row r="168" spans="1:4" x14ac:dyDescent="0.3">
      <c r="A168" s="2">
        <v>31203</v>
      </c>
      <c r="B168" s="1" t="s">
        <v>210</v>
      </c>
      <c r="C168" s="2">
        <v>0</v>
      </c>
      <c r="D168" s="2">
        <v>0.66666666666666663</v>
      </c>
    </row>
    <row r="169" spans="1:4" x14ac:dyDescent="0.3">
      <c r="A169" s="2">
        <v>70303</v>
      </c>
      <c r="B169" s="1" t="s">
        <v>378</v>
      </c>
      <c r="C169" s="2">
        <v>0</v>
      </c>
      <c r="D169" s="2">
        <v>0.66666666666666663</v>
      </c>
    </row>
    <row r="170" spans="1:4" x14ac:dyDescent="0.3">
      <c r="A170" s="2">
        <v>70704</v>
      </c>
      <c r="B170" s="1" t="s">
        <v>398</v>
      </c>
      <c r="C170" s="2">
        <v>0</v>
      </c>
      <c r="D170" s="2">
        <v>0.66666666666666663</v>
      </c>
    </row>
    <row r="171" spans="1:4" x14ac:dyDescent="0.3">
      <c r="A171" s="2">
        <v>71105</v>
      </c>
      <c r="B171" s="1" t="s">
        <v>422</v>
      </c>
      <c r="C171" s="2">
        <v>0</v>
      </c>
      <c r="D171" s="2">
        <v>0.66666666666666663</v>
      </c>
    </row>
    <row r="172" spans="1:4" x14ac:dyDescent="0.3">
      <c r="A172" s="2">
        <v>80301</v>
      </c>
      <c r="B172" s="1" t="s">
        <v>443</v>
      </c>
      <c r="C172" s="2">
        <v>0</v>
      </c>
      <c r="D172" s="2">
        <v>0.66666666666666663</v>
      </c>
    </row>
    <row r="173" spans="1:4" x14ac:dyDescent="0.3">
      <c r="A173" s="2">
        <v>80303</v>
      </c>
      <c r="B173" s="1" t="s">
        <v>392</v>
      </c>
      <c r="C173" s="2">
        <v>0</v>
      </c>
      <c r="D173" s="2">
        <v>0.66666666666666663</v>
      </c>
    </row>
    <row r="174" spans="1:4" x14ac:dyDescent="0.3">
      <c r="A174" s="2">
        <v>90102</v>
      </c>
      <c r="B174" s="1" t="s">
        <v>466</v>
      </c>
      <c r="C174" s="2">
        <v>0</v>
      </c>
      <c r="D174" s="2">
        <v>0.66666666666666663</v>
      </c>
    </row>
    <row r="175" spans="1:4" x14ac:dyDescent="0.3">
      <c r="A175" s="2">
        <v>20606</v>
      </c>
      <c r="B175" s="1" t="s">
        <v>92</v>
      </c>
      <c r="C175" s="2">
        <v>0</v>
      </c>
      <c r="D175" s="2">
        <v>0.33333333333333331</v>
      </c>
    </row>
    <row r="176" spans="1:4" x14ac:dyDescent="0.3">
      <c r="A176" s="2">
        <v>20802</v>
      </c>
      <c r="B176" s="1" t="s">
        <v>100</v>
      </c>
      <c r="C176" s="2">
        <v>0</v>
      </c>
      <c r="D176" s="2">
        <v>0.33333333333333331</v>
      </c>
    </row>
    <row r="177" spans="1:4" x14ac:dyDescent="0.3">
      <c r="A177" s="2">
        <v>21702</v>
      </c>
      <c r="B177" s="1" t="s">
        <v>155</v>
      </c>
      <c r="C177" s="2">
        <v>0</v>
      </c>
      <c r="D177" s="2">
        <v>0.33333333333333331</v>
      </c>
    </row>
    <row r="178" spans="1:4" x14ac:dyDescent="0.3">
      <c r="A178" s="2">
        <v>30303</v>
      </c>
      <c r="B178" s="1" t="s">
        <v>177</v>
      </c>
      <c r="C178" s="2">
        <v>0</v>
      </c>
      <c r="D178" s="2">
        <v>0.33333333333333331</v>
      </c>
    </row>
    <row r="179" spans="1:4" x14ac:dyDescent="0.3">
      <c r="A179" s="2">
        <v>30404</v>
      </c>
      <c r="B179" s="1" t="s">
        <v>183</v>
      </c>
      <c r="C179" s="2">
        <v>0</v>
      </c>
      <c r="D179" s="2">
        <v>0.33333333333333331</v>
      </c>
    </row>
    <row r="180" spans="1:4" x14ac:dyDescent="0.3">
      <c r="A180" s="2">
        <v>30703</v>
      </c>
      <c r="B180" s="1" t="s">
        <v>192</v>
      </c>
      <c r="C180" s="2">
        <v>0</v>
      </c>
      <c r="D180" s="2">
        <v>0.33333333333333331</v>
      </c>
    </row>
    <row r="181" spans="1:4" x14ac:dyDescent="0.3">
      <c r="A181" s="2">
        <v>40103</v>
      </c>
      <c r="B181" s="1" t="s">
        <v>232</v>
      </c>
      <c r="C181" s="2">
        <v>0</v>
      </c>
      <c r="D181" s="2">
        <v>0.33333333333333331</v>
      </c>
    </row>
    <row r="182" spans="1:4" x14ac:dyDescent="0.3">
      <c r="A182" s="2">
        <v>40402</v>
      </c>
      <c r="B182" s="1" t="s">
        <v>243</v>
      </c>
      <c r="C182" s="2">
        <v>0</v>
      </c>
      <c r="D182" s="2">
        <v>0.33333333333333331</v>
      </c>
    </row>
    <row r="183" spans="1:4" x14ac:dyDescent="0.3">
      <c r="A183" s="2">
        <v>40601</v>
      </c>
      <c r="B183" s="1" t="s">
        <v>250</v>
      </c>
      <c r="C183" s="2">
        <v>0</v>
      </c>
      <c r="D183" s="2">
        <v>0.33333333333333331</v>
      </c>
    </row>
    <row r="184" spans="1:4" x14ac:dyDescent="0.3">
      <c r="A184" s="2">
        <v>40602</v>
      </c>
      <c r="B184" s="1" t="s">
        <v>252</v>
      </c>
      <c r="C184" s="2">
        <v>0</v>
      </c>
      <c r="D184" s="2">
        <v>0.33333333333333331</v>
      </c>
    </row>
    <row r="185" spans="1:4" x14ac:dyDescent="0.3">
      <c r="A185" s="2">
        <v>41001</v>
      </c>
      <c r="B185" s="1" t="s">
        <v>265</v>
      </c>
      <c r="C185" s="2">
        <v>0</v>
      </c>
      <c r="D185" s="2">
        <v>0.33333333333333331</v>
      </c>
    </row>
    <row r="186" spans="1:4" x14ac:dyDescent="0.3">
      <c r="A186" s="2">
        <v>41401</v>
      </c>
      <c r="B186" s="1" t="s">
        <v>274</v>
      </c>
      <c r="C186" s="2">
        <v>0</v>
      </c>
      <c r="D186" s="2">
        <v>0.33333333333333331</v>
      </c>
    </row>
    <row r="187" spans="1:4" x14ac:dyDescent="0.3">
      <c r="A187" s="2">
        <v>50401</v>
      </c>
      <c r="B187" s="1" t="s">
        <v>298</v>
      </c>
      <c r="C187" s="2">
        <v>0</v>
      </c>
      <c r="D187" s="2">
        <v>0.33333333333333331</v>
      </c>
    </row>
    <row r="188" spans="1:4" x14ac:dyDescent="0.3">
      <c r="A188" s="2">
        <v>50602</v>
      </c>
      <c r="B188" s="1" t="s">
        <v>308</v>
      </c>
      <c r="C188" s="2">
        <v>0</v>
      </c>
      <c r="D188" s="2">
        <v>0.33333333333333331</v>
      </c>
    </row>
    <row r="189" spans="1:4" x14ac:dyDescent="0.3">
      <c r="A189" s="2">
        <v>50701</v>
      </c>
      <c r="B189" s="1" t="s">
        <v>310</v>
      </c>
      <c r="C189" s="2">
        <v>0</v>
      </c>
      <c r="D189" s="2">
        <v>0.33333333333333331</v>
      </c>
    </row>
    <row r="190" spans="1:4" x14ac:dyDescent="0.3">
      <c r="A190" s="2">
        <v>51203</v>
      </c>
      <c r="B190" s="1" t="s">
        <v>334</v>
      </c>
      <c r="C190" s="2">
        <v>0</v>
      </c>
      <c r="D190" s="2">
        <v>0.33333333333333331</v>
      </c>
    </row>
    <row r="191" spans="1:4" x14ac:dyDescent="0.3">
      <c r="A191" s="2">
        <v>60502</v>
      </c>
      <c r="B191" s="1" t="s">
        <v>361</v>
      </c>
      <c r="C191" s="2">
        <v>0</v>
      </c>
      <c r="D191" s="2">
        <v>0.33333333333333331</v>
      </c>
    </row>
    <row r="192" spans="1:4" x14ac:dyDescent="0.3">
      <c r="A192" s="2">
        <v>70705</v>
      </c>
      <c r="B192" s="1" t="s">
        <v>399</v>
      </c>
      <c r="C192" s="2">
        <v>0</v>
      </c>
      <c r="D192" s="2">
        <v>0.33333333333333331</v>
      </c>
    </row>
    <row r="193" spans="1:4" x14ac:dyDescent="0.3">
      <c r="A193" s="2">
        <v>70802</v>
      </c>
      <c r="B193" s="1" t="s">
        <v>403</v>
      </c>
      <c r="C193" s="2">
        <v>0</v>
      </c>
      <c r="D193" s="2">
        <v>0.33333333333333331</v>
      </c>
    </row>
    <row r="194" spans="1:4" x14ac:dyDescent="0.3">
      <c r="A194" s="2">
        <v>70804</v>
      </c>
      <c r="B194" s="1" t="s">
        <v>406</v>
      </c>
      <c r="C194" s="2">
        <v>0</v>
      </c>
      <c r="D194" s="2">
        <v>0.33333333333333331</v>
      </c>
    </row>
    <row r="195" spans="1:4" x14ac:dyDescent="0.3">
      <c r="A195" s="2">
        <v>71002</v>
      </c>
      <c r="B195" s="1" t="s">
        <v>415</v>
      </c>
      <c r="C195" s="2">
        <v>0</v>
      </c>
      <c r="D195" s="2">
        <v>0.33333333333333331</v>
      </c>
    </row>
    <row r="196" spans="1:4" x14ac:dyDescent="0.3">
      <c r="A196" s="2">
        <v>71302</v>
      </c>
      <c r="B196" s="1" t="s">
        <v>428</v>
      </c>
      <c r="C196" s="2">
        <v>0</v>
      </c>
      <c r="D196" s="2">
        <v>0.33333333333333331</v>
      </c>
    </row>
    <row r="197" spans="1:4" x14ac:dyDescent="0.3">
      <c r="A197" s="2">
        <v>71502</v>
      </c>
      <c r="B197" s="1" t="s">
        <v>435</v>
      </c>
      <c r="C197" s="2">
        <v>0</v>
      </c>
      <c r="D197" s="2">
        <v>0.33333333333333331</v>
      </c>
    </row>
    <row r="198" spans="1:4" x14ac:dyDescent="0.3">
      <c r="A198" s="2">
        <v>80402</v>
      </c>
      <c r="B198" s="1" t="s">
        <v>450</v>
      </c>
      <c r="C198" s="2">
        <v>0</v>
      </c>
      <c r="D198" s="2">
        <v>0.33333333333333331</v>
      </c>
    </row>
    <row r="199" spans="1:4" x14ac:dyDescent="0.3">
      <c r="A199" s="2">
        <v>80701</v>
      </c>
      <c r="B199" s="1" t="s">
        <v>456</v>
      </c>
      <c r="C199" s="2">
        <v>0</v>
      </c>
      <c r="D199" s="2">
        <v>0.33333333333333331</v>
      </c>
    </row>
    <row r="200" spans="1:4" x14ac:dyDescent="0.3">
      <c r="A200" s="2">
        <v>80801</v>
      </c>
      <c r="B200" s="1" t="s">
        <v>459</v>
      </c>
      <c r="C200" s="2">
        <v>0</v>
      </c>
      <c r="D200" s="2">
        <v>0.33333333333333331</v>
      </c>
    </row>
    <row r="201" spans="1:4" x14ac:dyDescent="0.3">
      <c r="A201" s="2">
        <v>80803</v>
      </c>
      <c r="B201" s="1" t="s">
        <v>461</v>
      </c>
      <c r="C201" s="2">
        <v>0</v>
      </c>
      <c r="D201" s="2">
        <v>0.33333333333333331</v>
      </c>
    </row>
    <row r="202" spans="1:4" x14ac:dyDescent="0.3">
      <c r="A202" s="2">
        <v>90104</v>
      </c>
      <c r="B202" s="1" t="s">
        <v>468</v>
      </c>
      <c r="C202" s="2">
        <v>0</v>
      </c>
      <c r="D202" s="2">
        <v>0.33333333333333331</v>
      </c>
    </row>
    <row r="203" spans="1:4" x14ac:dyDescent="0.3">
      <c r="A203" s="2">
        <v>90502</v>
      </c>
      <c r="B203" s="1" t="s">
        <v>478</v>
      </c>
      <c r="C203" s="2">
        <v>0</v>
      </c>
      <c r="D203" s="2">
        <v>0.33333333333333331</v>
      </c>
    </row>
    <row r="204" spans="1:4" x14ac:dyDescent="0.3">
      <c r="A204" s="2">
        <v>10201</v>
      </c>
      <c r="B204" s="1" t="s">
        <v>10</v>
      </c>
      <c r="C204" s="2">
        <v>0</v>
      </c>
      <c r="D204" s="2">
        <v>0</v>
      </c>
    </row>
    <row r="205" spans="1:4" x14ac:dyDescent="0.3">
      <c r="A205" s="2">
        <v>10202</v>
      </c>
      <c r="B205" s="1" t="s">
        <v>11</v>
      </c>
      <c r="C205" s="2">
        <v>0</v>
      </c>
      <c r="D205" s="2">
        <v>0</v>
      </c>
    </row>
    <row r="206" spans="1:4" x14ac:dyDescent="0.3">
      <c r="A206" s="2">
        <v>10302</v>
      </c>
      <c r="B206" s="1" t="s">
        <v>16</v>
      </c>
      <c r="C206" s="2">
        <v>0</v>
      </c>
      <c r="D206" s="2">
        <v>0</v>
      </c>
    </row>
    <row r="207" spans="1:4" x14ac:dyDescent="0.3">
      <c r="A207" s="2">
        <v>10303</v>
      </c>
      <c r="B207" s="1" t="s">
        <v>17</v>
      </c>
      <c r="C207" s="2">
        <v>0</v>
      </c>
      <c r="D207" s="2">
        <v>0</v>
      </c>
    </row>
    <row r="208" spans="1:4" x14ac:dyDescent="0.3">
      <c r="A208" s="2">
        <v>10304</v>
      </c>
      <c r="B208" s="1" t="s">
        <v>19</v>
      </c>
      <c r="C208" s="2">
        <v>0</v>
      </c>
      <c r="D208" s="2">
        <v>0</v>
      </c>
    </row>
    <row r="209" spans="1:4" x14ac:dyDescent="0.3">
      <c r="A209" s="2">
        <v>10403</v>
      </c>
      <c r="B209" s="1" t="s">
        <v>23</v>
      </c>
      <c r="C209" s="2">
        <v>0</v>
      </c>
      <c r="D209" s="2">
        <v>0</v>
      </c>
    </row>
    <row r="210" spans="1:4" x14ac:dyDescent="0.3">
      <c r="A210" s="2">
        <v>10404</v>
      </c>
      <c r="B210" s="1" t="s">
        <v>25</v>
      </c>
      <c r="C210" s="2">
        <v>0</v>
      </c>
      <c r="D210" s="2">
        <v>0</v>
      </c>
    </row>
    <row r="211" spans="1:4" x14ac:dyDescent="0.3">
      <c r="A211" s="2">
        <v>10405</v>
      </c>
      <c r="B211" s="1" t="s">
        <v>27</v>
      </c>
      <c r="C211" s="2">
        <v>0</v>
      </c>
      <c r="D211" s="2">
        <v>0</v>
      </c>
    </row>
    <row r="212" spans="1:4" x14ac:dyDescent="0.3">
      <c r="A212" s="2">
        <v>10703</v>
      </c>
      <c r="B212" s="1" t="s">
        <v>36</v>
      </c>
      <c r="C212" s="2">
        <v>0</v>
      </c>
      <c r="D212" s="2">
        <v>0</v>
      </c>
    </row>
    <row r="213" spans="1:4" x14ac:dyDescent="0.3">
      <c r="A213" s="2">
        <v>10704</v>
      </c>
      <c r="B213" s="1" t="s">
        <v>37</v>
      </c>
      <c r="C213" s="2">
        <v>0</v>
      </c>
      <c r="D213" s="2">
        <v>0</v>
      </c>
    </row>
    <row r="214" spans="1:4" x14ac:dyDescent="0.3">
      <c r="A214" s="2">
        <v>10801</v>
      </c>
      <c r="B214" s="1" t="s">
        <v>39</v>
      </c>
      <c r="C214" s="2">
        <v>0</v>
      </c>
      <c r="D214" s="2">
        <v>0</v>
      </c>
    </row>
    <row r="215" spans="1:4" x14ac:dyDescent="0.3">
      <c r="A215" s="2">
        <v>10901</v>
      </c>
      <c r="B215" s="1" t="s">
        <v>41</v>
      </c>
      <c r="C215" s="2">
        <v>0</v>
      </c>
      <c r="D215" s="2">
        <v>0</v>
      </c>
    </row>
    <row r="216" spans="1:4" x14ac:dyDescent="0.3">
      <c r="A216" s="2">
        <v>10903</v>
      </c>
      <c r="B216" s="1" t="s">
        <v>43</v>
      </c>
      <c r="C216" s="2">
        <v>0</v>
      </c>
      <c r="D216" s="2">
        <v>0</v>
      </c>
    </row>
    <row r="217" spans="1:4" x14ac:dyDescent="0.3">
      <c r="A217" s="2">
        <v>11002</v>
      </c>
      <c r="B217" s="1" t="s">
        <v>46</v>
      </c>
      <c r="C217" s="2">
        <v>0</v>
      </c>
      <c r="D217" s="2">
        <v>0</v>
      </c>
    </row>
    <row r="218" spans="1:4" x14ac:dyDescent="0.3">
      <c r="A218" s="2">
        <v>20102</v>
      </c>
      <c r="B218" s="1" t="s">
        <v>53</v>
      </c>
      <c r="C218" s="2">
        <v>0</v>
      </c>
      <c r="D218" s="2">
        <v>0</v>
      </c>
    </row>
    <row r="219" spans="1:4" x14ac:dyDescent="0.3">
      <c r="A219" s="2">
        <v>20103</v>
      </c>
      <c r="B219" s="1" t="s">
        <v>54</v>
      </c>
      <c r="C219" s="2">
        <v>0</v>
      </c>
      <c r="D219" s="2">
        <v>0</v>
      </c>
    </row>
    <row r="220" spans="1:4" x14ac:dyDescent="0.3">
      <c r="A220" s="2">
        <v>20202</v>
      </c>
      <c r="B220" s="1" t="s">
        <v>59</v>
      </c>
      <c r="C220" s="2">
        <v>0</v>
      </c>
      <c r="D220" s="2">
        <v>0</v>
      </c>
    </row>
    <row r="221" spans="1:4" x14ac:dyDescent="0.3">
      <c r="A221" s="2">
        <v>20203</v>
      </c>
      <c r="B221" s="1" t="s">
        <v>61</v>
      </c>
      <c r="C221" s="2">
        <v>0</v>
      </c>
      <c r="D221" s="2">
        <v>0</v>
      </c>
    </row>
    <row r="222" spans="1:4" x14ac:dyDescent="0.3">
      <c r="A222" s="2">
        <v>20205</v>
      </c>
      <c r="B222" s="1" t="s">
        <v>63</v>
      </c>
      <c r="C222" s="2">
        <v>0</v>
      </c>
      <c r="D222" s="2">
        <v>0</v>
      </c>
    </row>
    <row r="223" spans="1:4" x14ac:dyDescent="0.3">
      <c r="A223" s="2">
        <v>20206</v>
      </c>
      <c r="B223" s="1" t="s">
        <v>64</v>
      </c>
      <c r="C223" s="2">
        <v>0</v>
      </c>
      <c r="D223" s="2">
        <v>0</v>
      </c>
    </row>
    <row r="224" spans="1:4" x14ac:dyDescent="0.3">
      <c r="A224" s="2">
        <v>20301</v>
      </c>
      <c r="B224" s="1" t="s">
        <v>66</v>
      </c>
      <c r="C224" s="2">
        <v>0</v>
      </c>
      <c r="D224" s="2">
        <v>0</v>
      </c>
    </row>
    <row r="225" spans="1:4" x14ac:dyDescent="0.3">
      <c r="A225" s="2">
        <v>20302</v>
      </c>
      <c r="B225" s="1" t="s">
        <v>68</v>
      </c>
      <c r="C225" s="2">
        <v>0</v>
      </c>
      <c r="D225" s="2">
        <v>0</v>
      </c>
    </row>
    <row r="226" spans="1:4" x14ac:dyDescent="0.3">
      <c r="A226" s="2">
        <v>20304</v>
      </c>
      <c r="B226" s="1" t="s">
        <v>70</v>
      </c>
      <c r="C226" s="2">
        <v>0</v>
      </c>
      <c r="D226" s="2">
        <v>0</v>
      </c>
    </row>
    <row r="227" spans="1:4" x14ac:dyDescent="0.3">
      <c r="A227" s="2">
        <v>20306</v>
      </c>
      <c r="B227" s="1" t="s">
        <v>72</v>
      </c>
      <c r="C227" s="2">
        <v>0</v>
      </c>
      <c r="D227" s="2">
        <v>0</v>
      </c>
    </row>
    <row r="228" spans="1:4" x14ac:dyDescent="0.3">
      <c r="A228" s="2">
        <v>20307</v>
      </c>
      <c r="B228" s="1" t="s">
        <v>73</v>
      </c>
      <c r="C228" s="2">
        <v>0</v>
      </c>
      <c r="D228" s="2">
        <v>0</v>
      </c>
    </row>
    <row r="229" spans="1:4" x14ac:dyDescent="0.3">
      <c r="A229" s="2">
        <v>20308</v>
      </c>
      <c r="B229" s="1" t="s">
        <v>74</v>
      </c>
      <c r="C229" s="2">
        <v>0</v>
      </c>
      <c r="D229" s="2">
        <v>0</v>
      </c>
    </row>
    <row r="230" spans="1:4" x14ac:dyDescent="0.3">
      <c r="A230" s="2">
        <v>20401</v>
      </c>
      <c r="B230" s="1" t="s">
        <v>76</v>
      </c>
      <c r="C230" s="2">
        <v>0</v>
      </c>
      <c r="D230" s="2">
        <v>0</v>
      </c>
    </row>
    <row r="231" spans="1:4" x14ac:dyDescent="0.3">
      <c r="A231" s="2">
        <v>20402</v>
      </c>
      <c r="B231" s="1" t="s">
        <v>77</v>
      </c>
      <c r="C231" s="2">
        <v>0</v>
      </c>
      <c r="D231" s="2">
        <v>0</v>
      </c>
    </row>
    <row r="232" spans="1:4" x14ac:dyDescent="0.3">
      <c r="A232" s="2">
        <v>20403</v>
      </c>
      <c r="B232" s="1" t="s">
        <v>78</v>
      </c>
      <c r="C232" s="2">
        <v>0</v>
      </c>
      <c r="D232" s="2">
        <v>0</v>
      </c>
    </row>
    <row r="233" spans="1:4" x14ac:dyDescent="0.3">
      <c r="A233" s="2">
        <v>20404</v>
      </c>
      <c r="B233" s="1" t="s">
        <v>80</v>
      </c>
      <c r="C233" s="2">
        <v>0</v>
      </c>
      <c r="D233" s="2">
        <v>0</v>
      </c>
    </row>
    <row r="234" spans="1:4" x14ac:dyDescent="0.3">
      <c r="A234" s="2">
        <v>20405</v>
      </c>
      <c r="B234" s="1" t="s">
        <v>81</v>
      </c>
      <c r="C234" s="2">
        <v>0</v>
      </c>
      <c r="D234" s="2">
        <v>0</v>
      </c>
    </row>
    <row r="235" spans="1:4" x14ac:dyDescent="0.3">
      <c r="A235" s="2">
        <v>20501</v>
      </c>
      <c r="B235" s="1" t="s">
        <v>83</v>
      </c>
      <c r="C235" s="2">
        <v>0</v>
      </c>
      <c r="D235" s="2">
        <v>0</v>
      </c>
    </row>
    <row r="236" spans="1:4" x14ac:dyDescent="0.3">
      <c r="A236" s="2">
        <v>20502</v>
      </c>
      <c r="B236" s="1" t="s">
        <v>84</v>
      </c>
      <c r="C236" s="2">
        <v>0</v>
      </c>
      <c r="D236" s="2">
        <v>0</v>
      </c>
    </row>
    <row r="237" spans="1:4" x14ac:dyDescent="0.3">
      <c r="A237" s="2">
        <v>20503</v>
      </c>
      <c r="B237" s="1" t="s">
        <v>85</v>
      </c>
      <c r="C237" s="2">
        <v>0</v>
      </c>
      <c r="D237" s="2">
        <v>0</v>
      </c>
    </row>
    <row r="238" spans="1:4" x14ac:dyDescent="0.3">
      <c r="A238" s="2">
        <v>20603</v>
      </c>
      <c r="B238" s="1" t="s">
        <v>89</v>
      </c>
      <c r="C238" s="2">
        <v>0</v>
      </c>
      <c r="D238" s="2">
        <v>0</v>
      </c>
    </row>
    <row r="239" spans="1:4" x14ac:dyDescent="0.3">
      <c r="A239" s="2">
        <v>20604</v>
      </c>
      <c r="B239" s="1" t="s">
        <v>90</v>
      </c>
      <c r="C239" s="2">
        <v>0</v>
      </c>
      <c r="D239" s="2">
        <v>0</v>
      </c>
    </row>
    <row r="240" spans="1:4" x14ac:dyDescent="0.3">
      <c r="A240" s="2">
        <v>20605</v>
      </c>
      <c r="B240" s="1" t="s">
        <v>91</v>
      </c>
      <c r="C240" s="2">
        <v>0</v>
      </c>
      <c r="D240" s="2">
        <v>0</v>
      </c>
    </row>
    <row r="241" spans="1:4" x14ac:dyDescent="0.3">
      <c r="A241" s="2">
        <v>20608</v>
      </c>
      <c r="B241" s="1" t="s">
        <v>94</v>
      </c>
      <c r="C241" s="2">
        <v>0</v>
      </c>
      <c r="D241" s="2">
        <v>0</v>
      </c>
    </row>
    <row r="242" spans="1:4" x14ac:dyDescent="0.3">
      <c r="A242" s="2">
        <v>20702</v>
      </c>
      <c r="B242" s="1" t="s">
        <v>97</v>
      </c>
      <c r="C242" s="2">
        <v>0</v>
      </c>
      <c r="D242" s="2">
        <v>0</v>
      </c>
    </row>
    <row r="243" spans="1:4" x14ac:dyDescent="0.3">
      <c r="A243" s="2">
        <v>20803</v>
      </c>
      <c r="B243" s="1" t="s">
        <v>102</v>
      </c>
      <c r="C243" s="2">
        <v>0</v>
      </c>
      <c r="D243" s="2">
        <v>0</v>
      </c>
    </row>
    <row r="244" spans="1:4" x14ac:dyDescent="0.3">
      <c r="A244" s="2">
        <v>20805</v>
      </c>
      <c r="B244" s="1" t="s">
        <v>104</v>
      </c>
      <c r="C244" s="2">
        <v>0</v>
      </c>
      <c r="D244" s="2">
        <v>0</v>
      </c>
    </row>
    <row r="245" spans="1:4" x14ac:dyDescent="0.3">
      <c r="A245" s="2">
        <v>20806</v>
      </c>
      <c r="B245" s="1" t="s">
        <v>106</v>
      </c>
      <c r="C245" s="2">
        <v>0</v>
      </c>
      <c r="D245" s="2">
        <v>0</v>
      </c>
    </row>
    <row r="246" spans="1:4" x14ac:dyDescent="0.3">
      <c r="A246" s="2">
        <v>20807</v>
      </c>
      <c r="B246" s="1" t="s">
        <v>108</v>
      </c>
      <c r="C246" s="2">
        <v>0</v>
      </c>
      <c r="D246" s="2">
        <v>0</v>
      </c>
    </row>
    <row r="247" spans="1:4" x14ac:dyDescent="0.3">
      <c r="A247" s="2">
        <v>20901</v>
      </c>
      <c r="B247" s="1" t="s">
        <v>110</v>
      </c>
      <c r="C247" s="2">
        <v>0</v>
      </c>
      <c r="D247" s="2">
        <v>0</v>
      </c>
    </row>
    <row r="248" spans="1:4" x14ac:dyDescent="0.3">
      <c r="A248" s="2">
        <v>20902</v>
      </c>
      <c r="B248" s="1" t="s">
        <v>111</v>
      </c>
      <c r="C248" s="2">
        <v>0</v>
      </c>
      <c r="D248" s="2">
        <v>0</v>
      </c>
    </row>
    <row r="249" spans="1:4" x14ac:dyDescent="0.3">
      <c r="A249" s="2">
        <v>20903</v>
      </c>
      <c r="B249" s="1" t="s">
        <v>112</v>
      </c>
      <c r="C249" s="2">
        <v>0</v>
      </c>
      <c r="D249" s="2">
        <v>0</v>
      </c>
    </row>
    <row r="250" spans="1:4" x14ac:dyDescent="0.3">
      <c r="A250" s="2">
        <v>20904</v>
      </c>
      <c r="B250" s="1" t="s">
        <v>113</v>
      </c>
      <c r="C250" s="2">
        <v>0</v>
      </c>
      <c r="D250" s="2">
        <v>0</v>
      </c>
    </row>
    <row r="251" spans="1:4" x14ac:dyDescent="0.3">
      <c r="A251" s="2">
        <v>20905</v>
      </c>
      <c r="B251" s="1" t="s">
        <v>114</v>
      </c>
      <c r="C251" s="2">
        <v>0</v>
      </c>
      <c r="D251" s="2">
        <v>0</v>
      </c>
    </row>
    <row r="252" spans="1:4" x14ac:dyDescent="0.3">
      <c r="A252" s="2">
        <v>21002</v>
      </c>
      <c r="B252" s="1" t="s">
        <v>116</v>
      </c>
      <c r="C252" s="2">
        <v>0</v>
      </c>
      <c r="D252" s="2">
        <v>0</v>
      </c>
    </row>
    <row r="253" spans="1:4" x14ac:dyDescent="0.3">
      <c r="A253" s="2">
        <v>21003</v>
      </c>
      <c r="B253" s="1" t="s">
        <v>117</v>
      </c>
      <c r="C253" s="2">
        <v>0</v>
      </c>
      <c r="D253" s="2">
        <v>0</v>
      </c>
    </row>
    <row r="254" spans="1:4" x14ac:dyDescent="0.3">
      <c r="A254" s="2">
        <v>21004</v>
      </c>
      <c r="B254" s="1" t="s">
        <v>118</v>
      </c>
      <c r="C254" s="2">
        <v>0</v>
      </c>
      <c r="D254" s="2">
        <v>0</v>
      </c>
    </row>
    <row r="255" spans="1:4" x14ac:dyDescent="0.3">
      <c r="A255" s="2">
        <v>21005</v>
      </c>
      <c r="B255" s="1" t="s">
        <v>119</v>
      </c>
      <c r="C255" s="2">
        <v>0</v>
      </c>
      <c r="D255" s="2">
        <v>0</v>
      </c>
    </row>
    <row r="256" spans="1:4" x14ac:dyDescent="0.3">
      <c r="A256" s="2">
        <v>21006</v>
      </c>
      <c r="B256" s="1" t="s">
        <v>120</v>
      </c>
      <c r="C256" s="2">
        <v>0</v>
      </c>
      <c r="D256" s="2">
        <v>0</v>
      </c>
    </row>
    <row r="257" spans="1:4" x14ac:dyDescent="0.3">
      <c r="A257" s="2">
        <v>21103</v>
      </c>
      <c r="B257" s="1" t="s">
        <v>126</v>
      </c>
      <c r="C257" s="2">
        <v>0</v>
      </c>
      <c r="D257" s="2">
        <v>0</v>
      </c>
    </row>
    <row r="258" spans="1:4" x14ac:dyDescent="0.3">
      <c r="A258" s="2">
        <v>21201</v>
      </c>
      <c r="B258" s="1" t="s">
        <v>130</v>
      </c>
      <c r="C258" s="2">
        <v>0</v>
      </c>
      <c r="D258" s="2">
        <v>0</v>
      </c>
    </row>
    <row r="259" spans="1:4" x14ac:dyDescent="0.3">
      <c r="A259" s="2">
        <v>21204</v>
      </c>
      <c r="B259" s="1" t="s">
        <v>133</v>
      </c>
      <c r="C259" s="2">
        <v>0</v>
      </c>
      <c r="D259" s="2">
        <v>0</v>
      </c>
    </row>
    <row r="260" spans="1:4" x14ac:dyDescent="0.3">
      <c r="A260" s="2">
        <v>21302</v>
      </c>
      <c r="B260" s="1" t="s">
        <v>137</v>
      </c>
      <c r="C260" s="2">
        <v>0</v>
      </c>
      <c r="D260" s="2">
        <v>0</v>
      </c>
    </row>
    <row r="261" spans="1:4" x14ac:dyDescent="0.3">
      <c r="A261" s="2">
        <v>21306</v>
      </c>
      <c r="B261" s="1" t="s">
        <v>141</v>
      </c>
      <c r="C261" s="2">
        <v>0</v>
      </c>
      <c r="D261" s="2">
        <v>0</v>
      </c>
    </row>
    <row r="262" spans="1:4" x14ac:dyDescent="0.3">
      <c r="A262" s="2">
        <v>21307</v>
      </c>
      <c r="B262" s="1" t="s">
        <v>142</v>
      </c>
      <c r="C262" s="2">
        <v>0</v>
      </c>
      <c r="D262" s="2">
        <v>0</v>
      </c>
    </row>
    <row r="263" spans="1:4" x14ac:dyDescent="0.3">
      <c r="A263" s="2">
        <v>21501</v>
      </c>
      <c r="B263" s="1" t="s">
        <v>147</v>
      </c>
      <c r="C263" s="2">
        <v>0</v>
      </c>
      <c r="D263" s="2">
        <v>0</v>
      </c>
    </row>
    <row r="264" spans="1:4" x14ac:dyDescent="0.3">
      <c r="A264" s="2">
        <v>21602</v>
      </c>
      <c r="B264" s="1" t="s">
        <v>152</v>
      </c>
      <c r="C264" s="2">
        <v>0</v>
      </c>
      <c r="D264" s="2">
        <v>0</v>
      </c>
    </row>
    <row r="265" spans="1:4" x14ac:dyDescent="0.3">
      <c r="A265" s="2">
        <v>21703</v>
      </c>
      <c r="B265" s="1" t="s">
        <v>156</v>
      </c>
      <c r="C265" s="2">
        <v>0</v>
      </c>
      <c r="D265" s="2">
        <v>0</v>
      </c>
    </row>
    <row r="266" spans="1:4" x14ac:dyDescent="0.3">
      <c r="A266" s="2">
        <v>21801</v>
      </c>
      <c r="B266" s="1" t="s">
        <v>158</v>
      </c>
      <c r="C266" s="2">
        <v>0</v>
      </c>
      <c r="D266" s="2">
        <v>0</v>
      </c>
    </row>
    <row r="267" spans="1:4" x14ac:dyDescent="0.3">
      <c r="A267" s="2">
        <v>21802</v>
      </c>
      <c r="B267" s="1" t="s">
        <v>160</v>
      </c>
      <c r="C267" s="2">
        <v>0</v>
      </c>
      <c r="D267" s="2">
        <v>0</v>
      </c>
    </row>
    <row r="268" spans="1:4" x14ac:dyDescent="0.3">
      <c r="A268" s="2">
        <v>21803</v>
      </c>
      <c r="B268" s="1" t="s">
        <v>161</v>
      </c>
      <c r="C268" s="2">
        <v>0</v>
      </c>
      <c r="D268" s="2">
        <v>0</v>
      </c>
    </row>
    <row r="269" spans="1:4" x14ac:dyDescent="0.3">
      <c r="A269" s="2">
        <v>21901</v>
      </c>
      <c r="B269" s="1" t="s">
        <v>163</v>
      </c>
      <c r="C269" s="2">
        <v>0</v>
      </c>
      <c r="D269" s="2">
        <v>0</v>
      </c>
    </row>
    <row r="270" spans="1:4" x14ac:dyDescent="0.3">
      <c r="A270" s="2">
        <v>21902</v>
      </c>
      <c r="B270" s="1" t="s">
        <v>164</v>
      </c>
      <c r="C270" s="2">
        <v>0</v>
      </c>
      <c r="D270" s="2">
        <v>0</v>
      </c>
    </row>
    <row r="271" spans="1:4" x14ac:dyDescent="0.3">
      <c r="A271" s="2">
        <v>22002</v>
      </c>
      <c r="B271" s="1" t="s">
        <v>166</v>
      </c>
      <c r="C271" s="2">
        <v>0</v>
      </c>
      <c r="D271" s="2">
        <v>0</v>
      </c>
    </row>
    <row r="272" spans="1:4" x14ac:dyDescent="0.3">
      <c r="A272" s="2">
        <v>30202</v>
      </c>
      <c r="B272" s="1" t="s">
        <v>171</v>
      </c>
      <c r="C272" s="2">
        <v>0</v>
      </c>
      <c r="D272" s="2">
        <v>0</v>
      </c>
    </row>
    <row r="273" spans="1:4" x14ac:dyDescent="0.3">
      <c r="A273" s="2">
        <v>30203</v>
      </c>
      <c r="B273" s="1" t="s">
        <v>172</v>
      </c>
      <c r="C273" s="2">
        <v>0</v>
      </c>
      <c r="D273" s="2">
        <v>0</v>
      </c>
    </row>
    <row r="274" spans="1:4" x14ac:dyDescent="0.3">
      <c r="A274" s="2">
        <v>30301</v>
      </c>
      <c r="B274" s="1" t="s">
        <v>174</v>
      </c>
      <c r="C274" s="2">
        <v>0</v>
      </c>
      <c r="D274" s="2">
        <v>0</v>
      </c>
    </row>
    <row r="275" spans="1:4" x14ac:dyDescent="0.3">
      <c r="A275" s="2">
        <v>30302</v>
      </c>
      <c r="B275" s="1" t="s">
        <v>176</v>
      </c>
      <c r="C275" s="2">
        <v>0</v>
      </c>
      <c r="D275" s="2">
        <v>0</v>
      </c>
    </row>
    <row r="276" spans="1:4" x14ac:dyDescent="0.3">
      <c r="A276" s="2">
        <v>30402</v>
      </c>
      <c r="B276" s="1" t="s">
        <v>180</v>
      </c>
      <c r="C276" s="2">
        <v>0</v>
      </c>
      <c r="D276" s="2">
        <v>0</v>
      </c>
    </row>
    <row r="277" spans="1:4" x14ac:dyDescent="0.3">
      <c r="A277" s="2">
        <v>31302</v>
      </c>
      <c r="B277" s="1" t="s">
        <v>215</v>
      </c>
      <c r="C277" s="2">
        <v>0</v>
      </c>
      <c r="D277" s="2">
        <v>0</v>
      </c>
    </row>
    <row r="278" spans="1:4" x14ac:dyDescent="0.3">
      <c r="A278" s="2">
        <v>31304</v>
      </c>
      <c r="B278" s="1" t="s">
        <v>217</v>
      </c>
      <c r="C278" s="2">
        <v>0</v>
      </c>
      <c r="D278" s="2">
        <v>0</v>
      </c>
    </row>
    <row r="279" spans="1:4" x14ac:dyDescent="0.3">
      <c r="A279" s="2">
        <v>31402</v>
      </c>
      <c r="B279" s="1" t="s">
        <v>221</v>
      </c>
      <c r="C279" s="2">
        <v>0</v>
      </c>
      <c r="D279" s="2">
        <v>0</v>
      </c>
    </row>
    <row r="280" spans="1:4" x14ac:dyDescent="0.3">
      <c r="A280" s="2">
        <v>31404</v>
      </c>
      <c r="B280" s="1" t="s">
        <v>224</v>
      </c>
      <c r="C280" s="2">
        <v>0</v>
      </c>
      <c r="D280" s="2">
        <v>0</v>
      </c>
    </row>
    <row r="281" spans="1:4" x14ac:dyDescent="0.3">
      <c r="A281" s="2">
        <v>31405</v>
      </c>
      <c r="B281" s="1" t="s">
        <v>225</v>
      </c>
      <c r="C281" s="2">
        <v>0</v>
      </c>
      <c r="D281" s="2">
        <v>0</v>
      </c>
    </row>
    <row r="282" spans="1:4" x14ac:dyDescent="0.3">
      <c r="A282" s="2">
        <v>31501</v>
      </c>
      <c r="B282" s="1" t="s">
        <v>227</v>
      </c>
      <c r="C282" s="2">
        <v>0</v>
      </c>
      <c r="D282" s="2">
        <v>0</v>
      </c>
    </row>
    <row r="283" spans="1:4" x14ac:dyDescent="0.3">
      <c r="A283" s="2">
        <v>40202</v>
      </c>
      <c r="B283" s="1" t="s">
        <v>237</v>
      </c>
      <c r="C283" s="2">
        <v>0</v>
      </c>
      <c r="D283" s="2">
        <v>0</v>
      </c>
    </row>
    <row r="284" spans="1:4" x14ac:dyDescent="0.3">
      <c r="A284" s="2">
        <v>40302</v>
      </c>
      <c r="B284" s="1" t="s">
        <v>240</v>
      </c>
      <c r="C284" s="2">
        <v>0</v>
      </c>
      <c r="D284" s="2">
        <v>0</v>
      </c>
    </row>
    <row r="285" spans="1:4" x14ac:dyDescent="0.3">
      <c r="A285" s="2">
        <v>40502</v>
      </c>
      <c r="B285" s="1" t="s">
        <v>246</v>
      </c>
      <c r="C285" s="2">
        <v>0</v>
      </c>
      <c r="D285" s="2">
        <v>0</v>
      </c>
    </row>
    <row r="286" spans="1:4" x14ac:dyDescent="0.3">
      <c r="A286" s="2">
        <v>40503</v>
      </c>
      <c r="B286" s="1" t="s">
        <v>247</v>
      </c>
      <c r="C286" s="2">
        <v>0</v>
      </c>
      <c r="D286" s="2">
        <v>0</v>
      </c>
    </row>
    <row r="287" spans="1:4" x14ac:dyDescent="0.3">
      <c r="A287" s="2">
        <v>40504</v>
      </c>
      <c r="B287" s="1" t="s">
        <v>248</v>
      </c>
      <c r="C287" s="2">
        <v>0</v>
      </c>
      <c r="D287" s="2">
        <v>0</v>
      </c>
    </row>
    <row r="288" spans="1:4" x14ac:dyDescent="0.3">
      <c r="A288" s="2">
        <v>40505</v>
      </c>
      <c r="B288" s="1" t="s">
        <v>249</v>
      </c>
      <c r="C288" s="2">
        <v>0</v>
      </c>
      <c r="D288" s="2">
        <v>0</v>
      </c>
    </row>
    <row r="289" spans="1:4" x14ac:dyDescent="0.3">
      <c r="A289" s="2">
        <v>40603</v>
      </c>
      <c r="B289" s="1" t="s">
        <v>253</v>
      </c>
      <c r="C289" s="2">
        <v>0</v>
      </c>
      <c r="D289" s="2">
        <v>0</v>
      </c>
    </row>
    <row r="290" spans="1:4" x14ac:dyDescent="0.3">
      <c r="A290" s="2">
        <v>40801</v>
      </c>
      <c r="B290" s="1" t="s">
        <v>259</v>
      </c>
      <c r="C290" s="2">
        <v>0</v>
      </c>
      <c r="D290" s="2">
        <v>0</v>
      </c>
    </row>
    <row r="291" spans="1:4" x14ac:dyDescent="0.3">
      <c r="A291" s="2">
        <v>40802</v>
      </c>
      <c r="B291" s="1" t="s">
        <v>260</v>
      </c>
      <c r="C291" s="2">
        <v>0</v>
      </c>
      <c r="D291" s="2">
        <v>0</v>
      </c>
    </row>
    <row r="292" spans="1:4" x14ac:dyDescent="0.3">
      <c r="A292" s="2">
        <v>40902</v>
      </c>
      <c r="B292" s="1" t="s">
        <v>262</v>
      </c>
      <c r="C292" s="2">
        <v>0</v>
      </c>
      <c r="D292" s="2">
        <v>0</v>
      </c>
    </row>
    <row r="293" spans="1:4" x14ac:dyDescent="0.3">
      <c r="A293" s="2">
        <v>40903</v>
      </c>
      <c r="B293" s="1" t="s">
        <v>263</v>
      </c>
      <c r="C293" s="2">
        <v>0</v>
      </c>
      <c r="D293" s="2">
        <v>0</v>
      </c>
    </row>
    <row r="294" spans="1:4" x14ac:dyDescent="0.3">
      <c r="A294" s="2">
        <v>41101</v>
      </c>
      <c r="B294" s="1" t="s">
        <v>267</v>
      </c>
      <c r="C294" s="2">
        <v>0</v>
      </c>
      <c r="D294" s="2">
        <v>0</v>
      </c>
    </row>
    <row r="295" spans="1:4" x14ac:dyDescent="0.3">
      <c r="A295" s="2">
        <v>41201</v>
      </c>
      <c r="B295" s="1" t="s">
        <v>269</v>
      </c>
      <c r="C295" s="2">
        <v>0</v>
      </c>
      <c r="D295" s="2">
        <v>0</v>
      </c>
    </row>
    <row r="296" spans="1:4" x14ac:dyDescent="0.3">
      <c r="A296" s="2">
        <v>41202</v>
      </c>
      <c r="B296" s="1" t="s">
        <v>271</v>
      </c>
      <c r="C296" s="2">
        <v>0</v>
      </c>
      <c r="D296" s="2">
        <v>0</v>
      </c>
    </row>
    <row r="297" spans="1:4" x14ac:dyDescent="0.3">
      <c r="A297" s="2">
        <v>41301</v>
      </c>
      <c r="B297" s="1" t="s">
        <v>208</v>
      </c>
      <c r="C297" s="2">
        <v>0</v>
      </c>
      <c r="D297" s="2">
        <v>0</v>
      </c>
    </row>
    <row r="298" spans="1:4" x14ac:dyDescent="0.3">
      <c r="A298" s="2">
        <v>41501</v>
      </c>
      <c r="B298" s="1" t="s">
        <v>276</v>
      </c>
      <c r="C298" s="2">
        <v>0</v>
      </c>
      <c r="D298" s="2">
        <v>0</v>
      </c>
    </row>
    <row r="299" spans="1:4" x14ac:dyDescent="0.3">
      <c r="A299" s="2">
        <v>41502</v>
      </c>
      <c r="B299" s="1" t="s">
        <v>277</v>
      </c>
      <c r="C299" s="2">
        <v>0</v>
      </c>
      <c r="D299" s="2">
        <v>0</v>
      </c>
    </row>
    <row r="300" spans="1:4" x14ac:dyDescent="0.3">
      <c r="A300" s="2">
        <v>41503</v>
      </c>
      <c r="B300" s="1" t="s">
        <v>238</v>
      </c>
      <c r="C300" s="2">
        <v>0</v>
      </c>
      <c r="D300" s="2">
        <v>0</v>
      </c>
    </row>
    <row r="301" spans="1:4" x14ac:dyDescent="0.3">
      <c r="A301" s="2">
        <v>41601</v>
      </c>
      <c r="B301" s="1" t="s">
        <v>279</v>
      </c>
      <c r="C301" s="2">
        <v>0</v>
      </c>
      <c r="D301" s="2">
        <v>0</v>
      </c>
    </row>
    <row r="302" spans="1:4" x14ac:dyDescent="0.3">
      <c r="A302" s="2">
        <v>50104</v>
      </c>
      <c r="B302" s="1" t="s">
        <v>286</v>
      </c>
      <c r="C302" s="2">
        <v>0</v>
      </c>
      <c r="D302" s="2">
        <v>0</v>
      </c>
    </row>
    <row r="303" spans="1:4" x14ac:dyDescent="0.3">
      <c r="A303" s="2">
        <v>50202</v>
      </c>
      <c r="B303" s="1" t="s">
        <v>290</v>
      </c>
      <c r="C303" s="2">
        <v>0</v>
      </c>
      <c r="D303" s="2">
        <v>0</v>
      </c>
    </row>
    <row r="304" spans="1:4" x14ac:dyDescent="0.3">
      <c r="A304" s="2">
        <v>50303</v>
      </c>
      <c r="B304" s="1" t="s">
        <v>297</v>
      </c>
      <c r="C304" s="2">
        <v>0</v>
      </c>
      <c r="D304" s="2">
        <v>0</v>
      </c>
    </row>
    <row r="305" spans="1:4" x14ac:dyDescent="0.3">
      <c r="A305" s="2">
        <v>50501</v>
      </c>
      <c r="B305" s="1" t="s">
        <v>304</v>
      </c>
      <c r="C305" s="2">
        <v>0</v>
      </c>
      <c r="D305" s="2">
        <v>0</v>
      </c>
    </row>
    <row r="306" spans="1:4" x14ac:dyDescent="0.3">
      <c r="A306" s="2">
        <v>50702</v>
      </c>
      <c r="B306" s="1" t="s">
        <v>312</v>
      </c>
      <c r="C306" s="2">
        <v>0</v>
      </c>
      <c r="D306" s="2">
        <v>0</v>
      </c>
    </row>
    <row r="307" spans="1:4" x14ac:dyDescent="0.3">
      <c r="A307" s="2">
        <v>50802</v>
      </c>
      <c r="B307" s="1" t="s">
        <v>315</v>
      </c>
      <c r="C307" s="2">
        <v>0</v>
      </c>
      <c r="D307" s="2">
        <v>0</v>
      </c>
    </row>
    <row r="308" spans="1:4" x14ac:dyDescent="0.3">
      <c r="A308" s="2">
        <v>50901</v>
      </c>
      <c r="B308" s="1" t="s">
        <v>317</v>
      </c>
      <c r="C308" s="2">
        <v>0</v>
      </c>
      <c r="D308" s="2">
        <v>0</v>
      </c>
    </row>
    <row r="309" spans="1:4" x14ac:dyDescent="0.3">
      <c r="A309" s="2">
        <v>50902</v>
      </c>
      <c r="B309" s="1" t="s">
        <v>319</v>
      </c>
      <c r="C309" s="2">
        <v>0</v>
      </c>
      <c r="D309" s="2">
        <v>0</v>
      </c>
    </row>
    <row r="310" spans="1:4" x14ac:dyDescent="0.3">
      <c r="A310" s="2">
        <v>51001</v>
      </c>
      <c r="B310" s="1" t="s">
        <v>322</v>
      </c>
      <c r="C310" s="2">
        <v>0</v>
      </c>
      <c r="D310" s="2">
        <v>0</v>
      </c>
    </row>
    <row r="311" spans="1:4" x14ac:dyDescent="0.3">
      <c r="A311" s="2">
        <v>51002</v>
      </c>
      <c r="B311" s="1" t="s">
        <v>324</v>
      </c>
      <c r="C311" s="2">
        <v>0</v>
      </c>
      <c r="D311" s="2">
        <v>0</v>
      </c>
    </row>
    <row r="312" spans="1:4" x14ac:dyDescent="0.3">
      <c r="A312" s="2">
        <v>51003</v>
      </c>
      <c r="B312" s="1" t="s">
        <v>325</v>
      </c>
      <c r="C312" s="2">
        <v>0</v>
      </c>
      <c r="D312" s="2">
        <v>0</v>
      </c>
    </row>
    <row r="313" spans="1:4" x14ac:dyDescent="0.3">
      <c r="A313" s="2">
        <v>51103</v>
      </c>
      <c r="B313" s="1" t="s">
        <v>330</v>
      </c>
      <c r="C313" s="2">
        <v>0</v>
      </c>
      <c r="D313" s="2">
        <v>0</v>
      </c>
    </row>
    <row r="314" spans="1:4" x14ac:dyDescent="0.3">
      <c r="A314" s="2">
        <v>51202</v>
      </c>
      <c r="B314" s="1" t="s">
        <v>333</v>
      </c>
      <c r="C314" s="2">
        <v>0</v>
      </c>
      <c r="D314" s="2">
        <v>0</v>
      </c>
    </row>
    <row r="315" spans="1:4" x14ac:dyDescent="0.3">
      <c r="A315" s="2">
        <v>51204</v>
      </c>
      <c r="B315" s="1" t="s">
        <v>335</v>
      </c>
      <c r="C315" s="2">
        <v>0</v>
      </c>
      <c r="D315" s="2">
        <v>0</v>
      </c>
    </row>
    <row r="316" spans="1:4" x14ac:dyDescent="0.3">
      <c r="A316" s="2">
        <v>51301</v>
      </c>
      <c r="B316" s="1" t="s">
        <v>337</v>
      </c>
      <c r="C316" s="2">
        <v>0</v>
      </c>
      <c r="D316" s="2">
        <v>0</v>
      </c>
    </row>
    <row r="317" spans="1:4" x14ac:dyDescent="0.3">
      <c r="A317" s="2">
        <v>51302</v>
      </c>
      <c r="B317" s="1" t="s">
        <v>338</v>
      </c>
      <c r="C317" s="2">
        <v>0</v>
      </c>
      <c r="D317" s="2">
        <v>0</v>
      </c>
    </row>
    <row r="318" spans="1:4" x14ac:dyDescent="0.3">
      <c r="A318" s="2">
        <v>51401</v>
      </c>
      <c r="B318" s="1" t="s">
        <v>340</v>
      </c>
      <c r="C318" s="2">
        <v>0</v>
      </c>
      <c r="D318" s="2">
        <v>0</v>
      </c>
    </row>
    <row r="319" spans="1:4" x14ac:dyDescent="0.3">
      <c r="A319" s="2">
        <v>51402</v>
      </c>
      <c r="B319" s="1" t="s">
        <v>341</v>
      </c>
      <c r="C319" s="2">
        <v>0</v>
      </c>
      <c r="D319" s="2">
        <v>0</v>
      </c>
    </row>
    <row r="320" spans="1:4" x14ac:dyDescent="0.3">
      <c r="A320" s="2">
        <v>51601</v>
      </c>
      <c r="B320" s="1" t="s">
        <v>345</v>
      </c>
      <c r="C320" s="2">
        <v>0</v>
      </c>
      <c r="D320" s="2">
        <v>0</v>
      </c>
    </row>
    <row r="321" spans="1:4" x14ac:dyDescent="0.3">
      <c r="A321" s="2">
        <v>60302</v>
      </c>
      <c r="B321" s="1" t="s">
        <v>352</v>
      </c>
      <c r="C321" s="2">
        <v>0</v>
      </c>
      <c r="D321" s="2">
        <v>0</v>
      </c>
    </row>
    <row r="322" spans="1:4" x14ac:dyDescent="0.3">
      <c r="A322" s="2">
        <v>60401</v>
      </c>
      <c r="B322" s="1" t="s">
        <v>355</v>
      </c>
      <c r="C322" s="2">
        <v>0</v>
      </c>
      <c r="D322" s="2">
        <v>0</v>
      </c>
    </row>
    <row r="323" spans="1:4" x14ac:dyDescent="0.3">
      <c r="A323" s="2">
        <v>60402</v>
      </c>
      <c r="B323" s="1" t="s">
        <v>357</v>
      </c>
      <c r="C323" s="2">
        <v>0</v>
      </c>
      <c r="D323" s="2">
        <v>0</v>
      </c>
    </row>
    <row r="324" spans="1:4" x14ac:dyDescent="0.3">
      <c r="A324" s="2">
        <v>60501</v>
      </c>
      <c r="B324" s="1" t="s">
        <v>359</v>
      </c>
      <c r="C324" s="2">
        <v>0</v>
      </c>
      <c r="D324" s="2">
        <v>0</v>
      </c>
    </row>
    <row r="325" spans="1:4" x14ac:dyDescent="0.3">
      <c r="A325" s="2">
        <v>70603</v>
      </c>
      <c r="B325" s="1" t="s">
        <v>393</v>
      </c>
      <c r="C325" s="2">
        <v>0</v>
      </c>
      <c r="D325" s="2">
        <v>0</v>
      </c>
    </row>
    <row r="326" spans="1:4" x14ac:dyDescent="0.3">
      <c r="A326" s="2">
        <v>70803</v>
      </c>
      <c r="B326" s="1" t="s">
        <v>404</v>
      </c>
      <c r="C326" s="2">
        <v>0</v>
      </c>
      <c r="D326" s="2">
        <v>0</v>
      </c>
    </row>
    <row r="327" spans="1:4" x14ac:dyDescent="0.3">
      <c r="A327" s="2">
        <v>70805</v>
      </c>
      <c r="B327" s="1" t="s">
        <v>407</v>
      </c>
      <c r="C327" s="2">
        <v>0</v>
      </c>
      <c r="D327" s="2">
        <v>0</v>
      </c>
    </row>
    <row r="328" spans="1:4" x14ac:dyDescent="0.3">
      <c r="A328" s="2">
        <v>70904</v>
      </c>
      <c r="B328" s="1" t="s">
        <v>412</v>
      </c>
      <c r="C328" s="2">
        <v>0</v>
      </c>
      <c r="D328" s="2">
        <v>0</v>
      </c>
    </row>
    <row r="329" spans="1:4" x14ac:dyDescent="0.3">
      <c r="A329" s="2">
        <v>80102</v>
      </c>
      <c r="B329" s="1" t="s">
        <v>419</v>
      </c>
      <c r="C329" s="2">
        <v>0</v>
      </c>
      <c r="D329" s="2">
        <v>0</v>
      </c>
    </row>
    <row r="330" spans="1:4" x14ac:dyDescent="0.3">
      <c r="A330" s="2">
        <v>80601</v>
      </c>
      <c r="B330" s="1" t="s">
        <v>453</v>
      </c>
      <c r="C330" s="2">
        <v>0</v>
      </c>
      <c r="D330" s="2">
        <v>0</v>
      </c>
    </row>
    <row r="331" spans="1:4" x14ac:dyDescent="0.3">
      <c r="A331" s="2">
        <v>80702</v>
      </c>
      <c r="B331" s="1" t="s">
        <v>420</v>
      </c>
      <c r="C331" s="2">
        <v>0</v>
      </c>
      <c r="D331" s="2">
        <v>0</v>
      </c>
    </row>
    <row r="332" spans="1:4" x14ac:dyDescent="0.3">
      <c r="A332" s="2">
        <v>80703</v>
      </c>
      <c r="B332" s="1" t="s">
        <v>457</v>
      </c>
      <c r="C332" s="2">
        <v>0</v>
      </c>
      <c r="D332" s="2">
        <v>0</v>
      </c>
    </row>
    <row r="333" spans="1:4" x14ac:dyDescent="0.3">
      <c r="A333" s="2">
        <v>80802</v>
      </c>
      <c r="B333" s="1" t="s">
        <v>460</v>
      </c>
      <c r="C333" s="2">
        <v>0</v>
      </c>
      <c r="D333" s="2">
        <v>0</v>
      </c>
    </row>
    <row r="334" spans="1:4" x14ac:dyDescent="0.3">
      <c r="A334" s="2">
        <v>80901</v>
      </c>
      <c r="B334" s="1" t="s">
        <v>462</v>
      </c>
      <c r="C334" s="2">
        <v>0</v>
      </c>
      <c r="D334" s="2">
        <v>0</v>
      </c>
    </row>
    <row r="335" spans="1:4" x14ac:dyDescent="0.3">
      <c r="A335" s="2">
        <v>90103</v>
      </c>
      <c r="B335" s="1" t="s">
        <v>467</v>
      </c>
      <c r="C335" s="2">
        <v>0</v>
      </c>
      <c r="D335" s="2">
        <v>0</v>
      </c>
    </row>
    <row r="336" spans="1:4" x14ac:dyDescent="0.3">
      <c r="A336" s="2">
        <v>90201</v>
      </c>
      <c r="B336" s="1" t="s">
        <v>470</v>
      </c>
      <c r="C336" s="2">
        <v>0</v>
      </c>
      <c r="D336" s="2">
        <v>0</v>
      </c>
    </row>
    <row r="337" spans="1:4" x14ac:dyDescent="0.3">
      <c r="A337" s="2">
        <v>90202</v>
      </c>
      <c r="B337" s="1" t="s">
        <v>304</v>
      </c>
      <c r="C337" s="2">
        <v>0</v>
      </c>
      <c r="D337" s="2">
        <v>0</v>
      </c>
    </row>
    <row r="338" spans="1:4" x14ac:dyDescent="0.3">
      <c r="A338" s="2">
        <v>90203</v>
      </c>
      <c r="B338" s="1" t="s">
        <v>471</v>
      </c>
      <c r="C338" s="2">
        <v>0</v>
      </c>
      <c r="D338" s="2">
        <v>0</v>
      </c>
    </row>
    <row r="339" spans="1:4" x14ac:dyDescent="0.3">
      <c r="A339" s="2">
        <v>90301</v>
      </c>
      <c r="B339" s="1" t="s">
        <v>473</v>
      </c>
      <c r="C339" s="2">
        <v>0</v>
      </c>
      <c r="D339" s="2">
        <v>0</v>
      </c>
    </row>
    <row r="340" spans="1:4" x14ac:dyDescent="0.3">
      <c r="A340" s="2">
        <v>90302</v>
      </c>
      <c r="B340" s="1" t="s">
        <v>359</v>
      </c>
      <c r="C340" s="2">
        <v>0</v>
      </c>
      <c r="D340" s="2">
        <v>0</v>
      </c>
    </row>
    <row r="341" spans="1:4" x14ac:dyDescent="0.3">
      <c r="A341" s="2">
        <v>90401</v>
      </c>
      <c r="B341" s="1" t="s">
        <v>392</v>
      </c>
      <c r="C341" s="2">
        <v>0</v>
      </c>
      <c r="D341" s="2">
        <v>0</v>
      </c>
    </row>
    <row r="342" spans="1:4" x14ac:dyDescent="0.3">
      <c r="A342" s="2">
        <v>90402</v>
      </c>
      <c r="B342" s="1" t="s">
        <v>98</v>
      </c>
      <c r="C342" s="2">
        <v>0</v>
      </c>
      <c r="D342" s="2">
        <v>0</v>
      </c>
    </row>
    <row r="343" spans="1:4" x14ac:dyDescent="0.3">
      <c r="A343" s="2">
        <v>90501</v>
      </c>
      <c r="B343" s="1" t="s">
        <v>477</v>
      </c>
      <c r="C343" s="2">
        <v>0</v>
      </c>
      <c r="D343" s="2">
        <v>0</v>
      </c>
    </row>
    <row r="344" spans="1:4" x14ac:dyDescent="0.3">
      <c r="A344" s="2">
        <v>90503</v>
      </c>
      <c r="B344" s="1" t="s">
        <v>480</v>
      </c>
      <c r="C344" s="2">
        <v>0</v>
      </c>
      <c r="D344" s="2">
        <v>0</v>
      </c>
    </row>
  </sheetData>
  <autoFilter ref="A1:D1" xr:uid="{1C2EA4E4-947F-4BF5-BE50-2D1A474366F1}">
    <sortState xmlns:xlrd2="http://schemas.microsoft.com/office/spreadsheetml/2017/richdata2" ref="A2:D344">
      <sortCondition descending="1" ref="C1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FC59-35F6-4C8F-8F4E-20081D0E9141}">
  <sheetPr>
    <tabColor rgb="FFAF2738"/>
  </sheetPr>
  <dimension ref="A1:D344"/>
  <sheetViews>
    <sheetView workbookViewId="0">
      <selection activeCell="C1" sqref="C1:D1"/>
    </sheetView>
  </sheetViews>
  <sheetFormatPr baseColWidth="10" defaultRowHeight="14.4" x14ac:dyDescent="0.3"/>
  <sheetData>
    <row r="1" spans="1:4" ht="28.8" x14ac:dyDescent="0.3">
      <c r="A1" s="1" t="s">
        <v>481</v>
      </c>
      <c r="B1" s="1" t="s">
        <v>2</v>
      </c>
      <c r="C1" s="9" t="s">
        <v>513</v>
      </c>
      <c r="D1" s="9" t="s">
        <v>512</v>
      </c>
    </row>
    <row r="2" spans="1:4" x14ac:dyDescent="0.3">
      <c r="A2" s="2">
        <v>10101</v>
      </c>
      <c r="B2" s="1" t="s">
        <v>6</v>
      </c>
      <c r="C2" s="2"/>
      <c r="D2" s="2"/>
    </row>
    <row r="3" spans="1:4" x14ac:dyDescent="0.3">
      <c r="A3" s="2">
        <v>10102</v>
      </c>
      <c r="B3" s="1" t="s">
        <v>7</v>
      </c>
      <c r="C3" s="2"/>
      <c r="D3" s="2"/>
    </row>
    <row r="4" spans="1:4" x14ac:dyDescent="0.3">
      <c r="A4" s="2">
        <v>10103</v>
      </c>
      <c r="B4" s="1" t="s">
        <v>8</v>
      </c>
      <c r="C4" s="2"/>
      <c r="D4" s="2"/>
    </row>
    <row r="5" spans="1:4" x14ac:dyDescent="0.3">
      <c r="A5" s="2">
        <v>10201</v>
      </c>
      <c r="B5" s="1" t="s">
        <v>10</v>
      </c>
      <c r="C5" s="2"/>
      <c r="D5" s="2"/>
    </row>
    <row r="6" spans="1:4" x14ac:dyDescent="0.3">
      <c r="A6" s="2">
        <v>10202</v>
      </c>
      <c r="B6" s="1" t="s">
        <v>11</v>
      </c>
      <c r="C6" s="2"/>
      <c r="D6" s="2"/>
    </row>
    <row r="7" spans="1:4" x14ac:dyDescent="0.3">
      <c r="A7" s="2">
        <v>10301</v>
      </c>
      <c r="B7" s="1" t="s">
        <v>14</v>
      </c>
      <c r="C7" s="2"/>
      <c r="D7" s="2"/>
    </row>
    <row r="8" spans="1:4" x14ac:dyDescent="0.3">
      <c r="A8" s="2">
        <v>10302</v>
      </c>
      <c r="B8" s="1" t="s">
        <v>16</v>
      </c>
      <c r="C8" s="2"/>
      <c r="D8" s="2"/>
    </row>
    <row r="9" spans="1:4" x14ac:dyDescent="0.3">
      <c r="A9" s="2">
        <v>10303</v>
      </c>
      <c r="B9" s="1" t="s">
        <v>17</v>
      </c>
      <c r="C9" s="2"/>
      <c r="D9" s="2"/>
    </row>
    <row r="10" spans="1:4" x14ac:dyDescent="0.3">
      <c r="A10" s="2">
        <v>10304</v>
      </c>
      <c r="B10" s="1" t="s">
        <v>19</v>
      </c>
      <c r="C10" s="2"/>
      <c r="D10" s="2"/>
    </row>
    <row r="11" spans="1:4" x14ac:dyDescent="0.3">
      <c r="A11" s="2">
        <v>10401</v>
      </c>
      <c r="B11" s="1" t="s">
        <v>21</v>
      </c>
      <c r="C11" s="2"/>
      <c r="D11" s="2"/>
    </row>
    <row r="12" spans="1:4" x14ac:dyDescent="0.3">
      <c r="A12" s="2">
        <v>10402</v>
      </c>
      <c r="B12" s="1" t="s">
        <v>20</v>
      </c>
      <c r="C12" s="2"/>
      <c r="D12" s="2"/>
    </row>
    <row r="13" spans="1:4" x14ac:dyDescent="0.3">
      <c r="A13" s="2">
        <v>10403</v>
      </c>
      <c r="B13" s="1" t="s">
        <v>23</v>
      </c>
      <c r="C13" s="2"/>
      <c r="D13" s="2"/>
    </row>
    <row r="14" spans="1:4" x14ac:dyDescent="0.3">
      <c r="A14" s="2">
        <v>10404</v>
      </c>
      <c r="B14" s="1" t="s">
        <v>25</v>
      </c>
      <c r="C14" s="2"/>
      <c r="D14" s="2"/>
    </row>
    <row r="15" spans="1:4" x14ac:dyDescent="0.3">
      <c r="A15" s="2">
        <v>10405</v>
      </c>
      <c r="B15" s="1" t="s">
        <v>27</v>
      </c>
      <c r="C15" s="2"/>
      <c r="D15" s="2"/>
    </row>
    <row r="16" spans="1:4" x14ac:dyDescent="0.3">
      <c r="A16" s="2">
        <v>10501</v>
      </c>
      <c r="B16" s="1" t="s">
        <v>29</v>
      </c>
      <c r="C16" s="2"/>
      <c r="D16" s="2"/>
    </row>
    <row r="17" spans="1:4" x14ac:dyDescent="0.3">
      <c r="A17" s="2">
        <v>10502</v>
      </c>
      <c r="B17" s="1" t="s">
        <v>30</v>
      </c>
      <c r="C17" s="2"/>
      <c r="D17" s="2"/>
    </row>
    <row r="18" spans="1:4" x14ac:dyDescent="0.3">
      <c r="A18" s="2">
        <v>10601</v>
      </c>
      <c r="B18" s="1" t="s">
        <v>32</v>
      </c>
      <c r="C18" s="2"/>
      <c r="D18" s="2"/>
    </row>
    <row r="19" spans="1:4" x14ac:dyDescent="0.3">
      <c r="A19" s="2">
        <v>10602</v>
      </c>
      <c r="B19" s="1" t="s">
        <v>31</v>
      </c>
      <c r="C19" s="2"/>
      <c r="D19" s="2"/>
    </row>
    <row r="20" spans="1:4" x14ac:dyDescent="0.3">
      <c r="A20" s="2">
        <v>10701</v>
      </c>
      <c r="B20" s="1" t="s">
        <v>34</v>
      </c>
      <c r="C20" s="2"/>
      <c r="D20" s="2"/>
    </row>
    <row r="21" spans="1:4" x14ac:dyDescent="0.3">
      <c r="A21" s="2">
        <v>10702</v>
      </c>
      <c r="B21" s="1" t="s">
        <v>35</v>
      </c>
      <c r="C21" s="2"/>
      <c r="D21" s="2"/>
    </row>
    <row r="22" spans="1:4" x14ac:dyDescent="0.3">
      <c r="A22" s="2">
        <v>10703</v>
      </c>
      <c r="B22" s="1" t="s">
        <v>36</v>
      </c>
      <c r="C22" s="2"/>
      <c r="D22" s="2"/>
    </row>
    <row r="23" spans="1:4" x14ac:dyDescent="0.3">
      <c r="A23" s="2">
        <v>10704</v>
      </c>
      <c r="B23" s="1" t="s">
        <v>37</v>
      </c>
      <c r="C23" s="2"/>
      <c r="D23" s="2"/>
    </row>
    <row r="24" spans="1:4" x14ac:dyDescent="0.3">
      <c r="A24" s="2">
        <v>10801</v>
      </c>
      <c r="B24" s="1" t="s">
        <v>39</v>
      </c>
      <c r="C24" s="2"/>
      <c r="D24" s="2"/>
    </row>
    <row r="25" spans="1:4" x14ac:dyDescent="0.3">
      <c r="A25" s="2">
        <v>10901</v>
      </c>
      <c r="B25" s="1" t="s">
        <v>41</v>
      </c>
      <c r="C25" s="2"/>
      <c r="D25" s="2"/>
    </row>
    <row r="26" spans="1:4" x14ac:dyDescent="0.3">
      <c r="A26" s="2">
        <v>10902</v>
      </c>
      <c r="B26" s="1" t="s">
        <v>42</v>
      </c>
      <c r="C26" s="2"/>
      <c r="D26" s="2"/>
    </row>
    <row r="27" spans="1:4" x14ac:dyDescent="0.3">
      <c r="A27" s="2">
        <v>10903</v>
      </c>
      <c r="B27" s="1" t="s">
        <v>43</v>
      </c>
      <c r="C27" s="2"/>
      <c r="D27" s="2"/>
    </row>
    <row r="28" spans="1:4" x14ac:dyDescent="0.3">
      <c r="A28" s="2">
        <v>11001</v>
      </c>
      <c r="B28" s="1" t="s">
        <v>45</v>
      </c>
      <c r="C28" s="2"/>
      <c r="D28" s="2"/>
    </row>
    <row r="29" spans="1:4" x14ac:dyDescent="0.3">
      <c r="A29" s="2">
        <v>11002</v>
      </c>
      <c r="B29" s="1" t="s">
        <v>46</v>
      </c>
      <c r="C29" s="2"/>
      <c r="D29" s="2"/>
    </row>
    <row r="30" spans="1:4" x14ac:dyDescent="0.3">
      <c r="A30" s="2">
        <v>11003</v>
      </c>
      <c r="B30" s="1" t="s">
        <v>48</v>
      </c>
      <c r="C30" s="2"/>
      <c r="D30" s="2"/>
    </row>
    <row r="31" spans="1:4" x14ac:dyDescent="0.3">
      <c r="A31" s="2">
        <v>20101</v>
      </c>
      <c r="B31" s="1" t="s">
        <v>52</v>
      </c>
      <c r="C31" s="2"/>
      <c r="D31" s="2"/>
    </row>
    <row r="32" spans="1:4" x14ac:dyDescent="0.3">
      <c r="A32" s="2">
        <v>20102</v>
      </c>
      <c r="B32" s="1" t="s">
        <v>53</v>
      </c>
      <c r="C32" s="2"/>
      <c r="D32" s="2"/>
    </row>
    <row r="33" spans="1:4" x14ac:dyDescent="0.3">
      <c r="A33" s="2">
        <v>20103</v>
      </c>
      <c r="B33" s="1" t="s">
        <v>54</v>
      </c>
      <c r="C33" s="2"/>
      <c r="D33" s="2"/>
    </row>
    <row r="34" spans="1:4" x14ac:dyDescent="0.3">
      <c r="A34" s="2">
        <v>20104</v>
      </c>
      <c r="B34" s="1" t="s">
        <v>55</v>
      </c>
      <c r="C34" s="2"/>
      <c r="D34" s="2"/>
    </row>
    <row r="35" spans="1:4" x14ac:dyDescent="0.3">
      <c r="A35" s="2">
        <v>20105</v>
      </c>
      <c r="B35" s="1" t="s">
        <v>56</v>
      </c>
      <c r="C35" s="2"/>
      <c r="D35" s="2"/>
    </row>
    <row r="36" spans="1:4" x14ac:dyDescent="0.3">
      <c r="A36" s="2">
        <v>20201</v>
      </c>
      <c r="B36" s="1" t="s">
        <v>58</v>
      </c>
      <c r="C36" s="2"/>
      <c r="D36" s="2"/>
    </row>
    <row r="37" spans="1:4" x14ac:dyDescent="0.3">
      <c r="A37" s="2">
        <v>20202</v>
      </c>
      <c r="B37" s="1" t="s">
        <v>59</v>
      </c>
      <c r="C37" s="2"/>
      <c r="D37" s="2"/>
    </row>
    <row r="38" spans="1:4" x14ac:dyDescent="0.3">
      <c r="A38" s="2">
        <v>20203</v>
      </c>
      <c r="B38" s="1" t="s">
        <v>61</v>
      </c>
      <c r="C38" s="2"/>
      <c r="D38" s="2"/>
    </row>
    <row r="39" spans="1:4" x14ac:dyDescent="0.3">
      <c r="A39" s="2">
        <v>20204</v>
      </c>
      <c r="B39" s="1" t="s">
        <v>62</v>
      </c>
      <c r="C39" s="2"/>
      <c r="D39" s="2"/>
    </row>
    <row r="40" spans="1:4" x14ac:dyDescent="0.3">
      <c r="A40" s="2">
        <v>20205</v>
      </c>
      <c r="B40" s="1" t="s">
        <v>63</v>
      </c>
      <c r="C40" s="2"/>
      <c r="D40" s="2"/>
    </row>
    <row r="41" spans="1:4" x14ac:dyDescent="0.3">
      <c r="A41" s="2">
        <v>20206</v>
      </c>
      <c r="B41" s="1" t="s">
        <v>64</v>
      </c>
      <c r="C41" s="2"/>
      <c r="D41" s="2"/>
    </row>
    <row r="42" spans="1:4" x14ac:dyDescent="0.3">
      <c r="A42" s="2">
        <v>20301</v>
      </c>
      <c r="B42" s="1" t="s">
        <v>66</v>
      </c>
      <c r="C42" s="2"/>
      <c r="D42" s="2"/>
    </row>
    <row r="43" spans="1:4" x14ac:dyDescent="0.3">
      <c r="A43" s="2">
        <v>20302</v>
      </c>
      <c r="B43" s="1" t="s">
        <v>68</v>
      </c>
      <c r="C43" s="2"/>
      <c r="D43" s="2"/>
    </row>
    <row r="44" spans="1:4" x14ac:dyDescent="0.3">
      <c r="A44" s="2">
        <v>20303</v>
      </c>
      <c r="B44" s="1" t="s">
        <v>69</v>
      </c>
      <c r="C44" s="2"/>
      <c r="D44" s="2"/>
    </row>
    <row r="45" spans="1:4" x14ac:dyDescent="0.3">
      <c r="A45" s="2">
        <v>20304</v>
      </c>
      <c r="B45" s="1" t="s">
        <v>70</v>
      </c>
      <c r="C45" s="2"/>
      <c r="D45" s="2"/>
    </row>
    <row r="46" spans="1:4" x14ac:dyDescent="0.3">
      <c r="A46" s="2">
        <v>20305</v>
      </c>
      <c r="B46" s="1" t="s">
        <v>71</v>
      </c>
      <c r="C46" s="2"/>
      <c r="D46" s="2"/>
    </row>
    <row r="47" spans="1:4" x14ac:dyDescent="0.3">
      <c r="A47" s="2">
        <v>20306</v>
      </c>
      <c r="B47" s="1" t="s">
        <v>72</v>
      </c>
      <c r="C47" s="2"/>
      <c r="D47" s="2"/>
    </row>
    <row r="48" spans="1:4" x14ac:dyDescent="0.3">
      <c r="A48" s="2">
        <v>20307</v>
      </c>
      <c r="B48" s="1" t="s">
        <v>73</v>
      </c>
      <c r="C48" s="2"/>
      <c r="D48" s="2"/>
    </row>
    <row r="49" spans="1:4" x14ac:dyDescent="0.3">
      <c r="A49" s="2">
        <v>20308</v>
      </c>
      <c r="B49" s="1" t="s">
        <v>74</v>
      </c>
      <c r="C49" s="2"/>
      <c r="D49" s="2"/>
    </row>
    <row r="50" spans="1:4" x14ac:dyDescent="0.3">
      <c r="A50" s="2">
        <v>20401</v>
      </c>
      <c r="B50" s="1" t="s">
        <v>76</v>
      </c>
      <c r="C50" s="2"/>
      <c r="D50" s="2"/>
    </row>
    <row r="51" spans="1:4" x14ac:dyDescent="0.3">
      <c r="A51" s="2">
        <v>20402</v>
      </c>
      <c r="B51" s="1" t="s">
        <v>77</v>
      </c>
      <c r="C51" s="2"/>
      <c r="D51" s="2"/>
    </row>
    <row r="52" spans="1:4" x14ac:dyDescent="0.3">
      <c r="A52" s="2">
        <v>20403</v>
      </c>
      <c r="B52" s="1" t="s">
        <v>78</v>
      </c>
      <c r="C52" s="2"/>
      <c r="D52" s="2"/>
    </row>
    <row r="53" spans="1:4" x14ac:dyDescent="0.3">
      <c r="A53" s="2">
        <v>20404</v>
      </c>
      <c r="B53" s="1" t="s">
        <v>80</v>
      </c>
      <c r="C53" s="2"/>
      <c r="D53" s="2"/>
    </row>
    <row r="54" spans="1:4" x14ac:dyDescent="0.3">
      <c r="A54" s="2">
        <v>20405</v>
      </c>
      <c r="B54" s="1" t="s">
        <v>81</v>
      </c>
      <c r="C54" s="2"/>
      <c r="D54" s="2"/>
    </row>
    <row r="55" spans="1:4" x14ac:dyDescent="0.3">
      <c r="A55" s="2">
        <v>20501</v>
      </c>
      <c r="B55" s="1" t="s">
        <v>83</v>
      </c>
      <c r="C55" s="2"/>
      <c r="D55" s="2"/>
    </row>
    <row r="56" spans="1:4" x14ac:dyDescent="0.3">
      <c r="A56" s="2">
        <v>20502</v>
      </c>
      <c r="B56" s="1" t="s">
        <v>84</v>
      </c>
      <c r="C56" s="2"/>
      <c r="D56" s="2"/>
    </row>
    <row r="57" spans="1:4" x14ac:dyDescent="0.3">
      <c r="A57" s="2">
        <v>20503</v>
      </c>
      <c r="B57" s="1" t="s">
        <v>85</v>
      </c>
      <c r="C57" s="2"/>
      <c r="D57" s="2"/>
    </row>
    <row r="58" spans="1:4" x14ac:dyDescent="0.3">
      <c r="A58" s="2">
        <v>20601</v>
      </c>
      <c r="B58" s="1" t="s">
        <v>87</v>
      </c>
      <c r="C58" s="2"/>
      <c r="D58" s="2"/>
    </row>
    <row r="59" spans="1:4" x14ac:dyDescent="0.3">
      <c r="A59" s="2">
        <v>20602</v>
      </c>
      <c r="B59" s="1" t="s">
        <v>88</v>
      </c>
      <c r="C59" s="2"/>
      <c r="D59" s="2"/>
    </row>
    <row r="60" spans="1:4" x14ac:dyDescent="0.3">
      <c r="A60" s="2">
        <v>20603</v>
      </c>
      <c r="B60" s="1" t="s">
        <v>89</v>
      </c>
      <c r="C60" s="2"/>
      <c r="D60" s="2"/>
    </row>
    <row r="61" spans="1:4" x14ac:dyDescent="0.3">
      <c r="A61" s="2">
        <v>20604</v>
      </c>
      <c r="B61" s="1" t="s">
        <v>90</v>
      </c>
      <c r="C61" s="2"/>
      <c r="D61" s="2"/>
    </row>
    <row r="62" spans="1:4" x14ac:dyDescent="0.3">
      <c r="A62" s="2">
        <v>20605</v>
      </c>
      <c r="B62" s="1" t="s">
        <v>91</v>
      </c>
      <c r="C62" s="2"/>
      <c r="D62" s="2"/>
    </row>
    <row r="63" spans="1:4" x14ac:dyDescent="0.3">
      <c r="A63" s="2">
        <v>20606</v>
      </c>
      <c r="B63" s="1" t="s">
        <v>92</v>
      </c>
      <c r="C63" s="2"/>
      <c r="D63" s="2"/>
    </row>
    <row r="64" spans="1:4" x14ac:dyDescent="0.3">
      <c r="A64" s="2">
        <v>20607</v>
      </c>
      <c r="B64" s="1" t="s">
        <v>93</v>
      </c>
      <c r="C64" s="2"/>
      <c r="D64" s="2"/>
    </row>
    <row r="65" spans="1:4" x14ac:dyDescent="0.3">
      <c r="A65" s="2">
        <v>20608</v>
      </c>
      <c r="B65" s="1" t="s">
        <v>94</v>
      </c>
      <c r="C65" s="2"/>
      <c r="D65" s="2"/>
    </row>
    <row r="66" spans="1:4" x14ac:dyDescent="0.3">
      <c r="A66" s="2">
        <v>20701</v>
      </c>
      <c r="B66" s="1" t="s">
        <v>96</v>
      </c>
      <c r="C66" s="2"/>
      <c r="D66" s="2"/>
    </row>
    <row r="67" spans="1:4" x14ac:dyDescent="0.3">
      <c r="A67" s="2">
        <v>20702</v>
      </c>
      <c r="B67" s="1" t="s">
        <v>97</v>
      </c>
      <c r="C67" s="2"/>
      <c r="D67" s="2"/>
    </row>
    <row r="68" spans="1:4" x14ac:dyDescent="0.3">
      <c r="A68" s="2">
        <v>20801</v>
      </c>
      <c r="B68" s="1" t="s">
        <v>99</v>
      </c>
      <c r="C68" s="2"/>
      <c r="D68" s="2"/>
    </row>
    <row r="69" spans="1:4" x14ac:dyDescent="0.3">
      <c r="A69" s="2">
        <v>20802</v>
      </c>
      <c r="B69" s="1" t="s">
        <v>100</v>
      </c>
      <c r="C69" s="2"/>
      <c r="D69" s="2"/>
    </row>
    <row r="70" spans="1:4" x14ac:dyDescent="0.3">
      <c r="A70" s="2">
        <v>20803</v>
      </c>
      <c r="B70" s="1" t="s">
        <v>102</v>
      </c>
      <c r="C70" s="2"/>
      <c r="D70" s="2"/>
    </row>
    <row r="71" spans="1:4" x14ac:dyDescent="0.3">
      <c r="A71" s="2">
        <v>20804</v>
      </c>
      <c r="B71" s="1" t="s">
        <v>103</v>
      </c>
      <c r="C71" s="2"/>
      <c r="D71" s="2"/>
    </row>
    <row r="72" spans="1:4" x14ac:dyDescent="0.3">
      <c r="A72" s="2">
        <v>20805</v>
      </c>
      <c r="B72" s="1" t="s">
        <v>104</v>
      </c>
      <c r="C72" s="2"/>
      <c r="D72" s="2"/>
    </row>
    <row r="73" spans="1:4" x14ac:dyDescent="0.3">
      <c r="A73" s="2">
        <v>20806</v>
      </c>
      <c r="B73" s="1" t="s">
        <v>106</v>
      </c>
      <c r="C73" s="2"/>
      <c r="D73" s="2"/>
    </row>
    <row r="74" spans="1:4" x14ac:dyDescent="0.3">
      <c r="A74" s="2">
        <v>20807</v>
      </c>
      <c r="B74" s="1" t="s">
        <v>108</v>
      </c>
      <c r="C74" s="2"/>
      <c r="D74" s="2"/>
    </row>
    <row r="75" spans="1:4" x14ac:dyDescent="0.3">
      <c r="A75" s="2">
        <v>20901</v>
      </c>
      <c r="B75" s="1" t="s">
        <v>110</v>
      </c>
      <c r="C75" s="2"/>
      <c r="D75" s="2"/>
    </row>
    <row r="76" spans="1:4" x14ac:dyDescent="0.3">
      <c r="A76" s="2">
        <v>20902</v>
      </c>
      <c r="B76" s="1" t="s">
        <v>111</v>
      </c>
      <c r="C76" s="2"/>
      <c r="D76" s="2"/>
    </row>
    <row r="77" spans="1:4" x14ac:dyDescent="0.3">
      <c r="A77" s="2">
        <v>20903</v>
      </c>
      <c r="B77" s="1" t="s">
        <v>112</v>
      </c>
      <c r="C77" s="2"/>
      <c r="D77" s="2"/>
    </row>
    <row r="78" spans="1:4" x14ac:dyDescent="0.3">
      <c r="A78" s="2">
        <v>20904</v>
      </c>
      <c r="B78" s="1" t="s">
        <v>113</v>
      </c>
      <c r="C78" s="2"/>
      <c r="D78" s="2"/>
    </row>
    <row r="79" spans="1:4" x14ac:dyDescent="0.3">
      <c r="A79" s="2">
        <v>20905</v>
      </c>
      <c r="B79" s="1" t="s">
        <v>114</v>
      </c>
      <c r="C79" s="2"/>
      <c r="D79" s="2"/>
    </row>
    <row r="80" spans="1:4" x14ac:dyDescent="0.3">
      <c r="A80" s="2">
        <v>21001</v>
      </c>
      <c r="B80" s="1" t="s">
        <v>115</v>
      </c>
      <c r="C80" s="2"/>
      <c r="D80" s="2"/>
    </row>
    <row r="81" spans="1:4" x14ac:dyDescent="0.3">
      <c r="A81" s="2">
        <v>21002</v>
      </c>
      <c r="B81" s="1" t="s">
        <v>116</v>
      </c>
      <c r="C81" s="2"/>
      <c r="D81" s="2"/>
    </row>
    <row r="82" spans="1:4" x14ac:dyDescent="0.3">
      <c r="A82" s="2">
        <v>21003</v>
      </c>
      <c r="B82" s="1" t="s">
        <v>117</v>
      </c>
      <c r="C82" s="2"/>
      <c r="D82" s="2"/>
    </row>
    <row r="83" spans="1:4" x14ac:dyDescent="0.3">
      <c r="A83" s="2">
        <v>21004</v>
      </c>
      <c r="B83" s="1" t="s">
        <v>118</v>
      </c>
      <c r="C83" s="2"/>
      <c r="D83" s="2"/>
    </row>
    <row r="84" spans="1:4" x14ac:dyDescent="0.3">
      <c r="A84" s="2">
        <v>21005</v>
      </c>
      <c r="B84" s="1" t="s">
        <v>119</v>
      </c>
      <c r="C84" s="2"/>
      <c r="D84" s="2"/>
    </row>
    <row r="85" spans="1:4" x14ac:dyDescent="0.3">
      <c r="A85" s="2">
        <v>21006</v>
      </c>
      <c r="B85" s="1" t="s">
        <v>120</v>
      </c>
      <c r="C85" s="2"/>
      <c r="D85" s="2"/>
    </row>
    <row r="86" spans="1:4" x14ac:dyDescent="0.3">
      <c r="A86" s="2">
        <v>21101</v>
      </c>
      <c r="B86" s="1" t="s">
        <v>122</v>
      </c>
      <c r="C86" s="2"/>
      <c r="D86" s="2"/>
    </row>
    <row r="87" spans="1:4" x14ac:dyDescent="0.3">
      <c r="A87" s="2">
        <v>21102</v>
      </c>
      <c r="B87" s="1" t="s">
        <v>124</v>
      </c>
      <c r="C87" s="2"/>
      <c r="D87" s="2"/>
    </row>
    <row r="88" spans="1:4" x14ac:dyDescent="0.3">
      <c r="A88" s="2">
        <v>21103</v>
      </c>
      <c r="B88" s="1" t="s">
        <v>126</v>
      </c>
      <c r="C88" s="2"/>
      <c r="D88" s="2"/>
    </row>
    <row r="89" spans="1:4" x14ac:dyDescent="0.3">
      <c r="A89" s="2">
        <v>21104</v>
      </c>
      <c r="B89" s="1" t="s">
        <v>127</v>
      </c>
      <c r="C89" s="2"/>
      <c r="D89" s="2"/>
    </row>
    <row r="90" spans="1:4" x14ac:dyDescent="0.3">
      <c r="A90" s="2">
        <v>21105</v>
      </c>
      <c r="B90" s="1" t="s">
        <v>128</v>
      </c>
      <c r="C90" s="2"/>
      <c r="D90" s="2"/>
    </row>
    <row r="91" spans="1:4" x14ac:dyDescent="0.3">
      <c r="A91" s="2">
        <v>21201</v>
      </c>
      <c r="B91" s="1" t="s">
        <v>130</v>
      </c>
      <c r="C91" s="2"/>
      <c r="D91" s="2"/>
    </row>
    <row r="92" spans="1:4" x14ac:dyDescent="0.3">
      <c r="A92" s="2">
        <v>21202</v>
      </c>
      <c r="B92" s="1" t="s">
        <v>131</v>
      </c>
      <c r="C92" s="2"/>
      <c r="D92" s="2"/>
    </row>
    <row r="93" spans="1:4" x14ac:dyDescent="0.3">
      <c r="A93" s="2">
        <v>21203</v>
      </c>
      <c r="B93" s="1" t="s">
        <v>132</v>
      </c>
      <c r="C93" s="2"/>
      <c r="D93" s="2"/>
    </row>
    <row r="94" spans="1:4" x14ac:dyDescent="0.3">
      <c r="A94" s="2">
        <v>21204</v>
      </c>
      <c r="B94" s="1" t="s">
        <v>133</v>
      </c>
      <c r="C94" s="2"/>
      <c r="D94" s="2"/>
    </row>
    <row r="95" spans="1:4" x14ac:dyDescent="0.3">
      <c r="A95" s="2">
        <v>21301</v>
      </c>
      <c r="B95" s="1" t="s">
        <v>135</v>
      </c>
      <c r="C95" s="2"/>
      <c r="D95" s="2"/>
    </row>
    <row r="96" spans="1:4" x14ac:dyDescent="0.3">
      <c r="A96" s="2">
        <v>21302</v>
      </c>
      <c r="B96" s="1" t="s">
        <v>137</v>
      </c>
      <c r="C96" s="2"/>
      <c r="D96" s="2"/>
    </row>
    <row r="97" spans="1:4" x14ac:dyDescent="0.3">
      <c r="A97" s="2">
        <v>21303</v>
      </c>
      <c r="B97" s="1" t="s">
        <v>138</v>
      </c>
      <c r="C97" s="2"/>
      <c r="D97" s="2"/>
    </row>
    <row r="98" spans="1:4" x14ac:dyDescent="0.3">
      <c r="A98" s="2">
        <v>21304</v>
      </c>
      <c r="B98" s="1" t="s">
        <v>139</v>
      </c>
      <c r="C98" s="2"/>
      <c r="D98" s="2"/>
    </row>
    <row r="99" spans="1:4" x14ac:dyDescent="0.3">
      <c r="A99" s="2">
        <v>21305</v>
      </c>
      <c r="B99" s="1" t="s">
        <v>140</v>
      </c>
      <c r="C99" s="2"/>
      <c r="D99" s="2"/>
    </row>
    <row r="100" spans="1:4" x14ac:dyDescent="0.3">
      <c r="A100" s="2">
        <v>21306</v>
      </c>
      <c r="B100" s="1" t="s">
        <v>141</v>
      </c>
      <c r="C100" s="2"/>
      <c r="D100" s="2"/>
    </row>
    <row r="101" spans="1:4" x14ac:dyDescent="0.3">
      <c r="A101" s="2">
        <v>21307</v>
      </c>
      <c r="B101" s="1" t="s">
        <v>142</v>
      </c>
      <c r="C101" s="2"/>
      <c r="D101" s="2"/>
    </row>
    <row r="102" spans="1:4" x14ac:dyDescent="0.3">
      <c r="A102" s="2">
        <v>21401</v>
      </c>
      <c r="B102" s="1" t="s">
        <v>144</v>
      </c>
      <c r="C102" s="2"/>
      <c r="D102" s="2"/>
    </row>
    <row r="103" spans="1:4" x14ac:dyDescent="0.3">
      <c r="A103" s="2">
        <v>21402</v>
      </c>
      <c r="B103" s="1" t="s">
        <v>145</v>
      </c>
      <c r="C103" s="2"/>
      <c r="D103" s="2"/>
    </row>
    <row r="104" spans="1:4" x14ac:dyDescent="0.3">
      <c r="A104" s="2">
        <v>21501</v>
      </c>
      <c r="B104" s="1" t="s">
        <v>147</v>
      </c>
      <c r="C104" s="2"/>
      <c r="D104" s="2"/>
    </row>
    <row r="105" spans="1:4" x14ac:dyDescent="0.3">
      <c r="A105" s="2">
        <v>21502</v>
      </c>
      <c r="B105" s="1" t="s">
        <v>148</v>
      </c>
      <c r="C105" s="2"/>
      <c r="D105" s="2"/>
    </row>
    <row r="106" spans="1:4" x14ac:dyDescent="0.3">
      <c r="A106" s="2">
        <v>21601</v>
      </c>
      <c r="B106" s="1" t="s">
        <v>150</v>
      </c>
      <c r="C106" s="2"/>
      <c r="D106" s="2"/>
    </row>
    <row r="107" spans="1:4" x14ac:dyDescent="0.3">
      <c r="A107" s="2">
        <v>21602</v>
      </c>
      <c r="B107" s="1" t="s">
        <v>152</v>
      </c>
      <c r="C107" s="2"/>
      <c r="D107" s="2"/>
    </row>
    <row r="108" spans="1:4" x14ac:dyDescent="0.3">
      <c r="A108" s="2">
        <v>21701</v>
      </c>
      <c r="B108" s="1" t="s">
        <v>154</v>
      </c>
      <c r="C108" s="2"/>
      <c r="D108" s="2"/>
    </row>
    <row r="109" spans="1:4" x14ac:dyDescent="0.3">
      <c r="A109" s="2">
        <v>21702</v>
      </c>
      <c r="B109" s="1" t="s">
        <v>155</v>
      </c>
      <c r="C109" s="2"/>
      <c r="D109" s="2"/>
    </row>
    <row r="110" spans="1:4" x14ac:dyDescent="0.3">
      <c r="A110" s="2">
        <v>21703</v>
      </c>
      <c r="B110" s="1" t="s">
        <v>156</v>
      </c>
      <c r="C110" s="2"/>
      <c r="D110" s="2"/>
    </row>
    <row r="111" spans="1:4" x14ac:dyDescent="0.3">
      <c r="A111" s="2">
        <v>21801</v>
      </c>
      <c r="B111" s="1" t="s">
        <v>158</v>
      </c>
      <c r="C111" s="2"/>
      <c r="D111" s="2"/>
    </row>
    <row r="112" spans="1:4" x14ac:dyDescent="0.3">
      <c r="A112" s="2">
        <v>21802</v>
      </c>
      <c r="B112" s="1" t="s">
        <v>160</v>
      </c>
      <c r="C112" s="2"/>
      <c r="D112" s="2"/>
    </row>
    <row r="113" spans="1:4" x14ac:dyDescent="0.3">
      <c r="A113" s="2">
        <v>21803</v>
      </c>
      <c r="B113" s="1" t="s">
        <v>161</v>
      </c>
      <c r="C113" s="2"/>
      <c r="D113" s="2"/>
    </row>
    <row r="114" spans="1:4" x14ac:dyDescent="0.3">
      <c r="A114" s="2">
        <v>21901</v>
      </c>
      <c r="B114" s="1" t="s">
        <v>163</v>
      </c>
      <c r="C114" s="2"/>
      <c r="D114" s="2"/>
    </row>
    <row r="115" spans="1:4" x14ac:dyDescent="0.3">
      <c r="A115" s="2">
        <v>21902</v>
      </c>
      <c r="B115" s="1" t="s">
        <v>164</v>
      </c>
      <c r="C115" s="2"/>
      <c r="D115" s="2"/>
    </row>
    <row r="116" spans="1:4" x14ac:dyDescent="0.3">
      <c r="A116" s="2">
        <v>22001</v>
      </c>
      <c r="B116" s="1" t="s">
        <v>165</v>
      </c>
      <c r="C116" s="2"/>
      <c r="D116" s="2"/>
    </row>
    <row r="117" spans="1:4" x14ac:dyDescent="0.3">
      <c r="A117" s="2">
        <v>22002</v>
      </c>
      <c r="B117" s="1" t="s">
        <v>166</v>
      </c>
      <c r="C117" s="2"/>
      <c r="D117" s="2"/>
    </row>
    <row r="118" spans="1:4" x14ac:dyDescent="0.3">
      <c r="A118" s="2">
        <v>30101</v>
      </c>
      <c r="B118" s="1" t="s">
        <v>167</v>
      </c>
      <c r="C118" s="2"/>
      <c r="D118" s="2"/>
    </row>
    <row r="119" spans="1:4" x14ac:dyDescent="0.3">
      <c r="A119" s="2">
        <v>30201</v>
      </c>
      <c r="B119" s="1" t="s">
        <v>170</v>
      </c>
      <c r="C119" s="2"/>
      <c r="D119" s="2"/>
    </row>
    <row r="120" spans="1:4" x14ac:dyDescent="0.3">
      <c r="A120" s="2">
        <v>30202</v>
      </c>
      <c r="B120" s="1" t="s">
        <v>171</v>
      </c>
      <c r="C120" s="2"/>
      <c r="D120" s="2"/>
    </row>
    <row r="121" spans="1:4" x14ac:dyDescent="0.3">
      <c r="A121" s="2">
        <v>30203</v>
      </c>
      <c r="B121" s="1" t="s">
        <v>172</v>
      </c>
      <c r="C121" s="2"/>
      <c r="D121" s="2"/>
    </row>
    <row r="122" spans="1:4" x14ac:dyDescent="0.3">
      <c r="A122" s="2">
        <v>30301</v>
      </c>
      <c r="B122" s="1" t="s">
        <v>174</v>
      </c>
      <c r="C122" s="2"/>
      <c r="D122" s="2"/>
    </row>
    <row r="123" spans="1:4" x14ac:dyDescent="0.3">
      <c r="A123" s="2">
        <v>30302</v>
      </c>
      <c r="B123" s="1" t="s">
        <v>176</v>
      </c>
      <c r="C123" s="2"/>
      <c r="D123" s="2"/>
    </row>
    <row r="124" spans="1:4" x14ac:dyDescent="0.3">
      <c r="A124" s="2">
        <v>30303</v>
      </c>
      <c r="B124" s="1" t="s">
        <v>177</v>
      </c>
      <c r="C124" s="2"/>
      <c r="D124" s="2"/>
    </row>
    <row r="125" spans="1:4" x14ac:dyDescent="0.3">
      <c r="A125" s="2">
        <v>30401</v>
      </c>
      <c r="B125" s="1" t="s">
        <v>179</v>
      </c>
      <c r="C125" s="2"/>
      <c r="D125" s="2"/>
    </row>
    <row r="126" spans="1:4" x14ac:dyDescent="0.3">
      <c r="A126" s="2">
        <v>30402</v>
      </c>
      <c r="B126" s="1" t="s">
        <v>180</v>
      </c>
      <c r="C126" s="2"/>
      <c r="D126" s="2"/>
    </row>
    <row r="127" spans="1:4" x14ac:dyDescent="0.3">
      <c r="A127" s="2">
        <v>30403</v>
      </c>
      <c r="B127" s="1" t="s">
        <v>182</v>
      </c>
      <c r="C127" s="2"/>
      <c r="D127" s="2"/>
    </row>
    <row r="128" spans="1:4" x14ac:dyDescent="0.3">
      <c r="A128" s="2">
        <v>30404</v>
      </c>
      <c r="B128" s="1" t="s">
        <v>183</v>
      </c>
      <c r="C128" s="2"/>
      <c r="D128" s="2"/>
    </row>
    <row r="129" spans="1:4" x14ac:dyDescent="0.3">
      <c r="A129" s="2">
        <v>30501</v>
      </c>
      <c r="B129" s="1" t="s">
        <v>184</v>
      </c>
      <c r="C129" s="2"/>
      <c r="D129" s="2"/>
    </row>
    <row r="130" spans="1:4" x14ac:dyDescent="0.3">
      <c r="A130" s="2">
        <v>30502</v>
      </c>
      <c r="B130" s="1" t="s">
        <v>185</v>
      </c>
      <c r="C130" s="2"/>
      <c r="D130" s="2"/>
    </row>
    <row r="131" spans="1:4" x14ac:dyDescent="0.3">
      <c r="A131" s="2">
        <v>30601</v>
      </c>
      <c r="B131" s="1" t="s">
        <v>186</v>
      </c>
      <c r="C131" s="2"/>
      <c r="D131" s="2"/>
    </row>
    <row r="132" spans="1:4" x14ac:dyDescent="0.3">
      <c r="A132" s="2">
        <v>30602</v>
      </c>
      <c r="B132" s="1" t="s">
        <v>188</v>
      </c>
      <c r="C132" s="2"/>
      <c r="D132" s="2"/>
    </row>
    <row r="133" spans="1:4" x14ac:dyDescent="0.3">
      <c r="A133" s="2">
        <v>30701</v>
      </c>
      <c r="B133" s="1" t="s">
        <v>189</v>
      </c>
      <c r="C133" s="2"/>
      <c r="D133" s="2"/>
    </row>
    <row r="134" spans="1:4" x14ac:dyDescent="0.3">
      <c r="A134" s="2">
        <v>30702</v>
      </c>
      <c r="B134" s="1" t="s">
        <v>190</v>
      </c>
      <c r="C134" s="2"/>
      <c r="D134" s="2"/>
    </row>
    <row r="135" spans="1:4" x14ac:dyDescent="0.3">
      <c r="A135" s="2">
        <v>30703</v>
      </c>
      <c r="B135" s="1" t="s">
        <v>192</v>
      </c>
      <c r="C135" s="2"/>
      <c r="D135" s="2"/>
    </row>
    <row r="136" spans="1:4" x14ac:dyDescent="0.3">
      <c r="A136" s="2">
        <v>30801</v>
      </c>
      <c r="B136" s="1" t="s">
        <v>194</v>
      </c>
      <c r="C136" s="2"/>
      <c r="D136" s="2"/>
    </row>
    <row r="137" spans="1:4" x14ac:dyDescent="0.3">
      <c r="A137" s="2">
        <v>30802</v>
      </c>
      <c r="B137" s="1" t="s">
        <v>195</v>
      </c>
      <c r="C137" s="2"/>
      <c r="D137" s="2"/>
    </row>
    <row r="138" spans="1:4" x14ac:dyDescent="0.3">
      <c r="A138" s="2">
        <v>30803</v>
      </c>
      <c r="B138" s="1" t="s">
        <v>196</v>
      </c>
      <c r="C138" s="2"/>
      <c r="D138" s="2"/>
    </row>
    <row r="139" spans="1:4" x14ac:dyDescent="0.3">
      <c r="A139" s="2">
        <v>30901</v>
      </c>
      <c r="B139" s="1" t="s">
        <v>197</v>
      </c>
      <c r="C139" s="2"/>
      <c r="D139" s="2"/>
    </row>
    <row r="140" spans="1:4" x14ac:dyDescent="0.3">
      <c r="A140" s="2">
        <v>30902</v>
      </c>
      <c r="B140" s="1" t="s">
        <v>198</v>
      </c>
      <c r="C140" s="2"/>
      <c r="D140" s="2"/>
    </row>
    <row r="141" spans="1:4" x14ac:dyDescent="0.3">
      <c r="A141" s="2">
        <v>30903</v>
      </c>
      <c r="B141" s="1" t="s">
        <v>199</v>
      </c>
      <c r="C141" s="2"/>
      <c r="D141" s="2"/>
    </row>
    <row r="142" spans="1:4" x14ac:dyDescent="0.3">
      <c r="A142" s="2">
        <v>30904</v>
      </c>
      <c r="B142" s="1" t="s">
        <v>200</v>
      </c>
      <c r="C142" s="2"/>
      <c r="D142" s="2"/>
    </row>
    <row r="143" spans="1:4" x14ac:dyDescent="0.3">
      <c r="A143" s="2">
        <v>30905</v>
      </c>
      <c r="B143" s="1" t="s">
        <v>201</v>
      </c>
      <c r="C143" s="2"/>
      <c r="D143" s="2"/>
    </row>
    <row r="144" spans="1:4" x14ac:dyDescent="0.3">
      <c r="A144" s="2">
        <v>31001</v>
      </c>
      <c r="B144" s="1" t="s">
        <v>203</v>
      </c>
      <c r="C144" s="2"/>
      <c r="D144" s="2"/>
    </row>
    <row r="145" spans="1:4" x14ac:dyDescent="0.3">
      <c r="A145" s="2">
        <v>31002</v>
      </c>
      <c r="B145" s="1" t="s">
        <v>204</v>
      </c>
      <c r="C145" s="2"/>
      <c r="D145" s="2"/>
    </row>
    <row r="146" spans="1:4" x14ac:dyDescent="0.3">
      <c r="A146" s="2">
        <v>31003</v>
      </c>
      <c r="B146" s="1" t="s">
        <v>205</v>
      </c>
      <c r="C146" s="2"/>
      <c r="D146" s="2"/>
    </row>
    <row r="147" spans="1:4" x14ac:dyDescent="0.3">
      <c r="A147" s="2">
        <v>31101</v>
      </c>
      <c r="B147" s="1" t="s">
        <v>206</v>
      </c>
      <c r="C147" s="2"/>
      <c r="D147" s="2"/>
    </row>
    <row r="148" spans="1:4" x14ac:dyDescent="0.3">
      <c r="A148" s="2">
        <v>31201</v>
      </c>
      <c r="B148" s="1" t="s">
        <v>208</v>
      </c>
      <c r="C148" s="2"/>
      <c r="D148" s="2"/>
    </row>
    <row r="149" spans="1:4" x14ac:dyDescent="0.3">
      <c r="A149" s="2">
        <v>31202</v>
      </c>
      <c r="B149" s="1" t="s">
        <v>209</v>
      </c>
      <c r="C149" s="2"/>
      <c r="D149" s="2"/>
    </row>
    <row r="150" spans="1:4" x14ac:dyDescent="0.3">
      <c r="A150" s="2">
        <v>31203</v>
      </c>
      <c r="B150" s="1" t="s">
        <v>210</v>
      </c>
      <c r="C150" s="2"/>
      <c r="D150" s="2"/>
    </row>
    <row r="151" spans="1:4" x14ac:dyDescent="0.3">
      <c r="A151" s="2">
        <v>31204</v>
      </c>
      <c r="B151" s="1" t="s">
        <v>211</v>
      </c>
      <c r="C151" s="2"/>
      <c r="D151" s="2"/>
    </row>
    <row r="152" spans="1:4" x14ac:dyDescent="0.3">
      <c r="A152" s="2">
        <v>31205</v>
      </c>
      <c r="B152" s="1" t="s">
        <v>212</v>
      </c>
      <c r="C152" s="2"/>
      <c r="D152" s="2"/>
    </row>
    <row r="153" spans="1:4" x14ac:dyDescent="0.3">
      <c r="A153" s="2">
        <v>31206</v>
      </c>
      <c r="B153" s="1" t="s">
        <v>213</v>
      </c>
      <c r="C153" s="2"/>
      <c r="D153" s="2"/>
    </row>
    <row r="154" spans="1:4" x14ac:dyDescent="0.3">
      <c r="A154" s="2">
        <v>31301</v>
      </c>
      <c r="B154" s="1" t="s">
        <v>214</v>
      </c>
      <c r="C154" s="2"/>
      <c r="D154" s="2"/>
    </row>
    <row r="155" spans="1:4" x14ac:dyDescent="0.3">
      <c r="A155" s="2">
        <v>31302</v>
      </c>
      <c r="B155" s="1" t="s">
        <v>215</v>
      </c>
      <c r="C155" s="2"/>
      <c r="D155" s="2"/>
    </row>
    <row r="156" spans="1:4" x14ac:dyDescent="0.3">
      <c r="A156" s="2">
        <v>31303</v>
      </c>
      <c r="B156" s="1" t="s">
        <v>216</v>
      </c>
      <c r="C156" s="2"/>
      <c r="D156" s="2"/>
    </row>
    <row r="157" spans="1:4" x14ac:dyDescent="0.3">
      <c r="A157" s="2">
        <v>31304</v>
      </c>
      <c r="B157" s="1" t="s">
        <v>217</v>
      </c>
      <c r="C157" s="2"/>
      <c r="D157" s="2"/>
    </row>
    <row r="158" spans="1:4" x14ac:dyDescent="0.3">
      <c r="A158" s="2">
        <v>31401</v>
      </c>
      <c r="B158" s="1" t="s">
        <v>219</v>
      </c>
      <c r="C158" s="2"/>
      <c r="D158" s="2"/>
    </row>
    <row r="159" spans="1:4" x14ac:dyDescent="0.3">
      <c r="A159" s="2">
        <v>31402</v>
      </c>
      <c r="B159" s="1" t="s">
        <v>221</v>
      </c>
      <c r="C159" s="2"/>
      <c r="D159" s="2"/>
    </row>
    <row r="160" spans="1:4" x14ac:dyDescent="0.3">
      <c r="A160" s="2">
        <v>31403</v>
      </c>
      <c r="B160" s="1" t="s">
        <v>222</v>
      </c>
      <c r="C160" s="2"/>
      <c r="D160" s="2"/>
    </row>
    <row r="161" spans="1:4" x14ac:dyDescent="0.3">
      <c r="A161" s="2">
        <v>31404</v>
      </c>
      <c r="B161" s="1" t="s">
        <v>224</v>
      </c>
      <c r="C161" s="2"/>
      <c r="D161" s="2"/>
    </row>
    <row r="162" spans="1:4" x14ac:dyDescent="0.3">
      <c r="A162" s="2">
        <v>31405</v>
      </c>
      <c r="B162" s="1" t="s">
        <v>225</v>
      </c>
      <c r="C162" s="2"/>
      <c r="D162" s="2"/>
    </row>
    <row r="163" spans="1:4" x14ac:dyDescent="0.3">
      <c r="A163" s="2">
        <v>31501</v>
      </c>
      <c r="B163" s="1" t="s">
        <v>227</v>
      </c>
      <c r="C163" s="2"/>
      <c r="D163" s="2"/>
    </row>
    <row r="164" spans="1:4" x14ac:dyDescent="0.3">
      <c r="A164" s="2">
        <v>31601</v>
      </c>
      <c r="B164" s="1" t="s">
        <v>228</v>
      </c>
      <c r="C164" s="2"/>
      <c r="D164" s="2"/>
    </row>
    <row r="165" spans="1:4" x14ac:dyDescent="0.3">
      <c r="A165" s="2">
        <v>31602</v>
      </c>
      <c r="B165" s="1" t="s">
        <v>229</v>
      </c>
      <c r="C165" s="2"/>
      <c r="D165" s="2"/>
    </row>
    <row r="166" spans="1:4" x14ac:dyDescent="0.3">
      <c r="A166" s="2">
        <v>40101</v>
      </c>
      <c r="B166" s="1" t="s">
        <v>230</v>
      </c>
      <c r="C166" s="2"/>
      <c r="D166" s="2"/>
    </row>
    <row r="167" spans="1:4" x14ac:dyDescent="0.3">
      <c r="A167" s="2">
        <v>40102</v>
      </c>
      <c r="B167" s="1" t="s">
        <v>231</v>
      </c>
      <c r="C167" s="2"/>
      <c r="D167" s="2"/>
    </row>
    <row r="168" spans="1:4" x14ac:dyDescent="0.3">
      <c r="A168" s="2">
        <v>40103</v>
      </c>
      <c r="B168" s="1" t="s">
        <v>232</v>
      </c>
      <c r="C168" s="2"/>
      <c r="D168" s="2"/>
    </row>
    <row r="169" spans="1:4" x14ac:dyDescent="0.3">
      <c r="A169" s="2">
        <v>40104</v>
      </c>
      <c r="B169" s="1" t="s">
        <v>233</v>
      </c>
      <c r="C169" s="2"/>
      <c r="D169" s="2"/>
    </row>
    <row r="170" spans="1:4" x14ac:dyDescent="0.3">
      <c r="A170" s="2">
        <v>40201</v>
      </c>
      <c r="B170" s="1" t="s">
        <v>236</v>
      </c>
      <c r="C170" s="2"/>
      <c r="D170" s="2"/>
    </row>
    <row r="171" spans="1:4" x14ac:dyDescent="0.3">
      <c r="A171" s="2">
        <v>40202</v>
      </c>
      <c r="B171" s="1" t="s">
        <v>237</v>
      </c>
      <c r="C171" s="2"/>
      <c r="D171" s="2"/>
    </row>
    <row r="172" spans="1:4" x14ac:dyDescent="0.3">
      <c r="A172" s="2">
        <v>40301</v>
      </c>
      <c r="B172" s="1" t="s">
        <v>239</v>
      </c>
      <c r="C172" s="2"/>
      <c r="D172" s="2"/>
    </row>
    <row r="173" spans="1:4" x14ac:dyDescent="0.3">
      <c r="A173" s="2">
        <v>40302</v>
      </c>
      <c r="B173" s="1" t="s">
        <v>240</v>
      </c>
      <c r="C173" s="2"/>
      <c r="D173" s="2"/>
    </row>
    <row r="174" spans="1:4" x14ac:dyDescent="0.3">
      <c r="A174" s="2">
        <v>40401</v>
      </c>
      <c r="B174" s="1" t="s">
        <v>242</v>
      </c>
      <c r="C174" s="2"/>
      <c r="D174" s="2"/>
    </row>
    <row r="175" spans="1:4" x14ac:dyDescent="0.3">
      <c r="A175" s="2">
        <v>40402</v>
      </c>
      <c r="B175" s="1" t="s">
        <v>243</v>
      </c>
      <c r="C175" s="2"/>
      <c r="D175" s="2"/>
    </row>
    <row r="176" spans="1:4" x14ac:dyDescent="0.3">
      <c r="A176" s="2">
        <v>40501</v>
      </c>
      <c r="B176" s="1" t="s">
        <v>245</v>
      </c>
      <c r="C176" s="2"/>
      <c r="D176" s="2"/>
    </row>
    <row r="177" spans="1:4" x14ac:dyDescent="0.3">
      <c r="A177" s="2">
        <v>40502</v>
      </c>
      <c r="B177" s="1" t="s">
        <v>246</v>
      </c>
      <c r="C177" s="2"/>
      <c r="D177" s="2"/>
    </row>
    <row r="178" spans="1:4" x14ac:dyDescent="0.3">
      <c r="A178" s="2">
        <v>40503</v>
      </c>
      <c r="B178" s="1" t="s">
        <v>247</v>
      </c>
      <c r="C178" s="2"/>
      <c r="D178" s="2"/>
    </row>
    <row r="179" spans="1:4" x14ac:dyDescent="0.3">
      <c r="A179" s="2">
        <v>40504</v>
      </c>
      <c r="B179" s="1" t="s">
        <v>248</v>
      </c>
      <c r="C179" s="2"/>
      <c r="D179" s="2"/>
    </row>
    <row r="180" spans="1:4" x14ac:dyDescent="0.3">
      <c r="A180" s="2">
        <v>40505</v>
      </c>
      <c r="B180" s="1" t="s">
        <v>249</v>
      </c>
      <c r="C180" s="2"/>
      <c r="D180" s="2"/>
    </row>
    <row r="181" spans="1:4" x14ac:dyDescent="0.3">
      <c r="A181" s="2">
        <v>40601</v>
      </c>
      <c r="B181" s="1" t="s">
        <v>250</v>
      </c>
      <c r="C181" s="2"/>
      <c r="D181" s="2"/>
    </row>
    <row r="182" spans="1:4" x14ac:dyDescent="0.3">
      <c r="A182" s="2">
        <v>40602</v>
      </c>
      <c r="B182" s="1" t="s">
        <v>252</v>
      </c>
      <c r="C182" s="2"/>
      <c r="D182" s="2"/>
    </row>
    <row r="183" spans="1:4" x14ac:dyDescent="0.3">
      <c r="A183" s="2">
        <v>40603</v>
      </c>
      <c r="B183" s="1" t="s">
        <v>253</v>
      </c>
      <c r="C183" s="2"/>
      <c r="D183" s="2"/>
    </row>
    <row r="184" spans="1:4" x14ac:dyDescent="0.3">
      <c r="A184" s="2">
        <v>40701</v>
      </c>
      <c r="B184" s="1" t="s">
        <v>255</v>
      </c>
      <c r="C184" s="2"/>
      <c r="D184" s="2"/>
    </row>
    <row r="185" spans="1:4" x14ac:dyDescent="0.3">
      <c r="A185" s="2">
        <v>40702</v>
      </c>
      <c r="B185" s="1" t="s">
        <v>257</v>
      </c>
      <c r="C185" s="2"/>
      <c r="D185" s="2"/>
    </row>
    <row r="186" spans="1:4" x14ac:dyDescent="0.3">
      <c r="A186" s="2">
        <v>40801</v>
      </c>
      <c r="B186" s="1" t="s">
        <v>259</v>
      </c>
      <c r="C186" s="2"/>
      <c r="D186" s="2"/>
    </row>
    <row r="187" spans="1:4" x14ac:dyDescent="0.3">
      <c r="A187" s="2">
        <v>40802</v>
      </c>
      <c r="B187" s="1" t="s">
        <v>260</v>
      </c>
      <c r="C187" s="2"/>
      <c r="D187" s="2"/>
    </row>
    <row r="188" spans="1:4" x14ac:dyDescent="0.3">
      <c r="A188" s="2">
        <v>40901</v>
      </c>
      <c r="B188" s="1" t="s">
        <v>261</v>
      </c>
      <c r="C188" s="2"/>
      <c r="D188" s="2"/>
    </row>
    <row r="189" spans="1:4" x14ac:dyDescent="0.3">
      <c r="A189" s="2">
        <v>40902</v>
      </c>
      <c r="B189" s="1" t="s">
        <v>262</v>
      </c>
      <c r="C189" s="2"/>
      <c r="D189" s="2"/>
    </row>
    <row r="190" spans="1:4" x14ac:dyDescent="0.3">
      <c r="A190" s="2">
        <v>40903</v>
      </c>
      <c r="B190" s="1" t="s">
        <v>263</v>
      </c>
      <c r="C190" s="2"/>
      <c r="D190" s="2"/>
    </row>
    <row r="191" spans="1:4" x14ac:dyDescent="0.3">
      <c r="A191" s="2">
        <v>41001</v>
      </c>
      <c r="B191" s="1" t="s">
        <v>265</v>
      </c>
      <c r="C191" s="2"/>
      <c r="D191" s="2"/>
    </row>
    <row r="192" spans="1:4" x14ac:dyDescent="0.3">
      <c r="A192" s="2">
        <v>41101</v>
      </c>
      <c r="B192" s="1" t="s">
        <v>267</v>
      </c>
      <c r="C192" s="2"/>
      <c r="D192" s="2"/>
    </row>
    <row r="193" spans="1:4" x14ac:dyDescent="0.3">
      <c r="A193" s="2">
        <v>41201</v>
      </c>
      <c r="B193" s="1" t="s">
        <v>269</v>
      </c>
      <c r="C193" s="2"/>
      <c r="D193" s="2"/>
    </row>
    <row r="194" spans="1:4" x14ac:dyDescent="0.3">
      <c r="A194" s="2">
        <v>41202</v>
      </c>
      <c r="B194" s="1" t="s">
        <v>271</v>
      </c>
      <c r="C194" s="2"/>
      <c r="D194" s="2"/>
    </row>
    <row r="195" spans="1:4" x14ac:dyDescent="0.3">
      <c r="A195" s="2">
        <v>41301</v>
      </c>
      <c r="B195" s="1" t="s">
        <v>208</v>
      </c>
      <c r="C195" s="2"/>
      <c r="D195" s="2"/>
    </row>
    <row r="196" spans="1:4" x14ac:dyDescent="0.3">
      <c r="A196" s="2">
        <v>41401</v>
      </c>
      <c r="B196" s="1" t="s">
        <v>274</v>
      </c>
      <c r="C196" s="2"/>
      <c r="D196" s="2"/>
    </row>
    <row r="197" spans="1:4" x14ac:dyDescent="0.3">
      <c r="A197" s="2">
        <v>41501</v>
      </c>
      <c r="B197" s="1" t="s">
        <v>276</v>
      </c>
      <c r="C197" s="2"/>
      <c r="D197" s="2"/>
    </row>
    <row r="198" spans="1:4" x14ac:dyDescent="0.3">
      <c r="A198" s="2">
        <v>41502</v>
      </c>
      <c r="B198" s="1" t="s">
        <v>277</v>
      </c>
      <c r="C198" s="2"/>
      <c r="D198" s="2"/>
    </row>
    <row r="199" spans="1:4" x14ac:dyDescent="0.3">
      <c r="A199" s="2">
        <v>41503</v>
      </c>
      <c r="B199" s="1" t="s">
        <v>238</v>
      </c>
      <c r="C199" s="2"/>
      <c r="D199" s="2"/>
    </row>
    <row r="200" spans="1:4" x14ac:dyDescent="0.3">
      <c r="A200" s="2">
        <v>41601</v>
      </c>
      <c r="B200" s="1" t="s">
        <v>279</v>
      </c>
      <c r="C200" s="2"/>
      <c r="D200" s="2"/>
    </row>
    <row r="201" spans="1:4" x14ac:dyDescent="0.3">
      <c r="A201" s="2">
        <v>50101</v>
      </c>
      <c r="B201" s="1" t="s">
        <v>281</v>
      </c>
      <c r="C201" s="2"/>
      <c r="D201" s="2"/>
    </row>
    <row r="202" spans="1:4" x14ac:dyDescent="0.3">
      <c r="A202" s="2">
        <v>50102</v>
      </c>
      <c r="B202" s="1" t="s">
        <v>283</v>
      </c>
      <c r="C202" s="2"/>
      <c r="D202" s="2"/>
    </row>
    <row r="203" spans="1:4" x14ac:dyDescent="0.3">
      <c r="A203" s="2">
        <v>50103</v>
      </c>
      <c r="B203" s="1" t="s">
        <v>284</v>
      </c>
      <c r="C203" s="2"/>
      <c r="D203" s="2"/>
    </row>
    <row r="204" spans="1:4" x14ac:dyDescent="0.3">
      <c r="A204" s="2">
        <v>50104</v>
      </c>
      <c r="B204" s="1" t="s">
        <v>286</v>
      </c>
      <c r="C204" s="2"/>
      <c r="D204" s="2"/>
    </row>
    <row r="205" spans="1:4" x14ac:dyDescent="0.3">
      <c r="A205" s="2">
        <v>50201</v>
      </c>
      <c r="B205" s="1" t="s">
        <v>289</v>
      </c>
      <c r="C205" s="2"/>
      <c r="D205" s="2"/>
    </row>
    <row r="206" spans="1:4" x14ac:dyDescent="0.3">
      <c r="A206" s="2">
        <v>50202</v>
      </c>
      <c r="B206" s="1" t="s">
        <v>290</v>
      </c>
      <c r="C206" s="2"/>
      <c r="D206" s="2"/>
    </row>
    <row r="207" spans="1:4" x14ac:dyDescent="0.3">
      <c r="A207" s="2">
        <v>50203</v>
      </c>
      <c r="B207" s="1" t="s">
        <v>291</v>
      </c>
      <c r="C207" s="2"/>
      <c r="D207" s="2"/>
    </row>
    <row r="208" spans="1:4" x14ac:dyDescent="0.3">
      <c r="A208" s="2">
        <v>50204</v>
      </c>
      <c r="B208" s="1" t="s">
        <v>292</v>
      </c>
      <c r="C208" s="2"/>
      <c r="D208" s="2"/>
    </row>
    <row r="209" spans="1:4" x14ac:dyDescent="0.3">
      <c r="A209" s="2">
        <v>50301</v>
      </c>
      <c r="B209" s="1" t="s">
        <v>294</v>
      </c>
      <c r="C209" s="2"/>
      <c r="D209" s="2"/>
    </row>
    <row r="210" spans="1:4" x14ac:dyDescent="0.3">
      <c r="A210" s="2">
        <v>50302</v>
      </c>
      <c r="B210" s="1" t="s">
        <v>296</v>
      </c>
      <c r="C210" s="2"/>
      <c r="D210" s="2"/>
    </row>
    <row r="211" spans="1:4" x14ac:dyDescent="0.3">
      <c r="A211" s="2">
        <v>50303</v>
      </c>
      <c r="B211" s="1" t="s">
        <v>297</v>
      </c>
      <c r="C211" s="2"/>
      <c r="D211" s="2"/>
    </row>
    <row r="212" spans="1:4" x14ac:dyDescent="0.3">
      <c r="A212" s="2">
        <v>50401</v>
      </c>
      <c r="B212" s="1" t="s">
        <v>298</v>
      </c>
      <c r="C212" s="2"/>
      <c r="D212" s="2"/>
    </row>
    <row r="213" spans="1:4" x14ac:dyDescent="0.3">
      <c r="A213" s="2">
        <v>50402</v>
      </c>
      <c r="B213" s="1" t="s">
        <v>299</v>
      </c>
      <c r="C213" s="2"/>
      <c r="D213" s="2"/>
    </row>
    <row r="214" spans="1:4" x14ac:dyDescent="0.3">
      <c r="A214" s="2">
        <v>50403</v>
      </c>
      <c r="B214" s="1" t="s">
        <v>300</v>
      </c>
      <c r="C214" s="2"/>
      <c r="D214" s="2"/>
    </row>
    <row r="215" spans="1:4" x14ac:dyDescent="0.3">
      <c r="A215" s="2">
        <v>50404</v>
      </c>
      <c r="B215" s="1" t="s">
        <v>301</v>
      </c>
      <c r="C215" s="2"/>
      <c r="D215" s="2"/>
    </row>
    <row r="216" spans="1:4" x14ac:dyDescent="0.3">
      <c r="A216" s="2">
        <v>50405</v>
      </c>
      <c r="B216" s="1" t="s">
        <v>302</v>
      </c>
      <c r="C216" s="2"/>
      <c r="D216" s="2"/>
    </row>
    <row r="217" spans="1:4" x14ac:dyDescent="0.3">
      <c r="A217" s="2">
        <v>50501</v>
      </c>
      <c r="B217" s="1" t="s">
        <v>304</v>
      </c>
      <c r="C217" s="2"/>
      <c r="D217" s="2"/>
    </row>
    <row r="218" spans="1:4" x14ac:dyDescent="0.3">
      <c r="A218" s="2">
        <v>50502</v>
      </c>
      <c r="B218" s="1" t="s">
        <v>305</v>
      </c>
      <c r="C218" s="2"/>
      <c r="D218" s="2"/>
    </row>
    <row r="219" spans="1:4" x14ac:dyDescent="0.3">
      <c r="A219" s="2">
        <v>50601</v>
      </c>
      <c r="B219" s="1" t="s">
        <v>307</v>
      </c>
      <c r="C219" s="2"/>
      <c r="D219" s="2"/>
    </row>
    <row r="220" spans="1:4" x14ac:dyDescent="0.3">
      <c r="A220" s="2">
        <v>50602</v>
      </c>
      <c r="B220" s="1" t="s">
        <v>308</v>
      </c>
      <c r="C220" s="2"/>
      <c r="D220" s="2"/>
    </row>
    <row r="221" spans="1:4" x14ac:dyDescent="0.3">
      <c r="A221" s="2">
        <v>50701</v>
      </c>
      <c r="B221" s="1" t="s">
        <v>310</v>
      </c>
      <c r="C221" s="2"/>
      <c r="D221" s="2"/>
    </row>
    <row r="222" spans="1:4" x14ac:dyDescent="0.3">
      <c r="A222" s="2">
        <v>50702</v>
      </c>
      <c r="B222" s="1" t="s">
        <v>312</v>
      </c>
      <c r="C222" s="2"/>
      <c r="D222" s="2"/>
    </row>
    <row r="223" spans="1:4" x14ac:dyDescent="0.3">
      <c r="A223" s="2">
        <v>50801</v>
      </c>
      <c r="B223" s="1" t="s">
        <v>314</v>
      </c>
      <c r="C223" s="2"/>
      <c r="D223" s="2"/>
    </row>
    <row r="224" spans="1:4" x14ac:dyDescent="0.3">
      <c r="A224" s="2">
        <v>50802</v>
      </c>
      <c r="B224" s="1" t="s">
        <v>315</v>
      </c>
      <c r="C224" s="2"/>
      <c r="D224" s="2"/>
    </row>
    <row r="225" spans="1:4" x14ac:dyDescent="0.3">
      <c r="A225" s="2">
        <v>50901</v>
      </c>
      <c r="B225" s="1" t="s">
        <v>317</v>
      </c>
      <c r="C225" s="2"/>
      <c r="D225" s="2"/>
    </row>
    <row r="226" spans="1:4" x14ac:dyDescent="0.3">
      <c r="A226" s="2">
        <v>50902</v>
      </c>
      <c r="B226" s="1" t="s">
        <v>319</v>
      </c>
      <c r="C226" s="2"/>
      <c r="D226" s="2"/>
    </row>
    <row r="227" spans="1:4" x14ac:dyDescent="0.3">
      <c r="A227" s="2">
        <v>51001</v>
      </c>
      <c r="B227" s="1" t="s">
        <v>322</v>
      </c>
      <c r="C227" s="2"/>
      <c r="D227" s="2"/>
    </row>
    <row r="228" spans="1:4" x14ac:dyDescent="0.3">
      <c r="A228" s="2">
        <v>51002</v>
      </c>
      <c r="B228" s="1" t="s">
        <v>324</v>
      </c>
      <c r="C228" s="2"/>
      <c r="D228" s="2"/>
    </row>
    <row r="229" spans="1:4" x14ac:dyDescent="0.3">
      <c r="A229" s="2">
        <v>51003</v>
      </c>
      <c r="B229" s="1" t="s">
        <v>325</v>
      </c>
      <c r="C229" s="2"/>
      <c r="D229" s="2"/>
    </row>
    <row r="230" spans="1:4" x14ac:dyDescent="0.3">
      <c r="A230" s="2">
        <v>51101</v>
      </c>
      <c r="B230" s="1" t="s">
        <v>327</v>
      </c>
      <c r="C230" s="2"/>
      <c r="D230" s="2"/>
    </row>
    <row r="231" spans="1:4" x14ac:dyDescent="0.3">
      <c r="A231" s="2">
        <v>51102</v>
      </c>
      <c r="B231" s="1" t="s">
        <v>329</v>
      </c>
      <c r="C231" s="2"/>
      <c r="D231" s="2"/>
    </row>
    <row r="232" spans="1:4" x14ac:dyDescent="0.3">
      <c r="A232" s="2">
        <v>51103</v>
      </c>
      <c r="B232" s="1" t="s">
        <v>330</v>
      </c>
      <c r="C232" s="2"/>
      <c r="D232" s="2"/>
    </row>
    <row r="233" spans="1:4" x14ac:dyDescent="0.3">
      <c r="A233" s="2">
        <v>51201</v>
      </c>
      <c r="B233" s="1" t="s">
        <v>332</v>
      </c>
      <c r="C233" s="2"/>
      <c r="D233" s="2"/>
    </row>
    <row r="234" spans="1:4" x14ac:dyDescent="0.3">
      <c r="A234" s="2">
        <v>51202</v>
      </c>
      <c r="B234" s="1" t="s">
        <v>333</v>
      </c>
      <c r="C234" s="2"/>
      <c r="D234" s="2"/>
    </row>
    <row r="235" spans="1:4" x14ac:dyDescent="0.3">
      <c r="A235" s="2">
        <v>51203</v>
      </c>
      <c r="B235" s="1" t="s">
        <v>334</v>
      </c>
      <c r="C235" s="2"/>
      <c r="D235" s="2"/>
    </row>
    <row r="236" spans="1:4" x14ac:dyDescent="0.3">
      <c r="A236" s="2">
        <v>51204</v>
      </c>
      <c r="B236" s="1" t="s">
        <v>335</v>
      </c>
      <c r="C236" s="2"/>
      <c r="D236" s="2"/>
    </row>
    <row r="237" spans="1:4" x14ac:dyDescent="0.3">
      <c r="A237" s="2">
        <v>51301</v>
      </c>
      <c r="B237" s="1" t="s">
        <v>337</v>
      </c>
      <c r="C237" s="2"/>
      <c r="D237" s="2"/>
    </row>
    <row r="238" spans="1:4" x14ac:dyDescent="0.3">
      <c r="A238" s="2">
        <v>51302</v>
      </c>
      <c r="B238" s="1" t="s">
        <v>338</v>
      </c>
      <c r="C238" s="2"/>
      <c r="D238" s="2"/>
    </row>
    <row r="239" spans="1:4" x14ac:dyDescent="0.3">
      <c r="A239" s="2">
        <v>51401</v>
      </c>
      <c r="B239" s="1" t="s">
        <v>340</v>
      </c>
      <c r="C239" s="2"/>
      <c r="D239" s="2"/>
    </row>
    <row r="240" spans="1:4" x14ac:dyDescent="0.3">
      <c r="A240" s="2">
        <v>51402</v>
      </c>
      <c r="B240" s="1" t="s">
        <v>341</v>
      </c>
      <c r="C240" s="2"/>
      <c r="D240" s="2"/>
    </row>
    <row r="241" spans="1:4" x14ac:dyDescent="0.3">
      <c r="A241" s="2">
        <v>51501</v>
      </c>
      <c r="B241" s="1" t="s">
        <v>343</v>
      </c>
      <c r="C241" s="2"/>
      <c r="D241" s="2"/>
    </row>
    <row r="242" spans="1:4" x14ac:dyDescent="0.3">
      <c r="A242" s="2">
        <v>51601</v>
      </c>
      <c r="B242" s="1" t="s">
        <v>345</v>
      </c>
      <c r="C242" s="2"/>
      <c r="D242" s="2"/>
    </row>
    <row r="243" spans="1:4" x14ac:dyDescent="0.3">
      <c r="A243" s="2">
        <v>60101</v>
      </c>
      <c r="B243" s="1" t="s">
        <v>346</v>
      </c>
      <c r="C243" s="2"/>
      <c r="D243" s="2"/>
    </row>
    <row r="244" spans="1:4" x14ac:dyDescent="0.3">
      <c r="A244" s="2">
        <v>60201</v>
      </c>
      <c r="B244" s="1" t="s">
        <v>348</v>
      </c>
      <c r="C244" s="2"/>
      <c r="D244" s="2"/>
    </row>
    <row r="245" spans="1:4" x14ac:dyDescent="0.3">
      <c r="A245" s="2">
        <v>60202</v>
      </c>
      <c r="B245" s="1" t="s">
        <v>349</v>
      </c>
      <c r="C245" s="2"/>
      <c r="D245" s="2"/>
    </row>
    <row r="246" spans="1:4" x14ac:dyDescent="0.3">
      <c r="A246" s="2">
        <v>60301</v>
      </c>
      <c r="B246" s="1" t="s">
        <v>351</v>
      </c>
      <c r="C246" s="2"/>
      <c r="D246" s="2"/>
    </row>
    <row r="247" spans="1:4" x14ac:dyDescent="0.3">
      <c r="A247" s="2">
        <v>60302</v>
      </c>
      <c r="B247" s="1" t="s">
        <v>352</v>
      </c>
      <c r="C247" s="2"/>
      <c r="D247" s="2"/>
    </row>
    <row r="248" spans="1:4" x14ac:dyDescent="0.3">
      <c r="A248" s="2">
        <v>60303</v>
      </c>
      <c r="B248" s="1" t="s">
        <v>353</v>
      </c>
      <c r="C248" s="2"/>
      <c r="D248" s="2"/>
    </row>
    <row r="249" spans="1:4" x14ac:dyDescent="0.3">
      <c r="A249" s="2">
        <v>60401</v>
      </c>
      <c r="B249" s="1" t="s">
        <v>355</v>
      </c>
      <c r="C249" s="2"/>
      <c r="D249" s="2"/>
    </row>
    <row r="250" spans="1:4" x14ac:dyDescent="0.3">
      <c r="A250" s="2">
        <v>60402</v>
      </c>
      <c r="B250" s="1" t="s">
        <v>357</v>
      </c>
      <c r="C250" s="2"/>
      <c r="D250" s="2"/>
    </row>
    <row r="251" spans="1:4" x14ac:dyDescent="0.3">
      <c r="A251" s="2">
        <v>60501</v>
      </c>
      <c r="B251" s="1" t="s">
        <v>359</v>
      </c>
      <c r="C251" s="2"/>
      <c r="D251" s="2"/>
    </row>
    <row r="252" spans="1:4" x14ac:dyDescent="0.3">
      <c r="A252" s="2">
        <v>60502</v>
      </c>
      <c r="B252" s="1" t="s">
        <v>361</v>
      </c>
      <c r="C252" s="2"/>
      <c r="D252" s="2"/>
    </row>
    <row r="253" spans="1:4" x14ac:dyDescent="0.3">
      <c r="A253" s="2">
        <v>60601</v>
      </c>
      <c r="B253" s="1" t="s">
        <v>213</v>
      </c>
      <c r="C253" s="2"/>
      <c r="D253" s="2"/>
    </row>
    <row r="254" spans="1:4" x14ac:dyDescent="0.3">
      <c r="A254" s="2">
        <v>70101</v>
      </c>
      <c r="B254" s="1" t="s">
        <v>365</v>
      </c>
      <c r="C254" s="2"/>
      <c r="D254" s="2"/>
    </row>
    <row r="255" spans="1:4" x14ac:dyDescent="0.3">
      <c r="A255" s="2">
        <v>70102</v>
      </c>
      <c r="B255" s="1" t="s">
        <v>366</v>
      </c>
      <c r="C255" s="2"/>
      <c r="D255" s="2"/>
    </row>
    <row r="256" spans="1:4" x14ac:dyDescent="0.3">
      <c r="A256" s="2">
        <v>70103</v>
      </c>
      <c r="B256" s="1" t="s">
        <v>367</v>
      </c>
      <c r="C256" s="2"/>
      <c r="D256" s="2"/>
    </row>
    <row r="257" spans="1:4" x14ac:dyDescent="0.3">
      <c r="A257" s="2">
        <v>70104</v>
      </c>
      <c r="B257" s="1" t="s">
        <v>369</v>
      </c>
      <c r="C257" s="2"/>
      <c r="D257" s="2"/>
    </row>
    <row r="258" spans="1:4" x14ac:dyDescent="0.3">
      <c r="A258" s="2">
        <v>70105</v>
      </c>
      <c r="B258" s="1" t="s">
        <v>370</v>
      </c>
      <c r="C258" s="2"/>
      <c r="D258" s="2"/>
    </row>
    <row r="259" spans="1:4" x14ac:dyDescent="0.3">
      <c r="A259" s="2">
        <v>70201</v>
      </c>
      <c r="B259" s="1" t="s">
        <v>371</v>
      </c>
      <c r="C259" s="2"/>
      <c r="D259" s="2"/>
    </row>
    <row r="260" spans="1:4" x14ac:dyDescent="0.3">
      <c r="A260" s="2">
        <v>70202</v>
      </c>
      <c r="B260" s="1" t="s">
        <v>372</v>
      </c>
      <c r="C260" s="2"/>
      <c r="D260" s="2"/>
    </row>
    <row r="261" spans="1:4" x14ac:dyDescent="0.3">
      <c r="A261" s="2">
        <v>70301</v>
      </c>
      <c r="B261" s="1" t="s">
        <v>374</v>
      </c>
      <c r="C261" s="2"/>
      <c r="D261" s="2"/>
    </row>
    <row r="262" spans="1:4" x14ac:dyDescent="0.3">
      <c r="A262" s="2">
        <v>70302</v>
      </c>
      <c r="B262" s="1" t="s">
        <v>376</v>
      </c>
      <c r="C262" s="2"/>
      <c r="D262" s="2"/>
    </row>
    <row r="263" spans="1:4" x14ac:dyDescent="0.3">
      <c r="A263" s="2">
        <v>70303</v>
      </c>
      <c r="B263" s="1" t="s">
        <v>378</v>
      </c>
      <c r="C263" s="2"/>
      <c r="D263" s="2"/>
    </row>
    <row r="264" spans="1:4" x14ac:dyDescent="0.3">
      <c r="A264" s="2">
        <v>70401</v>
      </c>
      <c r="B264" s="1" t="s">
        <v>380</v>
      </c>
      <c r="C264" s="2"/>
      <c r="D264" s="2"/>
    </row>
    <row r="265" spans="1:4" x14ac:dyDescent="0.3">
      <c r="A265" s="2">
        <v>70402</v>
      </c>
      <c r="B265" s="1" t="s">
        <v>381</v>
      </c>
      <c r="C265" s="2"/>
      <c r="D265" s="2"/>
    </row>
    <row r="266" spans="1:4" x14ac:dyDescent="0.3">
      <c r="A266" s="2">
        <v>70403</v>
      </c>
      <c r="B266" s="1" t="s">
        <v>382</v>
      </c>
      <c r="C266" s="2"/>
      <c r="D266" s="2"/>
    </row>
    <row r="267" spans="1:4" x14ac:dyDescent="0.3">
      <c r="A267" s="2">
        <v>70404</v>
      </c>
      <c r="B267" s="1" t="s">
        <v>383</v>
      </c>
      <c r="C267" s="2"/>
      <c r="D267" s="2"/>
    </row>
    <row r="268" spans="1:4" x14ac:dyDescent="0.3">
      <c r="A268" s="2">
        <v>70501</v>
      </c>
      <c r="B268" s="1" t="s">
        <v>385</v>
      </c>
      <c r="C268" s="2"/>
      <c r="D268" s="2"/>
    </row>
    <row r="269" spans="1:4" x14ac:dyDescent="0.3">
      <c r="A269" s="2">
        <v>70502</v>
      </c>
      <c r="B269" s="1" t="s">
        <v>387</v>
      </c>
      <c r="C269" s="2"/>
      <c r="D269" s="2"/>
    </row>
    <row r="270" spans="1:4" x14ac:dyDescent="0.3">
      <c r="A270" s="2">
        <v>70503</v>
      </c>
      <c r="B270" s="1" t="s">
        <v>388</v>
      </c>
      <c r="C270" s="2"/>
      <c r="D270" s="2"/>
    </row>
    <row r="271" spans="1:4" x14ac:dyDescent="0.3">
      <c r="A271" s="2">
        <v>70601</v>
      </c>
      <c r="B271" s="1" t="s">
        <v>390</v>
      </c>
      <c r="C271" s="2"/>
      <c r="D271" s="2"/>
    </row>
    <row r="272" spans="1:4" x14ac:dyDescent="0.3">
      <c r="A272" s="2">
        <v>70602</v>
      </c>
      <c r="B272" s="1" t="s">
        <v>391</v>
      </c>
      <c r="C272" s="2"/>
      <c r="D272" s="2"/>
    </row>
    <row r="273" spans="1:4" x14ac:dyDescent="0.3">
      <c r="A273" s="2">
        <v>70603</v>
      </c>
      <c r="B273" s="1" t="s">
        <v>393</v>
      </c>
      <c r="C273" s="2"/>
      <c r="D273" s="2"/>
    </row>
    <row r="274" spans="1:4" x14ac:dyDescent="0.3">
      <c r="A274" s="2">
        <v>70701</v>
      </c>
      <c r="B274" s="1" t="s">
        <v>395</v>
      </c>
      <c r="C274" s="2"/>
      <c r="D274" s="2"/>
    </row>
    <row r="275" spans="1:4" x14ac:dyDescent="0.3">
      <c r="A275" s="2">
        <v>70702</v>
      </c>
      <c r="B275" s="1" t="s">
        <v>396</v>
      </c>
      <c r="C275" s="2"/>
      <c r="D275" s="2"/>
    </row>
    <row r="276" spans="1:4" x14ac:dyDescent="0.3">
      <c r="A276" s="2">
        <v>70703</v>
      </c>
      <c r="B276" s="1" t="s">
        <v>397</v>
      </c>
      <c r="C276" s="2"/>
      <c r="D276" s="2"/>
    </row>
    <row r="277" spans="1:4" x14ac:dyDescent="0.3">
      <c r="A277" s="2">
        <v>70704</v>
      </c>
      <c r="B277" s="1" t="s">
        <v>398</v>
      </c>
      <c r="C277" s="2"/>
      <c r="D277" s="2"/>
    </row>
    <row r="278" spans="1:4" x14ac:dyDescent="0.3">
      <c r="A278" s="2">
        <v>70705</v>
      </c>
      <c r="B278" s="1" t="s">
        <v>399</v>
      </c>
      <c r="C278" s="2"/>
      <c r="D278" s="2"/>
    </row>
    <row r="279" spans="1:4" x14ac:dyDescent="0.3">
      <c r="A279" s="2">
        <v>70706</v>
      </c>
      <c r="B279" s="1" t="s">
        <v>400</v>
      </c>
      <c r="C279" s="2"/>
      <c r="D279" s="2"/>
    </row>
    <row r="280" spans="1:4" x14ac:dyDescent="0.3">
      <c r="A280" s="2">
        <v>70707</v>
      </c>
      <c r="B280" s="1" t="s">
        <v>401</v>
      </c>
      <c r="C280" s="2"/>
      <c r="D280" s="2"/>
    </row>
    <row r="281" spans="1:4" x14ac:dyDescent="0.3">
      <c r="A281" s="2">
        <v>70801</v>
      </c>
      <c r="B281" s="1" t="s">
        <v>402</v>
      </c>
      <c r="C281" s="2"/>
      <c r="D281" s="2"/>
    </row>
    <row r="282" spans="1:4" x14ac:dyDescent="0.3">
      <c r="A282" s="2">
        <v>70802</v>
      </c>
      <c r="B282" s="1" t="s">
        <v>403</v>
      </c>
      <c r="C282" s="2"/>
      <c r="D282" s="2"/>
    </row>
    <row r="283" spans="1:4" x14ac:dyDescent="0.3">
      <c r="A283" s="2">
        <v>70803</v>
      </c>
      <c r="B283" s="1" t="s">
        <v>404</v>
      </c>
      <c r="C283" s="2"/>
      <c r="D283" s="2"/>
    </row>
    <row r="284" spans="1:4" x14ac:dyDescent="0.3">
      <c r="A284" s="2">
        <v>70804</v>
      </c>
      <c r="B284" s="1" t="s">
        <v>406</v>
      </c>
      <c r="C284" s="2"/>
      <c r="D284" s="2"/>
    </row>
    <row r="285" spans="1:4" x14ac:dyDescent="0.3">
      <c r="A285" s="2">
        <v>70805</v>
      </c>
      <c r="B285" s="1" t="s">
        <v>407</v>
      </c>
      <c r="C285" s="2"/>
      <c r="D285" s="2"/>
    </row>
    <row r="286" spans="1:4" x14ac:dyDescent="0.3">
      <c r="A286" s="2">
        <v>70901</v>
      </c>
      <c r="B286" s="1" t="s">
        <v>409</v>
      </c>
      <c r="C286" s="2"/>
      <c r="D286" s="2"/>
    </row>
    <row r="287" spans="1:4" x14ac:dyDescent="0.3">
      <c r="A287" s="2">
        <v>70902</v>
      </c>
      <c r="B287" s="1" t="s">
        <v>410</v>
      </c>
      <c r="C287" s="2"/>
      <c r="D287" s="2"/>
    </row>
    <row r="288" spans="1:4" x14ac:dyDescent="0.3">
      <c r="A288" s="2">
        <v>70903</v>
      </c>
      <c r="B288" s="1" t="s">
        <v>411</v>
      </c>
      <c r="C288" s="2"/>
      <c r="D288" s="2"/>
    </row>
    <row r="289" spans="1:4" x14ac:dyDescent="0.3">
      <c r="A289" s="2">
        <v>70904</v>
      </c>
      <c r="B289" s="1" t="s">
        <v>412</v>
      </c>
      <c r="C289" s="2"/>
      <c r="D289" s="2"/>
    </row>
    <row r="290" spans="1:4" x14ac:dyDescent="0.3">
      <c r="A290" s="2">
        <v>71001</v>
      </c>
      <c r="B290" s="1" t="s">
        <v>414</v>
      </c>
      <c r="C290" s="2"/>
      <c r="D290" s="2"/>
    </row>
    <row r="291" spans="1:4" x14ac:dyDescent="0.3">
      <c r="A291" s="2">
        <v>71002</v>
      </c>
      <c r="B291" s="1" t="s">
        <v>415</v>
      </c>
      <c r="C291" s="2"/>
      <c r="D291" s="2"/>
    </row>
    <row r="292" spans="1:4" x14ac:dyDescent="0.3">
      <c r="A292" s="2">
        <v>71003</v>
      </c>
      <c r="B292" s="1" t="s">
        <v>416</v>
      </c>
      <c r="C292" s="2"/>
      <c r="D292" s="2"/>
    </row>
    <row r="293" spans="1:4" x14ac:dyDescent="0.3">
      <c r="A293" s="2">
        <v>71004</v>
      </c>
      <c r="B293" s="1" t="s">
        <v>417</v>
      </c>
      <c r="C293" s="2"/>
      <c r="D293" s="2"/>
    </row>
    <row r="294" spans="1:4" x14ac:dyDescent="0.3">
      <c r="A294" s="2">
        <v>71005</v>
      </c>
      <c r="B294" s="1" t="s">
        <v>304</v>
      </c>
      <c r="C294" s="2"/>
      <c r="D294" s="2"/>
    </row>
    <row r="295" spans="1:4" x14ac:dyDescent="0.3">
      <c r="A295" s="2">
        <v>71101</v>
      </c>
      <c r="B295" s="1" t="s">
        <v>356</v>
      </c>
      <c r="C295" s="2"/>
      <c r="D295" s="2"/>
    </row>
    <row r="296" spans="1:4" x14ac:dyDescent="0.3">
      <c r="A296" s="2">
        <v>71102</v>
      </c>
      <c r="B296" s="1" t="s">
        <v>419</v>
      </c>
      <c r="C296" s="2"/>
      <c r="D296" s="2"/>
    </row>
    <row r="297" spans="1:4" x14ac:dyDescent="0.3">
      <c r="A297" s="2">
        <v>71103</v>
      </c>
      <c r="B297" s="1" t="s">
        <v>420</v>
      </c>
      <c r="C297" s="2"/>
      <c r="D297" s="2"/>
    </row>
    <row r="298" spans="1:4" x14ac:dyDescent="0.3">
      <c r="A298" s="2">
        <v>71104</v>
      </c>
      <c r="B298" s="1" t="s">
        <v>421</v>
      </c>
      <c r="C298" s="2"/>
      <c r="D298" s="2"/>
    </row>
    <row r="299" spans="1:4" x14ac:dyDescent="0.3">
      <c r="A299" s="2">
        <v>71105</v>
      </c>
      <c r="B299" s="1" t="s">
        <v>422</v>
      </c>
      <c r="C299" s="2"/>
      <c r="D299" s="2"/>
    </row>
    <row r="300" spans="1:4" x14ac:dyDescent="0.3">
      <c r="A300" s="2">
        <v>71106</v>
      </c>
      <c r="B300" s="1" t="s">
        <v>423</v>
      </c>
      <c r="C300" s="2"/>
      <c r="D300" s="2"/>
    </row>
    <row r="301" spans="1:4" x14ac:dyDescent="0.3">
      <c r="A301" s="2">
        <v>71201</v>
      </c>
      <c r="B301" s="1" t="s">
        <v>425</v>
      </c>
      <c r="C301" s="2"/>
      <c r="D301" s="2"/>
    </row>
    <row r="302" spans="1:4" x14ac:dyDescent="0.3">
      <c r="A302" s="2">
        <v>71301</v>
      </c>
      <c r="B302" s="1" t="s">
        <v>427</v>
      </c>
      <c r="C302" s="2"/>
      <c r="D302" s="2"/>
    </row>
    <row r="303" spans="1:4" x14ac:dyDescent="0.3">
      <c r="A303" s="2">
        <v>71302</v>
      </c>
      <c r="B303" s="1" t="s">
        <v>428</v>
      </c>
      <c r="C303" s="2"/>
      <c r="D303" s="2"/>
    </row>
    <row r="304" spans="1:4" x14ac:dyDescent="0.3">
      <c r="A304" s="2">
        <v>71401</v>
      </c>
      <c r="B304" s="1" t="s">
        <v>430</v>
      </c>
      <c r="C304" s="2"/>
      <c r="D304" s="2"/>
    </row>
    <row r="305" spans="1:4" x14ac:dyDescent="0.3">
      <c r="A305" s="2">
        <v>71402</v>
      </c>
      <c r="B305" s="1" t="s">
        <v>431</v>
      </c>
      <c r="C305" s="2"/>
      <c r="D305" s="2"/>
    </row>
    <row r="306" spans="1:4" x14ac:dyDescent="0.3">
      <c r="A306" s="2">
        <v>71403</v>
      </c>
      <c r="B306" s="1" t="s">
        <v>432</v>
      </c>
      <c r="C306" s="2"/>
      <c r="D306" s="2"/>
    </row>
    <row r="307" spans="1:4" x14ac:dyDescent="0.3">
      <c r="A307" s="2">
        <v>71501</v>
      </c>
      <c r="B307" s="1" t="s">
        <v>434</v>
      </c>
      <c r="C307" s="2"/>
      <c r="D307" s="2"/>
    </row>
    <row r="308" spans="1:4" x14ac:dyDescent="0.3">
      <c r="A308" s="2">
        <v>71502</v>
      </c>
      <c r="B308" s="1" t="s">
        <v>435</v>
      </c>
      <c r="C308" s="2"/>
      <c r="D308" s="2"/>
    </row>
    <row r="309" spans="1:4" x14ac:dyDescent="0.3">
      <c r="A309" s="2">
        <v>71503</v>
      </c>
      <c r="B309" s="1" t="s">
        <v>361</v>
      </c>
      <c r="C309" s="2"/>
      <c r="D309" s="2"/>
    </row>
    <row r="310" spans="1:4" x14ac:dyDescent="0.3">
      <c r="A310" s="2">
        <v>80101</v>
      </c>
      <c r="B310" s="1" t="s">
        <v>438</v>
      </c>
      <c r="C310" s="2"/>
      <c r="D310" s="2"/>
    </row>
    <row r="311" spans="1:4" x14ac:dyDescent="0.3">
      <c r="A311" s="2">
        <v>80102</v>
      </c>
      <c r="B311" s="1" t="s">
        <v>419</v>
      </c>
      <c r="C311" s="2"/>
      <c r="D311" s="2"/>
    </row>
    <row r="312" spans="1:4" x14ac:dyDescent="0.3">
      <c r="A312" s="2">
        <v>80201</v>
      </c>
      <c r="B312" s="1" t="s">
        <v>440</v>
      </c>
      <c r="C312" s="2"/>
      <c r="D312" s="2"/>
    </row>
    <row r="313" spans="1:4" x14ac:dyDescent="0.3">
      <c r="A313" s="2">
        <v>80202</v>
      </c>
      <c r="B313" s="1" t="s">
        <v>441</v>
      </c>
      <c r="C313" s="2"/>
      <c r="D313" s="2"/>
    </row>
    <row r="314" spans="1:4" x14ac:dyDescent="0.3">
      <c r="A314" s="2">
        <v>80301</v>
      </c>
      <c r="B314" s="1" t="s">
        <v>443</v>
      </c>
      <c r="C314" s="2"/>
      <c r="D314" s="2"/>
    </row>
    <row r="315" spans="1:4" x14ac:dyDescent="0.3">
      <c r="A315" s="2">
        <v>80302</v>
      </c>
      <c r="B315" s="1" t="s">
        <v>444</v>
      </c>
      <c r="C315" s="2"/>
      <c r="D315" s="2"/>
    </row>
    <row r="316" spans="1:4" x14ac:dyDescent="0.3">
      <c r="A316" s="2">
        <v>80303</v>
      </c>
      <c r="B316" s="1" t="s">
        <v>392</v>
      </c>
      <c r="C316" s="2"/>
      <c r="D316" s="2"/>
    </row>
    <row r="317" spans="1:4" x14ac:dyDescent="0.3">
      <c r="A317" s="2">
        <v>80304</v>
      </c>
      <c r="B317" s="1" t="s">
        <v>445</v>
      </c>
      <c r="C317" s="2"/>
      <c r="D317" s="2"/>
    </row>
    <row r="318" spans="1:4" x14ac:dyDescent="0.3">
      <c r="A318" s="2">
        <v>80401</v>
      </c>
      <c r="B318" s="1" t="s">
        <v>448</v>
      </c>
      <c r="C318" s="2"/>
      <c r="D318" s="2"/>
    </row>
    <row r="319" spans="1:4" x14ac:dyDescent="0.3">
      <c r="A319" s="2">
        <v>80402</v>
      </c>
      <c r="B319" s="1" t="s">
        <v>450</v>
      </c>
      <c r="C319" s="2"/>
      <c r="D319" s="2"/>
    </row>
    <row r="320" spans="1:4" x14ac:dyDescent="0.3">
      <c r="A320" s="2">
        <v>80501</v>
      </c>
      <c r="B320" s="1" t="s">
        <v>375</v>
      </c>
      <c r="C320" s="2"/>
      <c r="D320" s="2"/>
    </row>
    <row r="321" spans="1:4" x14ac:dyDescent="0.3">
      <c r="A321" s="2">
        <v>80601</v>
      </c>
      <c r="B321" s="1" t="s">
        <v>453</v>
      </c>
      <c r="C321" s="2"/>
      <c r="D321" s="2"/>
    </row>
    <row r="322" spans="1:4" x14ac:dyDescent="0.3">
      <c r="A322" s="2">
        <v>80602</v>
      </c>
      <c r="B322" s="1" t="s">
        <v>454</v>
      </c>
      <c r="C322" s="2"/>
      <c r="D322" s="2"/>
    </row>
    <row r="323" spans="1:4" x14ac:dyDescent="0.3">
      <c r="A323" s="2">
        <v>80701</v>
      </c>
      <c r="B323" s="1" t="s">
        <v>456</v>
      </c>
      <c r="C323" s="2"/>
      <c r="D323" s="2"/>
    </row>
    <row r="324" spans="1:4" x14ac:dyDescent="0.3">
      <c r="A324" s="2">
        <v>80702</v>
      </c>
      <c r="B324" s="1" t="s">
        <v>420</v>
      </c>
      <c r="C324" s="2"/>
      <c r="D324" s="2"/>
    </row>
    <row r="325" spans="1:4" x14ac:dyDescent="0.3">
      <c r="A325" s="2">
        <v>80703</v>
      </c>
      <c r="B325" s="1" t="s">
        <v>457</v>
      </c>
      <c r="C325" s="2"/>
      <c r="D325" s="2"/>
    </row>
    <row r="326" spans="1:4" x14ac:dyDescent="0.3">
      <c r="A326" s="2">
        <v>80801</v>
      </c>
      <c r="B326" s="1" t="s">
        <v>459</v>
      </c>
      <c r="C326" s="2"/>
      <c r="D326" s="2"/>
    </row>
    <row r="327" spans="1:4" x14ac:dyDescent="0.3">
      <c r="A327" s="2">
        <v>80802</v>
      </c>
      <c r="B327" s="1" t="s">
        <v>460</v>
      </c>
      <c r="C327" s="2"/>
      <c r="D327" s="2"/>
    </row>
    <row r="328" spans="1:4" x14ac:dyDescent="0.3">
      <c r="A328" s="2">
        <v>80803</v>
      </c>
      <c r="B328" s="1" t="s">
        <v>461</v>
      </c>
      <c r="C328" s="2"/>
      <c r="D328" s="2"/>
    </row>
    <row r="329" spans="1:4" x14ac:dyDescent="0.3">
      <c r="A329" s="2">
        <v>80901</v>
      </c>
      <c r="B329" s="1" t="s">
        <v>462</v>
      </c>
      <c r="C329" s="2"/>
      <c r="D329" s="2"/>
    </row>
    <row r="330" spans="1:4" x14ac:dyDescent="0.3">
      <c r="A330" s="2">
        <v>90101</v>
      </c>
      <c r="B330" s="1" t="s">
        <v>465</v>
      </c>
      <c r="C330" s="2"/>
      <c r="D330" s="2"/>
    </row>
    <row r="331" spans="1:4" x14ac:dyDescent="0.3">
      <c r="A331" s="2">
        <v>90102</v>
      </c>
      <c r="B331" s="1" t="s">
        <v>466</v>
      </c>
      <c r="C331" s="2"/>
      <c r="D331" s="2"/>
    </row>
    <row r="332" spans="1:4" x14ac:dyDescent="0.3">
      <c r="A332" s="2">
        <v>90103</v>
      </c>
      <c r="B332" s="1" t="s">
        <v>467</v>
      </c>
      <c r="C332" s="2"/>
      <c r="D332" s="2"/>
    </row>
    <row r="333" spans="1:4" x14ac:dyDescent="0.3">
      <c r="A333" s="2">
        <v>90104</v>
      </c>
      <c r="B333" s="1" t="s">
        <v>468</v>
      </c>
      <c r="C333" s="2"/>
      <c r="D333" s="2"/>
    </row>
    <row r="334" spans="1:4" x14ac:dyDescent="0.3">
      <c r="A334" s="2">
        <v>90201</v>
      </c>
      <c r="B334" s="1" t="s">
        <v>470</v>
      </c>
      <c r="C334" s="2"/>
      <c r="D334" s="2"/>
    </row>
    <row r="335" spans="1:4" x14ac:dyDescent="0.3">
      <c r="A335" s="2">
        <v>90202</v>
      </c>
      <c r="B335" s="1" t="s">
        <v>304</v>
      </c>
      <c r="C335" s="2"/>
      <c r="D335" s="2"/>
    </row>
    <row r="336" spans="1:4" x14ac:dyDescent="0.3">
      <c r="A336" s="2">
        <v>90203</v>
      </c>
      <c r="B336" s="1" t="s">
        <v>471</v>
      </c>
      <c r="C336" s="2"/>
      <c r="D336" s="2"/>
    </row>
    <row r="337" spans="1:4" x14ac:dyDescent="0.3">
      <c r="A337" s="2">
        <v>90301</v>
      </c>
      <c r="B337" s="1" t="s">
        <v>473</v>
      </c>
      <c r="C337" s="2"/>
      <c r="D337" s="2"/>
    </row>
    <row r="338" spans="1:4" x14ac:dyDescent="0.3">
      <c r="A338" s="2">
        <v>90302</v>
      </c>
      <c r="B338" s="1" t="s">
        <v>359</v>
      </c>
      <c r="C338" s="2"/>
      <c r="D338" s="2"/>
    </row>
    <row r="339" spans="1:4" x14ac:dyDescent="0.3">
      <c r="A339" s="2">
        <v>90303</v>
      </c>
      <c r="B339" s="1" t="s">
        <v>474</v>
      </c>
      <c r="C339" s="2"/>
      <c r="D339" s="2"/>
    </row>
    <row r="340" spans="1:4" x14ac:dyDescent="0.3">
      <c r="A340" s="2">
        <v>90401</v>
      </c>
      <c r="B340" s="1" t="s">
        <v>392</v>
      </c>
      <c r="C340" s="2"/>
      <c r="D340" s="2"/>
    </row>
    <row r="341" spans="1:4" x14ac:dyDescent="0.3">
      <c r="A341" s="2">
        <v>90402</v>
      </c>
      <c r="B341" s="1" t="s">
        <v>98</v>
      </c>
      <c r="C341" s="2"/>
      <c r="D341" s="2"/>
    </row>
    <row r="342" spans="1:4" x14ac:dyDescent="0.3">
      <c r="A342" s="2">
        <v>90501</v>
      </c>
      <c r="B342" s="1" t="s">
        <v>477</v>
      </c>
      <c r="C342" s="2"/>
      <c r="D342" s="2"/>
    </row>
    <row r="343" spans="1:4" x14ac:dyDescent="0.3">
      <c r="A343" s="2">
        <v>90502</v>
      </c>
      <c r="B343" s="1" t="s">
        <v>478</v>
      </c>
      <c r="C343" s="2"/>
      <c r="D343" s="2"/>
    </row>
    <row r="344" spans="1:4" x14ac:dyDescent="0.3">
      <c r="A344" s="2">
        <v>90503</v>
      </c>
      <c r="B344" s="1" t="s">
        <v>480</v>
      </c>
      <c r="C344" s="2"/>
      <c r="D344" s="2"/>
    </row>
  </sheetData>
  <autoFilter ref="A1:D1" xr:uid="{C333FC59-35F6-4C8F-8F4E-20081D0E9141}">
    <sortState xmlns:xlrd2="http://schemas.microsoft.com/office/spreadsheetml/2017/richdata2" ref="A2:D344">
      <sortCondition ref="A1"/>
    </sortState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F737-4B8C-412E-B2D7-CE82D36E356E}">
  <sheetPr>
    <tabColor rgb="FFAF2738"/>
  </sheetPr>
  <dimension ref="A1:D12"/>
  <sheetViews>
    <sheetView workbookViewId="0">
      <selection activeCell="H6" sqref="H6"/>
    </sheetView>
  </sheetViews>
  <sheetFormatPr baseColWidth="10" defaultRowHeight="14.4" x14ac:dyDescent="0.3"/>
  <sheetData>
    <row r="1" spans="1:4" ht="57.6" x14ac:dyDescent="0.3">
      <c r="A1" s="8" t="s">
        <v>482</v>
      </c>
      <c r="B1" s="8" t="s">
        <v>483</v>
      </c>
      <c r="C1" s="9" t="s">
        <v>509</v>
      </c>
      <c r="D1" s="9" t="s">
        <v>510</v>
      </c>
    </row>
    <row r="2" spans="1:4" x14ac:dyDescent="0.3">
      <c r="A2" s="1">
        <v>1</v>
      </c>
      <c r="B2" s="8" t="s">
        <v>4</v>
      </c>
      <c r="C2" s="2">
        <v>87.666666666666671</v>
      </c>
      <c r="D2" s="2">
        <v>101.66666666666667</v>
      </c>
    </row>
    <row r="3" spans="1:4" x14ac:dyDescent="0.3">
      <c r="A3" s="1">
        <v>2</v>
      </c>
      <c r="B3" s="8" t="s">
        <v>50</v>
      </c>
      <c r="C3" s="2">
        <v>114.66666666666667</v>
      </c>
      <c r="D3" s="2">
        <v>180.66666666666666</v>
      </c>
    </row>
    <row r="4" spans="1:4" x14ac:dyDescent="0.3">
      <c r="A4" s="1">
        <v>3</v>
      </c>
      <c r="B4" s="8" t="s">
        <v>167</v>
      </c>
      <c r="C4" s="2">
        <v>113</v>
      </c>
      <c r="D4" s="2">
        <v>300</v>
      </c>
    </row>
    <row r="5" spans="1:4" x14ac:dyDescent="0.3">
      <c r="A5" s="1">
        <v>4</v>
      </c>
      <c r="B5" s="8" t="s">
        <v>230</v>
      </c>
      <c r="C5" s="2">
        <v>23.666666666666668</v>
      </c>
      <c r="D5" s="2">
        <v>91.333333333333329</v>
      </c>
    </row>
    <row r="6" spans="1:4" x14ac:dyDescent="0.3">
      <c r="A6" s="1">
        <v>5</v>
      </c>
      <c r="B6" s="8" t="s">
        <v>281</v>
      </c>
      <c r="C6" s="2">
        <v>21.666666666666668</v>
      </c>
      <c r="D6" s="2">
        <v>43</v>
      </c>
    </row>
    <row r="7" spans="1:4" x14ac:dyDescent="0.3">
      <c r="A7" s="1">
        <v>6</v>
      </c>
      <c r="B7" s="8" t="s">
        <v>346</v>
      </c>
      <c r="C7" s="2">
        <v>25</v>
      </c>
      <c r="D7" s="2">
        <v>23.666666666666668</v>
      </c>
    </row>
    <row r="8" spans="1:4" x14ac:dyDescent="0.3">
      <c r="A8" s="1">
        <v>7</v>
      </c>
      <c r="B8" s="8" t="s">
        <v>363</v>
      </c>
      <c r="C8" s="2">
        <v>122</v>
      </c>
      <c r="D8" s="2">
        <v>388.66666666666669</v>
      </c>
    </row>
    <row r="9" spans="1:4" x14ac:dyDescent="0.3">
      <c r="A9" s="1">
        <v>8</v>
      </c>
      <c r="B9" s="8" t="s">
        <v>437</v>
      </c>
      <c r="C9" s="2">
        <v>10</v>
      </c>
      <c r="D9" s="2">
        <v>25.666666666666668</v>
      </c>
    </row>
    <row r="10" spans="1:4" x14ac:dyDescent="0.3">
      <c r="A10" s="1">
        <v>9</v>
      </c>
      <c r="B10" s="8" t="s">
        <v>463</v>
      </c>
      <c r="C10" s="2">
        <v>2.3333333333333335</v>
      </c>
      <c r="D10" s="2">
        <v>6.333333333333333</v>
      </c>
    </row>
    <row r="11" spans="1:4" x14ac:dyDescent="0.3">
      <c r="A11" s="1">
        <v>10</v>
      </c>
      <c r="B11" s="1" t="s">
        <v>350</v>
      </c>
      <c r="C11" s="2">
        <v>7</v>
      </c>
      <c r="D11" s="2">
        <v>10</v>
      </c>
    </row>
    <row r="12" spans="1:4" x14ac:dyDescent="0.3">
      <c r="A12" s="1">
        <v>11</v>
      </c>
      <c r="B12" s="1" t="s">
        <v>495</v>
      </c>
      <c r="C12" s="2">
        <v>520</v>
      </c>
      <c r="D12" s="2">
        <v>1161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6C45-CF60-45C0-8FAD-9AE49987313D}">
  <sheetPr>
    <tabColor rgb="FFAF2738"/>
  </sheetPr>
  <dimension ref="A1:D12"/>
  <sheetViews>
    <sheetView workbookViewId="0">
      <selection activeCell="F6" sqref="F6"/>
    </sheetView>
  </sheetViews>
  <sheetFormatPr baseColWidth="10" defaultRowHeight="14.4" x14ac:dyDescent="0.3"/>
  <sheetData>
    <row r="1" spans="1:4" ht="28.8" x14ac:dyDescent="0.3">
      <c r="A1" s="8" t="s">
        <v>482</v>
      </c>
      <c r="B1" s="8" t="s">
        <v>483</v>
      </c>
      <c r="C1" s="9" t="s">
        <v>513</v>
      </c>
      <c r="D1" s="9" t="s">
        <v>512</v>
      </c>
    </row>
    <row r="2" spans="1:4" x14ac:dyDescent="0.3">
      <c r="A2" s="1">
        <v>1</v>
      </c>
      <c r="B2" s="8" t="s">
        <v>4</v>
      </c>
      <c r="C2" s="2"/>
      <c r="D2" s="2"/>
    </row>
    <row r="3" spans="1:4" x14ac:dyDescent="0.3">
      <c r="A3" s="1">
        <v>2</v>
      </c>
      <c r="B3" s="8" t="s">
        <v>50</v>
      </c>
      <c r="C3" s="2"/>
      <c r="D3" s="2"/>
    </row>
    <row r="4" spans="1:4" x14ac:dyDescent="0.3">
      <c r="A4" s="1">
        <v>3</v>
      </c>
      <c r="B4" s="8" t="s">
        <v>167</v>
      </c>
      <c r="C4" s="2"/>
      <c r="D4" s="2"/>
    </row>
    <row r="5" spans="1:4" x14ac:dyDescent="0.3">
      <c r="A5" s="1">
        <v>4</v>
      </c>
      <c r="B5" s="8" t="s">
        <v>230</v>
      </c>
      <c r="C5" s="2"/>
      <c r="D5" s="2"/>
    </row>
    <row r="6" spans="1:4" x14ac:dyDescent="0.3">
      <c r="A6" s="1">
        <v>5</v>
      </c>
      <c r="B6" s="8" t="s">
        <v>281</v>
      </c>
      <c r="C6" s="2"/>
      <c r="D6" s="2"/>
    </row>
    <row r="7" spans="1:4" x14ac:dyDescent="0.3">
      <c r="A7" s="1">
        <v>6</v>
      </c>
      <c r="B7" s="8" t="s">
        <v>346</v>
      </c>
      <c r="C7" s="2"/>
      <c r="D7" s="2"/>
    </row>
    <row r="8" spans="1:4" x14ac:dyDescent="0.3">
      <c r="A8" s="1">
        <v>7</v>
      </c>
      <c r="B8" s="8" t="s">
        <v>363</v>
      </c>
      <c r="C8" s="2"/>
      <c r="D8" s="2"/>
    </row>
    <row r="9" spans="1:4" x14ac:dyDescent="0.3">
      <c r="A9" s="1">
        <v>8</v>
      </c>
      <c r="B9" s="8" t="s">
        <v>437</v>
      </c>
      <c r="C9" s="2"/>
      <c r="D9" s="2"/>
    </row>
    <row r="10" spans="1:4" x14ac:dyDescent="0.3">
      <c r="A10" s="1">
        <v>9</v>
      </c>
      <c r="B10" s="8" t="s">
        <v>463</v>
      </c>
      <c r="C10" s="2"/>
      <c r="D10" s="2"/>
    </row>
    <row r="11" spans="1:4" x14ac:dyDescent="0.3">
      <c r="A11" s="1">
        <v>10</v>
      </c>
      <c r="B11" s="1" t="s">
        <v>350</v>
      </c>
      <c r="C11" s="2"/>
      <c r="D11" s="2"/>
    </row>
    <row r="12" spans="1:4" x14ac:dyDescent="0.3">
      <c r="A12" s="1">
        <v>11</v>
      </c>
      <c r="B12" s="1" t="s">
        <v>495</v>
      </c>
      <c r="C12" s="2"/>
      <c r="D12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F3AFD-2B45-44A8-9BF7-B4C5C4614B04}">
  <sheetPr>
    <tabColor rgb="FFAF2738"/>
  </sheetPr>
  <dimension ref="A1:J2"/>
  <sheetViews>
    <sheetView tabSelected="1" workbookViewId="0">
      <selection activeCell="I17" sqref="I17"/>
    </sheetView>
  </sheetViews>
  <sheetFormatPr baseColWidth="10" defaultRowHeight="14.4" x14ac:dyDescent="0.3"/>
  <sheetData>
    <row r="1" spans="1:10" ht="36" x14ac:dyDescent="0.3">
      <c r="A1" s="3" t="s">
        <v>484</v>
      </c>
      <c r="B1" s="3" t="s">
        <v>485</v>
      </c>
      <c r="C1" s="4" t="s">
        <v>486</v>
      </c>
      <c r="D1" s="4" t="s">
        <v>487</v>
      </c>
      <c r="E1" s="5" t="s">
        <v>488</v>
      </c>
      <c r="F1" s="5" t="s">
        <v>489</v>
      </c>
      <c r="G1" s="6" t="s">
        <v>490</v>
      </c>
      <c r="H1" s="6" t="s">
        <v>491</v>
      </c>
      <c r="I1" s="7" t="s">
        <v>492</v>
      </c>
      <c r="J1" s="7" t="s">
        <v>493</v>
      </c>
    </row>
    <row r="2" spans="1:10" x14ac:dyDescent="0.3">
      <c r="A2" s="1">
        <v>16</v>
      </c>
      <c r="B2" s="1" t="s">
        <v>511</v>
      </c>
      <c r="C2" s="1">
        <v>0</v>
      </c>
      <c r="D2" s="1">
        <v>0</v>
      </c>
      <c r="E2" s="1">
        <v>0</v>
      </c>
      <c r="F2" s="1">
        <v>5</v>
      </c>
      <c r="G2" s="1">
        <v>5</v>
      </c>
      <c r="H2" s="1">
        <v>10</v>
      </c>
      <c r="I2" s="1">
        <v>10</v>
      </c>
      <c r="J2" s="1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 procesados</vt:lpstr>
      <vt:lpstr>Indicador_MUN</vt:lpstr>
      <vt:lpstr>Absoluto_MUN</vt:lpstr>
      <vt:lpstr>Indicador_DEP</vt:lpstr>
      <vt:lpstr>Absoluto_DEP</vt:lpstr>
      <vt:lpstr>Umbral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Paolo</dc:creator>
  <cp:lastModifiedBy>Paolo</cp:lastModifiedBy>
  <dcterms:created xsi:type="dcterms:W3CDTF">2026-02-11T19:05:39Z</dcterms:created>
  <dcterms:modified xsi:type="dcterms:W3CDTF">2026-06-02T01:33:54Z</dcterms:modified>
</cp:coreProperties>
</file>